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aksharafalmasri\Downloads\"/>
    </mc:Choice>
  </mc:AlternateContent>
  <xr:revisionPtr revIDLastSave="0" documentId="13_ncr:1_{B13FAA81-5B8B-4E2B-BBD6-ED2B46471E2E}" xr6:coauthVersionLast="47" xr6:coauthVersionMax="47" xr10:uidLastSave="{00000000-0000-0000-0000-000000000000}"/>
  <bookViews>
    <workbookView xWindow="22932" yWindow="-2916" windowWidth="30936" windowHeight="16776" firstSheet="4" activeTab="5" xr2:uid="{00000000-000D-0000-FFFF-FFFF00000000}"/>
  </bookViews>
  <sheets>
    <sheet name="Claude Log" sheetId="1" r:id="rId1"/>
    <sheet name="HQ Asset Register" sheetId="2" r:id="rId2"/>
    <sheet name="QNL Asset Register" sheetId="3" r:id="rId3"/>
    <sheet name="SSC Asset Register" sheetId="4" r:id="rId4"/>
    <sheet name="RDC Asset Register" sheetId="5" r:id="rId5"/>
    <sheet name="Controllable Asset Registry" sheetId="6" r:id="rId6"/>
    <sheet name="SSC Room Names with Equip." sheetId="7" r:id="rId7"/>
    <sheet name="HQ Room Names with Equip." sheetId="9" r:id="rId8"/>
    <sheet name="QNL Room Names with Equip." sheetId="10" r:id="rId9"/>
  </sheets>
  <definedNames>
    <definedName name="_xlnm._FilterDatabase" localSheetId="5" hidden="1">'Controllable Asset Registry'!$A$2:$C$2351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 i="10" l="1" a="1"/>
  <c r="D3" i="10" s="1"/>
  <c r="D4" i="10" a="1"/>
  <c r="D4" i="10" s="1"/>
  <c r="D5" i="10" a="1"/>
  <c r="D5" i="10" s="1"/>
  <c r="D6" i="10" a="1"/>
  <c r="D6" i="10" s="1"/>
  <c r="D7" i="10" a="1"/>
  <c r="D7" i="10" s="1"/>
  <c r="D8" i="10" a="1"/>
  <c r="D8" i="10" s="1"/>
  <c r="D9" i="10" a="1"/>
  <c r="D9" i="10" s="1"/>
  <c r="D10" i="10" a="1"/>
  <c r="D10" i="10" s="1"/>
  <c r="D11" i="10" a="1"/>
  <c r="D11" i="10" s="1"/>
  <c r="D12" i="10" a="1"/>
  <c r="D12" i="10" s="1"/>
  <c r="D13" i="10" a="1"/>
  <c r="D13" i="10" s="1"/>
  <c r="D14" i="10" a="1"/>
  <c r="D14" i="10" s="1"/>
  <c r="D15" i="10" a="1"/>
  <c r="D15" i="10" s="1"/>
  <c r="D16" i="10" a="1"/>
  <c r="D16" i="10" s="1"/>
  <c r="D17" i="10" a="1"/>
  <c r="D17" i="10" s="1"/>
  <c r="D18" i="10" a="1"/>
  <c r="D18" i="10" s="1"/>
  <c r="D19" i="10" a="1"/>
  <c r="D19" i="10" s="1"/>
  <c r="D20" i="10" a="1"/>
  <c r="D20" i="10" s="1"/>
  <c r="D21" i="10" a="1"/>
  <c r="D21" i="10" s="1"/>
  <c r="D22" i="10" a="1"/>
  <c r="D22" i="10" s="1"/>
  <c r="D23" i="10" a="1"/>
  <c r="D23" i="10" s="1"/>
  <c r="D24" i="10" a="1"/>
  <c r="D24" i="10" s="1"/>
  <c r="D25" i="10" a="1"/>
  <c r="D25" i="10" s="1"/>
  <c r="D26" i="10" a="1"/>
  <c r="D26" i="10" s="1"/>
  <c r="D27" i="10" a="1"/>
  <c r="D27" i="10" s="1"/>
  <c r="D28" i="10" a="1"/>
  <c r="D28" i="10" s="1"/>
  <c r="D29" i="10" a="1"/>
  <c r="D29" i="10" s="1"/>
  <c r="D30" i="10" a="1"/>
  <c r="D30" i="10"/>
  <c r="D31" i="10" a="1"/>
  <c r="D31" i="10" s="1"/>
  <c r="D32" i="10" a="1"/>
  <c r="D32" i="10" s="1"/>
  <c r="D33" i="10" a="1"/>
  <c r="D33" i="10" s="1"/>
  <c r="D34" i="10" a="1"/>
  <c r="D34" i="10" s="1"/>
  <c r="D35" i="10" a="1"/>
  <c r="D35" i="10" s="1"/>
  <c r="D36" i="10" a="1"/>
  <c r="D36" i="10" s="1"/>
  <c r="D37" i="10" a="1"/>
  <c r="D37" i="10" s="1"/>
  <c r="D38" i="10" a="1"/>
  <c r="D38" i="10" s="1"/>
  <c r="D39" i="10" a="1"/>
  <c r="D39" i="10" s="1"/>
  <c r="D40" i="10" a="1"/>
  <c r="D40" i="10" s="1"/>
  <c r="D41" i="10" a="1"/>
  <c r="D41" i="10" s="1"/>
  <c r="D42" i="10" a="1"/>
  <c r="D42" i="10" s="1"/>
  <c r="D43" i="10" a="1"/>
  <c r="D43" i="10" s="1"/>
  <c r="D44" i="10" a="1"/>
  <c r="D44" i="10" s="1"/>
  <c r="D45" i="10" a="1"/>
  <c r="D45" i="10"/>
  <c r="D46" i="10" a="1"/>
  <c r="D46" i="10" s="1"/>
  <c r="D47" i="10" a="1"/>
  <c r="D47" i="10" s="1"/>
  <c r="D48" i="10" a="1"/>
  <c r="D48" i="10" s="1"/>
  <c r="D49" i="10" a="1"/>
  <c r="D49" i="10" s="1"/>
  <c r="D50" i="10" a="1"/>
  <c r="D50" i="10" s="1"/>
  <c r="D51" i="10" a="1"/>
  <c r="D51" i="10" s="1"/>
  <c r="D52" i="10" a="1"/>
  <c r="D52" i="10" s="1"/>
  <c r="D53" i="10" a="1"/>
  <c r="D53" i="10" s="1"/>
  <c r="D54" i="10" a="1"/>
  <c r="D54" i="10" s="1"/>
  <c r="D55" i="10" a="1"/>
  <c r="D55" i="10"/>
  <c r="D56" i="10" a="1"/>
  <c r="D56" i="10" s="1"/>
  <c r="D57" i="10" a="1"/>
  <c r="D57" i="10" s="1"/>
  <c r="D58" i="10" a="1"/>
  <c r="D58" i="10" s="1"/>
  <c r="D59" i="10" a="1"/>
  <c r="D59" i="10" s="1"/>
  <c r="D60" i="10" a="1"/>
  <c r="D60" i="10" s="1"/>
  <c r="D61" i="10" a="1"/>
  <c r="D61" i="10" s="1"/>
  <c r="D62" i="10" a="1"/>
  <c r="D62" i="10" s="1"/>
  <c r="D63" i="10" a="1"/>
  <c r="D63" i="10" s="1"/>
  <c r="D64" i="10" a="1"/>
  <c r="D64" i="10" s="1"/>
  <c r="D65" i="10" a="1"/>
  <c r="D65" i="10" s="1"/>
  <c r="D66" i="10" a="1"/>
  <c r="D66" i="10" s="1"/>
  <c r="D67" i="10" a="1"/>
  <c r="D67" i="10" s="1"/>
  <c r="D68" i="10" a="1"/>
  <c r="D68" i="10" s="1"/>
  <c r="D69" i="10" a="1"/>
  <c r="D69" i="10" s="1"/>
  <c r="D70" i="10" a="1"/>
  <c r="D70" i="10" s="1"/>
  <c r="D71" i="10" a="1"/>
  <c r="D71" i="10"/>
  <c r="D72" i="10" a="1"/>
  <c r="D72" i="10" s="1"/>
  <c r="D73" i="10" a="1"/>
  <c r="D73" i="10" s="1"/>
  <c r="D74" i="10" a="1"/>
  <c r="D74" i="10" s="1"/>
  <c r="D75" i="10" a="1"/>
  <c r="D75" i="10" s="1"/>
  <c r="D76" i="10" a="1"/>
  <c r="D76" i="10" s="1"/>
  <c r="D77" i="10" a="1"/>
  <c r="D77" i="10" s="1"/>
  <c r="D78" i="10" a="1"/>
  <c r="D78" i="10" s="1"/>
  <c r="D79" i="10" a="1"/>
  <c r="D79" i="10"/>
  <c r="D80" i="10" a="1"/>
  <c r="D80" i="10" s="1"/>
  <c r="D81" i="10" a="1"/>
  <c r="D81" i="10" s="1"/>
  <c r="D82" i="10" a="1"/>
  <c r="D82" i="10" s="1"/>
  <c r="D83" i="10" a="1"/>
  <c r="D83" i="10" s="1"/>
  <c r="D84" i="10" a="1"/>
  <c r="D84" i="10" s="1"/>
  <c r="D85" i="10" a="1"/>
  <c r="D85" i="10" s="1"/>
  <c r="D86" i="10" a="1"/>
  <c r="D86" i="10" s="1"/>
  <c r="D87" i="10" a="1"/>
  <c r="D87" i="10" s="1"/>
  <c r="D88" i="10" a="1"/>
  <c r="D88" i="10"/>
  <c r="D89" i="10" a="1"/>
  <c r="D89" i="10" s="1"/>
  <c r="D90" i="10" a="1"/>
  <c r="D90" i="10" s="1"/>
  <c r="D91" i="10" a="1"/>
  <c r="D91" i="10"/>
  <c r="D92" i="10" a="1"/>
  <c r="D92" i="10" s="1"/>
  <c r="D93" i="10" a="1"/>
  <c r="D93" i="10" s="1"/>
  <c r="D94" i="10" a="1"/>
  <c r="D94" i="10" s="1"/>
  <c r="D95" i="10" a="1"/>
  <c r="D95" i="10" s="1"/>
  <c r="D96" i="10" a="1"/>
  <c r="D96" i="10" s="1"/>
  <c r="D97" i="10" a="1"/>
  <c r="D97" i="10"/>
  <c r="D98" i="10" a="1"/>
  <c r="D98" i="10" s="1"/>
  <c r="D99" i="10" a="1"/>
  <c r="D99" i="10" s="1"/>
  <c r="D100" i="10" a="1"/>
  <c r="D100" i="10" s="1"/>
  <c r="D101" i="10" a="1"/>
  <c r="D101" i="10" s="1"/>
  <c r="D102" i="10" a="1"/>
  <c r="D102" i="10" s="1"/>
  <c r="D103" i="10" a="1"/>
  <c r="D103" i="10" s="1"/>
  <c r="D104" i="10" a="1"/>
  <c r="D104" i="10" s="1"/>
  <c r="D105" i="10" a="1"/>
  <c r="D105" i="10" s="1"/>
  <c r="D106" i="10" a="1"/>
  <c r="D106" i="10" s="1"/>
  <c r="D107" i="10" a="1"/>
  <c r="D107" i="10" s="1"/>
  <c r="D108" i="10" a="1"/>
  <c r="D108" i="10" s="1"/>
  <c r="D109" i="10" a="1"/>
  <c r="D109" i="10" s="1"/>
  <c r="D110" i="10" a="1"/>
  <c r="D110" i="10" s="1"/>
  <c r="D111" i="10" a="1"/>
  <c r="D111" i="10" s="1"/>
  <c r="D112" i="10" a="1"/>
  <c r="D112" i="10" s="1"/>
  <c r="D113" i="10" a="1"/>
  <c r="D113" i="10" s="1"/>
  <c r="D114" i="10" a="1"/>
  <c r="D114" i="10" s="1"/>
  <c r="D115" i="10" a="1"/>
  <c r="D115" i="10" s="1"/>
  <c r="D116" i="10" a="1"/>
  <c r="D116" i="10" s="1"/>
  <c r="D117" i="10" a="1"/>
  <c r="D117" i="10" s="1"/>
  <c r="D118" i="10" a="1"/>
  <c r="D118" i="10" s="1"/>
  <c r="D119" i="10" a="1"/>
  <c r="D119" i="10" s="1"/>
  <c r="D120" i="10" a="1"/>
  <c r="D120" i="10" s="1"/>
  <c r="D121" i="10" a="1"/>
  <c r="D121" i="10" s="1"/>
  <c r="D122" i="10" a="1"/>
  <c r="D122" i="10" s="1"/>
  <c r="D123" i="10" a="1"/>
  <c r="D123" i="10" s="1"/>
  <c r="D124" i="10" a="1"/>
  <c r="D124" i="10" s="1"/>
  <c r="D125" i="10" a="1"/>
  <c r="D125" i="10" s="1"/>
  <c r="D126" i="10" a="1"/>
  <c r="D126" i="10" s="1"/>
  <c r="D127" i="10" a="1"/>
  <c r="D127" i="10" s="1"/>
  <c r="D128" i="10" a="1"/>
  <c r="D128" i="10" s="1"/>
  <c r="D129" i="10" a="1"/>
  <c r="D129" i="10" s="1"/>
  <c r="D130" i="10" a="1"/>
  <c r="D130" i="10" s="1"/>
  <c r="D131" i="10" a="1"/>
  <c r="D131" i="10" s="1"/>
  <c r="D132" i="10" a="1"/>
  <c r="D132" i="10" s="1"/>
  <c r="D133" i="10" a="1"/>
  <c r="D133" i="10" s="1"/>
  <c r="D134" i="10" a="1"/>
  <c r="D134" i="10" s="1"/>
  <c r="D135" i="10" a="1"/>
  <c r="D135" i="10" s="1"/>
  <c r="D136" i="10" a="1"/>
  <c r="D136" i="10" s="1"/>
  <c r="D137" i="10" a="1"/>
  <c r="D137" i="10" s="1"/>
  <c r="D138" i="10" a="1"/>
  <c r="D138" i="10" s="1"/>
  <c r="D139" i="10" a="1"/>
  <c r="D139" i="10" s="1"/>
  <c r="D140" i="10" a="1"/>
  <c r="D140" i="10" s="1"/>
  <c r="D141" i="10" a="1"/>
  <c r="D141" i="10" s="1"/>
  <c r="D142" i="10" a="1"/>
  <c r="D142" i="10" s="1"/>
  <c r="D143" i="10" a="1"/>
  <c r="D143" i="10" s="1"/>
  <c r="D144" i="10" a="1"/>
  <c r="D144" i="10" s="1"/>
  <c r="D145" i="10" a="1"/>
  <c r="D145" i="10" s="1"/>
  <c r="D146" i="10" a="1"/>
  <c r="D146" i="10" s="1"/>
  <c r="D147" i="10" a="1"/>
  <c r="D147" i="10" s="1"/>
  <c r="D148" i="10" a="1"/>
  <c r="D148" i="10" s="1"/>
  <c r="D149" i="10" a="1"/>
  <c r="D149" i="10" s="1"/>
  <c r="D150" i="10" a="1"/>
  <c r="D150" i="10" s="1"/>
  <c r="D151" i="10" a="1"/>
  <c r="D151" i="10" s="1"/>
  <c r="D152" i="10" a="1"/>
  <c r="D152" i="10"/>
  <c r="D153" i="10" a="1"/>
  <c r="D153" i="10" s="1"/>
  <c r="D154" i="10" a="1"/>
  <c r="D154" i="10" s="1"/>
  <c r="D155" i="10" a="1"/>
  <c r="D155" i="10" s="1"/>
  <c r="D156" i="10" a="1"/>
  <c r="D156" i="10" s="1"/>
  <c r="D157" i="10" a="1"/>
  <c r="D157" i="10" s="1"/>
  <c r="D158" i="10" a="1"/>
  <c r="D158" i="10" s="1"/>
  <c r="D159" i="10" a="1"/>
  <c r="D159" i="10" s="1"/>
  <c r="D160" i="10" a="1"/>
  <c r="D160" i="10" s="1"/>
  <c r="D161" i="10" a="1"/>
  <c r="D161" i="10" s="1"/>
  <c r="D162" i="10" a="1"/>
  <c r="D162" i="10" s="1"/>
  <c r="D163" i="10" a="1"/>
  <c r="D163" i="10" s="1"/>
  <c r="D164" i="10" a="1"/>
  <c r="D164" i="10" s="1"/>
  <c r="D165" i="10" a="1"/>
  <c r="D165" i="10" s="1"/>
  <c r="D166" i="10" a="1"/>
  <c r="D166" i="10" s="1"/>
  <c r="D167" i="10" a="1"/>
  <c r="D167" i="10"/>
  <c r="D168" i="10" a="1"/>
  <c r="D168" i="10"/>
  <c r="D169" i="10" a="1"/>
  <c r="D169" i="10" s="1"/>
  <c r="D170" i="10" a="1"/>
  <c r="D170" i="10" s="1"/>
  <c r="D171" i="10" a="1"/>
  <c r="D171" i="10" s="1"/>
  <c r="D172" i="10" a="1"/>
  <c r="D172" i="10"/>
  <c r="D173" i="10" a="1"/>
  <c r="D173" i="10" s="1"/>
  <c r="D174" i="10" a="1"/>
  <c r="D174" i="10" s="1"/>
  <c r="D175" i="10" a="1"/>
  <c r="D175" i="10"/>
  <c r="D176" i="10" a="1"/>
  <c r="D176" i="10" s="1"/>
  <c r="D177" i="10" a="1"/>
  <c r="D177" i="10" s="1"/>
  <c r="D178" i="10" a="1"/>
  <c r="D178" i="10" s="1"/>
  <c r="D179" i="10" a="1"/>
  <c r="D179" i="10" s="1"/>
  <c r="D180" i="10" a="1"/>
  <c r="D180" i="10" s="1"/>
  <c r="D181" i="10" a="1"/>
  <c r="D181" i="10" s="1"/>
  <c r="D182" i="10" a="1"/>
  <c r="D182" i="10" s="1"/>
  <c r="D183" i="10" a="1"/>
  <c r="D183" i="10" s="1"/>
  <c r="D184" i="10" a="1"/>
  <c r="D184" i="10" s="1"/>
  <c r="D185" i="10" a="1"/>
  <c r="D185" i="10" s="1"/>
  <c r="D186" i="10" a="1"/>
  <c r="D186" i="10" s="1"/>
  <c r="D187" i="10" a="1"/>
  <c r="D187" i="10" s="1"/>
  <c r="D188" i="10" a="1"/>
  <c r="D188" i="10" s="1"/>
  <c r="D189" i="10" a="1"/>
  <c r="D189" i="10" s="1"/>
  <c r="D190" i="10" a="1"/>
  <c r="D190" i="10" s="1"/>
  <c r="D191" i="10" a="1"/>
  <c r="D191" i="10" s="1"/>
  <c r="D192" i="10" a="1"/>
  <c r="D192" i="10" s="1"/>
  <c r="D193" i="10" a="1"/>
  <c r="D193" i="10" s="1"/>
  <c r="D194" i="10" a="1"/>
  <c r="D194" i="10" s="1"/>
  <c r="D195" i="10" a="1"/>
  <c r="D195" i="10" s="1"/>
  <c r="D196" i="10" a="1"/>
  <c r="D196" i="10" s="1"/>
  <c r="D197" i="10" a="1"/>
  <c r="D197" i="10" s="1"/>
  <c r="D198" i="10" a="1"/>
  <c r="D198" i="10" s="1"/>
  <c r="D199" i="10" a="1"/>
  <c r="D199" i="10"/>
  <c r="D200" i="10" a="1"/>
  <c r="D200" i="10" s="1"/>
  <c r="D201" i="10" a="1"/>
  <c r="D201" i="10" s="1"/>
  <c r="D202" i="10" a="1"/>
  <c r="D202" i="10" s="1"/>
  <c r="D203" i="10" a="1"/>
  <c r="D203" i="10" s="1"/>
  <c r="D204" i="10" a="1"/>
  <c r="D204" i="10" s="1"/>
  <c r="D205" i="10" a="1"/>
  <c r="D205" i="10" s="1"/>
  <c r="D206" i="10" a="1"/>
  <c r="D206" i="10"/>
  <c r="D207" i="10" a="1"/>
  <c r="D207" i="10" s="1"/>
  <c r="D208" i="10" a="1"/>
  <c r="D208" i="10" s="1"/>
  <c r="D209" i="10" a="1"/>
  <c r="D209" i="10" s="1"/>
  <c r="D210" i="10" a="1"/>
  <c r="D210" i="10" s="1"/>
  <c r="D211" i="10" a="1"/>
  <c r="D211" i="10" s="1"/>
  <c r="D212" i="10" a="1"/>
  <c r="D212" i="10" s="1"/>
  <c r="D213" i="10" a="1"/>
  <c r="D213" i="10" s="1"/>
  <c r="D214" i="10" a="1"/>
  <c r="D214" i="10" s="1"/>
  <c r="D215" i="10" a="1"/>
  <c r="D215" i="10" s="1"/>
  <c r="D216" i="10" a="1"/>
  <c r="D216" i="10" s="1"/>
  <c r="D217" i="10" a="1"/>
  <c r="D217" i="10" s="1"/>
  <c r="D218" i="10" a="1"/>
  <c r="D218" i="10" s="1"/>
  <c r="D219" i="10" a="1"/>
  <c r="D219" i="10" s="1"/>
  <c r="D220" i="10" a="1"/>
  <c r="D220" i="10" s="1"/>
  <c r="D221" i="10" a="1"/>
  <c r="D221" i="10" s="1"/>
  <c r="D222" i="10" a="1"/>
  <c r="D222" i="10" s="1"/>
  <c r="D223" i="10" a="1"/>
  <c r="D223" i="10" s="1"/>
  <c r="D224" i="10" a="1"/>
  <c r="D224" i="10" s="1"/>
  <c r="D225" i="10" a="1"/>
  <c r="D225" i="10"/>
  <c r="D226" i="10" a="1"/>
  <c r="D226" i="10" s="1"/>
  <c r="D227" i="10" a="1"/>
  <c r="D227" i="10" s="1"/>
  <c r="D228" i="10" a="1"/>
  <c r="D228" i="10" s="1"/>
  <c r="D229" i="10" a="1"/>
  <c r="D229" i="10" s="1"/>
  <c r="D230" i="10" a="1"/>
  <c r="D230" i="10" s="1"/>
  <c r="D231" i="10" a="1"/>
  <c r="D231" i="10" s="1"/>
  <c r="D232" i="10" a="1"/>
  <c r="D232" i="10" s="1"/>
  <c r="D233" i="10" a="1"/>
  <c r="D233" i="10" s="1"/>
  <c r="D234" i="10" a="1"/>
  <c r="D234" i="10" s="1"/>
  <c r="D235" i="10" a="1"/>
  <c r="D235" i="10" s="1"/>
  <c r="D236" i="10" a="1"/>
  <c r="D236" i="10" s="1"/>
  <c r="D237" i="10" a="1"/>
  <c r="D237" i="10"/>
  <c r="D238" i="10" a="1"/>
  <c r="D238" i="10" s="1"/>
  <c r="D239" i="10" a="1"/>
  <c r="D239" i="10" s="1"/>
  <c r="D240" i="10" a="1"/>
  <c r="D240" i="10" s="1"/>
  <c r="D241" i="10" a="1"/>
  <c r="D241" i="10" s="1"/>
  <c r="D242" i="10" a="1"/>
  <c r="D242" i="10"/>
  <c r="D243" i="10" a="1"/>
  <c r="D243" i="10" s="1"/>
  <c r="D244" i="10" a="1"/>
  <c r="D244" i="10" s="1"/>
  <c r="D245" i="10" a="1"/>
  <c r="D245" i="10" s="1"/>
  <c r="D246" i="10" a="1"/>
  <c r="D246" i="10" s="1"/>
  <c r="D247" i="10" a="1"/>
  <c r="D247" i="10" s="1"/>
  <c r="D248" i="10" a="1"/>
  <c r="D248" i="10" s="1"/>
  <c r="D249" i="10" a="1"/>
  <c r="D249" i="10" s="1"/>
  <c r="D250" i="10" a="1"/>
  <c r="D250" i="10" s="1"/>
  <c r="D251" i="10" a="1"/>
  <c r="D251" i="10" s="1"/>
  <c r="D252" i="10" a="1"/>
  <c r="D252" i="10" s="1"/>
  <c r="D253" i="10" a="1"/>
  <c r="D253" i="10" s="1"/>
  <c r="D254" i="10" a="1"/>
  <c r="D254" i="10" s="1"/>
  <c r="D255" i="10" a="1"/>
  <c r="D255" i="10" s="1"/>
  <c r="D256" i="10" a="1"/>
  <c r="D256" i="10" s="1"/>
  <c r="D257" i="10" a="1"/>
  <c r="D257" i="10" s="1"/>
  <c r="D258" i="10" a="1"/>
  <c r="D258" i="10"/>
  <c r="D259" i="10" a="1"/>
  <c r="D259" i="10" s="1"/>
  <c r="D260" i="10" a="1"/>
  <c r="D260" i="10" s="1"/>
  <c r="D261" i="10" a="1"/>
  <c r="D261" i="10" s="1"/>
  <c r="D262" i="10" a="1"/>
  <c r="D262" i="10" s="1"/>
  <c r="D263" i="10" a="1"/>
  <c r="D263" i="10" s="1"/>
  <c r="D264" i="10" a="1"/>
  <c r="D264" i="10" s="1"/>
  <c r="D265" i="10" a="1"/>
  <c r="D265" i="10" s="1"/>
  <c r="D266" i="10" a="1"/>
  <c r="D266" i="10"/>
  <c r="D267" i="10" a="1"/>
  <c r="D267" i="10"/>
  <c r="D268" i="10" a="1"/>
  <c r="D268" i="10" s="1"/>
  <c r="D269" i="10" a="1"/>
  <c r="D269" i="10" s="1"/>
  <c r="D270" i="10" a="1"/>
  <c r="D270" i="10" s="1"/>
  <c r="D271" i="10" a="1"/>
  <c r="D271" i="10" s="1"/>
  <c r="D272" i="10" a="1"/>
  <c r="D272" i="10" s="1"/>
  <c r="D273" i="10" a="1"/>
  <c r="D273" i="10" s="1"/>
  <c r="D274" i="10" a="1"/>
  <c r="D274" i="10" s="1"/>
  <c r="D275" i="10" a="1"/>
  <c r="D275" i="10" s="1"/>
  <c r="D276" i="10" a="1"/>
  <c r="D276" i="10" s="1"/>
  <c r="D277" i="10" a="1"/>
  <c r="D277" i="10" s="1"/>
  <c r="D278" i="10" a="1"/>
  <c r="D278" i="10" s="1"/>
  <c r="D279" i="10" a="1"/>
  <c r="D279" i="10" s="1"/>
  <c r="D280" i="10" a="1"/>
  <c r="D280" i="10" s="1"/>
  <c r="D281" i="10" a="1"/>
  <c r="D281" i="10" s="1"/>
  <c r="D282" i="10" a="1"/>
  <c r="D282" i="10"/>
  <c r="D283" i="10" a="1"/>
  <c r="D283" i="10" s="1"/>
  <c r="D284" i="10" a="1"/>
  <c r="D284" i="10" s="1"/>
  <c r="D285" i="10" a="1"/>
  <c r="D285" i="10" s="1"/>
  <c r="D286" i="10" a="1"/>
  <c r="D286" i="10" s="1"/>
  <c r="D287" i="10" a="1"/>
  <c r="D287" i="10" s="1"/>
  <c r="D288" i="10" a="1"/>
  <c r="D288" i="10" s="1"/>
  <c r="D289" i="10" a="1"/>
  <c r="D289" i="10" s="1"/>
  <c r="D290" i="10" a="1"/>
  <c r="D290" i="10" s="1"/>
  <c r="D291" i="10" a="1"/>
  <c r="D291" i="10" s="1"/>
  <c r="D292" i="10" a="1"/>
  <c r="D292" i="10" s="1"/>
  <c r="D293" i="10" a="1"/>
  <c r="D293" i="10" s="1"/>
  <c r="D294" i="10" a="1"/>
  <c r="D294" i="10" s="1"/>
  <c r="D295" i="10" a="1"/>
  <c r="D295" i="10" s="1"/>
  <c r="D296" i="10" a="1"/>
  <c r="D296" i="10" s="1"/>
  <c r="D297" i="10" a="1"/>
  <c r="D297" i="10"/>
  <c r="D298" i="10" a="1"/>
  <c r="D298" i="10" s="1"/>
  <c r="D299" i="10" a="1"/>
  <c r="D299" i="10" s="1"/>
  <c r="D300" i="10" a="1"/>
  <c r="D300" i="10" s="1"/>
  <c r="D301" i="10" a="1"/>
  <c r="D301" i="10"/>
  <c r="D302" i="10" a="1"/>
  <c r="D302" i="10" s="1"/>
  <c r="D303" i="10" a="1"/>
  <c r="D303" i="10" s="1"/>
  <c r="D304" i="10" a="1"/>
  <c r="D304" i="10" s="1"/>
  <c r="D305" i="10" a="1"/>
  <c r="D305" i="10" s="1"/>
  <c r="D306" i="10" a="1"/>
  <c r="D306" i="10" s="1"/>
  <c r="D307" i="10" a="1"/>
  <c r="D307" i="10" s="1"/>
  <c r="D308" i="10" a="1"/>
  <c r="D308" i="10" s="1"/>
  <c r="D309" i="10" a="1"/>
  <c r="D309" i="10" s="1"/>
  <c r="D310" i="10" a="1"/>
  <c r="D310" i="10" s="1"/>
  <c r="D311" i="10" a="1"/>
  <c r="D311" i="10"/>
  <c r="D312" i="10" a="1"/>
  <c r="D312" i="10" s="1"/>
  <c r="D313" i="10" a="1"/>
  <c r="D313" i="10" s="1"/>
  <c r="D314" i="10" a="1"/>
  <c r="D314" i="10" s="1"/>
  <c r="D315" i="10" a="1"/>
  <c r="D315" i="10" s="1"/>
  <c r="D316" i="10" a="1"/>
  <c r="D316" i="10"/>
  <c r="D317" i="10" a="1"/>
  <c r="D317" i="10" s="1"/>
  <c r="D318" i="10" a="1"/>
  <c r="D318" i="10" s="1"/>
  <c r="D319" i="10" a="1"/>
  <c r="D319" i="10" s="1"/>
  <c r="D320" i="10" a="1"/>
  <c r="D320" i="10" s="1"/>
  <c r="D321" i="10" a="1"/>
  <c r="D321" i="10" s="1"/>
  <c r="D322" i="10" a="1"/>
  <c r="D322" i="10" s="1"/>
  <c r="D323" i="10" a="1"/>
  <c r="D323" i="10" s="1"/>
  <c r="D324" i="10" a="1"/>
  <c r="D324" i="10" s="1"/>
  <c r="D325" i="10" a="1"/>
  <c r="D325" i="10" s="1"/>
  <c r="D326" i="10" a="1"/>
  <c r="D326" i="10" s="1"/>
  <c r="D327" i="10" a="1"/>
  <c r="D327" i="10"/>
  <c r="D328" i="10" a="1"/>
  <c r="D328" i="10" s="1"/>
  <c r="D329" i="10" a="1"/>
  <c r="D329" i="10" s="1"/>
  <c r="D330" i="10" a="1"/>
  <c r="D330" i="10" s="1"/>
  <c r="D331" i="10" a="1"/>
  <c r="D331" i="10" s="1"/>
  <c r="D332" i="10" a="1"/>
  <c r="D332" i="10" s="1"/>
  <c r="D333" i="10" a="1"/>
  <c r="D333" i="10" s="1"/>
  <c r="D334" i="10" a="1"/>
  <c r="D334" i="10" s="1"/>
  <c r="D335" i="10" a="1"/>
  <c r="D335" i="10" s="1"/>
  <c r="D336" i="10" a="1"/>
  <c r="D336" i="10" s="1"/>
  <c r="D337" i="10" a="1"/>
  <c r="D337" i="10"/>
  <c r="D338" i="10" a="1"/>
  <c r="D338" i="10" s="1"/>
  <c r="D339" i="10" a="1"/>
  <c r="D339" i="10" s="1"/>
  <c r="D340" i="10" a="1"/>
  <c r="D340" i="10" s="1"/>
  <c r="D341" i="10" a="1"/>
  <c r="D341" i="10" s="1"/>
  <c r="D342" i="10" a="1"/>
  <c r="D342" i="10" s="1"/>
  <c r="D343" i="10" a="1"/>
  <c r="D343" i="10" s="1"/>
  <c r="D344" i="10" a="1"/>
  <c r="D344" i="10" s="1"/>
  <c r="D345" i="10" a="1"/>
  <c r="D345" i="10" s="1"/>
  <c r="D346" i="10" a="1"/>
  <c r="D346" i="10" s="1"/>
  <c r="D347" i="10" a="1"/>
  <c r="D347" i="10"/>
  <c r="D348" i="10" a="1"/>
  <c r="D348" i="10" s="1"/>
  <c r="D349" i="10" a="1"/>
  <c r="D349" i="10" s="1"/>
  <c r="D350" i="10" a="1"/>
  <c r="D350" i="10" s="1"/>
  <c r="D351" i="10" a="1"/>
  <c r="D351" i="10" s="1"/>
  <c r="D352" i="10" a="1"/>
  <c r="D352" i="10" s="1"/>
  <c r="D353" i="10" a="1"/>
  <c r="D353" i="10" s="1"/>
  <c r="D2" i="10" a="1"/>
  <c r="D2" i="10" s="1"/>
  <c r="A353" i="10"/>
  <c r="A352" i="10"/>
  <c r="A351" i="10"/>
  <c r="A350" i="10"/>
  <c r="A349" i="10"/>
  <c r="A348" i="10"/>
  <c r="A347" i="10"/>
  <c r="A346" i="10"/>
  <c r="A345" i="10"/>
  <c r="A344" i="10"/>
  <c r="A343" i="10"/>
  <c r="A342" i="10"/>
  <c r="A341" i="10"/>
  <c r="A340" i="10"/>
  <c r="A339" i="10"/>
  <c r="A338" i="10"/>
  <c r="A337" i="10"/>
  <c r="A336" i="10"/>
  <c r="A335" i="10"/>
  <c r="A334" i="10"/>
  <c r="A333" i="10"/>
  <c r="A332" i="10"/>
  <c r="A331" i="10"/>
  <c r="A330" i="10"/>
  <c r="A329" i="10"/>
  <c r="A328" i="10"/>
  <c r="A327" i="10"/>
  <c r="A326" i="10"/>
  <c r="A325" i="10"/>
  <c r="A324" i="10"/>
  <c r="A323" i="10"/>
  <c r="A322" i="10"/>
  <c r="A321" i="10"/>
  <c r="A320" i="10"/>
  <c r="A319" i="10"/>
  <c r="A318" i="10"/>
  <c r="A317" i="10"/>
  <c r="A316" i="10"/>
  <c r="A315" i="10"/>
  <c r="A314" i="10"/>
  <c r="A313" i="10"/>
  <c r="A312" i="10"/>
  <c r="A311" i="10"/>
  <c r="A310" i="10"/>
  <c r="A309" i="10"/>
  <c r="A308" i="10"/>
  <c r="A307" i="10"/>
  <c r="A306" i="10"/>
  <c r="A305" i="10"/>
  <c r="A304" i="10"/>
  <c r="A303" i="10"/>
  <c r="A302" i="10"/>
  <c r="A301" i="10"/>
  <c r="A300" i="10"/>
  <c r="A299" i="10"/>
  <c r="A298" i="10"/>
  <c r="A297" i="10"/>
  <c r="A296" i="10"/>
  <c r="A295" i="10"/>
  <c r="A294" i="10"/>
  <c r="A293" i="10"/>
  <c r="A292" i="10"/>
  <c r="A291" i="10"/>
  <c r="A290" i="10"/>
  <c r="A289" i="10"/>
  <c r="A288" i="10"/>
  <c r="A287" i="10"/>
  <c r="A286" i="10"/>
  <c r="A285" i="10"/>
  <c r="A284" i="10"/>
  <c r="A283" i="10"/>
  <c r="A282" i="10"/>
  <c r="A281" i="10"/>
  <c r="A280" i="10"/>
  <c r="A279" i="10"/>
  <c r="A278" i="10"/>
  <c r="A277" i="10"/>
  <c r="A276" i="10"/>
  <c r="A275" i="10"/>
  <c r="A274" i="10"/>
  <c r="A273" i="10"/>
  <c r="A272" i="10"/>
  <c r="A271" i="10"/>
  <c r="A270" i="10"/>
  <c r="A269" i="10"/>
  <c r="A268" i="10"/>
  <c r="A267" i="10"/>
  <c r="A266" i="10"/>
  <c r="A265" i="10"/>
  <c r="A264" i="10"/>
  <c r="A263" i="10"/>
  <c r="A262" i="10"/>
  <c r="A261" i="10"/>
  <c r="A260" i="10"/>
  <c r="A259" i="10"/>
  <c r="A258" i="10"/>
  <c r="A257" i="10"/>
  <c r="A256" i="10"/>
  <c r="A255" i="10"/>
  <c r="A254" i="10"/>
  <c r="A253" i="10"/>
  <c r="A252" i="10"/>
  <c r="A251" i="10"/>
  <c r="A250" i="10"/>
  <c r="A249" i="10"/>
  <c r="A248" i="10"/>
  <c r="A247" i="10"/>
  <c r="A246" i="10"/>
  <c r="A245" i="10"/>
  <c r="A244" i="10"/>
  <c r="A243" i="10"/>
  <c r="A242" i="10"/>
  <c r="A241" i="10"/>
  <c r="A240" i="10"/>
  <c r="A239" i="10"/>
  <c r="A238" i="10"/>
  <c r="A237" i="10"/>
  <c r="A236" i="10"/>
  <c r="A235" i="10"/>
  <c r="A234" i="10"/>
  <c r="A233" i="10"/>
  <c r="A232" i="10"/>
  <c r="A231" i="10"/>
  <c r="A230" i="10"/>
  <c r="A229" i="10"/>
  <c r="A228" i="10"/>
  <c r="A227" i="10"/>
  <c r="A226" i="10"/>
  <c r="A225" i="10"/>
  <c r="A224" i="10"/>
  <c r="A223" i="10"/>
  <c r="A222" i="10"/>
  <c r="A221" i="10"/>
  <c r="A220" i="10"/>
  <c r="A219" i="10"/>
  <c r="A218" i="10"/>
  <c r="A217" i="10"/>
  <c r="A216" i="10"/>
  <c r="A215" i="10"/>
  <c r="A214" i="10"/>
  <c r="A213" i="10"/>
  <c r="A212" i="10"/>
  <c r="A211" i="10"/>
  <c r="A210" i="10"/>
  <c r="A209" i="10"/>
  <c r="A208" i="10"/>
  <c r="A207" i="10"/>
  <c r="A206" i="10"/>
  <c r="A205" i="10"/>
  <c r="A204" i="10"/>
  <c r="A203" i="10"/>
  <c r="A202" i="10"/>
  <c r="A201" i="10"/>
  <c r="A200" i="10"/>
  <c r="A199" i="10"/>
  <c r="A198" i="10"/>
  <c r="A197" i="10"/>
  <c r="A196" i="10"/>
  <c r="A195" i="10"/>
  <c r="A194" i="10"/>
  <c r="A193" i="10"/>
  <c r="A192" i="10"/>
  <c r="A191" i="10"/>
  <c r="A190" i="10"/>
  <c r="A189" i="10"/>
  <c r="A188" i="10"/>
  <c r="A187" i="10"/>
  <c r="A186" i="10"/>
  <c r="A185" i="10"/>
  <c r="A184" i="10"/>
  <c r="A183" i="10"/>
  <c r="A182" i="10"/>
  <c r="A181" i="10"/>
  <c r="A180" i="10"/>
  <c r="A179" i="10"/>
  <c r="A178" i="10"/>
  <c r="A177" i="10"/>
  <c r="A176" i="10"/>
  <c r="A175" i="10"/>
  <c r="A174" i="10"/>
  <c r="A173" i="10"/>
  <c r="A172" i="10"/>
  <c r="A171" i="10"/>
  <c r="A170" i="10"/>
  <c r="A169" i="10"/>
  <c r="A168" i="10"/>
  <c r="A167" i="10"/>
  <c r="A166" i="10"/>
  <c r="A165" i="10"/>
  <c r="A164" i="10"/>
  <c r="A163" i="10"/>
  <c r="A162" i="10"/>
  <c r="A161" i="10"/>
  <c r="A160" i="10"/>
  <c r="A159" i="10"/>
  <c r="A158" i="10"/>
  <c r="A157" i="10"/>
  <c r="A156" i="10"/>
  <c r="A155" i="10"/>
  <c r="A154" i="10"/>
  <c r="A153" i="10"/>
  <c r="A152" i="10"/>
  <c r="A151" i="10"/>
  <c r="A150" i="10"/>
  <c r="A149" i="10"/>
  <c r="A148" i="10"/>
  <c r="A147" i="10"/>
  <c r="A146" i="10"/>
  <c r="A145" i="10"/>
  <c r="A144" i="10"/>
  <c r="A143" i="10"/>
  <c r="A142" i="10"/>
  <c r="A141" i="10"/>
  <c r="A140" i="10"/>
  <c r="A139" i="10"/>
  <c r="A138" i="10"/>
  <c r="A137" i="10"/>
  <c r="A136" i="10"/>
  <c r="A135" i="10"/>
  <c r="A134" i="10"/>
  <c r="A133" i="10"/>
  <c r="A132" i="10"/>
  <c r="A131" i="10"/>
  <c r="A130" i="10"/>
  <c r="A129" i="10"/>
  <c r="A128" i="10"/>
  <c r="A127" i="10"/>
  <c r="A126" i="10"/>
  <c r="A125" i="10"/>
  <c r="A124" i="10"/>
  <c r="A123" i="10"/>
  <c r="A122" i="10"/>
  <c r="A121" i="10"/>
  <c r="A120" i="10"/>
  <c r="A119" i="10"/>
  <c r="A118" i="10"/>
  <c r="A117" i="10"/>
  <c r="A116" i="10"/>
  <c r="A115" i="10"/>
  <c r="A114" i="10"/>
  <c r="A113" i="10"/>
  <c r="A112" i="10"/>
  <c r="A111" i="10"/>
  <c r="A110" i="10"/>
  <c r="A109" i="10"/>
  <c r="A108" i="10"/>
  <c r="A107" i="10"/>
  <c r="A106" i="10"/>
  <c r="A105" i="10"/>
  <c r="A104" i="10"/>
  <c r="A103" i="10"/>
  <c r="A102" i="10"/>
  <c r="A101" i="10"/>
  <c r="A100" i="10"/>
  <c r="A99" i="10"/>
  <c r="A98" i="10"/>
  <c r="A97" i="10"/>
  <c r="A96" i="10"/>
  <c r="A95" i="10"/>
  <c r="A94" i="10"/>
  <c r="A93" i="10"/>
  <c r="A92" i="10"/>
  <c r="A91" i="10"/>
  <c r="A90" i="10"/>
  <c r="A89" i="10"/>
  <c r="A88" i="10"/>
  <c r="A87" i="10"/>
  <c r="A86" i="10"/>
  <c r="A85" i="10"/>
  <c r="A84" i="10"/>
  <c r="A83" i="10"/>
  <c r="A82" i="10"/>
  <c r="A81" i="10"/>
  <c r="A80" i="10"/>
  <c r="A79" i="10"/>
  <c r="A78" i="10"/>
  <c r="A77" i="10"/>
  <c r="A76" i="10"/>
  <c r="A75" i="10"/>
  <c r="A74" i="10"/>
  <c r="A73" i="10"/>
  <c r="A72" i="10"/>
  <c r="A71" i="10"/>
  <c r="A70" i="10"/>
  <c r="A69" i="10"/>
  <c r="A68" i="10"/>
  <c r="A67" i="10"/>
  <c r="A66" i="10"/>
  <c r="A65" i="10"/>
  <c r="A64" i="10"/>
  <c r="A63" i="10"/>
  <c r="A62" i="10"/>
  <c r="A61" i="10"/>
  <c r="A60" i="10"/>
  <c r="A59" i="10"/>
  <c r="A58" i="10"/>
  <c r="A57" i="10"/>
  <c r="A56" i="10"/>
  <c r="A55" i="10"/>
  <c r="A54" i="10"/>
  <c r="A53" i="10"/>
  <c r="A52" i="10"/>
  <c r="A51" i="10"/>
  <c r="A50" i="10"/>
  <c r="A49" i="10"/>
  <c r="A48" i="10"/>
  <c r="A47" i="10"/>
  <c r="A46" i="10"/>
  <c r="A45" i="10"/>
  <c r="A44" i="10"/>
  <c r="A43" i="10"/>
  <c r="A42" i="10"/>
  <c r="A41" i="10"/>
  <c r="A40" i="10"/>
  <c r="A39" i="10"/>
  <c r="A38" i="10"/>
  <c r="A37" i="10"/>
  <c r="A36" i="10"/>
  <c r="A35" i="10"/>
  <c r="A34" i="10"/>
  <c r="A33" i="10"/>
  <c r="A32" i="10"/>
  <c r="A31" i="10"/>
  <c r="A30" i="10"/>
  <c r="A29" i="10"/>
  <c r="A28" i="10"/>
  <c r="A27" i="10"/>
  <c r="A26" i="10"/>
  <c r="A25" i="10"/>
  <c r="A24" i="10"/>
  <c r="A23" i="10"/>
  <c r="A22" i="10"/>
  <c r="A21" i="10"/>
  <c r="A20" i="10"/>
  <c r="A19" i="10"/>
  <c r="A18" i="10"/>
  <c r="A17" i="10"/>
  <c r="A16" i="10"/>
  <c r="A15" i="10"/>
  <c r="A14" i="10"/>
  <c r="A13" i="10"/>
  <c r="A12" i="10"/>
  <c r="A11" i="10"/>
  <c r="A10" i="10"/>
  <c r="A9" i="10"/>
  <c r="A8" i="10"/>
  <c r="A7" i="10"/>
  <c r="A6" i="10"/>
  <c r="A5" i="10"/>
  <c r="A4" i="10"/>
  <c r="A3" i="10"/>
  <c r="A2" i="10"/>
  <c r="D1029" i="9" l="1" a="1"/>
  <c r="D1029" i="9" s="1"/>
  <c r="D1028" i="9" a="1"/>
  <c r="D1028" i="9" s="1"/>
  <c r="D1027" i="9" a="1"/>
  <c r="D1027" i="9" s="1"/>
  <c r="D1026" i="9" a="1"/>
  <c r="D1026" i="9" s="1"/>
  <c r="D1025" i="9" a="1"/>
  <c r="D1025" i="9" s="1"/>
  <c r="D1024" i="9" a="1"/>
  <c r="D1024" i="9" s="1"/>
  <c r="D1023" i="9" a="1"/>
  <c r="D1023" i="9" s="1"/>
  <c r="D1022" i="9" a="1"/>
  <c r="D1022" i="9" s="1"/>
  <c r="D1013" i="9" a="1"/>
  <c r="D1013" i="9" s="1"/>
  <c r="D1009" i="9" a="1"/>
  <c r="D1009" i="9" s="1"/>
  <c r="D1008" i="9" a="1"/>
  <c r="D1008" i="9" s="1"/>
  <c r="D1007" i="9" a="1"/>
  <c r="D1007" i="9" s="1"/>
  <c r="D1006" i="9" a="1"/>
  <c r="D1006" i="9" s="1"/>
  <c r="D1005" i="9" a="1"/>
  <c r="D1005" i="9" s="1"/>
  <c r="D1004" i="9" a="1"/>
  <c r="D1004" i="9" s="1"/>
  <c r="D1003" i="9" a="1"/>
  <c r="D1003" i="9" s="1"/>
  <c r="D1002" i="9" a="1"/>
  <c r="D1002" i="9" s="1"/>
  <c r="D993" i="9" a="1"/>
  <c r="D993" i="9" s="1"/>
  <c r="D990" i="9" a="1"/>
  <c r="D990" i="9" s="1"/>
  <c r="D989" i="9" a="1"/>
  <c r="D989" i="9" s="1"/>
  <c r="D988" i="9" a="1"/>
  <c r="D988" i="9" s="1"/>
  <c r="D987" i="9" a="1"/>
  <c r="D987" i="9" s="1"/>
  <c r="D986" i="9" a="1"/>
  <c r="D986" i="9" s="1"/>
  <c r="D985" i="9" a="1"/>
  <c r="D985" i="9" s="1"/>
  <c r="D984" i="9" a="1"/>
  <c r="D984" i="9" s="1"/>
  <c r="D983" i="9" a="1"/>
  <c r="D983" i="9" s="1"/>
  <c r="D982" i="9" a="1"/>
  <c r="D982" i="9" s="1"/>
  <c r="D975" i="9" a="1"/>
  <c r="D975" i="9" s="1"/>
  <c r="D970" i="9" a="1"/>
  <c r="D970" i="9" s="1"/>
  <c r="D969" i="9" a="1"/>
  <c r="D969" i="9" s="1"/>
  <c r="D968" i="9" a="1"/>
  <c r="D968" i="9" s="1"/>
  <c r="D967" i="9" a="1"/>
  <c r="D967" i="9" s="1"/>
  <c r="D966" i="9" a="1"/>
  <c r="D966" i="9" s="1"/>
  <c r="D965" i="9" a="1"/>
  <c r="D965" i="9" s="1"/>
  <c r="D964" i="9" a="1"/>
  <c r="D964" i="9" s="1"/>
  <c r="D963" i="9" a="1"/>
  <c r="D963" i="9" s="1"/>
  <c r="D962" i="9" a="1"/>
  <c r="D962" i="9" s="1"/>
  <c r="D953" i="9" a="1"/>
  <c r="D953" i="9" s="1"/>
  <c r="D950" i="9" a="1"/>
  <c r="D950" i="9" s="1"/>
  <c r="D949" i="9" a="1"/>
  <c r="D949" i="9" s="1"/>
  <c r="D948" i="9" a="1"/>
  <c r="D948" i="9" s="1"/>
  <c r="D947" i="9" a="1"/>
  <c r="D947" i="9" s="1"/>
  <c r="D946" i="9" a="1"/>
  <c r="D946" i="9" s="1"/>
  <c r="D945" i="9" a="1"/>
  <c r="D945" i="9" s="1"/>
  <c r="D944" i="9" a="1"/>
  <c r="D944" i="9" s="1"/>
  <c r="D943" i="9" a="1"/>
  <c r="D943" i="9" s="1"/>
  <c r="D942" i="9" a="1"/>
  <c r="D942" i="9" s="1"/>
  <c r="D934" i="9" a="1"/>
  <c r="D934" i="9" s="1"/>
  <c r="D933" i="9" a="1"/>
  <c r="D933" i="9" s="1"/>
  <c r="D930" i="9" a="1"/>
  <c r="D930" i="9" s="1"/>
  <c r="D929" i="9" a="1"/>
  <c r="D929" i="9" s="1"/>
  <c r="D928" i="9" a="1"/>
  <c r="D928" i="9" s="1"/>
  <c r="D924" i="9" a="1"/>
  <c r="D924" i="9" s="1"/>
  <c r="D922" i="9" a="1"/>
  <c r="D922" i="9" s="1"/>
  <c r="D914" i="9" a="1"/>
  <c r="D914" i="9" s="1"/>
  <c r="D913" i="9" a="1"/>
  <c r="D913" i="9" s="1"/>
  <c r="D910" i="9" a="1"/>
  <c r="D910" i="9" s="1"/>
  <c r="D909" i="9" a="1"/>
  <c r="D909" i="9" s="1"/>
  <c r="D908" i="9" a="1"/>
  <c r="D908" i="9" s="1"/>
  <c r="D907" i="9" a="1"/>
  <c r="D907" i="9" s="1"/>
  <c r="D906" i="9" a="1"/>
  <c r="D906" i="9" s="1"/>
  <c r="D905" i="9" a="1"/>
  <c r="D905" i="9" s="1"/>
  <c r="D902" i="9" a="1"/>
  <c r="D902" i="9" s="1"/>
  <c r="D895" i="9" a="1"/>
  <c r="D895" i="9" s="1"/>
  <c r="D894" i="9" a="1"/>
  <c r="D894" i="9" s="1"/>
  <c r="D893" i="9" a="1"/>
  <c r="D893" i="9" s="1"/>
  <c r="D891" i="9" a="1"/>
  <c r="D891" i="9" s="1"/>
  <c r="D888" i="9" a="1"/>
  <c r="D888" i="9" s="1"/>
  <c r="D887" i="9" a="1"/>
  <c r="D887" i="9" s="1"/>
  <c r="D886" i="9" a="1"/>
  <c r="D886" i="9" s="1"/>
  <c r="D885" i="9" a="1"/>
  <c r="D885" i="9" s="1"/>
  <c r="D884" i="9" a="1"/>
  <c r="D884" i="9" s="1"/>
  <c r="D883" i="9" a="1"/>
  <c r="D883" i="9" s="1"/>
  <c r="D882" i="9" a="1"/>
  <c r="D882" i="9" s="1"/>
  <c r="D875" i="9" a="1"/>
  <c r="D875" i="9" s="1"/>
  <c r="D874" i="9" a="1"/>
  <c r="D874" i="9" s="1"/>
  <c r="D873" i="9" a="1"/>
  <c r="D873" i="9" s="1"/>
  <c r="D869" i="9" a="1"/>
  <c r="D869" i="9" s="1"/>
  <c r="D868" i="9" a="1"/>
  <c r="D868" i="9" s="1"/>
  <c r="D867" i="9" a="1"/>
  <c r="D867" i="9" s="1"/>
  <c r="D866" i="9" a="1"/>
  <c r="D866" i="9" s="1"/>
  <c r="D865" i="9" a="1"/>
  <c r="D865" i="9" s="1"/>
  <c r="D864" i="9" a="1"/>
  <c r="D864" i="9" s="1"/>
  <c r="D863" i="9" a="1"/>
  <c r="D863" i="9" s="1"/>
  <c r="D862" i="9" a="1"/>
  <c r="D862" i="9" s="1"/>
  <c r="D854" i="9" a="1"/>
  <c r="D854" i="9" s="1"/>
  <c r="D853" i="9" a="1"/>
  <c r="D853" i="9" s="1"/>
  <c r="D848" i="9" a="1"/>
  <c r="D848" i="9" s="1"/>
  <c r="D847" i="9" a="1"/>
  <c r="D847" i="9" s="1"/>
  <c r="D846" i="9" a="1"/>
  <c r="D846" i="9" s="1"/>
  <c r="D845" i="9" a="1"/>
  <c r="D845" i="9" s="1"/>
  <c r="D844" i="9" a="1"/>
  <c r="D844" i="9" s="1"/>
  <c r="D843" i="9" a="1"/>
  <c r="D843" i="9" s="1"/>
  <c r="D842" i="9" a="1"/>
  <c r="D842" i="9" s="1"/>
  <c r="D835" i="9" a="1"/>
  <c r="D835" i="9" s="1"/>
  <c r="D834" i="9" a="1"/>
  <c r="D834" i="9" s="1"/>
  <c r="D833" i="9" a="1"/>
  <c r="D833" i="9" s="1"/>
  <c r="D826" i="9" a="1"/>
  <c r="D826" i="9" s="1"/>
  <c r="D825" i="9" a="1"/>
  <c r="D825" i="9" s="1"/>
  <c r="D824" i="9" a="1"/>
  <c r="D824" i="9" s="1"/>
  <c r="D823" i="9" a="1"/>
  <c r="D823" i="9" s="1"/>
  <c r="D822" i="9" a="1"/>
  <c r="D822" i="9" s="1"/>
  <c r="D815" i="9" a="1"/>
  <c r="D815" i="9" s="1"/>
  <c r="D814" i="9" a="1"/>
  <c r="D814" i="9" s="1"/>
  <c r="D813" i="9" a="1"/>
  <c r="D813" i="9" s="1"/>
  <c r="D809" i="9" a="1"/>
  <c r="D809" i="9" s="1"/>
  <c r="D808" i="9" a="1"/>
  <c r="D808" i="9" s="1"/>
  <c r="D804" i="9" a="1"/>
  <c r="D804" i="9" s="1"/>
  <c r="D803" i="9" a="1"/>
  <c r="D803" i="9" s="1"/>
  <c r="D802" i="9" a="1"/>
  <c r="D802" i="9" s="1"/>
  <c r="D795" i="9" a="1"/>
  <c r="D795" i="9" s="1"/>
  <c r="D793" i="9" a="1"/>
  <c r="D793" i="9" s="1"/>
  <c r="D790" i="9" a="1"/>
  <c r="D790" i="9" s="1"/>
  <c r="D789" i="9" a="1"/>
  <c r="D789" i="9" s="1"/>
  <c r="D788" i="9" a="1"/>
  <c r="D788" i="9" s="1"/>
  <c r="D787" i="9" a="1"/>
  <c r="D787" i="9" s="1"/>
  <c r="D785" i="9" a="1"/>
  <c r="D785" i="9" s="1"/>
  <c r="D784" i="9" a="1"/>
  <c r="D784" i="9" s="1"/>
  <c r="D782" i="9" a="1"/>
  <c r="D782" i="9" s="1"/>
  <c r="D775" i="9" a="1"/>
  <c r="D775" i="9" s="1"/>
  <c r="D773" i="9" a="1"/>
  <c r="D773" i="9" s="1"/>
  <c r="D769" i="9" a="1"/>
  <c r="D769" i="9" s="1"/>
  <c r="D768" i="9" a="1"/>
  <c r="D768" i="9" s="1"/>
  <c r="D767" i="9" a="1"/>
  <c r="D767" i="9" s="1"/>
  <c r="D766" i="9" a="1"/>
  <c r="D766" i="9" s="1"/>
  <c r="D765" i="9" a="1"/>
  <c r="D765" i="9" s="1"/>
  <c r="D764" i="9" a="1"/>
  <c r="D764" i="9" s="1"/>
  <c r="D763" i="9" a="1"/>
  <c r="D763" i="9" s="1"/>
  <c r="D762" i="9" a="1"/>
  <c r="D762" i="9" s="1"/>
  <c r="D753" i="9" a="1"/>
  <c r="D753" i="9" s="1"/>
  <c r="D748" i="9" a="1"/>
  <c r="D748" i="9" s="1"/>
  <c r="D747" i="9" a="1"/>
  <c r="D747" i="9" s="1"/>
  <c r="D746" i="9" a="1"/>
  <c r="D746" i="9" s="1"/>
  <c r="D745" i="9" a="1"/>
  <c r="D745" i="9" s="1"/>
  <c r="D744" i="9" a="1"/>
  <c r="D744" i="9" s="1"/>
  <c r="D743" i="9" a="1"/>
  <c r="D743" i="9" s="1"/>
  <c r="D742" i="9" a="1"/>
  <c r="D742" i="9" s="1"/>
  <c r="D729" i="9" a="1"/>
  <c r="D729" i="9" s="1"/>
  <c r="D728" i="9" a="1"/>
  <c r="D728" i="9" s="1"/>
  <c r="D727" i="9" a="1"/>
  <c r="D727" i="9" s="1"/>
  <c r="D726" i="9" a="1"/>
  <c r="D726" i="9" s="1"/>
  <c r="D725" i="9" a="1"/>
  <c r="D725" i="9" s="1"/>
  <c r="D724" i="9" a="1"/>
  <c r="D724" i="9" s="1"/>
  <c r="D723" i="9" a="1"/>
  <c r="D723" i="9" s="1"/>
  <c r="D722" i="9" a="1"/>
  <c r="D722" i="9" s="1"/>
  <c r="D709" i="9" a="1"/>
  <c r="D709" i="9" s="1"/>
  <c r="D708" i="9" a="1"/>
  <c r="D708" i="9" s="1"/>
  <c r="D706" i="9" a="1"/>
  <c r="D706" i="9" s="1"/>
  <c r="D705" i="9" a="1"/>
  <c r="D705" i="9" s="1"/>
  <c r="D704" i="9" a="1"/>
  <c r="D704" i="9" s="1"/>
  <c r="D703" i="9" a="1"/>
  <c r="D703" i="9" s="1"/>
  <c r="D702" i="9" a="1"/>
  <c r="D702" i="9" s="1"/>
  <c r="D693" i="9" a="1"/>
  <c r="D693" i="9" s="1"/>
  <c r="D690" i="9" a="1"/>
  <c r="D690" i="9" s="1"/>
  <c r="D689" i="9" a="1"/>
  <c r="D689" i="9" s="1"/>
  <c r="D688" i="9" a="1"/>
  <c r="D688" i="9" s="1"/>
  <c r="D687" i="9" a="1"/>
  <c r="D687" i="9" s="1"/>
  <c r="D686" i="9" a="1"/>
  <c r="D686" i="9" s="1"/>
  <c r="D685" i="9" a="1"/>
  <c r="D685" i="9" s="1"/>
  <c r="D684" i="9" a="1"/>
  <c r="D684" i="9" s="1"/>
  <c r="D683" i="9" a="1"/>
  <c r="D683" i="9" s="1"/>
  <c r="D682" i="9" a="1"/>
  <c r="D682" i="9" s="1"/>
  <c r="D673" i="9" a="1"/>
  <c r="D673" i="9" s="1"/>
  <c r="D670" i="9" a="1"/>
  <c r="D670" i="9" s="1"/>
  <c r="D669" i="9" a="1"/>
  <c r="D669" i="9" s="1"/>
  <c r="D668" i="9" a="1"/>
  <c r="D668" i="9" s="1"/>
  <c r="D667" i="9" a="1"/>
  <c r="D667" i="9" s="1"/>
  <c r="D666" i="9" a="1"/>
  <c r="D666" i="9" s="1"/>
  <c r="D665" i="9" a="1"/>
  <c r="D665" i="9" s="1"/>
  <c r="D664" i="9" a="1"/>
  <c r="D664" i="9" s="1"/>
  <c r="D663" i="9" a="1"/>
  <c r="D663" i="9" s="1"/>
  <c r="D662" i="9" a="1"/>
  <c r="D662" i="9" s="1"/>
  <c r="D653" i="9" a="1"/>
  <c r="D653" i="9" s="1"/>
  <c r="D649" i="9" a="1"/>
  <c r="D649" i="9" s="1"/>
  <c r="D648" i="9" a="1"/>
  <c r="D648" i="9" s="1"/>
  <c r="D647" i="9" a="1"/>
  <c r="D647" i="9" s="1"/>
  <c r="D646" i="9" a="1"/>
  <c r="D646" i="9" s="1"/>
  <c r="D645" i="9" a="1"/>
  <c r="D645" i="9" s="1"/>
  <c r="D644" i="9" a="1"/>
  <c r="D644" i="9" s="1"/>
  <c r="D642" i="9" a="1"/>
  <c r="D642" i="9" s="1"/>
  <c r="D634" i="9" a="1"/>
  <c r="D634" i="9" s="1"/>
  <c r="D633" i="9" a="1"/>
  <c r="D633" i="9" s="1"/>
  <c r="D630" i="9" a="1"/>
  <c r="D630" i="9" s="1"/>
  <c r="D629" i="9" a="1"/>
  <c r="D629" i="9" s="1"/>
  <c r="D628" i="9" a="1"/>
  <c r="D628" i="9" s="1"/>
  <c r="D627" i="9" a="1"/>
  <c r="D627" i="9" s="1"/>
  <c r="D626" i="9" a="1"/>
  <c r="D626" i="9" s="1"/>
  <c r="D625" i="9" a="1"/>
  <c r="D625" i="9" s="1"/>
  <c r="D624" i="9" a="1"/>
  <c r="D624" i="9" s="1"/>
  <c r="D623" i="9" a="1"/>
  <c r="D623" i="9" s="1"/>
  <c r="D622" i="9" a="1"/>
  <c r="D622" i="9" s="1"/>
  <c r="D614" i="9" a="1"/>
  <c r="D614" i="9" s="1"/>
  <c r="D610" i="9" a="1"/>
  <c r="D610" i="9" s="1"/>
  <c r="D609" i="9" a="1"/>
  <c r="D609" i="9" s="1"/>
  <c r="D608" i="9" a="1"/>
  <c r="D608" i="9" s="1"/>
  <c r="D607" i="9" a="1"/>
  <c r="D607" i="9" s="1"/>
  <c r="D606" i="9" a="1"/>
  <c r="D606" i="9" s="1"/>
  <c r="D605" i="9" a="1"/>
  <c r="D605" i="9" s="1"/>
  <c r="D604" i="9" a="1"/>
  <c r="D604" i="9" s="1"/>
  <c r="D603" i="9" a="1"/>
  <c r="D603" i="9" s="1"/>
  <c r="D602" i="9" a="1"/>
  <c r="D602" i="9" s="1"/>
  <c r="D594" i="9" a="1"/>
  <c r="D594" i="9" s="1"/>
  <c r="D593" i="9" a="1"/>
  <c r="D593" i="9" s="1"/>
  <c r="D590" i="9" a="1"/>
  <c r="D590" i="9" s="1"/>
  <c r="D589" i="9" a="1"/>
  <c r="D589" i="9" s="1"/>
  <c r="D588" i="9" a="1"/>
  <c r="D588" i="9" s="1"/>
  <c r="D587" i="9" a="1"/>
  <c r="D587" i="9" s="1"/>
  <c r="D586" i="9" a="1"/>
  <c r="D586" i="9" s="1"/>
  <c r="D585" i="9" a="1"/>
  <c r="D585" i="9" s="1"/>
  <c r="D584" i="9" a="1"/>
  <c r="D584" i="9" s="1"/>
  <c r="D582" i="9" a="1"/>
  <c r="D582" i="9" s="1"/>
  <c r="D574" i="9" a="1"/>
  <c r="D574" i="9" s="1"/>
  <c r="D573" i="9" a="1"/>
  <c r="D573" i="9" s="1"/>
  <c r="D570" i="9" a="1"/>
  <c r="D570" i="9" s="1"/>
  <c r="D569" i="9" a="1"/>
  <c r="D569" i="9" s="1"/>
  <c r="D568" i="9" a="1"/>
  <c r="D568" i="9" s="1"/>
  <c r="D567" i="9" a="1"/>
  <c r="D567" i="9" s="1"/>
  <c r="D562" i="9" a="1"/>
  <c r="D562" i="9" s="1"/>
  <c r="D555" i="9" a="1"/>
  <c r="D555" i="9" s="1"/>
  <c r="D554" i="9" a="1"/>
  <c r="D554" i="9" s="1"/>
  <c r="D553" i="9" a="1"/>
  <c r="D553" i="9" s="1"/>
  <c r="D551" i="9" a="1"/>
  <c r="D551" i="9" s="1"/>
  <c r="D549" i="9" a="1"/>
  <c r="D549" i="9" s="1"/>
  <c r="D548" i="9" a="1"/>
  <c r="D548" i="9" s="1"/>
  <c r="D547" i="9" a="1"/>
  <c r="D547" i="9" s="1"/>
  <c r="D546" i="9" a="1"/>
  <c r="D546" i="9" s="1"/>
  <c r="D545" i="9" a="1"/>
  <c r="D545" i="9" s="1"/>
  <c r="D544" i="9" a="1"/>
  <c r="D544" i="9" s="1"/>
  <c r="D543" i="9" a="1"/>
  <c r="D543" i="9" s="1"/>
  <c r="D535" i="9" a="1"/>
  <c r="D535" i="9" s="1"/>
  <c r="D534" i="9" a="1"/>
  <c r="D534" i="9" s="1"/>
  <c r="D533" i="9" a="1"/>
  <c r="D533" i="9" s="1"/>
  <c r="D531" i="9" a="1"/>
  <c r="D531" i="9" s="1"/>
  <c r="D529" i="9" a="1"/>
  <c r="D529" i="9" s="1"/>
  <c r="D528" i="9" a="1"/>
  <c r="D528" i="9" s="1"/>
  <c r="D527" i="9" a="1"/>
  <c r="D527" i="9" s="1"/>
  <c r="D526" i="9" a="1"/>
  <c r="D526" i="9" s="1"/>
  <c r="D525" i="9" a="1"/>
  <c r="D525" i="9" s="1"/>
  <c r="D524" i="9" a="1"/>
  <c r="D524" i="9" s="1"/>
  <c r="D523" i="9" a="1"/>
  <c r="D523" i="9" s="1"/>
  <c r="D522" i="9" a="1"/>
  <c r="D522" i="9" s="1"/>
  <c r="D515" i="9" a="1"/>
  <c r="D515" i="9" s="1"/>
  <c r="D514" i="9" a="1"/>
  <c r="D514" i="9" s="1"/>
  <c r="D513" i="9" a="1"/>
  <c r="D513" i="9" s="1"/>
  <c r="D508" i="9" a="1"/>
  <c r="D508" i="9" s="1"/>
  <c r="D507" i="9" a="1"/>
  <c r="D507" i="9" s="1"/>
  <c r="D506" i="9" a="1"/>
  <c r="D506" i="9" s="1"/>
  <c r="D505" i="9" a="1"/>
  <c r="D505" i="9" s="1"/>
  <c r="D504" i="9" a="1"/>
  <c r="D504" i="9" s="1"/>
  <c r="D503" i="9" a="1"/>
  <c r="D503" i="9" s="1"/>
  <c r="D502" i="9" a="1"/>
  <c r="D502" i="9" s="1"/>
  <c r="D495" i="9" a="1"/>
  <c r="D495" i="9" s="1"/>
  <c r="D494" i="9" a="1"/>
  <c r="D494" i="9" s="1"/>
  <c r="D487" i="9" a="1"/>
  <c r="D487" i="9" s="1"/>
  <c r="D486" i="9" a="1"/>
  <c r="D486" i="9" s="1"/>
  <c r="D485" i="9" a="1"/>
  <c r="D485" i="9" s="1"/>
  <c r="D484" i="9" a="1"/>
  <c r="D484" i="9" s="1"/>
  <c r="D483" i="9" a="1"/>
  <c r="D483" i="9" s="1"/>
  <c r="D482" i="9" a="1"/>
  <c r="D482" i="9" s="1"/>
  <c r="D475" i="9" a="1"/>
  <c r="D475" i="9" s="1"/>
  <c r="D474" i="9" a="1"/>
  <c r="D474" i="9" s="1"/>
  <c r="D473" i="9" a="1"/>
  <c r="D473" i="9" s="1"/>
  <c r="D470" i="9" a="1"/>
  <c r="D470" i="9" s="1"/>
  <c r="D465" i="9" a="1"/>
  <c r="D465" i="9" s="1"/>
  <c r="D464" i="9" a="1"/>
  <c r="D464" i="9" s="1"/>
  <c r="D463" i="9" a="1"/>
  <c r="D463" i="9" s="1"/>
  <c r="D462" i="9" a="1"/>
  <c r="D462" i="9" s="1"/>
  <c r="D456" i="9" a="1"/>
  <c r="D456" i="9" s="1"/>
  <c r="D455" i="9" a="1"/>
  <c r="D455" i="9" s="1"/>
  <c r="D453" i="9" a="1"/>
  <c r="D453" i="9" s="1"/>
  <c r="D449" i="9" a="1"/>
  <c r="D449" i="9" s="1"/>
  <c r="D448" i="9" a="1"/>
  <c r="D448" i="9" s="1"/>
  <c r="D447" i="9" a="1"/>
  <c r="D447" i="9" s="1"/>
  <c r="D446" i="9" a="1"/>
  <c r="D446" i="9" s="1"/>
  <c r="D445" i="9" a="1"/>
  <c r="D445" i="9" s="1"/>
  <c r="D444" i="9" a="1"/>
  <c r="D444" i="9" s="1"/>
  <c r="D442" i="9" a="1"/>
  <c r="D442" i="9" s="1"/>
  <c r="D436" i="9" a="1"/>
  <c r="D436" i="9" s="1"/>
  <c r="D435" i="9" a="1"/>
  <c r="D435" i="9" s="1"/>
  <c r="D433" i="9" a="1"/>
  <c r="D433" i="9" s="1"/>
  <c r="D428" i="9" a="1"/>
  <c r="D428" i="9" s="1"/>
  <c r="D427" i="9" a="1"/>
  <c r="D427" i="9" s="1"/>
  <c r="D426" i="9" a="1"/>
  <c r="D426" i="9" s="1"/>
  <c r="D425" i="9" a="1"/>
  <c r="D425" i="9" s="1"/>
  <c r="D424" i="9" a="1"/>
  <c r="D424" i="9" s="1"/>
  <c r="D423" i="9" a="1"/>
  <c r="D423" i="9" s="1"/>
  <c r="D422" i="9" a="1"/>
  <c r="D422" i="9" s="1"/>
  <c r="D410" i="9" a="1"/>
  <c r="D410" i="9" s="1"/>
  <c r="D409" i="9" a="1"/>
  <c r="D409" i="9" s="1"/>
  <c r="D407" i="9" a="1"/>
  <c r="D407" i="9" s="1"/>
  <c r="D406" i="9" a="1"/>
  <c r="D406" i="9" s="1"/>
  <c r="D405" i="9" a="1"/>
  <c r="D405" i="9" s="1"/>
  <c r="D404" i="9" a="1"/>
  <c r="D404" i="9" s="1"/>
  <c r="D403" i="9" a="1"/>
  <c r="D403" i="9" s="1"/>
  <c r="D402" i="9" a="1"/>
  <c r="D402" i="9" s="1"/>
  <c r="D388" i="9" a="1"/>
  <c r="D388" i="9" s="1"/>
  <c r="D387" i="9" a="1"/>
  <c r="D387" i="9" s="1"/>
  <c r="D386" i="9" a="1"/>
  <c r="D386" i="9" s="1"/>
  <c r="D385" i="9" a="1"/>
  <c r="D385" i="9" s="1"/>
  <c r="D384" i="9" a="1"/>
  <c r="D384" i="9" s="1"/>
  <c r="D383" i="9" a="1"/>
  <c r="D383" i="9" s="1"/>
  <c r="D382" i="9" a="1"/>
  <c r="D382" i="9" s="1"/>
  <c r="D373" i="9" a="1"/>
  <c r="D373" i="9" s="1"/>
  <c r="D368" i="9" a="1"/>
  <c r="D368" i="9" s="1"/>
  <c r="D367" i="9" a="1"/>
  <c r="D367" i="9" s="1"/>
  <c r="D366" i="9" a="1"/>
  <c r="D366" i="9" s="1"/>
  <c r="D365" i="9" a="1"/>
  <c r="D365" i="9" s="1"/>
  <c r="D364" i="9" a="1"/>
  <c r="D364" i="9" s="1"/>
  <c r="D363" i="9" a="1"/>
  <c r="D363" i="9" s="1"/>
  <c r="D362" i="9" a="1"/>
  <c r="D362" i="9" s="1"/>
  <c r="D353" i="9" a="1"/>
  <c r="D353" i="9" s="1"/>
  <c r="D350" i="9" a="1"/>
  <c r="D350" i="9" s="1"/>
  <c r="D349" i="9" a="1"/>
  <c r="D349" i="9" s="1"/>
  <c r="D348" i="9" a="1"/>
  <c r="D348" i="9" s="1"/>
  <c r="D345" i="9" a="1"/>
  <c r="D345" i="9" s="1"/>
  <c r="D344" i="9" a="1"/>
  <c r="D344" i="9" s="1"/>
  <c r="D343" i="9" a="1"/>
  <c r="D343" i="9" s="1"/>
  <c r="D342" i="9" a="1"/>
  <c r="D342" i="9" s="1"/>
  <c r="D333" i="9" a="1"/>
  <c r="D333" i="9" s="1"/>
  <c r="D329" i="9" a="1"/>
  <c r="D329" i="9" s="1"/>
  <c r="D328" i="9" a="1"/>
  <c r="D328" i="9" s="1"/>
  <c r="D327" i="9" a="1"/>
  <c r="D327" i="9" s="1"/>
  <c r="D326" i="9" a="1"/>
  <c r="D326" i="9" s="1"/>
  <c r="D325" i="9" a="1"/>
  <c r="D325" i="9" s="1"/>
  <c r="D324" i="9" a="1"/>
  <c r="D324" i="9" s="1"/>
  <c r="D323" i="9" a="1"/>
  <c r="D323" i="9" s="1"/>
  <c r="D322" i="9" a="1"/>
  <c r="D322" i="9" s="1"/>
  <c r="D309" i="9" a="1"/>
  <c r="D309" i="9" s="1"/>
  <c r="D308" i="9" a="1"/>
  <c r="D308" i="9" s="1"/>
  <c r="D307" i="9" a="1"/>
  <c r="D307" i="9" s="1"/>
  <c r="D306" i="9" a="1"/>
  <c r="D306" i="9" s="1"/>
  <c r="D305" i="9" a="1"/>
  <c r="D305" i="9" s="1"/>
  <c r="D304" i="9" a="1"/>
  <c r="D304" i="9" s="1"/>
  <c r="D303" i="9" a="1"/>
  <c r="D303" i="9" s="1"/>
  <c r="D302" i="9" a="1"/>
  <c r="D302" i="9" s="1"/>
  <c r="D293" i="9" a="1"/>
  <c r="D293" i="9" s="1"/>
  <c r="D289" i="9" a="1"/>
  <c r="D289" i="9" s="1"/>
  <c r="D288" i="9" a="1"/>
  <c r="D288" i="9" s="1"/>
  <c r="D285" i="9" a="1"/>
  <c r="D285" i="9" s="1"/>
  <c r="D284" i="9" a="1"/>
  <c r="D284" i="9" s="1"/>
  <c r="D283" i="9" a="1"/>
  <c r="D283" i="9" s="1"/>
  <c r="D282" i="9" a="1"/>
  <c r="D282" i="9" s="1"/>
  <c r="D273" i="9" a="1"/>
  <c r="D273" i="9" s="1"/>
  <c r="D270" i="9" a="1"/>
  <c r="D270" i="9" s="1"/>
  <c r="D269" i="9" a="1"/>
  <c r="D269" i="9" s="1"/>
  <c r="D268" i="9" a="1"/>
  <c r="D268" i="9" s="1"/>
  <c r="D267" i="9" a="1"/>
  <c r="D267" i="9" s="1"/>
  <c r="D266" i="9" a="1"/>
  <c r="D266" i="9" s="1"/>
  <c r="D265" i="9" a="1"/>
  <c r="D265" i="9" s="1"/>
  <c r="D264" i="9" a="1"/>
  <c r="D264" i="9" s="1"/>
  <c r="D263" i="9" a="1"/>
  <c r="D263" i="9" s="1"/>
  <c r="D262" i="9" a="1"/>
  <c r="D262" i="9" s="1"/>
  <c r="D250" i="9" a="1"/>
  <c r="D250" i="9" s="1"/>
  <c r="D249" i="9" a="1"/>
  <c r="D249" i="9" s="1"/>
  <c r="D248" i="9" a="1"/>
  <c r="D248" i="9" s="1"/>
  <c r="D247" i="9" a="1"/>
  <c r="D247" i="9" s="1"/>
  <c r="D246" i="9" a="1"/>
  <c r="D246" i="9" s="1"/>
  <c r="D245" i="9" a="1"/>
  <c r="D245" i="9" s="1"/>
  <c r="D244" i="9" a="1"/>
  <c r="D244" i="9" s="1"/>
  <c r="D243" i="9" a="1"/>
  <c r="D243" i="9" s="1"/>
  <c r="D242" i="9" a="1"/>
  <c r="D242" i="9" s="1"/>
  <c r="D233" i="9" a="1"/>
  <c r="D233" i="9" s="1"/>
  <c r="D230" i="9" a="1"/>
  <c r="D230" i="9" s="1"/>
  <c r="D227" i="9" a="1"/>
  <c r="D227" i="9" s="1"/>
  <c r="D226" i="9" a="1"/>
  <c r="D226" i="9" s="1"/>
  <c r="D225" i="9" a="1"/>
  <c r="D225" i="9" s="1"/>
  <c r="D224" i="9" a="1"/>
  <c r="D224" i="9" s="1"/>
  <c r="D223" i="9" a="1"/>
  <c r="D223" i="9" s="1"/>
  <c r="D222" i="9" a="1"/>
  <c r="D222" i="9" s="1"/>
  <c r="D213" i="9" a="1"/>
  <c r="D213" i="9" s="1"/>
  <c r="D210" i="9" a="1"/>
  <c r="D210" i="9" s="1"/>
  <c r="D209" i="9" a="1"/>
  <c r="D209" i="9" s="1"/>
  <c r="D208" i="9" a="1"/>
  <c r="D208" i="9" s="1"/>
  <c r="D207" i="9" a="1"/>
  <c r="D207" i="9" s="1"/>
  <c r="D206" i="9" a="1"/>
  <c r="D206" i="9" s="1"/>
  <c r="D205" i="9" a="1"/>
  <c r="D205" i="9" s="1"/>
  <c r="D204" i="9" a="1"/>
  <c r="D204" i="9" s="1"/>
  <c r="D203" i="9" a="1"/>
  <c r="D203" i="9" s="1"/>
  <c r="D202" i="9" a="1"/>
  <c r="D202" i="9" s="1"/>
  <c r="D190" i="9" a="1"/>
  <c r="D190" i="9" s="1"/>
  <c r="D189" i="9" a="1"/>
  <c r="D189" i="9" s="1"/>
  <c r="D188" i="9" a="1"/>
  <c r="D188" i="9" s="1"/>
  <c r="D187" i="9" a="1"/>
  <c r="D187" i="9" s="1"/>
  <c r="D186" i="9" a="1"/>
  <c r="D186" i="9" s="1"/>
  <c r="D185" i="9" a="1"/>
  <c r="D185" i="9" s="1"/>
  <c r="D184" i="9" a="1"/>
  <c r="D184" i="9" s="1"/>
  <c r="D183" i="9" a="1"/>
  <c r="D183" i="9" s="1"/>
  <c r="D182" i="9" a="1"/>
  <c r="D182" i="9" s="1"/>
  <c r="D173" i="9" a="1"/>
  <c r="D173" i="9" s="1"/>
  <c r="D170" i="9" a="1"/>
  <c r="D170" i="9" s="1"/>
  <c r="D168" i="9" a="1"/>
  <c r="D168" i="9" s="1"/>
  <c r="D167" i="9" a="1"/>
  <c r="D167" i="9" s="1"/>
  <c r="D166" i="9" a="1"/>
  <c r="D166" i="9" s="1"/>
  <c r="D165" i="9" a="1"/>
  <c r="D165" i="9" s="1"/>
  <c r="D164" i="9" a="1"/>
  <c r="D164" i="9" s="1"/>
  <c r="D163" i="9" a="1"/>
  <c r="D163" i="9" s="1"/>
  <c r="D162" i="9" a="1"/>
  <c r="D162" i="9" s="1"/>
  <c r="D151" i="9" a="1"/>
  <c r="D151" i="9" s="1"/>
  <c r="D149" i="9" a="1"/>
  <c r="D149" i="9" s="1"/>
  <c r="D148" i="9" a="1"/>
  <c r="D148" i="9" s="1"/>
  <c r="D147" i="9" a="1"/>
  <c r="D147" i="9" s="1"/>
  <c r="D146" i="9" a="1"/>
  <c r="D146" i="9" s="1"/>
  <c r="D145" i="9" a="1"/>
  <c r="D145" i="9" s="1"/>
  <c r="D144" i="9" a="1"/>
  <c r="D144" i="9" s="1"/>
  <c r="D143" i="9" a="1"/>
  <c r="D143" i="9" s="1"/>
  <c r="D142" i="9" a="1"/>
  <c r="D142" i="9" s="1"/>
  <c r="D131" i="9" a="1"/>
  <c r="D131" i="9" s="1"/>
  <c r="D129" i="9" a="1"/>
  <c r="D129" i="9" s="1"/>
  <c r="D128" i="9" a="1"/>
  <c r="D128" i="9" s="1"/>
  <c r="D127" i="9" a="1"/>
  <c r="D127" i="9" s="1"/>
  <c r="D126" i="9" a="1"/>
  <c r="D126" i="9" s="1"/>
  <c r="D125" i="9" a="1"/>
  <c r="D125" i="9" s="1"/>
  <c r="D124" i="9" a="1"/>
  <c r="D124" i="9" s="1"/>
  <c r="D123" i="9" a="1"/>
  <c r="D123" i="9" s="1"/>
  <c r="D122" i="9" a="1"/>
  <c r="D122" i="9" s="1"/>
  <c r="D113" i="9" a="1"/>
  <c r="D113" i="9" s="1"/>
  <c r="D110" i="9" a="1"/>
  <c r="D110" i="9" s="1"/>
  <c r="D109" i="9" a="1"/>
  <c r="D109" i="9" s="1"/>
  <c r="D108" i="9" a="1"/>
  <c r="D108" i="9" s="1"/>
  <c r="D107" i="9" a="1"/>
  <c r="D107" i="9" s="1"/>
  <c r="D106" i="9" a="1"/>
  <c r="D106" i="9" s="1"/>
  <c r="D105" i="9" a="1"/>
  <c r="D105" i="9" s="1"/>
  <c r="D104" i="9" a="1"/>
  <c r="D104" i="9" s="1"/>
  <c r="D103" i="9" a="1"/>
  <c r="D103" i="9" s="1"/>
  <c r="D102" i="9" a="1"/>
  <c r="D102" i="9" s="1"/>
  <c r="D94" i="9" a="1"/>
  <c r="D94" i="9" s="1"/>
  <c r="D93" i="9" a="1"/>
  <c r="D93" i="9" s="1"/>
  <c r="D90" i="9" a="1"/>
  <c r="D90" i="9" s="1"/>
  <c r="D89" i="9" a="1"/>
  <c r="D89" i="9" s="1"/>
  <c r="D88" i="9" a="1"/>
  <c r="D88" i="9" s="1"/>
  <c r="D87" i="9" a="1"/>
  <c r="D87" i="9" s="1"/>
  <c r="D86" i="9" a="1"/>
  <c r="D86" i="9" s="1"/>
  <c r="D85" i="9" a="1"/>
  <c r="D85" i="9" s="1"/>
  <c r="D84" i="9" a="1"/>
  <c r="D84" i="9" s="1"/>
  <c r="D83" i="9" a="1"/>
  <c r="D83" i="9" s="1"/>
  <c r="D82" i="9" a="1"/>
  <c r="D82" i="9" s="1"/>
  <c r="D75" i="9" a="1"/>
  <c r="D75" i="9" s="1"/>
  <c r="D74" i="9" a="1"/>
  <c r="D74" i="9" s="1"/>
  <c r="D73" i="9" a="1"/>
  <c r="D73" i="9" s="1"/>
  <c r="D71" i="9" a="1"/>
  <c r="D71" i="9" s="1"/>
  <c r="D70" i="9" a="1"/>
  <c r="D70" i="9" s="1"/>
  <c r="D69" i="9" a="1"/>
  <c r="D69" i="9" s="1"/>
  <c r="D68" i="9" a="1"/>
  <c r="D68" i="9" s="1"/>
  <c r="D67" i="9" a="1"/>
  <c r="D67" i="9" s="1"/>
  <c r="D66" i="9" a="1"/>
  <c r="D66" i="9" s="1"/>
  <c r="D65" i="9" a="1"/>
  <c r="D65" i="9" s="1"/>
  <c r="D62" i="9" a="1"/>
  <c r="D62" i="9" s="1"/>
  <c r="D56" i="9" a="1"/>
  <c r="D56" i="9" s="1"/>
  <c r="D53" i="9" a="1"/>
  <c r="D53" i="9" s="1"/>
  <c r="D50" i="9" a="1"/>
  <c r="D50" i="9" s="1"/>
  <c r="D49" i="9" a="1"/>
  <c r="D49" i="9" s="1"/>
  <c r="D48" i="9" a="1"/>
  <c r="D48" i="9" s="1"/>
  <c r="D47" i="9" a="1"/>
  <c r="D47" i="9" s="1"/>
  <c r="D46" i="9" a="1"/>
  <c r="D46" i="9" s="1"/>
  <c r="D45" i="9" a="1"/>
  <c r="D45" i="9" s="1"/>
  <c r="D44" i="9" a="1"/>
  <c r="D44" i="9" s="1"/>
  <c r="D43" i="9" a="1"/>
  <c r="D43" i="9" s="1"/>
  <c r="D42" i="9" a="1"/>
  <c r="D42" i="9" s="1"/>
  <c r="D34" i="9" a="1"/>
  <c r="D34" i="9" s="1"/>
  <c r="D33" i="9" a="1"/>
  <c r="D33" i="9" s="1"/>
  <c r="D30" i="9" a="1"/>
  <c r="D30" i="9" s="1"/>
  <c r="D29" i="9" a="1"/>
  <c r="D29" i="9" s="1"/>
  <c r="D28" i="9" a="1"/>
  <c r="D28" i="9" s="1"/>
  <c r="D27" i="9" a="1"/>
  <c r="D27" i="9" s="1"/>
  <c r="D26" i="9" a="1"/>
  <c r="D26" i="9" s="1"/>
  <c r="D25" i="9" a="1"/>
  <c r="D25" i="9" s="1"/>
  <c r="D24" i="9" a="1"/>
  <c r="D24" i="9" s="1"/>
  <c r="D23" i="9" a="1"/>
  <c r="D23" i="9" s="1"/>
  <c r="D22" i="9" a="1"/>
  <c r="D22" i="9" s="1"/>
  <c r="D14" i="9" a="1"/>
  <c r="D14" i="9" s="1"/>
  <c r="D13" i="9" a="1"/>
  <c r="D13" i="9" s="1"/>
  <c r="D10" i="9" a="1"/>
  <c r="D10" i="9" s="1"/>
  <c r="D9" i="9" a="1"/>
  <c r="D9" i="9" s="1"/>
  <c r="D6" i="9" a="1"/>
  <c r="D6" i="9" s="1"/>
  <c r="D5" i="9" a="1"/>
  <c r="D5" i="9" s="1"/>
  <c r="D4" i="9" a="1"/>
  <c r="D4" i="9" s="1"/>
  <c r="D3" i="9" a="1"/>
  <c r="D3" i="9" s="1"/>
  <c r="O5" i="9"/>
  <c r="D7" i="9" a="1"/>
  <c r="D7" i="9" s="1"/>
  <c r="D8" i="9" a="1"/>
  <c r="D8" i="9" s="1"/>
  <c r="D11" i="9" a="1"/>
  <c r="D11" i="9" s="1"/>
  <c r="D12" i="9" a="1"/>
  <c r="D12" i="9" s="1"/>
  <c r="D15" i="9" a="1"/>
  <c r="D15" i="9" s="1"/>
  <c r="D16" i="9" a="1"/>
  <c r="D16" i="9" s="1"/>
  <c r="D17" i="9" a="1"/>
  <c r="D17" i="9" s="1"/>
  <c r="D18" i="9" a="1"/>
  <c r="D18" i="9" s="1"/>
  <c r="D19" i="9" a="1"/>
  <c r="D19" i="9" s="1"/>
  <c r="D20" i="9" a="1"/>
  <c r="D20" i="9" s="1"/>
  <c r="D21" i="9" a="1"/>
  <c r="D21" i="9" s="1"/>
  <c r="D31" i="9" a="1"/>
  <c r="D31" i="9" s="1"/>
  <c r="D32" i="9" a="1"/>
  <c r="D32" i="9" s="1"/>
  <c r="D35" i="9" a="1"/>
  <c r="D35" i="9" s="1"/>
  <c r="D36" i="9" a="1"/>
  <c r="D36" i="9" s="1"/>
  <c r="D37" i="9" a="1"/>
  <c r="D37" i="9" s="1"/>
  <c r="D38" i="9" a="1"/>
  <c r="D38" i="9" s="1"/>
  <c r="D39" i="9" a="1"/>
  <c r="D39" i="9" s="1"/>
  <c r="D40" i="9" a="1"/>
  <c r="D40" i="9" s="1"/>
  <c r="D41" i="9" a="1"/>
  <c r="D41" i="9" s="1"/>
  <c r="D51" i="9" a="1"/>
  <c r="D51" i="9" s="1"/>
  <c r="D52" i="9" a="1"/>
  <c r="D52" i="9" s="1"/>
  <c r="D54" i="9" a="1"/>
  <c r="D54" i="9" s="1"/>
  <c r="D55" i="9" a="1"/>
  <c r="D55" i="9" s="1"/>
  <c r="D57" i="9" a="1"/>
  <c r="D57" i="9" s="1"/>
  <c r="D58" i="9" a="1"/>
  <c r="D58" i="9" s="1"/>
  <c r="D59" i="9" a="1"/>
  <c r="D59" i="9" s="1"/>
  <c r="D60" i="9" a="1"/>
  <c r="D60" i="9" s="1"/>
  <c r="D61" i="9" a="1"/>
  <c r="D61" i="9" s="1"/>
  <c r="D63" i="9" a="1"/>
  <c r="D63" i="9" s="1"/>
  <c r="D64" i="9" a="1"/>
  <c r="D64" i="9" s="1"/>
  <c r="D72" i="9" a="1"/>
  <c r="D72" i="9" s="1"/>
  <c r="D76" i="9" a="1"/>
  <c r="D76" i="9" s="1"/>
  <c r="D77" i="9" a="1"/>
  <c r="D77" i="9" s="1"/>
  <c r="D78" i="9" a="1"/>
  <c r="D78" i="9" s="1"/>
  <c r="D79" i="9" a="1"/>
  <c r="D79" i="9" s="1"/>
  <c r="D80" i="9" a="1"/>
  <c r="D80" i="9" s="1"/>
  <c r="D81" i="9" a="1"/>
  <c r="D81" i="9" s="1"/>
  <c r="D91" i="9" a="1"/>
  <c r="D91" i="9" s="1"/>
  <c r="D92" i="9" a="1"/>
  <c r="D92" i="9" s="1"/>
  <c r="D95" i="9" a="1"/>
  <c r="D95" i="9" s="1"/>
  <c r="D96" i="9" a="1"/>
  <c r="D96" i="9" s="1"/>
  <c r="D97" i="9" a="1"/>
  <c r="D97" i="9" s="1"/>
  <c r="D98" i="9" a="1"/>
  <c r="D98" i="9" s="1"/>
  <c r="D99" i="9" a="1"/>
  <c r="D99" i="9" s="1"/>
  <c r="D100" i="9" a="1"/>
  <c r="D100" i="9" s="1"/>
  <c r="D101" i="9" a="1"/>
  <c r="D101" i="9" s="1"/>
  <c r="D111" i="9" a="1"/>
  <c r="D111" i="9" s="1"/>
  <c r="D112" i="9" a="1"/>
  <c r="D112" i="9" s="1"/>
  <c r="D114" i="9" a="1"/>
  <c r="D114" i="9" s="1"/>
  <c r="D115" i="9" a="1"/>
  <c r="D115" i="9" s="1"/>
  <c r="D116" i="9" a="1"/>
  <c r="D116" i="9" s="1"/>
  <c r="D117" i="9" a="1"/>
  <c r="D117" i="9" s="1"/>
  <c r="D118" i="9" a="1"/>
  <c r="D118" i="9" s="1"/>
  <c r="D119" i="9" a="1"/>
  <c r="D119" i="9" s="1"/>
  <c r="D120" i="9" a="1"/>
  <c r="D120" i="9" s="1"/>
  <c r="D121" i="9" a="1"/>
  <c r="D121" i="9" s="1"/>
  <c r="D130" i="9" a="1"/>
  <c r="D130" i="9" s="1"/>
  <c r="D132" i="9" a="1"/>
  <c r="D132" i="9" s="1"/>
  <c r="D133" i="9" a="1"/>
  <c r="D133" i="9" s="1"/>
  <c r="D134" i="9" a="1"/>
  <c r="D134" i="9" s="1"/>
  <c r="D135" i="9" a="1"/>
  <c r="D135" i="9" s="1"/>
  <c r="D136" i="9" a="1"/>
  <c r="D136" i="9" s="1"/>
  <c r="D137" i="9" a="1"/>
  <c r="D137" i="9" s="1"/>
  <c r="D138" i="9" a="1"/>
  <c r="D138" i="9" s="1"/>
  <c r="D139" i="9" a="1"/>
  <c r="D139" i="9" s="1"/>
  <c r="D140" i="9" a="1"/>
  <c r="D140" i="9" s="1"/>
  <c r="D141" i="9" a="1"/>
  <c r="D141" i="9" s="1"/>
  <c r="D150" i="9" a="1"/>
  <c r="D150" i="9" s="1"/>
  <c r="D152" i="9" a="1"/>
  <c r="D152" i="9" s="1"/>
  <c r="D153" i="9" a="1"/>
  <c r="D153" i="9" s="1"/>
  <c r="D154" i="9" a="1"/>
  <c r="D154" i="9" s="1"/>
  <c r="D155" i="9" a="1"/>
  <c r="D155" i="9" s="1"/>
  <c r="D156" i="9" a="1"/>
  <c r="D156" i="9" s="1"/>
  <c r="D157" i="9" a="1"/>
  <c r="D157" i="9" s="1"/>
  <c r="D158" i="9" a="1"/>
  <c r="D158" i="9" s="1"/>
  <c r="D159" i="9" a="1"/>
  <c r="D159" i="9" s="1"/>
  <c r="D160" i="9" a="1"/>
  <c r="D160" i="9" s="1"/>
  <c r="D161" i="9" a="1"/>
  <c r="D161" i="9" s="1"/>
  <c r="D169" i="9" a="1"/>
  <c r="D169" i="9" s="1"/>
  <c r="D171" i="9" a="1"/>
  <c r="D171" i="9" s="1"/>
  <c r="D172" i="9" a="1"/>
  <c r="D172" i="9" s="1"/>
  <c r="D174" i="9" a="1"/>
  <c r="D174" i="9" s="1"/>
  <c r="D175" i="9" a="1"/>
  <c r="D175" i="9" s="1"/>
  <c r="D176" i="9" a="1"/>
  <c r="D176" i="9" s="1"/>
  <c r="D177" i="9" a="1"/>
  <c r="D177" i="9" s="1"/>
  <c r="D178" i="9" a="1"/>
  <c r="D178" i="9" s="1"/>
  <c r="D179" i="9" a="1"/>
  <c r="D179" i="9" s="1"/>
  <c r="D180" i="9" a="1"/>
  <c r="D180" i="9" s="1"/>
  <c r="D181" i="9" a="1"/>
  <c r="D181" i="9" s="1"/>
  <c r="D191" i="9" a="1"/>
  <c r="D191" i="9" s="1"/>
  <c r="D192" i="9" a="1"/>
  <c r="D192" i="9" s="1"/>
  <c r="D193" i="9" a="1"/>
  <c r="D193" i="9" s="1"/>
  <c r="D194" i="9" a="1"/>
  <c r="D194" i="9" s="1"/>
  <c r="D195" i="9" a="1"/>
  <c r="D195" i="9" s="1"/>
  <c r="D196" i="9" a="1"/>
  <c r="D196" i="9" s="1"/>
  <c r="D197" i="9" a="1"/>
  <c r="D197" i="9" s="1"/>
  <c r="D198" i="9" a="1"/>
  <c r="D198" i="9" s="1"/>
  <c r="D199" i="9" a="1"/>
  <c r="D199" i="9" s="1"/>
  <c r="D200" i="9" a="1"/>
  <c r="D200" i="9" s="1"/>
  <c r="D201" i="9" a="1"/>
  <c r="D201" i="9" s="1"/>
  <c r="D211" i="9" a="1"/>
  <c r="D211" i="9" s="1"/>
  <c r="D212" i="9" a="1"/>
  <c r="D212" i="9" s="1"/>
  <c r="D214" i="9" a="1"/>
  <c r="D214" i="9" s="1"/>
  <c r="D215" i="9" a="1"/>
  <c r="D215" i="9" s="1"/>
  <c r="D216" i="9" a="1"/>
  <c r="D216" i="9" s="1"/>
  <c r="D217" i="9" a="1"/>
  <c r="D217" i="9" s="1"/>
  <c r="D218" i="9" a="1"/>
  <c r="D218" i="9" s="1"/>
  <c r="D219" i="9" a="1"/>
  <c r="D219" i="9" s="1"/>
  <c r="D220" i="9" a="1"/>
  <c r="D220" i="9" s="1"/>
  <c r="D221" i="9" a="1"/>
  <c r="D221" i="9" s="1"/>
  <c r="D228" i="9" a="1"/>
  <c r="D228" i="9" s="1"/>
  <c r="D229" i="9" a="1"/>
  <c r="D229" i="9" s="1"/>
  <c r="D231" i="9" a="1"/>
  <c r="D231" i="9" s="1"/>
  <c r="D232" i="9" a="1"/>
  <c r="D232" i="9" s="1"/>
  <c r="D234" i="9" a="1"/>
  <c r="D234" i="9" s="1"/>
  <c r="D235" i="9" a="1"/>
  <c r="D235" i="9" s="1"/>
  <c r="D236" i="9" a="1"/>
  <c r="D236" i="9" s="1"/>
  <c r="D237" i="9" a="1"/>
  <c r="D237" i="9" s="1"/>
  <c r="D238" i="9" a="1"/>
  <c r="D238" i="9" s="1"/>
  <c r="D239" i="9" a="1"/>
  <c r="D239" i="9" s="1"/>
  <c r="D240" i="9" a="1"/>
  <c r="D240" i="9" s="1"/>
  <c r="D241" i="9" a="1"/>
  <c r="D241" i="9" s="1"/>
  <c r="D251" i="9" a="1"/>
  <c r="D251" i="9" s="1"/>
  <c r="D252" i="9" a="1"/>
  <c r="D252" i="9" s="1"/>
  <c r="D253" i="9" a="1"/>
  <c r="D253" i="9" s="1"/>
  <c r="D254" i="9" a="1"/>
  <c r="D254" i="9" s="1"/>
  <c r="D255" i="9" a="1"/>
  <c r="D255" i="9" s="1"/>
  <c r="D256" i="9" a="1"/>
  <c r="D256" i="9" s="1"/>
  <c r="D257" i="9" a="1"/>
  <c r="D257" i="9" s="1"/>
  <c r="D258" i="9" a="1"/>
  <c r="D258" i="9" s="1"/>
  <c r="D259" i="9" a="1"/>
  <c r="D259" i="9" s="1"/>
  <c r="D260" i="9" a="1"/>
  <c r="D260" i="9" s="1"/>
  <c r="D261" i="9" a="1"/>
  <c r="D261" i="9" s="1"/>
  <c r="D271" i="9" a="1"/>
  <c r="D271" i="9" s="1"/>
  <c r="D272" i="9" a="1"/>
  <c r="D272" i="9" s="1"/>
  <c r="D274" i="9" a="1"/>
  <c r="D274" i="9" s="1"/>
  <c r="D275" i="9" a="1"/>
  <c r="D275" i="9" s="1"/>
  <c r="D276" i="9" a="1"/>
  <c r="D276" i="9" s="1"/>
  <c r="D277" i="9" a="1"/>
  <c r="D277" i="9" s="1"/>
  <c r="D278" i="9" a="1"/>
  <c r="D278" i="9" s="1"/>
  <c r="D279" i="9" a="1"/>
  <c r="D279" i="9" s="1"/>
  <c r="D280" i="9" a="1"/>
  <c r="D280" i="9" s="1"/>
  <c r="D281" i="9" a="1"/>
  <c r="D281" i="9" s="1"/>
  <c r="D286" i="9" a="1"/>
  <c r="D286" i="9" s="1"/>
  <c r="D287" i="9" a="1"/>
  <c r="D287" i="9" s="1"/>
  <c r="D290" i="9" a="1"/>
  <c r="D290" i="9" s="1"/>
  <c r="D291" i="9" a="1"/>
  <c r="D291" i="9" s="1"/>
  <c r="D292" i="9" a="1"/>
  <c r="D292" i="9" s="1"/>
  <c r="D294" i="9" a="1"/>
  <c r="D294" i="9" s="1"/>
  <c r="D295" i="9" a="1"/>
  <c r="D295" i="9" s="1"/>
  <c r="D296" i="9" a="1"/>
  <c r="D296" i="9" s="1"/>
  <c r="D297" i="9" a="1"/>
  <c r="D297" i="9" s="1"/>
  <c r="D298" i="9" a="1"/>
  <c r="D298" i="9" s="1"/>
  <c r="D299" i="9" a="1"/>
  <c r="D299" i="9" s="1"/>
  <c r="D300" i="9" a="1"/>
  <c r="D300" i="9" s="1"/>
  <c r="D301" i="9" a="1"/>
  <c r="D301" i="9" s="1"/>
  <c r="D310" i="9" a="1"/>
  <c r="D310" i="9" s="1"/>
  <c r="D311" i="9" a="1"/>
  <c r="D311" i="9" s="1"/>
  <c r="D312" i="9" a="1"/>
  <c r="D312" i="9" s="1"/>
  <c r="D313" i="9" a="1"/>
  <c r="D313" i="9" s="1"/>
  <c r="D314" i="9" a="1"/>
  <c r="D314" i="9" s="1"/>
  <c r="D315" i="9" a="1"/>
  <c r="D315" i="9" s="1"/>
  <c r="D316" i="9" a="1"/>
  <c r="D316" i="9" s="1"/>
  <c r="D317" i="9" a="1"/>
  <c r="D317" i="9" s="1"/>
  <c r="D318" i="9" a="1"/>
  <c r="D318" i="9" s="1"/>
  <c r="D319" i="9" a="1"/>
  <c r="D319" i="9" s="1"/>
  <c r="D320" i="9" a="1"/>
  <c r="D320" i="9" s="1"/>
  <c r="D321" i="9" a="1"/>
  <c r="D321" i="9" s="1"/>
  <c r="D330" i="9" a="1"/>
  <c r="D330" i="9" s="1"/>
  <c r="D331" i="9" a="1"/>
  <c r="D331" i="9" s="1"/>
  <c r="D332" i="9" a="1"/>
  <c r="D332" i="9" s="1"/>
  <c r="D334" i="9" a="1"/>
  <c r="D334" i="9" s="1"/>
  <c r="D335" i="9" a="1"/>
  <c r="D335" i="9" s="1"/>
  <c r="D336" i="9" a="1"/>
  <c r="D336" i="9" s="1"/>
  <c r="D337" i="9" a="1"/>
  <c r="D337" i="9" s="1"/>
  <c r="D338" i="9" a="1"/>
  <c r="D338" i="9" s="1"/>
  <c r="D339" i="9" a="1"/>
  <c r="D339" i="9" s="1"/>
  <c r="D340" i="9" a="1"/>
  <c r="D340" i="9" s="1"/>
  <c r="D341" i="9" a="1"/>
  <c r="D341" i="9" s="1"/>
  <c r="D346" i="9" a="1"/>
  <c r="D346" i="9" s="1"/>
  <c r="D347" i="9" a="1"/>
  <c r="D347" i="9" s="1"/>
  <c r="D351" i="9" a="1"/>
  <c r="D351" i="9" s="1"/>
  <c r="D352" i="9" a="1"/>
  <c r="D352" i="9" s="1"/>
  <c r="D354" i="9" a="1"/>
  <c r="D354" i="9" s="1"/>
  <c r="D355" i="9" a="1"/>
  <c r="D355" i="9" s="1"/>
  <c r="D356" i="9" a="1"/>
  <c r="D356" i="9" s="1"/>
  <c r="D357" i="9" a="1"/>
  <c r="D357" i="9" s="1"/>
  <c r="D358" i="9" a="1"/>
  <c r="D358" i="9" s="1"/>
  <c r="D359" i="9" a="1"/>
  <c r="D359" i="9" s="1"/>
  <c r="D360" i="9" a="1"/>
  <c r="D360" i="9" s="1"/>
  <c r="D361" i="9" a="1"/>
  <c r="D361" i="9" s="1"/>
  <c r="D369" i="9" a="1"/>
  <c r="D369" i="9" s="1"/>
  <c r="D370" i="9" a="1"/>
  <c r="D370" i="9" s="1"/>
  <c r="D371" i="9" a="1"/>
  <c r="D371" i="9" s="1"/>
  <c r="D372" i="9" a="1"/>
  <c r="D372" i="9" s="1"/>
  <c r="D374" i="9" a="1"/>
  <c r="D374" i="9" s="1"/>
  <c r="D375" i="9" a="1"/>
  <c r="D375" i="9" s="1"/>
  <c r="D376" i="9" a="1"/>
  <c r="D376" i="9" s="1"/>
  <c r="D377" i="9" a="1"/>
  <c r="D377" i="9" s="1"/>
  <c r="D378" i="9" a="1"/>
  <c r="D378" i="9" s="1"/>
  <c r="D379" i="9" a="1"/>
  <c r="D379" i="9" s="1"/>
  <c r="D380" i="9" a="1"/>
  <c r="D380" i="9" s="1"/>
  <c r="D381" i="9" a="1"/>
  <c r="D381" i="9" s="1"/>
  <c r="D389" i="9" a="1"/>
  <c r="D389" i="9" s="1"/>
  <c r="D390" i="9" a="1"/>
  <c r="D390" i="9" s="1"/>
  <c r="D391" i="9" a="1"/>
  <c r="D391" i="9" s="1"/>
  <c r="D392" i="9" a="1"/>
  <c r="D392" i="9" s="1"/>
  <c r="D393" i="9" a="1"/>
  <c r="D393" i="9" s="1"/>
  <c r="D394" i="9" a="1"/>
  <c r="D394" i="9" s="1"/>
  <c r="D395" i="9" a="1"/>
  <c r="D395" i="9" s="1"/>
  <c r="D396" i="9" a="1"/>
  <c r="D396" i="9" s="1"/>
  <c r="D397" i="9" a="1"/>
  <c r="D397" i="9" s="1"/>
  <c r="D398" i="9" a="1"/>
  <c r="D398" i="9" s="1"/>
  <c r="D399" i="9" a="1"/>
  <c r="D399" i="9" s="1"/>
  <c r="D400" i="9" a="1"/>
  <c r="D400" i="9" s="1"/>
  <c r="D401" i="9" a="1"/>
  <c r="D401" i="9" s="1"/>
  <c r="D408" i="9" a="1"/>
  <c r="D408" i="9" s="1"/>
  <c r="D411" i="9" a="1"/>
  <c r="D411" i="9" s="1"/>
  <c r="D412" i="9" a="1"/>
  <c r="D412" i="9" s="1"/>
  <c r="D413" i="9" a="1"/>
  <c r="D413" i="9" s="1"/>
  <c r="D414" i="9" a="1"/>
  <c r="D414" i="9" s="1"/>
  <c r="D415" i="9" a="1"/>
  <c r="D415" i="9" s="1"/>
  <c r="D416" i="9" a="1"/>
  <c r="D416" i="9" s="1"/>
  <c r="D417" i="9" a="1"/>
  <c r="D417" i="9" s="1"/>
  <c r="D418" i="9" a="1"/>
  <c r="D418" i="9" s="1"/>
  <c r="D419" i="9" a="1"/>
  <c r="D419" i="9" s="1"/>
  <c r="D420" i="9" a="1"/>
  <c r="D420" i="9" s="1"/>
  <c r="D421" i="9" a="1"/>
  <c r="D421" i="9" s="1"/>
  <c r="D429" i="9" a="1"/>
  <c r="D429" i="9" s="1"/>
  <c r="D430" i="9" a="1"/>
  <c r="D430" i="9" s="1"/>
  <c r="D431" i="9" a="1"/>
  <c r="D431" i="9" s="1"/>
  <c r="D432" i="9" a="1"/>
  <c r="D432" i="9" s="1"/>
  <c r="D434" i="9" a="1"/>
  <c r="D434" i="9" s="1"/>
  <c r="D437" i="9" a="1"/>
  <c r="D437" i="9" s="1"/>
  <c r="D438" i="9" a="1"/>
  <c r="D438" i="9" s="1"/>
  <c r="D439" i="9" a="1"/>
  <c r="D439" i="9" s="1"/>
  <c r="D440" i="9" a="1"/>
  <c r="D440" i="9" s="1"/>
  <c r="D441" i="9" a="1"/>
  <c r="D441" i="9" s="1"/>
  <c r="D443" i="9" a="1"/>
  <c r="D443" i="9" s="1"/>
  <c r="D450" i="9" a="1"/>
  <c r="D450" i="9" s="1"/>
  <c r="D451" i="9" a="1"/>
  <c r="D451" i="9" s="1"/>
  <c r="D452" i="9" a="1"/>
  <c r="D452" i="9" s="1"/>
  <c r="D454" i="9" a="1"/>
  <c r="D454" i="9" s="1"/>
  <c r="D457" i="9" a="1"/>
  <c r="D457" i="9" s="1"/>
  <c r="D458" i="9" a="1"/>
  <c r="D458" i="9" s="1"/>
  <c r="D459" i="9" a="1"/>
  <c r="D459" i="9" s="1"/>
  <c r="D460" i="9" a="1"/>
  <c r="D460" i="9" s="1"/>
  <c r="D461" i="9" a="1"/>
  <c r="D461" i="9" s="1"/>
  <c r="D466" i="9" a="1"/>
  <c r="D466" i="9" s="1"/>
  <c r="D467" i="9" a="1"/>
  <c r="D467" i="9" s="1"/>
  <c r="D468" i="9" a="1"/>
  <c r="D468" i="9" s="1"/>
  <c r="D469" i="9" a="1"/>
  <c r="D469" i="9" s="1"/>
  <c r="D471" i="9" a="1"/>
  <c r="D471" i="9" s="1"/>
  <c r="D472" i="9" a="1"/>
  <c r="D472" i="9" s="1"/>
  <c r="D476" i="9" a="1"/>
  <c r="D476" i="9" s="1"/>
  <c r="D477" i="9" a="1"/>
  <c r="D477" i="9" s="1"/>
  <c r="D478" i="9" a="1"/>
  <c r="D478" i="9" s="1"/>
  <c r="D479" i="9" a="1"/>
  <c r="D479" i="9" s="1"/>
  <c r="D480" i="9" a="1"/>
  <c r="D480" i="9" s="1"/>
  <c r="D481" i="9" a="1"/>
  <c r="D481" i="9" s="1"/>
  <c r="D488" i="9" a="1"/>
  <c r="D488" i="9" s="1"/>
  <c r="D489" i="9" a="1"/>
  <c r="D489" i="9" s="1"/>
  <c r="D490" i="9" a="1"/>
  <c r="D490" i="9" s="1"/>
  <c r="D491" i="9" a="1"/>
  <c r="D491" i="9" s="1"/>
  <c r="D492" i="9" a="1"/>
  <c r="D492" i="9" s="1"/>
  <c r="D493" i="9" a="1"/>
  <c r="D493" i="9" s="1"/>
  <c r="D496" i="9" a="1"/>
  <c r="D496" i="9" s="1"/>
  <c r="D497" i="9" a="1"/>
  <c r="D497" i="9" s="1"/>
  <c r="D498" i="9" a="1"/>
  <c r="D498" i="9" s="1"/>
  <c r="D499" i="9" a="1"/>
  <c r="D499" i="9" s="1"/>
  <c r="D500" i="9" a="1"/>
  <c r="D500" i="9" s="1"/>
  <c r="D501" i="9" a="1"/>
  <c r="D501" i="9" s="1"/>
  <c r="D509" i="9" a="1"/>
  <c r="D509" i="9" s="1"/>
  <c r="D510" i="9" a="1"/>
  <c r="D510" i="9" s="1"/>
  <c r="D511" i="9" a="1"/>
  <c r="D511" i="9" s="1"/>
  <c r="D512" i="9" a="1"/>
  <c r="D512" i="9" s="1"/>
  <c r="D516" i="9" a="1"/>
  <c r="D516" i="9" s="1"/>
  <c r="D517" i="9" a="1"/>
  <c r="D517" i="9" s="1"/>
  <c r="D518" i="9" a="1"/>
  <c r="D518" i="9" s="1"/>
  <c r="D519" i="9" a="1"/>
  <c r="D519" i="9" s="1"/>
  <c r="D520" i="9" a="1"/>
  <c r="D520" i="9" s="1"/>
  <c r="D521" i="9" a="1"/>
  <c r="D521" i="9" s="1"/>
  <c r="D530" i="9" a="1"/>
  <c r="D530" i="9" s="1"/>
  <c r="D532" i="9" a="1"/>
  <c r="D532" i="9" s="1"/>
  <c r="D536" i="9" a="1"/>
  <c r="D536" i="9" s="1"/>
  <c r="D537" i="9" a="1"/>
  <c r="D537" i="9" s="1"/>
  <c r="D538" i="9" a="1"/>
  <c r="D538" i="9" s="1"/>
  <c r="D539" i="9" a="1"/>
  <c r="D539" i="9" s="1"/>
  <c r="D540" i="9" a="1"/>
  <c r="D540" i="9" s="1"/>
  <c r="D541" i="9" a="1"/>
  <c r="D541" i="9" s="1"/>
  <c r="D542" i="9" a="1"/>
  <c r="D542" i="9" s="1"/>
  <c r="D550" i="9" a="1"/>
  <c r="D550" i="9" s="1"/>
  <c r="D552" i="9" a="1"/>
  <c r="D552" i="9" s="1"/>
  <c r="D556" i="9" a="1"/>
  <c r="D556" i="9" s="1"/>
  <c r="D557" i="9" a="1"/>
  <c r="D557" i="9" s="1"/>
  <c r="D558" i="9" a="1"/>
  <c r="D558" i="9" s="1"/>
  <c r="D559" i="9" a="1"/>
  <c r="D559" i="9" s="1"/>
  <c r="D560" i="9" a="1"/>
  <c r="D560" i="9" s="1"/>
  <c r="D561" i="9" a="1"/>
  <c r="D561" i="9" s="1"/>
  <c r="D563" i="9" a="1"/>
  <c r="D563" i="9" s="1"/>
  <c r="D564" i="9" a="1"/>
  <c r="D564" i="9" s="1"/>
  <c r="D565" i="9" a="1"/>
  <c r="D565" i="9" s="1"/>
  <c r="D566" i="9" a="1"/>
  <c r="D566" i="9" s="1"/>
  <c r="D571" i="9" a="1"/>
  <c r="D571" i="9" s="1"/>
  <c r="D572" i="9" a="1"/>
  <c r="D572" i="9" s="1"/>
  <c r="D575" i="9" a="1"/>
  <c r="D575" i="9" s="1"/>
  <c r="D576" i="9" a="1"/>
  <c r="D576" i="9" s="1"/>
  <c r="D577" i="9" a="1"/>
  <c r="D577" i="9" s="1"/>
  <c r="D578" i="9" a="1"/>
  <c r="D578" i="9" s="1"/>
  <c r="D579" i="9" a="1"/>
  <c r="D579" i="9" s="1"/>
  <c r="D580" i="9" a="1"/>
  <c r="D580" i="9" s="1"/>
  <c r="D581" i="9" a="1"/>
  <c r="D581" i="9" s="1"/>
  <c r="D583" i="9" a="1"/>
  <c r="D583" i="9" s="1"/>
  <c r="D591" i="9" a="1"/>
  <c r="D591" i="9" s="1"/>
  <c r="D592" i="9" a="1"/>
  <c r="D592" i="9" s="1"/>
  <c r="D595" i="9" a="1"/>
  <c r="D595" i="9" s="1"/>
  <c r="D596" i="9" a="1"/>
  <c r="D596" i="9" s="1"/>
  <c r="D597" i="9" a="1"/>
  <c r="D597" i="9" s="1"/>
  <c r="D598" i="9" a="1"/>
  <c r="D598" i="9" s="1"/>
  <c r="D599" i="9" a="1"/>
  <c r="D599" i="9" s="1"/>
  <c r="D600" i="9" a="1"/>
  <c r="D600" i="9" s="1"/>
  <c r="D601" i="9" a="1"/>
  <c r="D601" i="9" s="1"/>
  <c r="D611" i="9" a="1"/>
  <c r="D611" i="9" s="1"/>
  <c r="D612" i="9" a="1"/>
  <c r="D612" i="9" s="1"/>
  <c r="D613" i="9" a="1"/>
  <c r="D613" i="9" s="1"/>
  <c r="D615" i="9" a="1"/>
  <c r="D615" i="9" s="1"/>
  <c r="D616" i="9" a="1"/>
  <c r="D616" i="9" s="1"/>
  <c r="D617" i="9" a="1"/>
  <c r="D617" i="9" s="1"/>
  <c r="D618" i="9" a="1"/>
  <c r="D618" i="9" s="1"/>
  <c r="D619" i="9" a="1"/>
  <c r="D619" i="9" s="1"/>
  <c r="D620" i="9" a="1"/>
  <c r="D620" i="9" s="1"/>
  <c r="D621" i="9" a="1"/>
  <c r="D621" i="9" s="1"/>
  <c r="D631" i="9" a="1"/>
  <c r="D631" i="9" s="1"/>
  <c r="D632" i="9" a="1"/>
  <c r="D632" i="9" s="1"/>
  <c r="D635" i="9" a="1"/>
  <c r="D635" i="9" s="1"/>
  <c r="D636" i="9" a="1"/>
  <c r="D636" i="9" s="1"/>
  <c r="D637" i="9" a="1"/>
  <c r="D637" i="9" s="1"/>
  <c r="D638" i="9" a="1"/>
  <c r="D638" i="9" s="1"/>
  <c r="D639" i="9" a="1"/>
  <c r="D639" i="9" s="1"/>
  <c r="D640" i="9" a="1"/>
  <c r="D640" i="9" s="1"/>
  <c r="D641" i="9" a="1"/>
  <c r="D641" i="9" s="1"/>
  <c r="D643" i="9" a="1"/>
  <c r="D643" i="9" s="1"/>
  <c r="D650" i="9" a="1"/>
  <c r="D650" i="9" s="1"/>
  <c r="D651" i="9" a="1"/>
  <c r="D651" i="9" s="1"/>
  <c r="D652" i="9" a="1"/>
  <c r="D652" i="9" s="1"/>
  <c r="D654" i="9" a="1"/>
  <c r="D654" i="9" s="1"/>
  <c r="D655" i="9" a="1"/>
  <c r="D655" i="9" s="1"/>
  <c r="D656" i="9" a="1"/>
  <c r="D656" i="9" s="1"/>
  <c r="D657" i="9" a="1"/>
  <c r="D657" i="9" s="1"/>
  <c r="D658" i="9" a="1"/>
  <c r="D658" i="9" s="1"/>
  <c r="D659" i="9" a="1"/>
  <c r="D659" i="9" s="1"/>
  <c r="D660" i="9" a="1"/>
  <c r="D660" i="9" s="1"/>
  <c r="D661" i="9" a="1"/>
  <c r="D661" i="9" s="1"/>
  <c r="D671" i="9" a="1"/>
  <c r="D671" i="9" s="1"/>
  <c r="D672" i="9" a="1"/>
  <c r="D672" i="9" s="1"/>
  <c r="D674" i="9" a="1"/>
  <c r="D674" i="9" s="1"/>
  <c r="D675" i="9" a="1"/>
  <c r="D675" i="9" s="1"/>
  <c r="D676" i="9" a="1"/>
  <c r="D676" i="9" s="1"/>
  <c r="D677" i="9" a="1"/>
  <c r="D677" i="9" s="1"/>
  <c r="D678" i="9" a="1"/>
  <c r="D678" i="9" s="1"/>
  <c r="D679" i="9" a="1"/>
  <c r="D679" i="9" s="1"/>
  <c r="D680" i="9" a="1"/>
  <c r="D680" i="9" s="1"/>
  <c r="D681" i="9" a="1"/>
  <c r="D681" i="9" s="1"/>
  <c r="D691" i="9" a="1"/>
  <c r="D691" i="9" s="1"/>
  <c r="D692" i="9" a="1"/>
  <c r="D692" i="9" s="1"/>
  <c r="D694" i="9" a="1"/>
  <c r="D694" i="9" s="1"/>
  <c r="D695" i="9" a="1"/>
  <c r="D695" i="9" s="1"/>
  <c r="D696" i="9" a="1"/>
  <c r="D696" i="9" s="1"/>
  <c r="D697" i="9" a="1"/>
  <c r="D697" i="9" s="1"/>
  <c r="D698" i="9" a="1"/>
  <c r="D698" i="9" s="1"/>
  <c r="D699" i="9" a="1"/>
  <c r="D699" i="9" s="1"/>
  <c r="D700" i="9" a="1"/>
  <c r="D700" i="9" s="1"/>
  <c r="D701" i="9" a="1"/>
  <c r="D701" i="9" s="1"/>
  <c r="D707" i="9" a="1"/>
  <c r="D707" i="9" s="1"/>
  <c r="D710" i="9" a="1"/>
  <c r="D710" i="9" s="1"/>
  <c r="D711" i="9" a="1"/>
  <c r="D711" i="9" s="1"/>
  <c r="D712" i="9" a="1"/>
  <c r="D712" i="9" s="1"/>
  <c r="D713" i="9" a="1"/>
  <c r="D713" i="9" s="1"/>
  <c r="D714" i="9" a="1"/>
  <c r="D714" i="9" s="1"/>
  <c r="D715" i="9" a="1"/>
  <c r="D715" i="9" s="1"/>
  <c r="D716" i="9" a="1"/>
  <c r="D716" i="9" s="1"/>
  <c r="D717" i="9" a="1"/>
  <c r="D717" i="9" s="1"/>
  <c r="D718" i="9" a="1"/>
  <c r="D718" i="9" s="1"/>
  <c r="D719" i="9" a="1"/>
  <c r="D719" i="9" s="1"/>
  <c r="D720" i="9" a="1"/>
  <c r="D720" i="9" s="1"/>
  <c r="D721" i="9" a="1"/>
  <c r="D721" i="9" s="1"/>
  <c r="D730" i="9" a="1"/>
  <c r="D730" i="9" s="1"/>
  <c r="D731" i="9" a="1"/>
  <c r="D731" i="9" s="1"/>
  <c r="D732" i="9" a="1"/>
  <c r="D732" i="9" s="1"/>
  <c r="D733" i="9" a="1"/>
  <c r="D733" i="9" s="1"/>
  <c r="D734" i="9" a="1"/>
  <c r="D734" i="9" s="1"/>
  <c r="D735" i="9" a="1"/>
  <c r="D735" i="9" s="1"/>
  <c r="D736" i="9" a="1"/>
  <c r="D736" i="9" s="1"/>
  <c r="D737" i="9" a="1"/>
  <c r="D737" i="9" s="1"/>
  <c r="D738" i="9" a="1"/>
  <c r="D738" i="9" s="1"/>
  <c r="D739" i="9" a="1"/>
  <c r="D739" i="9" s="1"/>
  <c r="D740" i="9" a="1"/>
  <c r="D740" i="9" s="1"/>
  <c r="D741" i="9" a="1"/>
  <c r="D741" i="9" s="1"/>
  <c r="D749" i="9" a="1"/>
  <c r="D749" i="9" s="1"/>
  <c r="D750" i="9" a="1"/>
  <c r="D750" i="9" s="1"/>
  <c r="D751" i="9" a="1"/>
  <c r="D751" i="9" s="1"/>
  <c r="D752" i="9" a="1"/>
  <c r="D752" i="9" s="1"/>
  <c r="D754" i="9" a="1"/>
  <c r="D754" i="9" s="1"/>
  <c r="D755" i="9" a="1"/>
  <c r="D755" i="9" s="1"/>
  <c r="D756" i="9" a="1"/>
  <c r="D756" i="9" s="1"/>
  <c r="D757" i="9" a="1"/>
  <c r="D757" i="9" s="1"/>
  <c r="D758" i="9" a="1"/>
  <c r="D758" i="9" s="1"/>
  <c r="D759" i="9" a="1"/>
  <c r="D759" i="9" s="1"/>
  <c r="D760" i="9" a="1"/>
  <c r="D760" i="9" s="1"/>
  <c r="D761" i="9" a="1"/>
  <c r="D761" i="9" s="1"/>
  <c r="D770" i="9" a="1"/>
  <c r="D770" i="9" s="1"/>
  <c r="D771" i="9" a="1"/>
  <c r="D771" i="9" s="1"/>
  <c r="D772" i="9" a="1"/>
  <c r="D772" i="9" s="1"/>
  <c r="D774" i="9" a="1"/>
  <c r="D774" i="9" s="1"/>
  <c r="D776" i="9" a="1"/>
  <c r="D776" i="9" s="1"/>
  <c r="D777" i="9" a="1"/>
  <c r="D777" i="9" s="1"/>
  <c r="D778" i="9" a="1"/>
  <c r="D778" i="9" s="1"/>
  <c r="D779" i="9" a="1"/>
  <c r="D779" i="9" s="1"/>
  <c r="D780" i="9" a="1"/>
  <c r="D780" i="9" s="1"/>
  <c r="D781" i="9" a="1"/>
  <c r="D781" i="9" s="1"/>
  <c r="D783" i="9" a="1"/>
  <c r="D783" i="9" s="1"/>
  <c r="D786" i="9" a="1"/>
  <c r="D786" i="9" s="1"/>
  <c r="D791" i="9" a="1"/>
  <c r="D791" i="9" s="1"/>
  <c r="D792" i="9" a="1"/>
  <c r="D792" i="9" s="1"/>
  <c r="D794" i="9" a="1"/>
  <c r="D794" i="9" s="1"/>
  <c r="D796" i="9" a="1"/>
  <c r="D796" i="9" s="1"/>
  <c r="D797" i="9" a="1"/>
  <c r="D797" i="9" s="1"/>
  <c r="D798" i="9" a="1"/>
  <c r="D798" i="9" s="1"/>
  <c r="D799" i="9" a="1"/>
  <c r="D799" i="9" s="1"/>
  <c r="D800" i="9" a="1"/>
  <c r="D800" i="9" s="1"/>
  <c r="D801" i="9" a="1"/>
  <c r="D801" i="9" s="1"/>
  <c r="D805" i="9" a="1"/>
  <c r="D805" i="9" s="1"/>
  <c r="D806" i="9" a="1"/>
  <c r="D806" i="9" s="1"/>
  <c r="D807" i="9" a="1"/>
  <c r="D807" i="9" s="1"/>
  <c r="D810" i="9" a="1"/>
  <c r="D810" i="9" s="1"/>
  <c r="D811" i="9" a="1"/>
  <c r="D811" i="9" s="1"/>
  <c r="D812" i="9" a="1"/>
  <c r="D812" i="9" s="1"/>
  <c r="D816" i="9" a="1"/>
  <c r="D816" i="9" s="1"/>
  <c r="D817" i="9" a="1"/>
  <c r="D817" i="9" s="1"/>
  <c r="D818" i="9" a="1"/>
  <c r="D818" i="9" s="1"/>
  <c r="D819" i="9" a="1"/>
  <c r="D819" i="9" s="1"/>
  <c r="D820" i="9" a="1"/>
  <c r="D820" i="9" s="1"/>
  <c r="D821" i="9" a="1"/>
  <c r="D821" i="9" s="1"/>
  <c r="D827" i="9" a="1"/>
  <c r="D827" i="9" s="1"/>
  <c r="D828" i="9" a="1"/>
  <c r="D828" i="9" s="1"/>
  <c r="D829" i="9" a="1"/>
  <c r="D829" i="9" s="1"/>
  <c r="D830" i="9" a="1"/>
  <c r="D830" i="9" s="1"/>
  <c r="D831" i="9" a="1"/>
  <c r="D831" i="9" s="1"/>
  <c r="D832" i="9" a="1"/>
  <c r="D832" i="9" s="1"/>
  <c r="D836" i="9" a="1"/>
  <c r="D836" i="9" s="1"/>
  <c r="D837" i="9" a="1"/>
  <c r="D837" i="9" s="1"/>
  <c r="D838" i="9" a="1"/>
  <c r="D838" i="9" s="1"/>
  <c r="D839" i="9" a="1"/>
  <c r="D839" i="9" s="1"/>
  <c r="D840" i="9" a="1"/>
  <c r="D840" i="9" s="1"/>
  <c r="D841" i="9" a="1"/>
  <c r="D841" i="9" s="1"/>
  <c r="D849" i="9" a="1"/>
  <c r="D849" i="9" s="1"/>
  <c r="D850" i="9" a="1"/>
  <c r="D850" i="9" s="1"/>
  <c r="D851" i="9" a="1"/>
  <c r="D851" i="9" s="1"/>
  <c r="D852" i="9" a="1"/>
  <c r="D852" i="9" s="1"/>
  <c r="D855" i="9" a="1"/>
  <c r="D855" i="9" s="1"/>
  <c r="D856" i="9" a="1"/>
  <c r="D856" i="9" s="1"/>
  <c r="D857" i="9" a="1"/>
  <c r="D857" i="9" s="1"/>
  <c r="D858" i="9" a="1"/>
  <c r="D858" i="9" s="1"/>
  <c r="D859" i="9" a="1"/>
  <c r="D859" i="9" s="1"/>
  <c r="D860" i="9" a="1"/>
  <c r="D860" i="9" s="1"/>
  <c r="D861" i="9" a="1"/>
  <c r="D861" i="9" s="1"/>
  <c r="D870" i="9" a="1"/>
  <c r="D870" i="9" s="1"/>
  <c r="D871" i="9" a="1"/>
  <c r="D871" i="9" s="1"/>
  <c r="D872" i="9" a="1"/>
  <c r="D872" i="9" s="1"/>
  <c r="D876" i="9" a="1"/>
  <c r="D876" i="9" s="1"/>
  <c r="D877" i="9" a="1"/>
  <c r="D877" i="9" s="1"/>
  <c r="D878" i="9" a="1"/>
  <c r="D878" i="9" s="1"/>
  <c r="D879" i="9" a="1"/>
  <c r="D879" i="9" s="1"/>
  <c r="D880" i="9" a="1"/>
  <c r="D880" i="9" s="1"/>
  <c r="D881" i="9" a="1"/>
  <c r="D881" i="9" s="1"/>
  <c r="D889" i="9" a="1"/>
  <c r="D889" i="9" s="1"/>
  <c r="D890" i="9" a="1"/>
  <c r="D890" i="9" s="1"/>
  <c r="D892" i="9" a="1"/>
  <c r="D892" i="9" s="1"/>
  <c r="D896" i="9" a="1"/>
  <c r="D896" i="9" s="1"/>
  <c r="D897" i="9" a="1"/>
  <c r="D897" i="9" s="1"/>
  <c r="D898" i="9" a="1"/>
  <c r="D898" i="9" s="1"/>
  <c r="D899" i="9" a="1"/>
  <c r="D899" i="9" s="1"/>
  <c r="D900" i="9" a="1"/>
  <c r="D900" i="9" s="1"/>
  <c r="D901" i="9" a="1"/>
  <c r="D901" i="9" s="1"/>
  <c r="D903" i="9" a="1"/>
  <c r="D903" i="9" s="1"/>
  <c r="D904" i="9" a="1"/>
  <c r="D904" i="9" s="1"/>
  <c r="D911" i="9" a="1"/>
  <c r="D911" i="9" s="1"/>
  <c r="D912" i="9" a="1"/>
  <c r="D912" i="9" s="1"/>
  <c r="D915" i="9" a="1"/>
  <c r="D915" i="9" s="1"/>
  <c r="D916" i="9" a="1"/>
  <c r="D916" i="9" s="1"/>
  <c r="D917" i="9" a="1"/>
  <c r="D917" i="9" s="1"/>
  <c r="D918" i="9" a="1"/>
  <c r="D918" i="9" s="1"/>
  <c r="D919" i="9" a="1"/>
  <c r="D919" i="9" s="1"/>
  <c r="D920" i="9" a="1"/>
  <c r="D920" i="9" s="1"/>
  <c r="D921" i="9" a="1"/>
  <c r="D921" i="9" s="1"/>
  <c r="D923" i="9" a="1"/>
  <c r="D923" i="9" s="1"/>
  <c r="D925" i="9" a="1"/>
  <c r="D925" i="9" s="1"/>
  <c r="D926" i="9" a="1"/>
  <c r="D926" i="9" s="1"/>
  <c r="D927" i="9" a="1"/>
  <c r="D927" i="9" s="1"/>
  <c r="D931" i="9" a="1"/>
  <c r="D931" i="9" s="1"/>
  <c r="D932" i="9" a="1"/>
  <c r="D932" i="9" s="1"/>
  <c r="D935" i="9" a="1"/>
  <c r="D935" i="9" s="1"/>
  <c r="D936" i="9" a="1"/>
  <c r="D936" i="9" s="1"/>
  <c r="D937" i="9" a="1"/>
  <c r="D937" i="9" s="1"/>
  <c r="D938" i="9" a="1"/>
  <c r="D938" i="9" s="1"/>
  <c r="D939" i="9" a="1"/>
  <c r="D939" i="9" s="1"/>
  <c r="D940" i="9" a="1"/>
  <c r="D940" i="9" s="1"/>
  <c r="D941" i="9" a="1"/>
  <c r="D941" i="9" s="1"/>
  <c r="D951" i="9" a="1"/>
  <c r="D951" i="9" s="1"/>
  <c r="D952" i="9" a="1"/>
  <c r="D952" i="9" s="1"/>
  <c r="D954" i="9" a="1"/>
  <c r="D954" i="9" s="1"/>
  <c r="D955" i="9" a="1"/>
  <c r="D955" i="9" s="1"/>
  <c r="D956" i="9" a="1"/>
  <c r="D956" i="9" s="1"/>
  <c r="D957" i="9" a="1"/>
  <c r="D957" i="9" s="1"/>
  <c r="D958" i="9" a="1"/>
  <c r="D958" i="9" s="1"/>
  <c r="D959" i="9" a="1"/>
  <c r="D959" i="9" s="1"/>
  <c r="D960" i="9" a="1"/>
  <c r="D960" i="9" s="1"/>
  <c r="D961" i="9" a="1"/>
  <c r="D961" i="9" s="1"/>
  <c r="D971" i="9" a="1"/>
  <c r="D971" i="9" s="1"/>
  <c r="D972" i="9" a="1"/>
  <c r="D972" i="9" s="1"/>
  <c r="D973" i="9" a="1"/>
  <c r="D973" i="9" s="1"/>
  <c r="D974" i="9" a="1"/>
  <c r="D974" i="9" s="1"/>
  <c r="D976" i="9" a="1"/>
  <c r="D976" i="9" s="1"/>
  <c r="D977" i="9" a="1"/>
  <c r="D977" i="9" s="1"/>
  <c r="D978" i="9" a="1"/>
  <c r="D978" i="9" s="1"/>
  <c r="D979" i="9" a="1"/>
  <c r="D979" i="9" s="1"/>
  <c r="D980" i="9" a="1"/>
  <c r="D980" i="9" s="1"/>
  <c r="D981" i="9" a="1"/>
  <c r="D981" i="9" s="1"/>
  <c r="D991" i="9" a="1"/>
  <c r="D991" i="9" s="1"/>
  <c r="D992" i="9" a="1"/>
  <c r="D992" i="9" s="1"/>
  <c r="D994" i="9" a="1"/>
  <c r="D994" i="9" s="1"/>
  <c r="D995" i="9" a="1"/>
  <c r="D995" i="9" s="1"/>
  <c r="D996" i="9" a="1"/>
  <c r="D996" i="9" s="1"/>
  <c r="D997" i="9" a="1"/>
  <c r="D997" i="9" s="1"/>
  <c r="D998" i="9" a="1"/>
  <c r="D998" i="9" s="1"/>
  <c r="D999" i="9" a="1"/>
  <c r="D999" i="9" s="1"/>
  <c r="D1000" i="9" a="1"/>
  <c r="D1000" i="9" s="1"/>
  <c r="D1001" i="9" a="1"/>
  <c r="D1001" i="9" s="1"/>
  <c r="D1010" i="9" a="1"/>
  <c r="D1010" i="9" s="1"/>
  <c r="D1011" i="9" a="1"/>
  <c r="D1011" i="9" s="1"/>
  <c r="D1012" i="9" a="1"/>
  <c r="D1012" i="9" s="1"/>
  <c r="D1014" i="9" a="1"/>
  <c r="D1014" i="9" s="1"/>
  <c r="D1015" i="9" a="1"/>
  <c r="D1015" i="9" s="1"/>
  <c r="D1016" i="9" a="1"/>
  <c r="D1016" i="9" s="1"/>
  <c r="D1017" i="9" a="1"/>
  <c r="D1017" i="9" s="1"/>
  <c r="D1018" i="9" a="1"/>
  <c r="D1018" i="9" s="1"/>
  <c r="D1019" i="9" a="1"/>
  <c r="D1019" i="9" s="1"/>
  <c r="D1020" i="9" a="1"/>
  <c r="D1020" i="9" s="1"/>
  <c r="D1021" i="9" a="1"/>
  <c r="D1021" i="9" s="1"/>
  <c r="D1030" i="9" a="1"/>
  <c r="D1030" i="9" s="1"/>
  <c r="D1031" i="9" a="1"/>
  <c r="D1031" i="9" s="1"/>
  <c r="D1032" i="9" a="1"/>
  <c r="D1032" i="9" s="1"/>
  <c r="D1033" i="9" a="1"/>
  <c r="D1033" i="9" s="1"/>
  <c r="D1034" i="9" a="1"/>
  <c r="D1034" i="9" s="1"/>
  <c r="D1035" i="9" a="1"/>
  <c r="D1035" i="9" s="1"/>
  <c r="D1036" i="9" a="1"/>
  <c r="D1036" i="9" s="1"/>
  <c r="D1037" i="9" a="1"/>
  <c r="D1037" i="9" s="1"/>
  <c r="D1038" i="9" a="1"/>
  <c r="D1038" i="9" s="1"/>
  <c r="D1039" i="9" a="1"/>
  <c r="D1039" i="9" s="1"/>
  <c r="D1040" i="9" a="1"/>
  <c r="D1040" i="9" s="1"/>
  <c r="D1041" i="9" a="1"/>
  <c r="D1041" i="9" s="1"/>
  <c r="D160" i="7" a="1"/>
  <c r="D160" i="7" s="1"/>
  <c r="D159" i="7" a="1"/>
  <c r="D159" i="7" s="1"/>
  <c r="D158" i="7" a="1"/>
  <c r="D158" i="7" s="1"/>
  <c r="D157" i="7" a="1"/>
  <c r="D157" i="7" s="1"/>
  <c r="D156" i="7" a="1"/>
  <c r="E156" i="7" s="1"/>
  <c r="D155" i="7" a="1"/>
  <c r="G155" i="7" s="1"/>
  <c r="D154" i="7" a="1"/>
  <c r="D154" i="7" s="1"/>
  <c r="D153" i="7" a="1"/>
  <c r="D153" i="7" s="1"/>
  <c r="D152" i="7" a="1"/>
  <c r="D152" i="7" s="1"/>
  <c r="D151" i="7" a="1"/>
  <c r="D151" i="7" s="1"/>
  <c r="D150" i="7" a="1"/>
  <c r="D150" i="7" s="1"/>
  <c r="D149" i="7" a="1"/>
  <c r="D149" i="7" s="1"/>
  <c r="D148" i="7" a="1"/>
  <c r="E148" i="7" s="1"/>
  <c r="D147" i="7" a="1"/>
  <c r="F147" i="7" s="1"/>
  <c r="D146" i="7" a="1"/>
  <c r="D146" i="7" s="1"/>
  <c r="D145" i="7" a="1"/>
  <c r="D145" i="7" s="1"/>
  <c r="D144" i="7" a="1"/>
  <c r="D144" i="7" s="1"/>
  <c r="D143" i="7" a="1"/>
  <c r="D143" i="7" s="1"/>
  <c r="D142" i="7" a="1"/>
  <c r="D142" i="7" s="1"/>
  <c r="D141" i="7" a="1"/>
  <c r="E141" i="7" s="1"/>
  <c r="D140" i="7" a="1"/>
  <c r="E140" i="7" s="1"/>
  <c r="D139" i="7" a="1"/>
  <c r="D139" i="7" s="1"/>
  <c r="D138" i="7" a="1"/>
  <c r="D138" i="7" s="1"/>
  <c r="D137" i="7" a="1"/>
  <c r="D137" i="7" s="1"/>
  <c r="D136" i="7" a="1"/>
  <c r="D136" i="7" s="1"/>
  <c r="D135" i="7" a="1"/>
  <c r="D135" i="7" s="1"/>
  <c r="D134" i="7" a="1"/>
  <c r="D134" i="7" s="1"/>
  <c r="D133" i="7" a="1"/>
  <c r="D133" i="7" s="1"/>
  <c r="D132" i="7" a="1"/>
  <c r="D132" i="7" s="1"/>
  <c r="D131" i="7" a="1"/>
  <c r="D131" i="7" s="1"/>
  <c r="D130" i="7" a="1"/>
  <c r="D130" i="7" s="1"/>
  <c r="D129" i="7" a="1"/>
  <c r="E129" i="7" s="1"/>
  <c r="D128" i="7" a="1"/>
  <c r="D128" i="7" s="1"/>
  <c r="D127" i="7" a="1"/>
  <c r="D127" i="7" s="1"/>
  <c r="D126" i="7" a="1"/>
  <c r="D126" i="7" s="1"/>
  <c r="D125" i="7" a="1"/>
  <c r="D125" i="7" s="1"/>
  <c r="D124" i="7" a="1"/>
  <c r="D124" i="7" s="1"/>
  <c r="D123" i="7" a="1"/>
  <c r="D123" i="7" s="1"/>
  <c r="D122" i="7" a="1"/>
  <c r="D122" i="7" s="1"/>
  <c r="D121" i="7" a="1"/>
  <c r="D121" i="7" s="1"/>
  <c r="D120" i="7" a="1"/>
  <c r="D120" i="7" s="1"/>
  <c r="D119" i="7" a="1"/>
  <c r="D119" i="7" s="1"/>
  <c r="D118" i="7" a="1"/>
  <c r="D118" i="7" s="1"/>
  <c r="D117" i="7" a="1"/>
  <c r="E117" i="7" s="1"/>
  <c r="D116" i="7" a="1"/>
  <c r="D116" i="7" s="1"/>
  <c r="D115" i="7" a="1"/>
  <c r="D115" i="7" s="1"/>
  <c r="D114" i="7" a="1"/>
  <c r="D114" i="7" s="1"/>
  <c r="D113" i="7" a="1"/>
  <c r="D113" i="7" s="1"/>
  <c r="D112" i="7" a="1"/>
  <c r="D112" i="7" s="1"/>
  <c r="D111" i="7" a="1"/>
  <c r="D111" i="7" s="1"/>
  <c r="D110" i="7" a="1"/>
  <c r="D110" i="7" s="1"/>
  <c r="D109" i="7" a="1"/>
  <c r="D109" i="7" s="1"/>
  <c r="D108" i="7" a="1"/>
  <c r="D108" i="7" s="1"/>
  <c r="D107" i="7" a="1"/>
  <c r="D107" i="7" s="1"/>
  <c r="D106" i="7" a="1"/>
  <c r="N106" i="7" s="1"/>
  <c r="D105" i="7" a="1"/>
  <c r="D105" i="7" s="1"/>
  <c r="D104" i="7" a="1"/>
  <c r="D104" i="7" s="1"/>
  <c r="D103" i="7" a="1"/>
  <c r="D103" i="7" s="1"/>
  <c r="D102" i="7" a="1"/>
  <c r="D102" i="7" s="1"/>
  <c r="D101" i="7" a="1"/>
  <c r="D101" i="7" s="1"/>
  <c r="D100" i="7" a="1"/>
  <c r="D100" i="7" s="1"/>
  <c r="D99" i="7" a="1"/>
  <c r="D99" i="7" s="1"/>
  <c r="D98" i="7" a="1"/>
  <c r="D98" i="7" s="1"/>
  <c r="D97" i="7" a="1"/>
  <c r="D97" i="7" s="1"/>
  <c r="D96" i="7" a="1"/>
  <c r="D96" i="7" s="1"/>
  <c r="D95" i="7" a="1"/>
  <c r="D95" i="7" s="1"/>
  <c r="D94" i="7" a="1"/>
  <c r="D94" i="7" s="1"/>
  <c r="D93" i="7" a="1"/>
  <c r="D93" i="7" s="1"/>
  <c r="D92" i="7" a="1"/>
  <c r="D92" i="7" s="1"/>
  <c r="D91" i="7" a="1"/>
  <c r="D91" i="7" s="1"/>
  <c r="D90" i="7" a="1"/>
  <c r="D90" i="7" s="1"/>
  <c r="D89" i="7" a="1"/>
  <c r="D89" i="7" s="1"/>
  <c r="D88" i="7" a="1"/>
  <c r="D88" i="7" s="1"/>
  <c r="D87" i="7" a="1"/>
  <c r="D87" i="7" s="1"/>
  <c r="D86" i="7" a="1"/>
  <c r="D86" i="7" s="1"/>
  <c r="D85" i="7" a="1"/>
  <c r="D85" i="7" s="1"/>
  <c r="D84" i="7" a="1"/>
  <c r="D84" i="7" s="1"/>
  <c r="D83" i="7" a="1"/>
  <c r="D83" i="7" s="1"/>
  <c r="D82" i="7" a="1"/>
  <c r="D82" i="7" s="1"/>
  <c r="D81" i="7" a="1"/>
  <c r="E81" i="7" s="1"/>
  <c r="D80" i="7" a="1"/>
  <c r="D80" i="7" s="1"/>
  <c r="D79" i="7" a="1"/>
  <c r="D79" i="7" s="1"/>
  <c r="D78" i="7" a="1"/>
  <c r="D78" i="7" s="1"/>
  <c r="D77" i="7" a="1"/>
  <c r="D77" i="7" s="1"/>
  <c r="D76" i="7" a="1"/>
  <c r="D76" i="7" s="1"/>
  <c r="D75" i="7" a="1"/>
  <c r="D75" i="7" s="1"/>
  <c r="D74" i="7" a="1"/>
  <c r="E74" i="7" s="1"/>
  <c r="D73" i="7" a="1"/>
  <c r="D73" i="7" s="1"/>
  <c r="D72" i="7" a="1"/>
  <c r="D72" i="7" s="1"/>
  <c r="D71" i="7" a="1"/>
  <c r="D71" i="7" s="1"/>
  <c r="D70" i="7" a="1"/>
  <c r="D70" i="7" s="1"/>
  <c r="D69" i="7" a="1"/>
  <c r="D69" i="7" s="1"/>
  <c r="D68" i="7" a="1"/>
  <c r="D68" i="7" s="1"/>
  <c r="D67" i="7" a="1"/>
  <c r="D67" i="7" s="1"/>
  <c r="D66" i="7" a="1"/>
  <c r="F66" i="7" s="1"/>
  <c r="D65" i="7" a="1"/>
  <c r="F65" i="7" s="1"/>
  <c r="D64" i="7" a="1"/>
  <c r="F64" i="7" s="1"/>
  <c r="D63" i="7" a="1"/>
  <c r="I63" i="7" s="1"/>
  <c r="D62" i="7" a="1"/>
  <c r="D62" i="7" s="1"/>
  <c r="D61" i="7" a="1"/>
  <c r="D61" i="7" s="1"/>
  <c r="D60" i="7" a="1"/>
  <c r="D60" i="7" s="1"/>
  <c r="D59" i="7" a="1"/>
  <c r="E59" i="7" s="1"/>
  <c r="D58" i="7" a="1"/>
  <c r="D58" i="7" s="1"/>
  <c r="D57" i="7" a="1"/>
  <c r="D57" i="7" s="1"/>
  <c r="D56" i="7" a="1"/>
  <c r="D56" i="7" s="1"/>
  <c r="D55" i="7" a="1"/>
  <c r="D55" i="7" s="1"/>
  <c r="D54" i="7" a="1"/>
  <c r="D54" i="7" s="1"/>
  <c r="D53" i="7" a="1"/>
  <c r="F53" i="7" s="1"/>
  <c r="D52" i="7" a="1"/>
  <c r="D52" i="7" s="1"/>
  <c r="D51" i="7" a="1"/>
  <c r="D51" i="7" s="1"/>
  <c r="D50" i="7" a="1"/>
  <c r="D50" i="7" s="1"/>
  <c r="D49" i="7" a="1"/>
  <c r="D49" i="7" s="1"/>
  <c r="D48" i="7" a="1"/>
  <c r="D48" i="7" s="1"/>
  <c r="D47" i="7" a="1"/>
  <c r="F47" i="7" s="1"/>
  <c r="D46" i="7" a="1"/>
  <c r="D46" i="7" s="1"/>
  <c r="D45" i="7" a="1"/>
  <c r="E45" i="7" s="1"/>
  <c r="D44" i="7" a="1"/>
  <c r="D44" i="7" s="1"/>
  <c r="D43" i="7" a="1"/>
  <c r="D43" i="7" s="1"/>
  <c r="D42" i="7" a="1"/>
  <c r="D42" i="7" s="1"/>
  <c r="D41" i="7" a="1"/>
  <c r="D41" i="7" s="1"/>
  <c r="D40" i="7" a="1"/>
  <c r="D40" i="7" s="1"/>
  <c r="D39" i="7" a="1"/>
  <c r="D39" i="7" s="1"/>
  <c r="D38" i="7" a="1"/>
  <c r="D38" i="7" s="1"/>
  <c r="D37" i="7" a="1"/>
  <c r="D37" i="7" s="1"/>
  <c r="D36" i="7" a="1"/>
  <c r="D36" i="7" s="1"/>
  <c r="D35" i="7" a="1"/>
  <c r="D35" i="7" s="1"/>
  <c r="D34" i="7" a="1"/>
  <c r="D34" i="7" s="1"/>
  <c r="D33" i="7" a="1"/>
  <c r="D33" i="7" s="1"/>
  <c r="D32" i="7" a="1"/>
  <c r="D32" i="7" s="1"/>
  <c r="D31" i="7" a="1"/>
  <c r="D31" i="7" s="1"/>
  <c r="D30" i="7" a="1"/>
  <c r="D30" i="7" s="1"/>
  <c r="D29" i="7" a="1"/>
  <c r="D29" i="7" s="1"/>
  <c r="D28" i="7" a="1"/>
  <c r="D28" i="7" s="1"/>
  <c r="D27" i="7" a="1"/>
  <c r="D27" i="7" s="1"/>
  <c r="D26" i="7" a="1"/>
  <c r="D26" i="7" s="1"/>
  <c r="D25" i="7" a="1"/>
  <c r="D25" i="7" s="1"/>
  <c r="D24" i="7" a="1"/>
  <c r="D24" i="7" s="1"/>
  <c r="D23" i="7" a="1"/>
  <c r="D23" i="7" s="1"/>
  <c r="D22" i="7" a="1"/>
  <c r="D22" i="7" s="1"/>
  <c r="D21" i="7" a="1"/>
  <c r="D21" i="7" s="1"/>
  <c r="D20" i="7" a="1"/>
  <c r="D20" i="7" s="1"/>
  <c r="D19" i="7" a="1"/>
  <c r="D19" i="7" s="1"/>
  <c r="D18" i="7" a="1"/>
  <c r="D18" i="7" s="1"/>
  <c r="D17" i="7" a="1"/>
  <c r="D17" i="7" s="1"/>
  <c r="D16" i="7" a="1"/>
  <c r="D16" i="7" s="1"/>
  <c r="D15" i="7" a="1"/>
  <c r="D15" i="7" s="1"/>
  <c r="D14" i="7" a="1"/>
  <c r="D14" i="7" s="1"/>
  <c r="D13" i="7" a="1"/>
  <c r="D13" i="7" s="1"/>
  <c r="D12" i="7" a="1"/>
  <c r="D12" i="7" s="1"/>
  <c r="D11" i="7" a="1"/>
  <c r="D11" i="7" s="1"/>
  <c r="D10" i="7" a="1"/>
  <c r="D10" i="7" s="1"/>
  <c r="D9" i="7" a="1"/>
  <c r="D9" i="7" s="1"/>
  <c r="D8" i="7" a="1"/>
  <c r="D8" i="7" s="1"/>
  <c r="D7" i="7" a="1"/>
  <c r="D7" i="7" s="1"/>
  <c r="D6" i="7" a="1"/>
  <c r="D6" i="7" s="1"/>
  <c r="D5" i="7" a="1"/>
  <c r="D5" i="7" s="1"/>
  <c r="D4" i="7" a="1"/>
  <c r="D4" i="7" s="1"/>
  <c r="D3" i="7" a="1"/>
  <c r="E3" i="7" s="1"/>
  <c r="D2" i="7" a="1"/>
  <c r="E2" i="7" s="1"/>
  <c r="I18" i="5"/>
  <c r="I17" i="5"/>
  <c r="I16" i="5"/>
  <c r="I15" i="5"/>
  <c r="I14" i="5"/>
  <c r="I13" i="5"/>
  <c r="I12" i="5"/>
  <c r="I11" i="5"/>
  <c r="I10" i="5"/>
  <c r="I9" i="5"/>
  <c r="I8" i="5"/>
  <c r="I7" i="5"/>
  <c r="I19" i="5" s="1"/>
  <c r="G18" i="4"/>
  <c r="G17" i="4"/>
  <c r="G16" i="4"/>
  <c r="G15" i="4"/>
  <c r="G14" i="4"/>
  <c r="G13" i="4"/>
  <c r="G12" i="4"/>
  <c r="G11" i="4"/>
  <c r="G10" i="4"/>
  <c r="G9" i="4"/>
  <c r="G8" i="4"/>
  <c r="G7" i="4"/>
  <c r="G19" i="4" s="1"/>
  <c r="I19" i="3"/>
  <c r="I18" i="3"/>
  <c r="I17" i="3"/>
  <c r="I16" i="3"/>
  <c r="I15" i="3"/>
  <c r="I14" i="3"/>
  <c r="I20" i="3" s="1"/>
  <c r="I13" i="3"/>
  <c r="I12" i="3"/>
  <c r="I11" i="3"/>
  <c r="I10" i="3"/>
  <c r="I9" i="3"/>
  <c r="I8" i="3"/>
  <c r="I7" i="3"/>
  <c r="G19" i="2"/>
  <c r="G18" i="2"/>
  <c r="G17" i="2"/>
  <c r="G16" i="2"/>
  <c r="G15" i="2"/>
  <c r="G14" i="2"/>
  <c r="G13" i="2"/>
  <c r="G12" i="2"/>
  <c r="G11" i="2"/>
  <c r="G10" i="2"/>
  <c r="G9" i="2"/>
  <c r="G8" i="2"/>
  <c r="G20" i="2" s="1"/>
  <c r="G7" i="2"/>
  <c r="D2" i="7" l="1"/>
  <c r="D147" i="7"/>
  <c r="D45" i="7"/>
  <c r="D3" i="7"/>
  <c r="D81" i="7"/>
  <c r="D53" i="7"/>
  <c r="D106" i="7"/>
  <c r="D2" i="9" a="1"/>
  <c r="D2" i="9" s="1"/>
  <c r="O3" i="9" s="1"/>
  <c r="O7" i="9" a="1"/>
  <c r="O7" i="9" s="1"/>
  <c r="O2" i="9"/>
  <c r="D66" i="7"/>
  <c r="D141" i="7"/>
  <c r="F106" i="7"/>
  <c r="D117" i="7"/>
  <c r="F140" i="7"/>
  <c r="D47" i="7"/>
  <c r="D65" i="7"/>
  <c r="G65" i="7"/>
  <c r="D155" i="7"/>
  <c r="E92" i="7"/>
  <c r="H106" i="7"/>
  <c r="D129" i="7"/>
  <c r="D140" i="7"/>
  <c r="E65" i="7"/>
  <c r="G106" i="7"/>
  <c r="G140" i="7"/>
  <c r="D63" i="7"/>
  <c r="D64" i="7"/>
  <c r="D74" i="7"/>
  <c r="G53" i="7"/>
  <c r="E155" i="7"/>
  <c r="E47" i="7"/>
  <c r="F63" i="7"/>
  <c r="E147" i="7"/>
  <c r="F155" i="7"/>
  <c r="G63" i="7"/>
  <c r="E106" i="7"/>
  <c r="D148" i="7"/>
  <c r="D156" i="7"/>
  <c r="E64" i="7"/>
  <c r="D59" i="7"/>
  <c r="K106" i="7"/>
  <c r="E102" i="7"/>
  <c r="E53" i="7"/>
  <c r="F117" i="7"/>
  <c r="F45" i="7"/>
  <c r="E66" i="7"/>
  <c r="H63" i="7"/>
  <c r="J106" i="7"/>
  <c r="L106" i="7"/>
  <c r="E63" i="7"/>
  <c r="M106" i="7"/>
  <c r="E60" i="7"/>
  <c r="I106" i="7"/>
  <c r="O6" i="9" l="1" a="1"/>
  <c r="O6" i="9" s="1"/>
  <c r="O9" i="9" s="1"/>
  <c r="O8" i="9" a="1"/>
  <c r="O8" i="9" s="1"/>
  <c r="O4" i="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Ahmad Sharaf Al Masri</author>
  </authors>
  <commentList>
    <comment ref="D837" authorId="0" shapeId="0" xr:uid="{7E8E80E1-C8B2-4960-AA7E-7B5A4AFAF41F}">
      <text>
        <r>
          <rPr>
            <sz val="11"/>
            <color theme="1"/>
            <rFont val="Calibri"/>
            <family val="2"/>
            <charset val="1"/>
          </rPr>
          <t>Ahmad Sharaf Al Masri:
HMI reads 56.3 C on IMG_9601.jpeg - by far the highest reading seen across all QNL drawings, against 19.6 C on FCU-1F-058 directly beneath it. Almost certainly a failed sensor; worth raising with the BMS team.</t>
        </r>
      </text>
    </comment>
    <comment ref="D880" authorId="0" shapeId="0" xr:uid="{1F82BB0B-B9B6-44D7-B413-817CFA4F4EA3}">
      <text>
        <r>
          <rPr>
            <sz val="11"/>
            <color theme="1"/>
            <rFont val="Calibri"/>
            <family val="2"/>
            <charset val="1"/>
          </rPr>
          <t>Ahmad Sharaf Al Masri:
IMG_9592.jpeg (Basement Zone-3-P2): FCU-B-001 is drawn outside the plan outline on the left with no leader line to any room. Nearest labels are 'IDF Rooom' and 'VIP Restroom', both of which would make this Not Included (technical / executive). Key Plan name used per the agreed rule - please confirm.</t>
        </r>
      </text>
    </comment>
    <comment ref="D917" authorId="0" shapeId="0" xr:uid="{070C9BD6-1AC4-4B8C-AC98-32F1582F1DE4}">
      <text>
        <r>
          <rPr>
            <sz val="11"/>
            <color theme="1"/>
            <rFont val="Calibri"/>
            <family val="2"/>
            <charset val="1"/>
          </rPr>
          <t>Ahmad Sharaf Al Masri:
FCU-B-038 shows '??????' instead of a temperature on the HMI (no sensor reading). Room name taken from its yellow leader line pointing into the Pantry.</t>
        </r>
      </text>
    </comment>
    <comment ref="D947" authorId="0" shapeId="0" xr:uid="{96834FD6-C970-43F8-AADA-6DC28282C7D5}">
      <text>
        <r>
          <rPr>
            <sz val="11"/>
            <color theme="1"/>
            <rFont val="Calibri"/>
            <family val="2"/>
            <charset val="1"/>
          </rPr>
          <t>Ahmad Sharaf Al Masri:
HMI reads 34.1 C on IMG_9599.jpeg - well above the ~17-20 C of the adjacent media studios. Consistent with an unconditioned store, but worth checking.</t>
        </r>
      </text>
    </comment>
    <comment ref="D1093" authorId="0" shapeId="0" xr:uid="{4A9E82FD-627F-4909-B20F-789D28BA69E8}">
      <text>
        <r>
          <rPr>
            <sz val="11"/>
            <color theme="1"/>
            <rFont val="Calibri"/>
            <family val="2"/>
            <charset val="1"/>
          </rPr>
          <t>Ahmad Sharaf Al Masri:
CONFLICT: previously recorded as 'Plant Room 1 / Plant Room 2 (IMG_9588.jpeg)', Not Included. Honeywell BMS VAV Summary Type-01 (IMG_9563.jpeg) groups VAV/B/S11/022 (Master) and /023 (Slave) together under 'Basement Zone 1 Corridor Leading To Reception &amp; Lounge B009'. Updated to match the BMS and changed to Included. Verify against the basement drawing before final sign-off.</t>
        </r>
      </text>
    </comment>
    <comment ref="D1129" authorId="0" shapeId="0" xr:uid="{2257BDC7-65C0-45CD-9A82-343E93A3C8F4}">
      <text>
        <r>
          <rPr>
            <sz val="11"/>
            <color theme="1"/>
            <rFont val="Calibri"/>
            <family val="2"/>
            <charset val="1"/>
          </rPr>
          <t>Ahmad Sharaf Al Masri:
HMI label on IMG_9589.jpeg reads 'VAV-B-S11-005'. Positionally it sits between VAV-B-S14-004 and VAV-B-S14-006 in the Digitization Room, and VAV_B_S11_005 (row 1075) is already assigned to Tech, Services &amp; Collections Office from IMG_9587.jpeg. Recorded here as S14_005 - please confirm the correct HMI tag.</t>
        </r>
      </text>
    </comment>
    <comment ref="D1161" authorId="0" shapeId="0" xr:uid="{6692F30D-2CAD-444C-9102-BEB31B962784}">
      <text>
        <r>
          <rPr>
            <sz val="11"/>
            <color theme="1"/>
            <rFont val="Calibri"/>
            <family val="2"/>
            <charset val="1"/>
          </rPr>
          <t>Ahmad Sharaf Al Masri:
Flagged for the executive-room rule, not for the room name. 'Asst. Head' is a management office - confirm whether it counts as an executive room (Not Included) or a senior staff office (currently Included).</t>
        </r>
      </text>
    </comment>
    <comment ref="D1162" authorId="0" shapeId="0" xr:uid="{E8D51BEB-925C-4CFD-87AF-DBCFCAF22528}">
      <text>
        <r>
          <rPr>
            <sz val="11"/>
            <color theme="1"/>
            <rFont val="Calibri"/>
            <family val="2"/>
            <charset val="1"/>
          </rPr>
          <t>Ahmad Sharaf Al Masri:
Flagged for the executive-room rule, not for the room name. 'Asst. Head' is a management office - confirm whether it counts as an executive room (Not Included) or a senior staff office (currently Included).</t>
        </r>
      </text>
    </comment>
    <comment ref="D1221" authorId="0" shapeId="0" xr:uid="{0392E5FD-B98F-4B51-B201-D59EEE4FCB5E}">
      <text>
        <r>
          <rPr>
            <b/>
            <sz val="9"/>
            <color indexed="81"/>
            <rFont val="Tahoma"/>
            <family val="2"/>
          </rPr>
          <t>Ahmad Sharaf Al Masri:</t>
        </r>
        <r>
          <rPr>
            <sz val="9"/>
            <color indexed="81"/>
            <rFont val="Tahoma"/>
            <family val="2"/>
          </rPr>
          <t xml:space="preserve">
No B083 in the room-name list supplied (list jumps B082 TRANSFORMER ROOM to B084 UPS BATTERY ROOM). Name needed.</t>
        </r>
      </text>
    </comment>
    <comment ref="D1222" authorId="0" shapeId="0" xr:uid="{BAA5E4CD-60FB-4723-A94A-BE317C6144CD}">
      <text>
        <r>
          <rPr>
            <b/>
            <sz val="9"/>
            <color indexed="81"/>
            <rFont val="Tahoma"/>
            <family val="2"/>
          </rPr>
          <t>Ahmad Sharaf Al Masri:</t>
        </r>
        <r>
          <rPr>
            <sz val="9"/>
            <color indexed="81"/>
            <rFont val="Tahoma"/>
            <family val="2"/>
          </rPr>
          <t xml:space="preserve">
No B083 in the room-name list supplied (list jumps B082 TRANSFORMER ROOM to B084 UPS BATTERY ROOM). Name needed.</t>
        </r>
      </text>
    </comment>
    <comment ref="D1233" authorId="0" shapeId="0" xr:uid="{906E436E-F3DC-40C7-8354-A075652F27D6}">
      <text>
        <r>
          <rPr>
            <b/>
            <sz val="9"/>
            <color indexed="81"/>
            <rFont val="Tahoma"/>
            <family val="2"/>
          </rPr>
          <t>Ahmad Sharaf Al Masri:</t>
        </r>
        <r>
          <rPr>
            <sz val="9"/>
            <color indexed="81"/>
            <rFont val="Tahoma"/>
            <family val="2"/>
          </rPr>
          <t xml:space="preserve">
No B045 / B045A in the room-name list supplied. Name needed.</t>
        </r>
      </text>
    </comment>
    <comment ref="D1234" authorId="0" shapeId="0" xr:uid="{4D9BD79C-E207-4962-BBB3-1057E1618FAD}">
      <text>
        <r>
          <rPr>
            <b/>
            <sz val="9"/>
            <color indexed="81"/>
            <rFont val="Tahoma"/>
            <family val="2"/>
          </rPr>
          <t>Ahmad Sharaf Al Masri:</t>
        </r>
        <r>
          <rPr>
            <sz val="9"/>
            <color indexed="81"/>
            <rFont val="Tahoma"/>
            <family val="2"/>
          </rPr>
          <t xml:space="preserve">
No B045 / B045A in the room-name list supplied. Name needed.</t>
        </r>
      </text>
    </comment>
    <comment ref="D1235" authorId="0" shapeId="0" xr:uid="{4D260E7F-F9AD-48D7-AA89-F349E4DC4BB6}">
      <text>
        <r>
          <rPr>
            <b/>
            <sz val="9"/>
            <color indexed="81"/>
            <rFont val="Tahoma"/>
            <family val="2"/>
          </rPr>
          <t>Ahmad Sharaf Al Masri:</t>
        </r>
        <r>
          <rPr>
            <sz val="9"/>
            <color indexed="81"/>
            <rFont val="Tahoma"/>
            <family val="2"/>
          </rPr>
          <t xml:space="preserve">
No B045 / B045A in the room-name list supplied. Name needed.</t>
        </r>
      </text>
    </comment>
    <comment ref="D1237" authorId="0" shapeId="0" xr:uid="{D4633AE2-B9E5-4989-8F8D-155F06E34D99}">
      <text>
        <r>
          <rPr>
            <b/>
            <sz val="9"/>
            <color indexed="81"/>
            <rFont val="Tahoma"/>
            <family val="2"/>
          </rPr>
          <t>Ahmad Sharaf Al Masri:</t>
        </r>
        <r>
          <rPr>
            <sz val="9"/>
            <color indexed="81"/>
            <rFont val="Tahoma"/>
            <family val="2"/>
          </rPr>
          <t xml:space="preserve">
DX/RP/21 is a Roof unit (Zone C) — no room number on HMI.</t>
        </r>
      </text>
    </comment>
    <comment ref="D1238" authorId="0" shapeId="0" xr:uid="{4AFADFC5-1B3D-4E92-94DE-5B6E76BEC679}">
      <text>
        <r>
          <rPr>
            <b/>
            <sz val="9"/>
            <color indexed="81"/>
            <rFont val="Tahoma"/>
            <family val="2"/>
          </rPr>
          <t>Ahmad Sharaf Al Masri:</t>
        </r>
        <r>
          <rPr>
            <sz val="9"/>
            <color indexed="81"/>
            <rFont val="Tahoma"/>
            <family val="2"/>
          </rPr>
          <t xml:space="preserve">
Ambiguous: list has two B106 entries - 'REST ROOM SECURITY B106_RES' and 'SECURITY STORES SECURITY UPS B106_SEC'. Confirm which applies to DX_B22.</t>
        </r>
      </text>
    </comment>
    <comment ref="D1240" authorId="0" shapeId="0" xr:uid="{BEB560C8-96D3-4F8B-8A42-1C89243C35D9}">
      <text>
        <r>
          <rPr>
            <b/>
            <sz val="9"/>
            <color indexed="81"/>
            <rFont val="Tahoma"/>
            <family val="2"/>
          </rPr>
          <t>Ahmad Sharaf Al Masri:</t>
        </r>
        <r>
          <rPr>
            <sz val="9"/>
            <color indexed="81"/>
            <rFont val="Tahoma"/>
            <family val="2"/>
          </rPr>
          <t xml:space="preserve">
DX/RP/21 is a Roof unit (Zone C) — no room number on HMI.</t>
        </r>
      </text>
    </comment>
    <comment ref="D1295" authorId="0" shapeId="0" xr:uid="{702B3CA4-9D9A-4674-B059-5BB01A821055}">
      <text>
        <r>
          <rPr>
            <b/>
            <sz val="9"/>
            <color indexed="81"/>
            <rFont val="Tahoma"/>
            <family val="2"/>
          </rPr>
          <t>Ahmad Sharaf Al Masri:</t>
        </r>
        <r>
          <rPr>
            <sz val="9"/>
            <color indexed="81"/>
            <rFont val="Tahoma"/>
            <family val="2"/>
          </rPr>
          <t xml:space="preserve">
Ambiguous: list has two B141 entries - 'HL PLANT ROOM B141_HLP' and 'VAULT B141_VAU'. Confirm which applies to CCU_B08.</t>
        </r>
      </text>
    </comment>
    <comment ref="D1296" authorId="0" shapeId="0" xr:uid="{885BDC28-CE74-4FCD-8CD1-AF71223D3112}">
      <text>
        <r>
          <rPr>
            <b/>
            <sz val="9"/>
            <color indexed="81"/>
            <rFont val="Tahoma"/>
            <family val="2"/>
          </rPr>
          <t>Ahmad Sharaf Al Masri:</t>
        </r>
        <r>
          <rPr>
            <sz val="9"/>
            <color indexed="81"/>
            <rFont val="Tahoma"/>
            <family val="2"/>
          </rPr>
          <t xml:space="preserve">
Ambiguous: list has two B141 entries - 'HL PLANT ROOM B141_HLP' and 'VAULT B141_VAU'. Confirm which applies to CCU_B09.</t>
        </r>
      </text>
    </comment>
    <comment ref="D1614" authorId="0" shapeId="0" xr:uid="{00000000-0006-0000-0500-00000A000000}">
      <text>
        <r>
          <rPr>
            <sz val="11"/>
            <color theme="1"/>
            <rFont val="Calibri"/>
            <family val="2"/>
            <charset val="1"/>
          </rPr>
          <t>Ahmad Sharaf Al Masri:
Corrected from Emergency Elec. N-0333. B2.1 places AT-6205/EV-6206 (20.8 C) at Conference N-0331 and AT-6220/EV-6221 (18.1 C) at Emergency Elec. N-0333 - the two rows were swapped. Temperatures support it: 18.1 C is an electrical room, 20.8 C an occupied conference room.</t>
        </r>
      </text>
    </comment>
    <comment ref="D1616" authorId="0" shapeId="0" xr:uid="{00000000-0006-0000-0500-00000B000000}">
      <text>
        <r>
          <rPr>
            <sz val="11"/>
            <color theme="1"/>
            <rFont val="Calibri"/>
            <family val="2"/>
            <charset val="1"/>
          </rPr>
          <t>Ahmad Sharaf Al Masri:
Corrected from Conf N-0331 - swapped with row 1463. See note on D1463.</t>
        </r>
      </text>
    </comment>
    <comment ref="D1636" authorId="0" shapeId="0" xr:uid="{00000000-0006-0000-0500-00000C000000}">
      <text>
        <r>
          <rPr>
            <sz val="11"/>
            <color theme="1"/>
            <rFont val="Calibri"/>
            <family val="2"/>
            <charset val="1"/>
          </rPr>
          <t>Ahmad Sharaf Al Masri:
Corrected from Office N-0376. B2.1 places AT-6380 (22.9 C) at Workstation N-0378 and AT-6370 (23.3 C) at Office N-0376; N-0376 is now held by VAV6370 (row 1483).</t>
        </r>
      </text>
    </comment>
    <comment ref="D1668" authorId="0" shapeId="0" xr:uid="{00000000-0006-0000-0500-00000D000000}">
      <text>
        <r>
          <rPr>
            <sz val="11"/>
            <color theme="1"/>
            <rFont val="Calibri"/>
            <family val="2"/>
            <charset val="1"/>
          </rPr>
          <t>Ahmad Sharaf Al Masri:
Corrected from Office N-0427, which duplicated row 1518. B2.2 places AT-7145 (22.9 C) at Office N-0425 and AT-7155 (21.1 C) at Office N-0427.</t>
        </r>
      </text>
    </comment>
    <comment ref="D1670" authorId="0" shapeId="0" xr:uid="{00000000-0006-0000-0500-00000E000000}">
      <text>
        <r>
          <rPr>
            <sz val="11"/>
            <color theme="1"/>
            <rFont val="Calibri"/>
            <family val="2"/>
            <charset val="1"/>
          </rPr>
          <t>Ahmad Sharaf Al Masri:
Corrected from Office N-0428. B2.2 places AT-7165 (20.5 C) at Office N-0429; no room N-0428 appears on the Level 0 drawing.</t>
        </r>
      </text>
    </comment>
    <comment ref="D1674" authorId="0" shapeId="0" xr:uid="{00000000-0006-0000-0500-00000F000000}">
      <text>
        <r>
          <rPr>
            <sz val="11"/>
            <color theme="1"/>
            <rFont val="Calibri"/>
            <family val="2"/>
            <charset val="1"/>
          </rPr>
          <t>Ahmad Sharaf Al Masri:
Corrected from Office N-0426. B2.2 places AT-7185/EV-7186 at Emer. Elec. Room N-0433 - it reads 15.0 C, consistent with an electrical room, not an office.</t>
        </r>
      </text>
    </comment>
    <comment ref="D1719" authorId="0" shapeId="0" xr:uid="{00000000-0006-0000-0500-000010000000}">
      <text>
        <r>
          <rPr>
            <sz val="11"/>
            <color theme="1"/>
            <rFont val="Calibri"/>
            <family val="2"/>
            <charset val="1"/>
          </rPr>
          <t>Ahmad Sharaf Al Masri:
Resolved by elimination, NOT read directly off a drawing. VAV0509 was the only unassigned VAV row in the South Building Level 1 block and NCIR Office S-1115 the only unassigned room in the AT-0510/0511/0512/0513/0514 group (S-1115A, S-1116, S-1117, S-1118, S-1119). B1.1 shows a sensor inside S-1115 labelled AT-0503, but A1.3 - the dedicated close-up of that core - places AT-0503 at Women S-1106B in a clean 0502/0503/0505 -&gt; S-1105/S-1106B/S-1107B sequence. Most likely the B1.1 graphic is mislabelled and that sensor is AT-0509. VERIFY AGAINST THE BMS POINT LIST before relying on this row.</t>
        </r>
      </text>
    </comment>
    <comment ref="D2038" authorId="0" shapeId="0" xr:uid="{00000000-0006-0000-0500-000011000000}">
      <text>
        <r>
          <rPr>
            <sz val="11"/>
            <color theme="1"/>
            <rFont val="Calibri"/>
            <family val="2"/>
            <charset val="1"/>
          </rPr>
          <t>Ahmad Sharaf Al Masri:
Corrected from Office N-1126. A2.2 labels N-1126 as CORRIDOR (the label appears twice along the corridor run); AT-5685/EV-5686 sit on that corridor, not in an office.</t>
        </r>
      </text>
    </comment>
    <comment ref="D2059" authorId="0" shapeId="0" xr:uid="{00000000-0006-0000-0500-000012000000}">
      <text>
        <r>
          <rPr>
            <sz val="11"/>
            <color theme="1"/>
            <rFont val="Calibri"/>
            <family val="2"/>
            <charset val="1"/>
          </rPr>
          <t>Ahmad Sharaf Al Masri:
Corrected from Office N-1163, which duplicated row 1923. On A2.2 the bottom office band has exactly 17 tags for 17 rooms (AT-5860 to AT-5940), all accounted for; AT-5840 is the extra tag and sits above the band on the Corridor N-1150 run beside EV-5941. N-1163 is held by VAV5905 (row 1923).</t>
        </r>
      </text>
    </comment>
    <comment ref="D2185" authorId="0" shapeId="0" xr:uid="{00000000-0006-0000-0500-000013000000}">
      <text>
        <r>
          <rPr>
            <sz val="11"/>
            <color theme="1"/>
            <rFont val="Calibri"/>
            <family val="2"/>
            <charset val="1"/>
          </rPr>
          <t>Ahmad Sharaf Al Masri:
Corrected from Flow Cyto N-1450C, which duplicated row 2034. B2.2 (Level 1) places VEV-7781 at iPS-TC N-1450F and VEV-7751 at Flow Cyto N-1450C.</t>
        </r>
      </text>
    </comment>
    <comment ref="D2222" authorId="0" shapeId="0" xr:uid="{00000000-0006-0000-0500-000014000000}">
      <text>
        <r>
          <rPr>
            <sz val="11"/>
            <color theme="1"/>
            <rFont val="Calibri"/>
            <family val="2"/>
            <charset val="1"/>
          </rPr>
          <t>Ahmad Sharaf Al Masri:
Corrected from Corridor N-1138. On A2.2 FCU-5983 and FCU-5984 are adjacent boxes serving the JC N-1139 / IDF N-1140 pair; Corridor N-1138 is further west where AT-5745 sits.</t>
        </r>
      </text>
    </comment>
    <comment ref="D2223" authorId="0" shapeId="0" xr:uid="{00000000-0006-0000-0500-000015000000}">
      <text>
        <r>
          <rPr>
            <sz val="11"/>
            <color theme="1"/>
            <rFont val="Calibri"/>
            <family val="2"/>
            <charset val="1"/>
          </rPr>
          <t>Ahmad Sharaf Al Masri:
Corrected from Corridor N-1138. On A2.2 FCU-5983 and FCU-5984 are adjacent boxes serving the JC N-1139 / IDF N-1140 pair; Corridor N-1138 is further west where AT-5745 sits.</t>
        </r>
      </text>
    </comment>
    <comment ref="D2268" authorId="0" shapeId="0" xr:uid="{00000000-0006-0000-0500-000016000000}">
      <text>
        <r>
          <rPr>
            <sz val="11"/>
            <color theme="1"/>
            <rFont val="Calibri"/>
            <family val="2"/>
            <charset val="1"/>
          </rPr>
          <t>Ahmad Sharaf Al Masri:
Corrected from Stair 5 N-0STO5. B2.2 (Level 0) places FCU-7981 (20.9 C) at IDF N-0419; Stair 5 N-0ST05 is served by FCU-7993 (26.5 C on the same drawing), appended at row 2631.</t>
        </r>
      </text>
    </comment>
    <comment ref="D2269" authorId="0" shapeId="0" xr:uid="{00000000-0006-0000-0500-000017000000}">
      <text>
        <r>
          <rPr>
            <sz val="11"/>
            <color theme="1"/>
            <rFont val="Calibri"/>
            <family val="2"/>
            <charset val="1"/>
          </rPr>
          <t>Ahmad Sharaf Al Masri:
Corrected from Service Corridor N-0344. B2.2 (Level 0) places FCU-7982 (21.2 C) at Mech/FPC N-0434, directly below FCU-7981.</t>
        </r>
      </text>
    </comment>
    <comment ref="D2277" authorId="0" shapeId="0" xr:uid="{00000000-0006-0000-0500-000018000000}">
      <text>
        <r>
          <rPr>
            <sz val="11"/>
            <color theme="1"/>
            <rFont val="Calibri"/>
            <family val="2"/>
            <charset val="1"/>
          </rPr>
          <t>Ahmad Sharaf Al Masri:
From B1.1 (South Building Level 1): FCU-0502 (21.3 C) sits beside FPC S-1108 / Service Vestibule S-1105.</t>
        </r>
      </text>
    </comment>
    <comment ref="D2278" authorId="0" shapeId="0" xr:uid="{00000000-0006-0000-0500-000019000000}">
      <text>
        <r>
          <rPr>
            <sz val="11"/>
            <color theme="1"/>
            <rFont val="Calibri"/>
            <family val="2"/>
            <charset val="1"/>
          </rPr>
          <t>Ahmad Sharaf Al Masri:
From B1.1 (South Building Level 1): FCU-0503 (20.9 C) sits beside Normal Elec. Room S-1107C / UPS S-1107D.</t>
        </r>
      </text>
    </comment>
    <comment ref="D2320" authorId="0" shapeId="0" xr:uid="{00000000-0006-0000-0500-00001A000000}">
      <text>
        <r>
          <rPr>
            <sz val="11"/>
            <color theme="1"/>
            <rFont val="Calibri"/>
            <family val="2"/>
            <charset val="1"/>
          </rPr>
          <t>Ahmad Sharaf Al Masri:
BMS screen shows the room name as "IDF-S-0271"; written as "IDF ROOM" for consistency with the other IDF entries.</t>
        </r>
      </text>
    </comment>
    <comment ref="D2322" authorId="0" shapeId="0" xr:uid="{00000000-0006-0000-0500-00001B000000}">
      <text>
        <r>
          <rPr>
            <sz val="11"/>
            <color theme="1"/>
            <rFont val="Calibri"/>
            <family val="2"/>
            <charset val="1"/>
          </rPr>
          <t>Ahmad Sharaf Al Masri:
BMS screen shows the room name as "STAIR-OST04"; written as "STAIR-04" for consistency with the other stair entries.</t>
        </r>
      </text>
    </comment>
    <comment ref="D2337" authorId="0" shapeId="0" xr:uid="{00000000-0006-0000-0500-00001C000000}">
      <text>
        <r>
          <rPr>
            <sz val="11"/>
            <color theme="1"/>
            <rFont val="Calibri"/>
            <family val="2"/>
            <charset val="1"/>
          </rPr>
          <t>Ahmad Sharaf Al Masri:
BMS screen shows no room number for FCU-8502/8503/8504/8505 (merged room-name cell).</t>
        </r>
      </text>
    </comment>
    <comment ref="D2491" authorId="0" shapeId="0" xr:uid="{00000000-0006-0000-0500-00001D000000}">
      <text>
        <r>
          <rPr>
            <sz val="11"/>
            <color theme="1"/>
            <rFont val="Calibri"/>
            <family val="2"/>
            <charset val="1"/>
          </rPr>
          <t>Ahmad Sharaf Al Masri:
CONFLICT between drawings. A1.3 (close-up of the Level 1 core) places AT-0503 at Women S-1106B, forming a clean sequence with AT-0502 -&gt; Vestibule S-1105 and AT-0505 -&gt; Emergency Elec. S-1107B. B1.1 instead shows a sensor labelled AT-0503 reading 22.5 C inside NCIR Office S-1115. A1.3 was taken as authoritative; the S-1115 sensor is most likely AT-0509 (see note on D1569). Verify against the BMS point list.</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<sst xmlns="http://schemas.openxmlformats.org/spreadsheetml/2006/main" count="28135" uniqueCount="9870">
  <si>
    <t>Controllable Asset Registry</t>
  </si>
  <si>
    <t>Tag No.</t>
  </si>
  <si>
    <t>Equipment Type</t>
  </si>
  <si>
    <t>Inluded/ Not Inlcuded</t>
  </si>
  <si>
    <t>ROOM NAME AS PER DRAWINGS</t>
  </si>
  <si>
    <t>HQ</t>
  </si>
  <si>
    <t>AHU12_0001</t>
  </si>
  <si>
    <t>AHU</t>
  </si>
  <si>
    <t>Not Included</t>
  </si>
  <si>
    <t>AHU12_0002</t>
  </si>
  <si>
    <t>Included</t>
  </si>
  <si>
    <t>AHU12_0003</t>
  </si>
  <si>
    <t>AHU12_0004</t>
  </si>
  <si>
    <t>AHU12_0006</t>
  </si>
  <si>
    <t>AHU12_0007</t>
  </si>
  <si>
    <t>AHU12_0008</t>
  </si>
  <si>
    <t>AHU12_0009</t>
  </si>
  <si>
    <t>AHU12_0010</t>
  </si>
  <si>
    <t>AHU2_0001</t>
  </si>
  <si>
    <t>SPA PLANT ROOM 2.302</t>
  </si>
  <si>
    <t>AHU5_0001</t>
  </si>
  <si>
    <t>PLANT ROOM 5.301</t>
  </si>
  <si>
    <t>AHU5_0002</t>
  </si>
  <si>
    <t>AHU9_0001</t>
  </si>
  <si>
    <t>PLANT ROOM 9.111</t>
  </si>
  <si>
    <t>AHU9_0002</t>
  </si>
  <si>
    <t>AHU9_0003</t>
  </si>
  <si>
    <t>AHU ROOM 9.109</t>
  </si>
  <si>
    <t>AHUB_0001</t>
  </si>
  <si>
    <t>B.001</t>
  </si>
  <si>
    <t>AHUB_0002</t>
  </si>
  <si>
    <t>AHUB_0003</t>
  </si>
  <si>
    <t>B.006</t>
  </si>
  <si>
    <t>AHUB_0004</t>
  </si>
  <si>
    <t>AHUB_0005</t>
  </si>
  <si>
    <t>B.016</t>
  </si>
  <si>
    <t>AHUB_0006</t>
  </si>
  <si>
    <t>AHUB_0007</t>
  </si>
  <si>
    <t>B.022</t>
  </si>
  <si>
    <t>AHUB_0008</t>
  </si>
  <si>
    <t>AHUB_0009</t>
  </si>
  <si>
    <t>B.019</t>
  </si>
  <si>
    <t>AHUB_0010</t>
  </si>
  <si>
    <t>AHUB_0011</t>
  </si>
  <si>
    <t>FCU0001</t>
  </si>
  <si>
    <t>FCU</t>
  </si>
  <si>
    <t>IDF ROOM B.512</t>
  </si>
  <si>
    <t>FCU0002</t>
  </si>
  <si>
    <t>SECURITY CONTROL B.003</t>
  </si>
  <si>
    <t>FCU0003</t>
  </si>
  <si>
    <t>DOCK MASTER OFFICE B.107</t>
  </si>
  <si>
    <t>FCU0004</t>
  </si>
  <si>
    <t>HH SECURITY B.113</t>
  </si>
  <si>
    <t>FCU0005</t>
  </si>
  <si>
    <t>MALE TOILET B.401</t>
  </si>
  <si>
    <t>FCU0006</t>
  </si>
  <si>
    <t>ROOM B.122</t>
  </si>
  <si>
    <t>FCU0007</t>
  </si>
  <si>
    <t>ROOM B.123</t>
  </si>
  <si>
    <t>FCU0008</t>
  </si>
  <si>
    <t>ROOM B.014</t>
  </si>
  <si>
    <t>FCU0009</t>
  </si>
  <si>
    <t>FCU0010</t>
  </si>
  <si>
    <t>ROOM B.124</t>
  </si>
  <si>
    <t>FCU0011</t>
  </si>
  <si>
    <t>CHAUFFEUR ROOM B.117</t>
  </si>
  <si>
    <t>FCU0012</t>
  </si>
  <si>
    <t>IDF ROOM G.531</t>
  </si>
  <si>
    <t>FCU0013</t>
  </si>
  <si>
    <t>FCU0014</t>
  </si>
  <si>
    <t>IDF ROOM G.512</t>
  </si>
  <si>
    <t>FCU0015</t>
  </si>
  <si>
    <t>NURSERY CONSULT. G.031</t>
  </si>
  <si>
    <t>FCU0016</t>
  </si>
  <si>
    <t>COPY PRINT G.017</t>
  </si>
  <si>
    <t>FCU0017</t>
  </si>
  <si>
    <t>CONTROL CENTER G.005</t>
  </si>
  <si>
    <t>FCU0018</t>
  </si>
  <si>
    <t>VESTIBULE G.511</t>
  </si>
  <si>
    <t>FCU0019</t>
  </si>
  <si>
    <t>IDF ROOM 1.531</t>
  </si>
  <si>
    <t>FCU0020</t>
  </si>
  <si>
    <t>FCU0021</t>
  </si>
  <si>
    <t>IDF ROOM 1.512</t>
  </si>
  <si>
    <t>FCU0022</t>
  </si>
  <si>
    <t>PRINT COPY 1.112</t>
  </si>
  <si>
    <t>FCU0023</t>
  </si>
  <si>
    <t>IDF ROOM 2.531</t>
  </si>
  <si>
    <t>FCU0024</t>
  </si>
  <si>
    <t>FCU0025</t>
  </si>
  <si>
    <t>TERRACE 2.701</t>
  </si>
  <si>
    <t>FCU0026</t>
  </si>
  <si>
    <t>FCU0027</t>
  </si>
  <si>
    <t>FCU0028</t>
  </si>
  <si>
    <t>PRINT COPY 2.103</t>
  </si>
  <si>
    <t>FCU0029</t>
  </si>
  <si>
    <t>SPA LOUNGE BAR 2.207</t>
  </si>
  <si>
    <t>FCU0030</t>
  </si>
  <si>
    <t>FCU0031</t>
  </si>
  <si>
    <t>SPA FITNESS STUDIO 2.208</t>
  </si>
  <si>
    <t>FCU0032</t>
  </si>
  <si>
    <t>FCU0033</t>
  </si>
  <si>
    <t>FCU0034</t>
  </si>
  <si>
    <t>SPA OFFICE 2.209</t>
  </si>
  <si>
    <t>FCU0035</t>
  </si>
  <si>
    <t>STAFF FEMALE WC 2.210</t>
  </si>
  <si>
    <t>FCU0036</t>
  </si>
  <si>
    <t>SPA. FM BEAUTY SALON 2.211</t>
  </si>
  <si>
    <t>FCU0037</t>
  </si>
  <si>
    <t>FCU0038</t>
  </si>
  <si>
    <t>SPA FM TREATMENT 2.212</t>
  </si>
  <si>
    <t>FCU0039</t>
  </si>
  <si>
    <t>SPA CHANGING ROOM 2.213</t>
  </si>
  <si>
    <t>FCU0040</t>
  </si>
  <si>
    <t>FCU0041</t>
  </si>
  <si>
    <t>SPA FM TREATMENT 2.214</t>
  </si>
  <si>
    <t>FCU0042</t>
  </si>
  <si>
    <t>SPA FM TREATMENT 2.215</t>
  </si>
  <si>
    <t>FCU0043</t>
  </si>
  <si>
    <t>SPA FM RELAXATION 2.216</t>
  </si>
  <si>
    <t>FCU0044</t>
  </si>
  <si>
    <t>FCU0045</t>
  </si>
  <si>
    <t>SPA MALE RELAXATION 2.201</t>
  </si>
  <si>
    <t>FCU0046</t>
  </si>
  <si>
    <t>FCU0047</t>
  </si>
  <si>
    <t>FCU0048</t>
  </si>
  <si>
    <t>SPA MALE TREATMENT 3 2.202</t>
  </si>
  <si>
    <t>FCU0049</t>
  </si>
  <si>
    <t>SPA MALE TREATMENT 2 2.203</t>
  </si>
  <si>
    <t>FCU0050</t>
  </si>
  <si>
    <t>SPA MALE TREATMENT 1 2.204</t>
  </si>
  <si>
    <t>FCU0051</t>
  </si>
  <si>
    <t>MALE CHANGING ROOM 2.205</t>
  </si>
  <si>
    <t>FCU0052</t>
  </si>
  <si>
    <t>FCU0053</t>
  </si>
  <si>
    <t>SPA ENTRANCE 2.206</t>
  </si>
  <si>
    <t>FCU0054</t>
  </si>
  <si>
    <t>SPA LOBBY 2.603</t>
  </si>
  <si>
    <t>FCU0055</t>
  </si>
  <si>
    <t>FCU0056</t>
  </si>
  <si>
    <t>IDF ROOM 2.512</t>
  </si>
  <si>
    <t>FCU0057</t>
  </si>
  <si>
    <t>FCU0058</t>
  </si>
  <si>
    <t>FCU0059</t>
  </si>
  <si>
    <t>IDF ROOM 3.531</t>
  </si>
  <si>
    <t>FCU0060</t>
  </si>
  <si>
    <t>FCU0061</t>
  </si>
  <si>
    <t>IDF ROOM 3.512</t>
  </si>
  <si>
    <t>FCU0062</t>
  </si>
  <si>
    <t>COPY/PRINT 3.203</t>
  </si>
  <si>
    <t>FCU0063</t>
  </si>
  <si>
    <t>PRINT COPY 3.103</t>
  </si>
  <si>
    <t>FCU0064</t>
  </si>
  <si>
    <t>CORRIDOR BRIDGE 3.63</t>
  </si>
  <si>
    <t>FCU0065</t>
  </si>
  <si>
    <t>FCU0066</t>
  </si>
  <si>
    <t>FCU0067</t>
  </si>
  <si>
    <t>NORTH EAST ZONE</t>
  </si>
  <si>
    <t>FCU0068</t>
  </si>
  <si>
    <t>FCU0069</t>
  </si>
  <si>
    <t>FCU0070</t>
  </si>
  <si>
    <t>FCU0071</t>
  </si>
  <si>
    <t>IDF ROOM 04.531</t>
  </si>
  <si>
    <t>FCU0072</t>
  </si>
  <si>
    <t>FCU0073</t>
  </si>
  <si>
    <t>IDF ROOM 04.512</t>
  </si>
  <si>
    <t>FCU0074</t>
  </si>
  <si>
    <t>PRINT COPY 05.202</t>
  </si>
  <si>
    <t>FCU0075</t>
  </si>
  <si>
    <t>GSM ROOM 05.214</t>
  </si>
  <si>
    <t>FCU0076</t>
  </si>
  <si>
    <t>FCU0077</t>
  </si>
  <si>
    <t>FCU0078</t>
  </si>
  <si>
    <t>FCU0079</t>
  </si>
  <si>
    <t>FCU0080</t>
  </si>
  <si>
    <t>FCU0081</t>
  </si>
  <si>
    <t>TERRACE 04.702</t>
  </si>
  <si>
    <t>FCU0082</t>
  </si>
  <si>
    <t>TERRACE 04.703</t>
  </si>
  <si>
    <t>FCU0083</t>
  </si>
  <si>
    <t>FCU0084</t>
  </si>
  <si>
    <t>PRINT COPY 04.110</t>
  </si>
  <si>
    <t>FCU0085</t>
  </si>
  <si>
    <t>IDF ROOM 5.531</t>
  </si>
  <si>
    <t>FCU0086</t>
  </si>
  <si>
    <t>FCU0087</t>
  </si>
  <si>
    <t>IDF ROOM 5.512</t>
  </si>
  <si>
    <t>FCU0088</t>
  </si>
  <si>
    <t>PRINT COPY 5.103</t>
  </si>
  <si>
    <t>FCU0089</t>
  </si>
  <si>
    <t>BRIDGE 06.604</t>
  </si>
  <si>
    <t>FCU0090</t>
  </si>
  <si>
    <t>FCU0091</t>
  </si>
  <si>
    <t>FCU0092</t>
  </si>
  <si>
    <t>BRIDGE 5.602</t>
  </si>
  <si>
    <t>FCU0093</t>
  </si>
  <si>
    <t>FCU0094</t>
  </si>
  <si>
    <t>FCU0095</t>
  </si>
  <si>
    <t>FCU0096</t>
  </si>
  <si>
    <t>IDF ROOM 06.531</t>
  </si>
  <si>
    <t>FCU0097</t>
  </si>
  <si>
    <t>NOT FOUND ON THE DRAWING OR SCHEDULE</t>
  </si>
  <si>
    <t>FCU0098</t>
  </si>
  <si>
    <t>IDF ROOM 06.512</t>
  </si>
  <si>
    <t>FCU0099</t>
  </si>
  <si>
    <t>BRIDGE 07.602</t>
  </si>
  <si>
    <t>FCU0100</t>
  </si>
  <si>
    <t>FCU0101</t>
  </si>
  <si>
    <t>FCU0102</t>
  </si>
  <si>
    <t>PRINT COPY 06.104</t>
  </si>
  <si>
    <t>FCU0103</t>
  </si>
  <si>
    <t>PRINT COPY 06.208</t>
  </si>
  <si>
    <t>FCU0104</t>
  </si>
  <si>
    <t>IDF ROOM 7.531</t>
  </si>
  <si>
    <t>FCU0105</t>
  </si>
  <si>
    <t>FCU0106</t>
  </si>
  <si>
    <t>IDF ROOM 7.512</t>
  </si>
  <si>
    <t>FCU0107</t>
  </si>
  <si>
    <t>PRINT COPY 7.101</t>
  </si>
  <si>
    <t>FCU0108</t>
  </si>
  <si>
    <t>PRINT COPY 7.104</t>
  </si>
  <si>
    <t>FCU0109</t>
  </si>
  <si>
    <t>IDF ROOM 8.512</t>
  </si>
  <si>
    <t>FCU0110</t>
  </si>
  <si>
    <t>IDF ROOM 9.531</t>
  </si>
  <si>
    <t>FCU0111</t>
  </si>
  <si>
    <t>FCU0112</t>
  </si>
  <si>
    <t>IDF ROOM 9.512</t>
  </si>
  <si>
    <t>FCU0113</t>
  </si>
  <si>
    <t>IDF ROOM 10.531</t>
  </si>
  <si>
    <t>FCU0114</t>
  </si>
  <si>
    <t>STAFF LOUNGE STORAGE 1.114</t>
  </si>
  <si>
    <t>FCU0115</t>
  </si>
  <si>
    <t>IDF ROOM 10.512</t>
  </si>
  <si>
    <t>FCU0116</t>
  </si>
  <si>
    <t>PRINT COPY 10.038</t>
  </si>
  <si>
    <t>FCU0117</t>
  </si>
  <si>
    <t>PRINT COPY 10.014</t>
  </si>
  <si>
    <t>FCU0118</t>
  </si>
  <si>
    <t>TRANSLATOR ROOM 10.111</t>
  </si>
  <si>
    <t>FCU0119</t>
  </si>
  <si>
    <t>IDF ROOM 11.531</t>
  </si>
  <si>
    <t>FCU0120</t>
  </si>
  <si>
    <t>FCU0121</t>
  </si>
  <si>
    <t>ELECT. CLOSET 11.110</t>
  </si>
  <si>
    <t>FCU0122</t>
  </si>
  <si>
    <t>MCC/ELEC ROOM 11.106</t>
  </si>
  <si>
    <t>FCU0123</t>
  </si>
  <si>
    <t>PRINT COPY ROOM 11.108</t>
  </si>
  <si>
    <t>FCU0124</t>
  </si>
  <si>
    <t>AV ROOM 11.107</t>
  </si>
  <si>
    <t>FCU0125</t>
  </si>
  <si>
    <t>IDF ROOM 11.512</t>
  </si>
  <si>
    <t>FCU0126</t>
  </si>
  <si>
    <t>12.002 MCC CLOSET</t>
  </si>
  <si>
    <t>FCU0127</t>
  </si>
  <si>
    <t>FCU0128</t>
  </si>
  <si>
    <t>12.003 MCC CLOSET</t>
  </si>
  <si>
    <t>FCU0129</t>
  </si>
  <si>
    <t>FCU0130</t>
  </si>
  <si>
    <t>12.004 MCC CLOSET</t>
  </si>
  <si>
    <t>FCU0131</t>
  </si>
  <si>
    <t>ROOF PLANT / WALKWAY (NEAR CSRR-0008)</t>
  </si>
  <si>
    <t>FCU0132</t>
  </si>
  <si>
    <t>VISITOR CENTER 9.101</t>
  </si>
  <si>
    <t>VAV0001</t>
  </si>
  <si>
    <t>VAV</t>
  </si>
  <si>
    <t>STAFF ENTRANCE B.004</t>
  </si>
  <si>
    <t>VAV0002</t>
  </si>
  <si>
    <t>STAFF LOBBY B.103</t>
  </si>
  <si>
    <t>VAV0003</t>
  </si>
  <si>
    <t>VAV0004</t>
  </si>
  <si>
    <t>SPORT SPACE B.110</t>
  </si>
  <si>
    <t>VAV0005</t>
  </si>
  <si>
    <t>LOBBY B.116</t>
  </si>
  <si>
    <t>VAV0006</t>
  </si>
  <si>
    <t>VAV0007</t>
  </si>
  <si>
    <t>CONTROL ROOM G.008</t>
  </si>
  <si>
    <t>VAV0008</t>
  </si>
  <si>
    <t>PR &amp; MARKET MANAGER G.009</t>
  </si>
  <si>
    <t>VAV0009</t>
  </si>
  <si>
    <t>PR &amp; MARKET STAFF G.010</t>
  </si>
  <si>
    <t>VAV0011</t>
  </si>
  <si>
    <t>PR &amp; MARK. MANA. G.011</t>
  </si>
  <si>
    <t>VAV0012</t>
  </si>
  <si>
    <t>PR &amp; MARKET STAFF G.012</t>
  </si>
  <si>
    <t>VAV0013</t>
  </si>
  <si>
    <t>VISITOR OFF. G.014</t>
  </si>
  <si>
    <t>VAV0014</t>
  </si>
  <si>
    <t>PR &amp; MARKET STAFF G.015</t>
  </si>
  <si>
    <t>VAV0015</t>
  </si>
  <si>
    <t>PR &amp; MAR. STAFF G.018</t>
  </si>
  <si>
    <t>VAV0016</t>
  </si>
  <si>
    <t>PR &amp; MAR. STAFF G.019</t>
  </si>
  <si>
    <t>VAV0017</t>
  </si>
  <si>
    <t>PR &amp; MAR. STAFF G.020</t>
  </si>
  <si>
    <t>VAV0018</t>
  </si>
  <si>
    <t>PR &amp; MAR. STAFF G.021</t>
  </si>
  <si>
    <t>VAV0019</t>
  </si>
  <si>
    <t>PR &amp; MARKET SEC. G.022</t>
  </si>
  <si>
    <t>VAV0020</t>
  </si>
  <si>
    <t>PR &amp; MARKET STAFF G.023</t>
  </si>
  <si>
    <t>VAV0021</t>
  </si>
  <si>
    <t>CORRIDOR G.601</t>
  </si>
  <si>
    <t>VAV0022</t>
  </si>
  <si>
    <t>VAV0023</t>
  </si>
  <si>
    <t>SHOP G.105</t>
  </si>
  <si>
    <t>VAV0024</t>
  </si>
  <si>
    <t>LOBBY G.104</t>
  </si>
  <si>
    <t>VAV0025</t>
  </si>
  <si>
    <t>VAV0026</t>
  </si>
  <si>
    <t>BMS ROOM G.103</t>
  </si>
  <si>
    <t>VAV0027</t>
  </si>
  <si>
    <t>PR &amp; MARKET MANAGER G.004</t>
  </si>
  <si>
    <t>VAV0028</t>
  </si>
  <si>
    <t>PR &amp; MARKET MANAGER G.003</t>
  </si>
  <si>
    <t>VAV0029</t>
  </si>
  <si>
    <t>PR &amp; MARKET MANAGER G.002</t>
  </si>
  <si>
    <t>VAV0030</t>
  </si>
  <si>
    <t>G.CORIDOR</t>
  </si>
  <si>
    <t>VAV0031</t>
  </si>
  <si>
    <t>PR &amp; MARKET STAFF G.001</t>
  </si>
  <si>
    <t>VAV0032</t>
  </si>
  <si>
    <t>PR &amp; MARKET STAFF G.038</t>
  </si>
  <si>
    <t>VAV0033</t>
  </si>
  <si>
    <t>PR &amp; MARKET STAFF G.037</t>
  </si>
  <si>
    <t>VAV0034</t>
  </si>
  <si>
    <t>PR &amp; MARKET STAFF G.036</t>
  </si>
  <si>
    <t>VAV0035</t>
  </si>
  <si>
    <t>PR &amp; MARKET STAFF G.035</t>
  </si>
  <si>
    <t>VAV0036</t>
  </si>
  <si>
    <t>PR &amp; MARKET STAFF G.034</t>
  </si>
  <si>
    <t>VAV0037</t>
  </si>
  <si>
    <t>PR &amp; MARKET STAFF G.033</t>
  </si>
  <si>
    <t>VAV0038</t>
  </si>
  <si>
    <t>PR &amp; MARKET STAFF G.032</t>
  </si>
  <si>
    <t>VAV0039</t>
  </si>
  <si>
    <t>STAFF G.030</t>
  </si>
  <si>
    <t>VAV0040</t>
  </si>
  <si>
    <t>SENSORY G.029</t>
  </si>
  <si>
    <t>VAV0041</t>
  </si>
  <si>
    <t>VAV0042</t>
  </si>
  <si>
    <t>PR&amp; MARKET DIRECTOR ENSUIT G.028</t>
  </si>
  <si>
    <t>VAV0043</t>
  </si>
  <si>
    <t>FINANCE CASHIER G.026</t>
  </si>
  <si>
    <t>VAV0044</t>
  </si>
  <si>
    <t>VIP LOUNGE G.025</t>
  </si>
  <si>
    <t>VAV0045</t>
  </si>
  <si>
    <t>E-TOWER LOBBY G.107</t>
  </si>
  <si>
    <t>VAV0046</t>
  </si>
  <si>
    <t>CORRIDOR (SOUTH EAST) G.602</t>
  </si>
  <si>
    <t>VAV0047</t>
  </si>
  <si>
    <t>CORRIDOR (SOUTH EAST) G.603</t>
  </si>
  <si>
    <t>VAV0048</t>
  </si>
  <si>
    <t>CONFERENCE ROOM G.101</t>
  </si>
  <si>
    <t>VAV0049</t>
  </si>
  <si>
    <t>VAV0050</t>
  </si>
  <si>
    <t>VAV0051</t>
  </si>
  <si>
    <t>VAV0052</t>
  </si>
  <si>
    <t>SOFT PLAY &amp; CREATIVE LEARNING G.108</t>
  </si>
  <si>
    <t>VAV0053</t>
  </si>
  <si>
    <t>VAV0054</t>
  </si>
  <si>
    <t>FINANCE MANAGER 1.011</t>
  </si>
  <si>
    <t>VAV0055</t>
  </si>
  <si>
    <t>FINANCE MANAGER 1.012</t>
  </si>
  <si>
    <t>VAV0056</t>
  </si>
  <si>
    <t>FINANCE MANAGER 1.013</t>
  </si>
  <si>
    <t>VAV0057</t>
  </si>
  <si>
    <t>FINANCE STAFF 1.014</t>
  </si>
  <si>
    <t>VAV0058</t>
  </si>
  <si>
    <t>FINANCE STAFF 1.015</t>
  </si>
  <si>
    <t>VAV0059</t>
  </si>
  <si>
    <t>FINANCE SECRETARY 1.016</t>
  </si>
  <si>
    <t>VAV0060</t>
  </si>
  <si>
    <t>FINANCE DIRECTOR 1.017</t>
  </si>
  <si>
    <t>VAV0061</t>
  </si>
  <si>
    <t>FINANCE MANAGER 1.018</t>
  </si>
  <si>
    <t>VAV0062</t>
  </si>
  <si>
    <t>FINANCE MANAGER 1.019</t>
  </si>
  <si>
    <t>VAV0063</t>
  </si>
  <si>
    <t>FINANCE MANAGER 1.020</t>
  </si>
  <si>
    <t>VAV0064</t>
  </si>
  <si>
    <t>FINANCE SEC 1.021</t>
  </si>
  <si>
    <t>VAV0065</t>
  </si>
  <si>
    <t>FINANCE SEC 1.022</t>
  </si>
  <si>
    <t>VAV0066</t>
  </si>
  <si>
    <t>FINANCE AUDIT 1.023</t>
  </si>
  <si>
    <t>VAV0067</t>
  </si>
  <si>
    <t>FINANCE AUDIT 1.024</t>
  </si>
  <si>
    <t>VAV0068</t>
  </si>
  <si>
    <t>FINANCE STAFF 1.025</t>
  </si>
  <si>
    <t>VAV0069</t>
  </si>
  <si>
    <t>FINANCE STAFF 1.026</t>
  </si>
  <si>
    <t>VAV0070</t>
  </si>
  <si>
    <t>FINANCE MANAGER 1.027</t>
  </si>
  <si>
    <t>VAV0071</t>
  </si>
  <si>
    <t>FINANCE MANAGER 1.028</t>
  </si>
  <si>
    <t>VAV0072</t>
  </si>
  <si>
    <t>FINANCE MANAGER 1.029</t>
  </si>
  <si>
    <t>VAV0073</t>
  </si>
  <si>
    <t>FINANCE SECRETARY 1.001</t>
  </si>
  <si>
    <t>VAV0074</t>
  </si>
  <si>
    <t>FINANCE MANAGER 1.002</t>
  </si>
  <si>
    <t>VAV0075</t>
  </si>
  <si>
    <t>FINANCE MANAGER 1.003</t>
  </si>
  <si>
    <t>VAV0076</t>
  </si>
  <si>
    <t>FINANCE MANAGER 1.004</t>
  </si>
  <si>
    <t>VAV0077</t>
  </si>
  <si>
    <t>FINANCE SECRETARY 1.005</t>
  </si>
  <si>
    <t>VAV0078</t>
  </si>
  <si>
    <t>FINANCE STAFF 1.006</t>
  </si>
  <si>
    <t>VAV0079</t>
  </si>
  <si>
    <t>FINANCE STAFF 1.007</t>
  </si>
  <si>
    <t>VAV0080</t>
  </si>
  <si>
    <t>GROUND FLOOR VIP ENTRANCE 1.401</t>
  </si>
  <si>
    <t>VAV0081</t>
  </si>
  <si>
    <t>VAV0082</t>
  </si>
  <si>
    <t>VAV0083</t>
  </si>
  <si>
    <t>STAFF LOUNGE 1.101</t>
  </si>
  <si>
    <t>VAV0084</t>
  </si>
  <si>
    <t>VAV0085</t>
  </si>
  <si>
    <t>VAV0086</t>
  </si>
  <si>
    <t>VAV0087</t>
  </si>
  <si>
    <t>FINANCE MEETING ROOM 1.108</t>
  </si>
  <si>
    <t>VAV0088</t>
  </si>
  <si>
    <t>CONSULTANT SPACE 1.109</t>
  </si>
  <si>
    <t>VAV0089</t>
  </si>
  <si>
    <t>VAV0090</t>
  </si>
  <si>
    <t>CONFERENCE ROOM 1.110</t>
  </si>
  <si>
    <t>VAV0091</t>
  </si>
  <si>
    <t>PRAYER ROOM 1.105</t>
  </si>
  <si>
    <t>VAV0092</t>
  </si>
  <si>
    <t>FINANCE CASHIER 1.106</t>
  </si>
  <si>
    <t>VAV0093</t>
  </si>
  <si>
    <t>FINANCE ROOM 1.116</t>
  </si>
  <si>
    <t>VAV0094</t>
  </si>
  <si>
    <t>FINANCE AUDITOR 1.117</t>
  </si>
  <si>
    <t>VAV0095</t>
  </si>
  <si>
    <t>FINANCE AUDITOR 1.115</t>
  </si>
  <si>
    <t>VAV0096</t>
  </si>
  <si>
    <t>VAV0097</t>
  </si>
  <si>
    <t>CORRIDOR 1.602</t>
  </si>
  <si>
    <t>VAV0098</t>
  </si>
  <si>
    <t>VAV0099</t>
  </si>
  <si>
    <t>SOUTH EAST ZONE</t>
  </si>
  <si>
    <t>VAV0100</t>
  </si>
  <si>
    <t>FINANCE RECORD STORAGE 1.111</t>
  </si>
  <si>
    <t>VAV0101</t>
  </si>
  <si>
    <t>FOOD HEAT UP 1.702</t>
  </si>
  <si>
    <t>VAV0102</t>
  </si>
  <si>
    <t>WASHING AREA 1.706</t>
  </si>
  <si>
    <t>VAV0103</t>
  </si>
  <si>
    <t>LOBBY (GROUND FLOOR)</t>
  </si>
  <si>
    <t>VAV0104</t>
  </si>
  <si>
    <t>VAV0105</t>
  </si>
  <si>
    <t>VAV0106</t>
  </si>
  <si>
    <t>VAV0107</t>
  </si>
  <si>
    <t>STAFF CAFETERIA 1.701</t>
  </si>
  <si>
    <t>VAV0108</t>
  </si>
  <si>
    <t>VAV0109</t>
  </si>
  <si>
    <t>DIRECTOR ENSUIT 2.018</t>
  </si>
  <si>
    <t>VAV0110</t>
  </si>
  <si>
    <t>SUPP. SER. ADMIN 2.019</t>
  </si>
  <si>
    <t>VAV0111</t>
  </si>
  <si>
    <t>SUPP. SER. ADMIN 2.020</t>
  </si>
  <si>
    <t>VAV0112</t>
  </si>
  <si>
    <t>SUPP. SER. ADMIN 2.021</t>
  </si>
  <si>
    <t>VAV0113</t>
  </si>
  <si>
    <t>SUPP. SER. SECRETARY 2.022</t>
  </si>
  <si>
    <t>VAV0114</t>
  </si>
  <si>
    <t>SUPP. SER. ADMIN 2.023</t>
  </si>
  <si>
    <t>VAV0115</t>
  </si>
  <si>
    <t>SUPP. SER. ADMIN 2.024</t>
  </si>
  <si>
    <t>VAV0116</t>
  </si>
  <si>
    <t>SUPP. SER. ADMIN 2.025</t>
  </si>
  <si>
    <t>VAV0117</t>
  </si>
  <si>
    <t>SUPP. SER. SECRETARY 2.026</t>
  </si>
  <si>
    <t>VAV0118</t>
  </si>
  <si>
    <t>SUPP. SER. ADMIN 2.027</t>
  </si>
  <si>
    <t>VAV0119</t>
  </si>
  <si>
    <t>SUPP. SER. ADMIN 2.028</t>
  </si>
  <si>
    <t>VAV0120</t>
  </si>
  <si>
    <t>SUPP. SER. ADMIN 2.029</t>
  </si>
  <si>
    <t>VAV0121</t>
  </si>
  <si>
    <t>SUPP. SER. SECRETARY 2.030</t>
  </si>
  <si>
    <t>VAV0122</t>
  </si>
  <si>
    <t>SUPP. SER. ADMIN 2.031</t>
  </si>
  <si>
    <t>VAV0123</t>
  </si>
  <si>
    <t>SUPP. SER. ADMIN 2.032</t>
  </si>
  <si>
    <t>VAV0124</t>
  </si>
  <si>
    <t>SUPP. SER. ADMIN 2.033</t>
  </si>
  <si>
    <t>VAV0125</t>
  </si>
  <si>
    <t>SUPP. SER. SECRETARY 2.034</t>
  </si>
  <si>
    <t>VAV0126</t>
  </si>
  <si>
    <t>SUPP. SER. ADMIN 2.035</t>
  </si>
  <si>
    <t>VAV0127</t>
  </si>
  <si>
    <t>SUPP. SER. ADMIN 2.036</t>
  </si>
  <si>
    <t>VAV0128</t>
  </si>
  <si>
    <t>OFFICE SPACE 2.110A</t>
  </si>
  <si>
    <t>VAV0129</t>
  </si>
  <si>
    <t>02.CORIDOR</t>
  </si>
  <si>
    <t>VAV0130</t>
  </si>
  <si>
    <t>VAV0131</t>
  </si>
  <si>
    <t>FEMALE PRAYER ROOM 2.109</t>
  </si>
  <si>
    <t>VAV0132</t>
  </si>
  <si>
    <t>MEETING ROOM 2.108</t>
  </si>
  <si>
    <t>VAV0133</t>
  </si>
  <si>
    <t>VAV0134</t>
  </si>
  <si>
    <t>LOUNGE 2.105</t>
  </si>
  <si>
    <t>VAV0135</t>
  </si>
  <si>
    <t>CONSULTANT SPACE 2.104</t>
  </si>
  <si>
    <t>VAV0136</t>
  </si>
  <si>
    <t>VAV0137</t>
  </si>
  <si>
    <t>CONSULTANT SPACE 2.102</t>
  </si>
  <si>
    <t>VAV0138</t>
  </si>
  <si>
    <t>SUPP. SER. SECRETARY 2.017</t>
  </si>
  <si>
    <t>VAV0139</t>
  </si>
  <si>
    <t>SUPP. SER. ADMIN 2.016</t>
  </si>
  <si>
    <t>VAV0140</t>
  </si>
  <si>
    <t>SUPP. SER. ADMIN 2.015</t>
  </si>
  <si>
    <t>VAV0141</t>
  </si>
  <si>
    <t>SUPP. SER. ADMIN 2.014</t>
  </si>
  <si>
    <t>VAV0142</t>
  </si>
  <si>
    <t>SUPP. SER. SECRETARY 2.013</t>
  </si>
  <si>
    <t>VAV0143</t>
  </si>
  <si>
    <t>SUPP. SER. ADMIN 2.012</t>
  </si>
  <si>
    <t>VAV0144</t>
  </si>
  <si>
    <t>SUPP. SER. ADMIN 2.011</t>
  </si>
  <si>
    <t>VAV0145</t>
  </si>
  <si>
    <t>SUPP. SER. ADMIN 2.010</t>
  </si>
  <si>
    <t>VAV0146</t>
  </si>
  <si>
    <t>SUPP. SER. SECRETARY 2.009</t>
  </si>
  <si>
    <t>VAV0147</t>
  </si>
  <si>
    <t>DEBATE EXECUTIVE 2.008</t>
  </si>
  <si>
    <t>VAV0148</t>
  </si>
  <si>
    <t>DEBATE EXECUTIVE 2.007</t>
  </si>
  <si>
    <t>VAV0149</t>
  </si>
  <si>
    <t>DEBATE EXECUTIVE 2.006</t>
  </si>
  <si>
    <t>VAV0150</t>
  </si>
  <si>
    <t>DEBATE EXECUTIVE 2.005</t>
  </si>
  <si>
    <t>VAV0151</t>
  </si>
  <si>
    <t>DEBATE SECRETARY 2.004</t>
  </si>
  <si>
    <t>VAV0152</t>
  </si>
  <si>
    <t>DEBATE EXECUTIVE 2.003</t>
  </si>
  <si>
    <t>VAV0153</t>
  </si>
  <si>
    <t>DEBATE EXECUTIVE 2.002</t>
  </si>
  <si>
    <t>VAV0154</t>
  </si>
  <si>
    <t>STORAGE ROOM 2.001</t>
  </si>
  <si>
    <t>VAV0155</t>
  </si>
  <si>
    <t>OFFICE SPACE 2.101A</t>
  </si>
  <si>
    <t>VAV0156</t>
  </si>
  <si>
    <t>VAV0157</t>
  </si>
  <si>
    <t>HR IMMIG STAFF 3.017</t>
  </si>
  <si>
    <t>VAV0158</t>
  </si>
  <si>
    <t>HR IMMIG STAFF 3.018</t>
  </si>
  <si>
    <t>VAV0159</t>
  </si>
  <si>
    <t>HR IMMIG STAFF 3.019</t>
  </si>
  <si>
    <t>VAV0160</t>
  </si>
  <si>
    <t>HR IMMIG STAFF 3.020</t>
  </si>
  <si>
    <t>VAV0161</t>
  </si>
  <si>
    <t>HR IMMIG STAFF 3.021</t>
  </si>
  <si>
    <t>VAV0162</t>
  </si>
  <si>
    <t>HR IMMIG STAFF 3.022</t>
  </si>
  <si>
    <t>VAV0163</t>
  </si>
  <si>
    <t>HR IMMIG STAFF 3.023</t>
  </si>
  <si>
    <t>VAV0164</t>
  </si>
  <si>
    <t>HR IMMIG STAFF 3.024</t>
  </si>
  <si>
    <t>VAV0165</t>
  </si>
  <si>
    <t>HR IMMIG STAFF 3.025</t>
  </si>
  <si>
    <t>VAV0166</t>
  </si>
  <si>
    <t>HR IMMIG STAFF 3.026</t>
  </si>
  <si>
    <t>VAV0167</t>
  </si>
  <si>
    <t>HR IMMIG STAFF 3.027</t>
  </si>
  <si>
    <t>VAV0168</t>
  </si>
  <si>
    <t>HR IMMIG STAFF 3.028</t>
  </si>
  <si>
    <t>VAV0169</t>
  </si>
  <si>
    <t>HR IMMIG STAFF 3.029</t>
  </si>
  <si>
    <t>VAV0170</t>
  </si>
  <si>
    <t>HR IMMIG STAFF 3.030</t>
  </si>
  <si>
    <t>VAV0171</t>
  </si>
  <si>
    <t>HR IMMIG STAFF 3.031</t>
  </si>
  <si>
    <t>VAV0172</t>
  </si>
  <si>
    <t>HR IMMIG STAFF 3.032</t>
  </si>
  <si>
    <t>VAV0173</t>
  </si>
  <si>
    <t>MEETING ROOM 3.033</t>
  </si>
  <si>
    <t>VAV0174</t>
  </si>
  <si>
    <t>VAV0175</t>
  </si>
  <si>
    <t>OFFICE SPACE 3.105B</t>
  </si>
  <si>
    <t>VAV0176</t>
  </si>
  <si>
    <t>03.CORIDOR</t>
  </si>
  <si>
    <t>VAV0177</t>
  </si>
  <si>
    <t>ABLUTION ROOM 3.36</t>
  </si>
  <si>
    <t>VAV0178</t>
  </si>
  <si>
    <t>FEMALE PRAYER ROOM 3.105A</t>
  </si>
  <si>
    <t>VAV0179</t>
  </si>
  <si>
    <t>VAV0180</t>
  </si>
  <si>
    <t>LOUNGE 3.001</t>
  </si>
  <si>
    <t>VAV0181</t>
  </si>
  <si>
    <t>CONSULTANT SPACE TRAINEES 3.102</t>
  </si>
  <si>
    <t>VAV0182</t>
  </si>
  <si>
    <t>VAV0183</t>
  </si>
  <si>
    <t>VAV0184</t>
  </si>
  <si>
    <t>HR IMMG SECRETARY 3.104</t>
  </si>
  <si>
    <t>VAV0185</t>
  </si>
  <si>
    <t>HR IMMIG STAFF 3.012</t>
  </si>
  <si>
    <t>VAV0186</t>
  </si>
  <si>
    <t>HR IMMIG STAFF 3.013</t>
  </si>
  <si>
    <t>VAV0187</t>
  </si>
  <si>
    <t>HR IMMIG STAFF 3.014</t>
  </si>
  <si>
    <t>VAV0188</t>
  </si>
  <si>
    <t>HR IMMIG STAFF 3.015</t>
  </si>
  <si>
    <t>VAV0189</t>
  </si>
  <si>
    <t>HR IMMIG STAFF 3.016</t>
  </si>
  <si>
    <t>VAV0190</t>
  </si>
  <si>
    <t>HR IMMIG STAFF 3.003</t>
  </si>
  <si>
    <t>VAV0191</t>
  </si>
  <si>
    <t>HR IMMIG STAFF 3.004</t>
  </si>
  <si>
    <t>VAV0192</t>
  </si>
  <si>
    <t>HR IMMIG STAFF 3.005</t>
  </si>
  <si>
    <t>VAV0193</t>
  </si>
  <si>
    <t>HR IMMIG STAFF 3.006</t>
  </si>
  <si>
    <t>VAV0194</t>
  </si>
  <si>
    <t>HR IMMIG STAFF 3.007</t>
  </si>
  <si>
    <t>VAV0195</t>
  </si>
  <si>
    <t>HR IMMIG STAFF 3.008</t>
  </si>
  <si>
    <t>VAV0196</t>
  </si>
  <si>
    <t>HR IMMIG STAFF 3.009</t>
  </si>
  <si>
    <t>VAV0197</t>
  </si>
  <si>
    <t>HR IMMIG STAFF 3.010</t>
  </si>
  <si>
    <t>VAV0198</t>
  </si>
  <si>
    <t>HR IMMIG STAFF 3.011</t>
  </si>
  <si>
    <t>VAV0199</t>
  </si>
  <si>
    <t>OFFICE SPACE 3.101</t>
  </si>
  <si>
    <t>VAV0200</t>
  </si>
  <si>
    <t>HR IMMIG STAFF 3.002</t>
  </si>
  <si>
    <t>VAV0201</t>
  </si>
  <si>
    <t>VAV0202</t>
  </si>
  <si>
    <t>OFFICE SPACE 3.202A</t>
  </si>
  <si>
    <t>VAV0203</t>
  </si>
  <si>
    <t>OFFICE SPACE 3.202B</t>
  </si>
  <si>
    <t>VAV0204</t>
  </si>
  <si>
    <t>HR IMMIGRATION 3.205</t>
  </si>
  <si>
    <t>VAV0205</t>
  </si>
  <si>
    <t>HR IMMIG MANAGER 3.206</t>
  </si>
  <si>
    <t>VAV0206</t>
  </si>
  <si>
    <t>HR IMMIG MANAGER 3.207</t>
  </si>
  <si>
    <t>VAV0207</t>
  </si>
  <si>
    <t>HR IMMIG MANAGER 3.208</t>
  </si>
  <si>
    <t>VAV0208</t>
  </si>
  <si>
    <t>HR IMMIG MANAGER 3.209</t>
  </si>
  <si>
    <t>VAV0209</t>
  </si>
  <si>
    <t>HR IMMIG OFFICER 3.210</t>
  </si>
  <si>
    <t>VAV0210</t>
  </si>
  <si>
    <t>VAV0211</t>
  </si>
  <si>
    <t>HR IMMIG MANAGER 3.211</t>
  </si>
  <si>
    <t>VAV0212</t>
  </si>
  <si>
    <t>HR IMMIG SEC. 3.212</t>
  </si>
  <si>
    <t>VAV0213</t>
  </si>
  <si>
    <t>HR IMMIG DIR. ENSUIT 3.213</t>
  </si>
  <si>
    <t>VAV0214</t>
  </si>
  <si>
    <t>IT DIR. ENSUIT 3.214</t>
  </si>
  <si>
    <t>VAV0215</t>
  </si>
  <si>
    <t>IT DIR. ENSUIT 3.215</t>
  </si>
  <si>
    <t>VAV0216</t>
  </si>
  <si>
    <t>PROC. CONTR. SECRETARY 3.216</t>
  </si>
  <si>
    <t>VAV0217</t>
  </si>
  <si>
    <t>PROC. &amp; CONTR. DIR. E 3.201</t>
  </si>
  <si>
    <t>VAV0218</t>
  </si>
  <si>
    <t>PROC. &amp; CONTR. MEETING ROOM 3.301</t>
  </si>
  <si>
    <t>VAV0219</t>
  </si>
  <si>
    <t>VAV0220</t>
  </si>
  <si>
    <t>HR IMMG. MEETING ROOM 3.302</t>
  </si>
  <si>
    <t>VAV0221</t>
  </si>
  <si>
    <t>SOUTH EAST CORRIDOR 3.602</t>
  </si>
  <si>
    <t>VAV0222</t>
  </si>
  <si>
    <t>STR. PL. DIR. ENSUIT 04.004</t>
  </si>
  <si>
    <t>VAV0223</t>
  </si>
  <si>
    <t>STR. PL. DIR. MEETING ROOM 04.005</t>
  </si>
  <si>
    <t>VAV0224</t>
  </si>
  <si>
    <t>STR. PL. DIR. MANAGER 04.006</t>
  </si>
  <si>
    <t>VAV0225</t>
  </si>
  <si>
    <t>STR. PL. DIR. MANAGER 04.007</t>
  </si>
  <si>
    <t>VAV0226</t>
  </si>
  <si>
    <t>STR. PL. DIR. MANAGER 04.008</t>
  </si>
  <si>
    <t>VAV0227</t>
  </si>
  <si>
    <t>STR. PL. DIR. HEAD OF PL. 04.009</t>
  </si>
  <si>
    <t>VAV0228</t>
  </si>
  <si>
    <t>STR. PL. DIR. HEAD OF PL. 04.010</t>
  </si>
  <si>
    <t>VAV0229</t>
  </si>
  <si>
    <t>STR. PL. DIR. HEAD OF PL. 04.011</t>
  </si>
  <si>
    <t>VAV0230</t>
  </si>
  <si>
    <t>STR. PL. DIR. HEAD OF PL. 04.012</t>
  </si>
  <si>
    <t>VAV0231</t>
  </si>
  <si>
    <t>STR. PL. DIR. HEAD OF PL. 04.013</t>
  </si>
  <si>
    <t>VAV0232</t>
  </si>
  <si>
    <t>STR. PL. DIR. MANAGER 04.014</t>
  </si>
  <si>
    <t>VAV0233</t>
  </si>
  <si>
    <t>OFFICE SPACE 04.015C</t>
  </si>
  <si>
    <t>VAV0234</t>
  </si>
  <si>
    <t>OFFICE SPACE 04.015A</t>
  </si>
  <si>
    <t>VAV0235</t>
  </si>
  <si>
    <t>VAV0236</t>
  </si>
  <si>
    <t>VP EDU STORAGE 04.109</t>
  </si>
  <si>
    <t>VAV0237</t>
  </si>
  <si>
    <t>VAV0238</t>
  </si>
  <si>
    <t>STR. PL. DIR. TECH. STAFF 04.108</t>
  </si>
  <si>
    <t>VAV0239</t>
  </si>
  <si>
    <t>STR. PL. DIR. TECH. STAFF 04.107</t>
  </si>
  <si>
    <t>VAV0240</t>
  </si>
  <si>
    <t>WAITING LOUNGE 04.104</t>
  </si>
  <si>
    <t>VAV0241</t>
  </si>
  <si>
    <t>VAV0242</t>
  </si>
  <si>
    <t>STR. PL. DIR. MANAGER 04.002</t>
  </si>
  <si>
    <t>VAV0243</t>
  </si>
  <si>
    <t>STR. PL. DIR. EXEC. SECRE. 04.003</t>
  </si>
  <si>
    <t>VAV0244</t>
  </si>
  <si>
    <t>OFFICE SPACE 04.001B</t>
  </si>
  <si>
    <t>VAV0245</t>
  </si>
  <si>
    <t>OFFICE SPACE 04.001D</t>
  </si>
  <si>
    <t>VAV0246</t>
  </si>
  <si>
    <t>OFFICE SPACE 04.001F</t>
  </si>
  <si>
    <t>VAV0247</t>
  </si>
  <si>
    <t>OFFICE SPACE 04.001G</t>
  </si>
  <si>
    <t>VAV0248</t>
  </si>
  <si>
    <t>STORAGE SPACE 04.103</t>
  </si>
  <si>
    <t>VAV0249</t>
  </si>
  <si>
    <t>OFFICE SPACE 04.102</t>
  </si>
  <si>
    <t>VAV0250</t>
  </si>
  <si>
    <t>OFFICE SPACE 04.101</t>
  </si>
  <si>
    <t>VAV0251</t>
  </si>
  <si>
    <t>VAV0252</t>
  </si>
  <si>
    <t>OFFICE SPACE 04.201</t>
  </si>
  <si>
    <t>VAV0253</t>
  </si>
  <si>
    <t>OFFICE SPACE 04.204</t>
  </si>
  <si>
    <t>VAV0254</t>
  </si>
  <si>
    <t>VP ADM MANAGER 04.205</t>
  </si>
  <si>
    <t>VAV0255</t>
  </si>
  <si>
    <t>VP ADM MANAGER 04.206</t>
  </si>
  <si>
    <t>VAV0256</t>
  </si>
  <si>
    <t>VP ADM SEC. 04.208</t>
  </si>
  <si>
    <t>VAV0257</t>
  </si>
  <si>
    <t>VAV0258</t>
  </si>
  <si>
    <t>VP ADM MANAGER 04.209</t>
  </si>
  <si>
    <t>VAV0259</t>
  </si>
  <si>
    <t>VP ADM MANAGER 04.210</t>
  </si>
  <si>
    <t>VAV0260</t>
  </si>
  <si>
    <t>VP ADM MANAGER 04.211</t>
  </si>
  <si>
    <t>VAV0261</t>
  </si>
  <si>
    <t>VP ADM PERS. ASS. 04.212</t>
  </si>
  <si>
    <t>VAV0262</t>
  </si>
  <si>
    <t>VP ADM ENSUIT 04.213</t>
  </si>
  <si>
    <t>VAV0263</t>
  </si>
  <si>
    <t>VP ADM MEETING ROOM 04.301</t>
  </si>
  <si>
    <t>VAV0264</t>
  </si>
  <si>
    <t>VAV0265</t>
  </si>
  <si>
    <t>VAV0266</t>
  </si>
  <si>
    <t>VAV0267</t>
  </si>
  <si>
    <t>VP EDU DIR ENSUIT 5.012</t>
  </si>
  <si>
    <t>VAV0268</t>
  </si>
  <si>
    <t>VP EDU SECR. 5.013</t>
  </si>
  <si>
    <t>VAV0269</t>
  </si>
  <si>
    <t>VP EDU ASSIS. 5.014</t>
  </si>
  <si>
    <t>VAV0270</t>
  </si>
  <si>
    <t>VP EDU ASSIS. 5.015</t>
  </si>
  <si>
    <t>VAV0271</t>
  </si>
  <si>
    <t>VP EDU ASSIS. 5.016</t>
  </si>
  <si>
    <t>VAV0272</t>
  </si>
  <si>
    <t>VP EDU ASSIS. 5.017</t>
  </si>
  <si>
    <t>VAV0273</t>
  </si>
  <si>
    <t>VP EDU OFF. 5.018</t>
  </si>
  <si>
    <t>VAV0274</t>
  </si>
  <si>
    <t>VP EDU OFF. 5.019</t>
  </si>
  <si>
    <t>VAV0275</t>
  </si>
  <si>
    <t>VP EDU OFF. 5.020</t>
  </si>
  <si>
    <t>VAV0276</t>
  </si>
  <si>
    <t>VP EDU OFF. 5.021</t>
  </si>
  <si>
    <t>VAV0277</t>
  </si>
  <si>
    <t>VP EDU OFF. 5.022</t>
  </si>
  <si>
    <t>VAV0278</t>
  </si>
  <si>
    <t>VP EDU OFF. 5.023</t>
  </si>
  <si>
    <t>VAV0279</t>
  </si>
  <si>
    <t>VP EDU SEC. 5.024</t>
  </si>
  <si>
    <t>VAV0280</t>
  </si>
  <si>
    <t>VP EDU DIR ENSUIT 5.025</t>
  </si>
  <si>
    <t>VAV0281</t>
  </si>
  <si>
    <t>VP EDU ASS. 5.026</t>
  </si>
  <si>
    <t>VAV0282</t>
  </si>
  <si>
    <t>05.CORIDOR</t>
  </si>
  <si>
    <t>VAV0283</t>
  </si>
  <si>
    <t>VP EDU OFF. 5.110</t>
  </si>
  <si>
    <t>VAV0284</t>
  </si>
  <si>
    <t>VP EDU ASS. 5.109</t>
  </si>
  <si>
    <t>VAV0285</t>
  </si>
  <si>
    <t>VP EDU SEC. 5.108</t>
  </si>
  <si>
    <t>VAV0286</t>
  </si>
  <si>
    <t>VP EDU SEC. 5.107</t>
  </si>
  <si>
    <t>VAV0287</t>
  </si>
  <si>
    <t>VAV0288</t>
  </si>
  <si>
    <t>VP EDU LOUNGE WAITING 5.104</t>
  </si>
  <si>
    <t>VAV0289</t>
  </si>
  <si>
    <t>VAV0290</t>
  </si>
  <si>
    <t>VP EDU OFFICERS 5.009</t>
  </si>
  <si>
    <t>VAV0291</t>
  </si>
  <si>
    <t>VP EDU OFFICERS 5.010</t>
  </si>
  <si>
    <t>VAV0292</t>
  </si>
  <si>
    <t>VP EDU ASSISTANT 5.011</t>
  </si>
  <si>
    <t>VAV0293</t>
  </si>
  <si>
    <t>VP EDU OFF. DIR ENSUIT 5.002</t>
  </si>
  <si>
    <t>VAV0294</t>
  </si>
  <si>
    <t>VP EDU SECRE. 5.003</t>
  </si>
  <si>
    <t>VAV0295</t>
  </si>
  <si>
    <t>VP EDU ASSISTANT 5.004</t>
  </si>
  <si>
    <t>VAV0296</t>
  </si>
  <si>
    <t>VP EDU OFFICERS 5.005</t>
  </si>
  <si>
    <t>VAV0297</t>
  </si>
  <si>
    <t>VP EDU OFFICERS 5.006</t>
  </si>
  <si>
    <t>VAV0298</t>
  </si>
  <si>
    <t>VP EDU ASSISTANT 5.007</t>
  </si>
  <si>
    <t>VAV0299</t>
  </si>
  <si>
    <t>VP EDU ASSISTANT 5.008</t>
  </si>
  <si>
    <t>VAV0300</t>
  </si>
  <si>
    <t>MEETING ROOM 5.102</t>
  </si>
  <si>
    <t>VAV0301</t>
  </si>
  <si>
    <t>VAV0302</t>
  </si>
  <si>
    <t>VP EDU SECRETARY 5.101</t>
  </si>
  <si>
    <t>VAV0303</t>
  </si>
  <si>
    <t>VP EDU ASSISTANT 5.001</t>
  </si>
  <si>
    <t>VAV0304</t>
  </si>
  <si>
    <t>VAV0305</t>
  </si>
  <si>
    <t>VP EDU MEMB. 5.201</t>
  </si>
  <si>
    <t>VAV0306</t>
  </si>
  <si>
    <t>VP EDU MEMB. 5.202</t>
  </si>
  <si>
    <t>VAV0307</t>
  </si>
  <si>
    <t>VP EDU MEMB. 5.203</t>
  </si>
  <si>
    <t>VAV0308</t>
  </si>
  <si>
    <t>VP EDU MEMB. 5.205</t>
  </si>
  <si>
    <t>VAV0309</t>
  </si>
  <si>
    <t>VAV0310</t>
  </si>
  <si>
    <t>VP EDU MEMB. 5.206</t>
  </si>
  <si>
    <t>VAV0311</t>
  </si>
  <si>
    <t>VP EDU MEMB. 5.207</t>
  </si>
  <si>
    <t>VAV0312</t>
  </si>
  <si>
    <t>VP EDU MEMB. 5.208</t>
  </si>
  <si>
    <t>VAV0313</t>
  </si>
  <si>
    <t>VP EDU MEMB. 5.209</t>
  </si>
  <si>
    <t>VAV0314</t>
  </si>
  <si>
    <t>VP EDU ENSUIT 5.210</t>
  </si>
  <si>
    <t>VAV0315</t>
  </si>
  <si>
    <t>VP EDU SEC. 5.211</t>
  </si>
  <si>
    <t>VAV0316</t>
  </si>
  <si>
    <t>VP EDU MEMB. 5.212</t>
  </si>
  <si>
    <t>VAV0317</t>
  </si>
  <si>
    <t>VP EDU DIR. ENSUIT 5.213</t>
  </si>
  <si>
    <t>VAV0318</t>
  </si>
  <si>
    <t>VAV0319</t>
  </si>
  <si>
    <t>VAV0320</t>
  </si>
  <si>
    <t>VAV0321</t>
  </si>
  <si>
    <t>VAV0322</t>
  </si>
  <si>
    <t>VP EDU OFF. 5.027</t>
  </si>
  <si>
    <t>VAV0323</t>
  </si>
  <si>
    <t>INT. AUDIT 06.012</t>
  </si>
  <si>
    <t>VAV0324</t>
  </si>
  <si>
    <t>INT. AUDIT SEC. 06.013</t>
  </si>
  <si>
    <t>VAV0325</t>
  </si>
  <si>
    <t>ACA. AUDIT 06.014</t>
  </si>
  <si>
    <t>VAV0326</t>
  </si>
  <si>
    <t>ACA. AUDIT 06.015</t>
  </si>
  <si>
    <t>VAV0327</t>
  </si>
  <si>
    <t>ACA. AUDIT 06.016</t>
  </si>
  <si>
    <t>VAV0328</t>
  </si>
  <si>
    <t>ACA. AUDIT 06.017</t>
  </si>
  <si>
    <t>VAV0329</t>
  </si>
  <si>
    <t>ACA. AUDIT 06.018</t>
  </si>
  <si>
    <t>VAV0330</t>
  </si>
  <si>
    <t>ACA. AUDIT 06.019</t>
  </si>
  <si>
    <t>VAV0331</t>
  </si>
  <si>
    <t>ACA. AUDIT 06.020</t>
  </si>
  <si>
    <t>VAV0332</t>
  </si>
  <si>
    <t>ACA. AUDIT SEC. 06.021</t>
  </si>
  <si>
    <t>VAV0333</t>
  </si>
  <si>
    <t>ACA. AUDIT SEC. 06.022</t>
  </si>
  <si>
    <t>VAV0334</t>
  </si>
  <si>
    <t>ACA. SEN. AUDIT 06.023</t>
  </si>
  <si>
    <t>VAV0335</t>
  </si>
  <si>
    <t>ACA. SEN. AUDIT 06.024</t>
  </si>
  <si>
    <t>VAV0336</t>
  </si>
  <si>
    <t>FACI. MANA. SEC. 06.025</t>
  </si>
  <si>
    <t>VAV0337</t>
  </si>
  <si>
    <t>FACILITY MANAG. DIR. ENSUIT 06.026</t>
  </si>
  <si>
    <t>VAV0338</t>
  </si>
  <si>
    <t>VP CAPITAL CONSUL. 06.027</t>
  </si>
  <si>
    <t>VAV0339</t>
  </si>
  <si>
    <t>VP CAPITAL CONSUL. 06.028</t>
  </si>
  <si>
    <t>VAV0340</t>
  </si>
  <si>
    <t>VAV0341</t>
  </si>
  <si>
    <t>VP CAPITAL WORK ASSIST 06.109</t>
  </si>
  <si>
    <t>VAV0342</t>
  </si>
  <si>
    <t>VP CAPITAL PROJ. COORD 06.108</t>
  </si>
  <si>
    <t>VAV0343</t>
  </si>
  <si>
    <t>VAV0344</t>
  </si>
  <si>
    <t>LOUNGE 06.105</t>
  </si>
  <si>
    <t>VAV0345</t>
  </si>
  <si>
    <t>VAV0346</t>
  </si>
  <si>
    <t>INT. AUDIT SUPP. AUDIT 06.009</t>
  </si>
  <si>
    <t>VAV0347</t>
  </si>
  <si>
    <t>INT. AUDIT SEC. 06.010</t>
  </si>
  <si>
    <t>VAV0348</t>
  </si>
  <si>
    <t>INT. AUDIT 06.011</t>
  </si>
  <si>
    <t>VAV0349</t>
  </si>
  <si>
    <t>INT. AUDIT ARCHIVE ROOM 06.002</t>
  </si>
  <si>
    <t>VAV0350</t>
  </si>
  <si>
    <t>INT. AUDIT SUPP. AUDIT 06.003</t>
  </si>
  <si>
    <t>VAV0351</t>
  </si>
  <si>
    <t>INT. AUDIT SUPP. AUDIT 06.004</t>
  </si>
  <si>
    <t>VAV0352</t>
  </si>
  <si>
    <t>INT. AUDIT SUPP. AUDIT 06.005</t>
  </si>
  <si>
    <t>VAV0353</t>
  </si>
  <si>
    <t>INT. AUDIT SUPP. AUDIT 06.006</t>
  </si>
  <si>
    <t>VAV0354</t>
  </si>
  <si>
    <t>INT. AUDIT SUPP. AUDIT 06.007</t>
  </si>
  <si>
    <t>VAV0355</t>
  </si>
  <si>
    <t>INT. AUDIT SUPP. AUDIT 06.008</t>
  </si>
  <si>
    <t>VAV0356</t>
  </si>
  <si>
    <t>OFFICE SPACE 06.103</t>
  </si>
  <si>
    <t>VAV0357</t>
  </si>
  <si>
    <t>OFFICE SPACE 06.102</t>
  </si>
  <si>
    <t>VAV0358</t>
  </si>
  <si>
    <t>OFFICE SPACE 06.101</t>
  </si>
  <si>
    <t>VAV0359</t>
  </si>
  <si>
    <t>AUDIT ARCHIVE 06.001</t>
  </si>
  <si>
    <t>VAV0360</t>
  </si>
  <si>
    <t>VAV0361</t>
  </si>
  <si>
    <t>VP CAPITAL PROJ. MANAGER 06.201</t>
  </si>
  <si>
    <t>VAV0362</t>
  </si>
  <si>
    <t>VP CAPITAL PROJ. MANAGER 06.202</t>
  </si>
  <si>
    <t>VAV0363</t>
  </si>
  <si>
    <t>VP CAPITAL PROJ. MANAGER 06.204</t>
  </si>
  <si>
    <t>VAV0364</t>
  </si>
  <si>
    <t>VP CAPITAL CONSU. 06.205</t>
  </si>
  <si>
    <t>VAV0365</t>
  </si>
  <si>
    <t>VP CAPITAL STORAGE 06.206</t>
  </si>
  <si>
    <t>VAV0366</t>
  </si>
  <si>
    <t>VP CAPITAL SEC. 06.207</t>
  </si>
  <si>
    <t>VAV0367</t>
  </si>
  <si>
    <t>VP CAPITAL ENSUIT 06.209</t>
  </si>
  <si>
    <t>VAV0368</t>
  </si>
  <si>
    <t>VP CAPITAL SEC. 06.210</t>
  </si>
  <si>
    <t>VAV0369</t>
  </si>
  <si>
    <t>VP CAPITAL SEC. 06.211</t>
  </si>
  <si>
    <t>VAV0370</t>
  </si>
  <si>
    <t>VP CAPITAL DIR. ENSUIT 06.212</t>
  </si>
  <si>
    <t>VAV0371</t>
  </si>
  <si>
    <t>VAV0372</t>
  </si>
  <si>
    <t>VAV0373</t>
  </si>
  <si>
    <t>CA ENSUIT 7.017</t>
  </si>
  <si>
    <t>VAV0374</t>
  </si>
  <si>
    <t>CA SEC. 7.018</t>
  </si>
  <si>
    <t>VAV0375</t>
  </si>
  <si>
    <t>BD UNIT SEC. 7.019</t>
  </si>
  <si>
    <t>VAV0376</t>
  </si>
  <si>
    <t>BD UNIT EXECU. 7.020</t>
  </si>
  <si>
    <t>VAV0377</t>
  </si>
  <si>
    <t>BD UNIT EXECU. 7.021</t>
  </si>
  <si>
    <t>VAV0378</t>
  </si>
  <si>
    <t>BD UNIT EXECU. 7.022</t>
  </si>
  <si>
    <t>VAV0379</t>
  </si>
  <si>
    <t>BD UNIT EXECU. 7.023</t>
  </si>
  <si>
    <t>VAV0380</t>
  </si>
  <si>
    <t>BD UNIT EXECU. 7.024</t>
  </si>
  <si>
    <t>VAV0381</t>
  </si>
  <si>
    <t>BD UNIT EXECU. 7.025</t>
  </si>
  <si>
    <t>VAV0382</t>
  </si>
  <si>
    <t>BD UNIT EXECU. 7.026</t>
  </si>
  <si>
    <t>VAV0383</t>
  </si>
  <si>
    <t>BD UNIT EXECU. 7.027</t>
  </si>
  <si>
    <t>VAV0384</t>
  </si>
  <si>
    <t>BD UNIT EXECU. 7.028</t>
  </si>
  <si>
    <t>VAV0385</t>
  </si>
  <si>
    <t>MEETING ROOM 7.029</t>
  </si>
  <si>
    <t>VAV0386</t>
  </si>
  <si>
    <t>VAV0387</t>
  </si>
  <si>
    <t>OFFICE SPACE 7.030</t>
  </si>
  <si>
    <t>VAV0388</t>
  </si>
  <si>
    <t>OFFICE SPACE 7.031A</t>
  </si>
  <si>
    <t>VAV0389</t>
  </si>
  <si>
    <t>VAV0390</t>
  </si>
  <si>
    <t>VAV0391</t>
  </si>
  <si>
    <t>OFFICE SPACE 7.032</t>
  </si>
  <si>
    <t>VAV0392</t>
  </si>
  <si>
    <t>VAV0393</t>
  </si>
  <si>
    <t>LOUNGE 7.106</t>
  </si>
  <si>
    <t>VAV0394</t>
  </si>
  <si>
    <t>CA SECRETARY 7.105</t>
  </si>
  <si>
    <t>VAV0395</t>
  </si>
  <si>
    <t>CA SECRETARY 7.103</t>
  </si>
  <si>
    <t>VAV0396</t>
  </si>
  <si>
    <t>CA SECRETARY 7.102</t>
  </si>
  <si>
    <t>VAV0397</t>
  </si>
  <si>
    <t>DOC. UNIT EMPLOYEE 07.001</t>
  </si>
  <si>
    <t>VAV0398</t>
  </si>
  <si>
    <t>DOC. UNIT MULTIMEDIA STUDIO 07.002</t>
  </si>
  <si>
    <t>VAV0399</t>
  </si>
  <si>
    <t>VAV0400</t>
  </si>
  <si>
    <t>VAV0401</t>
  </si>
  <si>
    <t>DOC. UNIT EMPLOYEE 7.003</t>
  </si>
  <si>
    <t>VAV0402</t>
  </si>
  <si>
    <t>DOC. UNIT EMPLOYEE 7.004</t>
  </si>
  <si>
    <t>VAV0403</t>
  </si>
  <si>
    <t>DOC. UNIT EMPLOYEE 7.005</t>
  </si>
  <si>
    <t>VAV0404</t>
  </si>
  <si>
    <t>DOC. UNIT EMPLOYEE 7.006</t>
  </si>
  <si>
    <t>VAV0405</t>
  </si>
  <si>
    <t>CA COORD 7.007</t>
  </si>
  <si>
    <t>VAV0406</t>
  </si>
  <si>
    <t>CA COORD 7.008</t>
  </si>
  <si>
    <t>VAV0407</t>
  </si>
  <si>
    <t>CA COORD 7.009</t>
  </si>
  <si>
    <t>VAV0408</t>
  </si>
  <si>
    <t>CA COORD 7.010</t>
  </si>
  <si>
    <t>VAV0409</t>
  </si>
  <si>
    <t>CA COORD 7.011</t>
  </si>
  <si>
    <t>VAV0410</t>
  </si>
  <si>
    <t>CA COORD 7.012</t>
  </si>
  <si>
    <t>VAV0411</t>
  </si>
  <si>
    <t>CA COORD 7.013</t>
  </si>
  <si>
    <t>VAV0412</t>
  </si>
  <si>
    <t>CA COORD 7.014</t>
  </si>
  <si>
    <t>VAV0413</t>
  </si>
  <si>
    <t>CA COORD 7.015</t>
  </si>
  <si>
    <t>VAV0414</t>
  </si>
  <si>
    <t>CA COORD 7.016</t>
  </si>
  <si>
    <t>VAV0415</t>
  </si>
  <si>
    <t>CONSULTANT SPACE 7.201</t>
  </si>
  <si>
    <t>VAV0416</t>
  </si>
  <si>
    <t>PRE. EXEC. OFFICE 7.202</t>
  </si>
  <si>
    <t>VAV0417</t>
  </si>
  <si>
    <t>PRE. EXEC. OFFICE 7.204</t>
  </si>
  <si>
    <t>VAV0418</t>
  </si>
  <si>
    <t>VAV0419</t>
  </si>
  <si>
    <t>PRE. EXEC. OFFICE 7.205</t>
  </si>
  <si>
    <t>VAV0420</t>
  </si>
  <si>
    <t>VAV0421</t>
  </si>
  <si>
    <t>PRESIDENT SUPP. SEC. 7.208</t>
  </si>
  <si>
    <t>VAV0422</t>
  </si>
  <si>
    <t>E-TOWER CORRIDOR 7.603</t>
  </si>
  <si>
    <t>VAV0423</t>
  </si>
  <si>
    <t>PRESIDENT EXEC. SEC. 7.209</t>
  </si>
  <si>
    <t>VAV0424</t>
  </si>
  <si>
    <t>PRESIDENT EXEC. SEC. 7.210</t>
  </si>
  <si>
    <t>VAV0425</t>
  </si>
  <si>
    <t>PRESIDENT ENSUIT 7.211</t>
  </si>
  <si>
    <t>VAV0426</t>
  </si>
  <si>
    <t>PRESIDENT MEETING ROOM 7.212</t>
  </si>
  <si>
    <t>VAV0427</t>
  </si>
  <si>
    <t>VICE CHAIRPERSON ENSULT 7.213</t>
  </si>
  <si>
    <t>VAV0428</t>
  </si>
  <si>
    <t>VICE CHAIRPERSON SEC. 7.214</t>
  </si>
  <si>
    <t>VAV0429</t>
  </si>
  <si>
    <t>MEETING ROOM 7.215</t>
  </si>
  <si>
    <t>VAV0430</t>
  </si>
  <si>
    <t>MEETING ROOM 7.301</t>
  </si>
  <si>
    <t>VAV0431</t>
  </si>
  <si>
    <t>VAV0432</t>
  </si>
  <si>
    <t>VAV0433</t>
  </si>
  <si>
    <t>OBSERVATION SPACE 8.001</t>
  </si>
  <si>
    <t>VAV0434</t>
  </si>
  <si>
    <t>VAV0435</t>
  </si>
  <si>
    <t>VAV0436</t>
  </si>
  <si>
    <t>VAV0437</t>
  </si>
  <si>
    <t>VAV0438</t>
  </si>
  <si>
    <t>VISITORS CENTER OFFICE 8.002</t>
  </si>
  <si>
    <t>VAV0439</t>
  </si>
  <si>
    <t>VISITORS CENTER CORRIDOR 8.602</t>
  </si>
  <si>
    <t>VAV0440</t>
  </si>
  <si>
    <t>VAV0441</t>
  </si>
  <si>
    <t>VAV0442</t>
  </si>
  <si>
    <t>VAV0443</t>
  </si>
  <si>
    <t>VAV0444</t>
  </si>
  <si>
    <t>BMO EXEC. ASSIST. 9.011</t>
  </si>
  <si>
    <t>VAV0445</t>
  </si>
  <si>
    <t>BMO EXEC. ASSIST. 9.012</t>
  </si>
  <si>
    <t>VAV0446</t>
  </si>
  <si>
    <t>BMO EXEC. ASSIST. 9.013</t>
  </si>
  <si>
    <t>VAV0447</t>
  </si>
  <si>
    <t>BMO EXEC. ASSIST. 9.014</t>
  </si>
  <si>
    <t>VAV0448</t>
  </si>
  <si>
    <t>BMO EXEC. ASSIST. 9.015</t>
  </si>
  <si>
    <t>VAV0449</t>
  </si>
  <si>
    <t>BMO EXEC. ASSIST. 9.016</t>
  </si>
  <si>
    <t>VAV0450</t>
  </si>
  <si>
    <t>BMO EXEC. ASSIST. 9.017</t>
  </si>
  <si>
    <t>VAV0451</t>
  </si>
  <si>
    <t>BMO EXEC. SEC. 9.018</t>
  </si>
  <si>
    <t>VAV0452</t>
  </si>
  <si>
    <t>BMO EXEC. SEC. 9.019</t>
  </si>
  <si>
    <t>VAV0453</t>
  </si>
  <si>
    <t>BMO EXEC. SEC. 9.020</t>
  </si>
  <si>
    <t>VAV0454</t>
  </si>
  <si>
    <t>BMO OPER. DIR. ENSUIT 9.021</t>
  </si>
  <si>
    <t>VAV0455</t>
  </si>
  <si>
    <t>BMO EXEC. ASSIST. 9.022</t>
  </si>
  <si>
    <t>VAV0456</t>
  </si>
  <si>
    <t>BMO EXEC. SEC. 9.023</t>
  </si>
  <si>
    <t>VAV0457</t>
  </si>
  <si>
    <t>BMO EXEC. SEC. 9.024</t>
  </si>
  <si>
    <t>VAV0458</t>
  </si>
  <si>
    <t>BMO EXEC. SEC. 9.025</t>
  </si>
  <si>
    <t>VAV0459</t>
  </si>
  <si>
    <t>VAV0460</t>
  </si>
  <si>
    <t>BMO SUPP. SEC. 9.026</t>
  </si>
  <si>
    <t>VAV0461</t>
  </si>
  <si>
    <t>BMO SUPP. SEC. 9.027</t>
  </si>
  <si>
    <t>VAV0462</t>
  </si>
  <si>
    <t>BMO SUPP. SEC. 9.028</t>
  </si>
  <si>
    <t>VAV0463</t>
  </si>
  <si>
    <t>BMO SUPP. SEC. 9.029</t>
  </si>
  <si>
    <t>VAV0464</t>
  </si>
  <si>
    <t>BMO SUPP. SEC. 9.030</t>
  </si>
  <si>
    <t>VAV0465</t>
  </si>
  <si>
    <t>BMO PRINT COPY 9.031</t>
  </si>
  <si>
    <t>VAV0466</t>
  </si>
  <si>
    <t>BMO STORAGE 9.032</t>
  </si>
  <si>
    <t>VAV0467</t>
  </si>
  <si>
    <t>HR EDU. ADV. ENSUIT 9.033</t>
  </si>
  <si>
    <t>VAV0468</t>
  </si>
  <si>
    <t>HR EDU. ADV. ENSUIT 9.034</t>
  </si>
  <si>
    <t>VAV0469</t>
  </si>
  <si>
    <t>HR EDU. ADV. ENSUIT 9.035</t>
  </si>
  <si>
    <t>VAV0470</t>
  </si>
  <si>
    <t>BOD EXECUTIVE 9.036</t>
  </si>
  <si>
    <t>VAV0471</t>
  </si>
  <si>
    <t>BOD SEC. 9.037</t>
  </si>
  <si>
    <t>VAV0472</t>
  </si>
  <si>
    <t>BOD EXECUTIVE 9.038</t>
  </si>
  <si>
    <t>VAV0473</t>
  </si>
  <si>
    <t>VAV0474</t>
  </si>
  <si>
    <t>VAV0475</t>
  </si>
  <si>
    <t>MEETING ROOM 9.039</t>
  </si>
  <si>
    <t>VAV0476</t>
  </si>
  <si>
    <t>BMO SAFE 9.040</t>
  </si>
  <si>
    <t>VAV0477</t>
  </si>
  <si>
    <t>BMO ARCHIVE ROOM 9.041</t>
  </si>
  <si>
    <t>VAV0478</t>
  </si>
  <si>
    <t>VAV0479</t>
  </si>
  <si>
    <t>LEGAL ARCHIVE 9.001</t>
  </si>
  <si>
    <t>VAV0480</t>
  </si>
  <si>
    <t>LEGAL CONSULE 9.002</t>
  </si>
  <si>
    <t>VAV0481</t>
  </si>
  <si>
    <t>LEGAL CONSULE 9.003</t>
  </si>
  <si>
    <t>VAV0482</t>
  </si>
  <si>
    <t>LEGAL CONSULE 9.004</t>
  </si>
  <si>
    <t>VAV0483</t>
  </si>
  <si>
    <t>LEGAL CONSULE 9.005</t>
  </si>
  <si>
    <t>VAV0484</t>
  </si>
  <si>
    <t>LEGAL CONSULE 9.006</t>
  </si>
  <si>
    <t>VAV0485</t>
  </si>
  <si>
    <t>LEGAL CONSULE 9.007</t>
  </si>
  <si>
    <t>VAV0486</t>
  </si>
  <si>
    <t>LEGAL SUP. SEC. 9.008</t>
  </si>
  <si>
    <t>VAV0487</t>
  </si>
  <si>
    <t>LEGAL SUP. SEC. 9.009</t>
  </si>
  <si>
    <t>VAV0488</t>
  </si>
  <si>
    <t>LEGAL ADV. ENSUIT 9.010</t>
  </si>
  <si>
    <t>VAV0489</t>
  </si>
  <si>
    <t>LOUNGE 9.105</t>
  </si>
  <si>
    <t>VAV0490</t>
  </si>
  <si>
    <t>BMO WAITING AREA 9.104</t>
  </si>
  <si>
    <t>VAV0491</t>
  </si>
  <si>
    <t>NORTH WEST TOILETS 9.403</t>
  </si>
  <si>
    <t>VAV0492</t>
  </si>
  <si>
    <t>VAV0493</t>
  </si>
  <si>
    <t>SHEIKA WING DINING AREA 9.110</t>
  </si>
  <si>
    <t>VAV0494</t>
  </si>
  <si>
    <t>VAV0495</t>
  </si>
  <si>
    <t>SOUTH EAST CORRIDOR 9.11</t>
  </si>
  <si>
    <t>VAV0496</t>
  </si>
  <si>
    <t>KITCHEN 9.108</t>
  </si>
  <si>
    <t>VAV0497</t>
  </si>
  <si>
    <t>VAV0498</t>
  </si>
  <si>
    <t>ARCHIVE 10.005</t>
  </si>
  <si>
    <t>VAV0499</t>
  </si>
  <si>
    <t>EXEC. DIR. ARCH. COORD 10.006</t>
  </si>
  <si>
    <t>VAV0500</t>
  </si>
  <si>
    <t>EXEC. DIR. PROT. ASSIS. 10.007</t>
  </si>
  <si>
    <t>VAV0501</t>
  </si>
  <si>
    <t>SCHED OFFICER 10.008</t>
  </si>
  <si>
    <t>VAV0502</t>
  </si>
  <si>
    <t>CEREM. OFFICER 10.009</t>
  </si>
  <si>
    <t>VAV0503</t>
  </si>
  <si>
    <t>CEREM. OFFICER 10.010</t>
  </si>
  <si>
    <t>VAV0504</t>
  </si>
  <si>
    <t>CEREM. OFFICER 10.011</t>
  </si>
  <si>
    <t>VAV0505</t>
  </si>
  <si>
    <t>TR. &amp; VIS. OFFICER 10.012</t>
  </si>
  <si>
    <t>VAV0506</t>
  </si>
  <si>
    <t>TR. &amp; VIS. OFFICER 10.013</t>
  </si>
  <si>
    <t>VAV0507</t>
  </si>
  <si>
    <t>SCHED OFFICER 10.015</t>
  </si>
  <si>
    <t>VAV0508</t>
  </si>
  <si>
    <t>PLANNING ANALYST 10.016</t>
  </si>
  <si>
    <t>VAV0509</t>
  </si>
  <si>
    <t>STRAT. PLANNER 10.017</t>
  </si>
  <si>
    <t>VAV0510</t>
  </si>
  <si>
    <t>PLANNING DIR. EXT. COORD 10.018</t>
  </si>
  <si>
    <t>VAV0511</t>
  </si>
  <si>
    <t>SEN. POLICY ANALYST 10.019</t>
  </si>
  <si>
    <t>VAV0512</t>
  </si>
  <si>
    <t>SEN. RESEARCH ANALYST 10.020</t>
  </si>
  <si>
    <t>VAV0513</t>
  </si>
  <si>
    <t>RESEARCH ANALYST 10.021</t>
  </si>
  <si>
    <t>VAV0514</t>
  </si>
  <si>
    <t>RESEARCH ANALYST 10.022</t>
  </si>
  <si>
    <t>VAV0515</t>
  </si>
  <si>
    <t>HR OFFICER 10.023</t>
  </si>
  <si>
    <t>VAV0516</t>
  </si>
  <si>
    <t>HR ASSISTANT 10.024</t>
  </si>
  <si>
    <t>VAV0517</t>
  </si>
  <si>
    <t>PROCUR. REPRESENT 10.025</t>
  </si>
  <si>
    <t>VAV0518</t>
  </si>
  <si>
    <t>SERVICE COORD 10.026</t>
  </si>
  <si>
    <t>VAV0519</t>
  </si>
  <si>
    <t>SERV. SUPERVISOR 10.027</t>
  </si>
  <si>
    <t>VAV0520</t>
  </si>
  <si>
    <t>FINANCE CONTROL 10.028</t>
  </si>
  <si>
    <t>VAV0521</t>
  </si>
  <si>
    <t>SERV. DIR. TR. &amp; GU. SERV. 10.029</t>
  </si>
  <si>
    <t>VAV0522</t>
  </si>
  <si>
    <t>VAV0523</t>
  </si>
  <si>
    <t>COMM. DIR. DESIG. 10.031</t>
  </si>
  <si>
    <t>VAV0524</t>
  </si>
  <si>
    <t>COMM. DIR. EDITOR 10.032</t>
  </si>
  <si>
    <t>VAV0525</t>
  </si>
  <si>
    <t>COMM. DIR. TRANSLTOR 10.033</t>
  </si>
  <si>
    <t>VAV0526</t>
  </si>
  <si>
    <t>COMM. DIR. COORD 10.034</t>
  </si>
  <si>
    <t>VAV0527</t>
  </si>
  <si>
    <t>SUPP. OFFICER 10.035</t>
  </si>
  <si>
    <t>VAV0528</t>
  </si>
  <si>
    <t>SH. SERV. DIR. ACCOUNUT. 10.036</t>
  </si>
  <si>
    <t>VAV0529</t>
  </si>
  <si>
    <t>SH. SERV. DIR. SR. ACCOUNT. 10.037</t>
  </si>
  <si>
    <t>VAV0530</t>
  </si>
  <si>
    <t>SHEIKHA WING STORAGE 10.001</t>
  </si>
  <si>
    <t>VAV0531</t>
  </si>
  <si>
    <t>VAV0532</t>
  </si>
  <si>
    <t>VAV0533</t>
  </si>
  <si>
    <t>BOARD ROOM WAITING 10.003</t>
  </si>
  <si>
    <t>VAV0534</t>
  </si>
  <si>
    <t>VAV0535</t>
  </si>
  <si>
    <t>ARCHIVE COORD 10.004</t>
  </si>
  <si>
    <t>VAV0536</t>
  </si>
  <si>
    <t>LOUNGE 10.106</t>
  </si>
  <si>
    <t>VAV0537</t>
  </si>
  <si>
    <t>NW LOUNGE 10.106</t>
  </si>
  <si>
    <t>VAV0538</t>
  </si>
  <si>
    <t>BOARD PREP. ROOM 10.109</t>
  </si>
  <si>
    <t>VAV0539</t>
  </si>
  <si>
    <t>CONSULTANT SPACE 10.101</t>
  </si>
  <si>
    <t>VAV0540</t>
  </si>
  <si>
    <t>VAV0541</t>
  </si>
  <si>
    <t>AV ROOM 10.112</t>
  </si>
  <si>
    <t>VAV0542</t>
  </si>
  <si>
    <t>VAV0543</t>
  </si>
  <si>
    <t>VAV0544</t>
  </si>
  <si>
    <t>VAV0545</t>
  </si>
  <si>
    <t>VAV0546</t>
  </si>
  <si>
    <t>VAV0547</t>
  </si>
  <si>
    <t>SHEIKHA WING MULTIPURPOSE ROOM 10.102</t>
  </si>
  <si>
    <t>VAV0548</t>
  </si>
  <si>
    <t>OFFICE SPACE 10.002E</t>
  </si>
  <si>
    <t>VAV0549</t>
  </si>
  <si>
    <t>OFFICE SPACE 10.002D</t>
  </si>
  <si>
    <t>VAV0550</t>
  </si>
  <si>
    <t>OFFICE SPACE 10.002C</t>
  </si>
  <si>
    <t>VAV0551</t>
  </si>
  <si>
    <t>OFFICE SPACE 10.002A</t>
  </si>
  <si>
    <t>VAV0552</t>
  </si>
  <si>
    <t>PLANNING DIR. 11.012</t>
  </si>
  <si>
    <t>VAV0553</t>
  </si>
  <si>
    <t>EXEC. DIR. CORR. 11.013</t>
  </si>
  <si>
    <t>VAV0554</t>
  </si>
  <si>
    <t>EXEC. DIR. CORR. MANAGER 11.014</t>
  </si>
  <si>
    <t>VAV0555</t>
  </si>
  <si>
    <t>EXEC. DIR. CORR. 11.015</t>
  </si>
  <si>
    <t>VAV0556</t>
  </si>
  <si>
    <t>LEGAL ASSIST. 11.016</t>
  </si>
  <si>
    <t>VAV0557</t>
  </si>
  <si>
    <t>LEGAL ADVISOR 11.017</t>
  </si>
  <si>
    <t>VAV0558</t>
  </si>
  <si>
    <t>VAV0559</t>
  </si>
  <si>
    <t>LEGAL ADVISOR 11.018</t>
  </si>
  <si>
    <t>VAV0560</t>
  </si>
  <si>
    <t>DEP. EXEC. DIRECTOR 11.019</t>
  </si>
  <si>
    <t>VAV0561</t>
  </si>
  <si>
    <t>EXEC. ASSI. 11.020</t>
  </si>
  <si>
    <t>VAV0562</t>
  </si>
  <si>
    <t>EXEC. DIRECTOR 11.021</t>
  </si>
  <si>
    <t>VAV0564</t>
  </si>
  <si>
    <t>SHEIKHA WING WAITING ROOM 11.022</t>
  </si>
  <si>
    <t>VAV0565</t>
  </si>
  <si>
    <t>VAV0567</t>
  </si>
  <si>
    <t>SECURITY ROOM 11.023</t>
  </si>
  <si>
    <t>VAV0568</t>
  </si>
  <si>
    <t>COMMUNICATION DIR. 11.001</t>
  </si>
  <si>
    <t>VAV0570</t>
  </si>
  <si>
    <t>MED. REL. OFFICER 11.002</t>
  </si>
  <si>
    <t>VAV0571</t>
  </si>
  <si>
    <t>DIR. SHARED SERVICES 11.003</t>
  </si>
  <si>
    <t>VAV0573</t>
  </si>
  <si>
    <t>ADM. ASSI. 11.004</t>
  </si>
  <si>
    <t>VAV0574</t>
  </si>
  <si>
    <t>PROTOCOL DIR. 11.005</t>
  </si>
  <si>
    <t>VAV0575</t>
  </si>
  <si>
    <t>GIFT DIR. 11.006</t>
  </si>
  <si>
    <t>VAV0576</t>
  </si>
  <si>
    <t>EXEC. DIR. CONSULTANT 11.008</t>
  </si>
  <si>
    <t>VAV0577</t>
  </si>
  <si>
    <t>SEC. 11.009</t>
  </si>
  <si>
    <t>VAV0578</t>
  </si>
  <si>
    <t>DIR. OF POL. &amp; RES. 11.010</t>
  </si>
  <si>
    <t>VAV0579</t>
  </si>
  <si>
    <t>SECRETARY 11.011</t>
  </si>
  <si>
    <t>VAV0580</t>
  </si>
  <si>
    <t>SHEIKHA WING BUSINESS LOUNGE 11.103</t>
  </si>
  <si>
    <t>VAV0581</t>
  </si>
  <si>
    <t>VAV0582</t>
  </si>
  <si>
    <t>SHEIKHA WING LOBBY 11.201</t>
  </si>
  <si>
    <t>VAV0583</t>
  </si>
  <si>
    <t>VAV0584</t>
  </si>
  <si>
    <t>SHEIKHA WING SHEIKHA ENSUIT 11.202</t>
  </si>
  <si>
    <t>VAV0585</t>
  </si>
  <si>
    <t>VAV0586</t>
  </si>
  <si>
    <t>VAV0587</t>
  </si>
  <si>
    <t>VAV0588</t>
  </si>
  <si>
    <t>SHEIKHA WING RELAX AREA 11.203</t>
  </si>
  <si>
    <t>VAV0589</t>
  </si>
  <si>
    <t>VAV0590</t>
  </si>
  <si>
    <t>SHEIKHA WING MEETING ROOM 11.204</t>
  </si>
  <si>
    <t>VAV0591</t>
  </si>
  <si>
    <t>VAV0592</t>
  </si>
  <si>
    <t>VISITORS CENTER 08</t>
  </si>
  <si>
    <t>VAV0593</t>
  </si>
  <si>
    <t>VAV0594</t>
  </si>
  <si>
    <t>VAV0595</t>
  </si>
  <si>
    <t>ROOM B.109</t>
  </si>
  <si>
    <t>VAV0596</t>
  </si>
  <si>
    <t>OFFICE SPACE 04.015B</t>
  </si>
  <si>
    <t>VAV0597</t>
  </si>
  <si>
    <t>OFFICE SPACE 04.001A</t>
  </si>
  <si>
    <t>VAV0598</t>
  </si>
  <si>
    <t>OFFICE SPACE 04.001E</t>
  </si>
  <si>
    <t>VAV0599</t>
  </si>
  <si>
    <t>OFFICE SPACE 04.001C</t>
  </si>
  <si>
    <t>VAV0600</t>
  </si>
  <si>
    <t>OFFICE SPACE 04.001H</t>
  </si>
  <si>
    <t>VAV0601</t>
  </si>
  <si>
    <t>OFFICE SPACE 10.002B</t>
  </si>
  <si>
    <t>VAV0602</t>
  </si>
  <si>
    <t>EXEC. DIR. CONSULTANT 11.007</t>
  </si>
  <si>
    <t>VAV0603</t>
  </si>
  <si>
    <t>VAV0604</t>
  </si>
  <si>
    <t>VAV0605</t>
  </si>
  <si>
    <t>HH WING BUSINESS LOUNGE 11.102</t>
  </si>
  <si>
    <t>VAV0606</t>
  </si>
  <si>
    <t>VAV0607</t>
  </si>
  <si>
    <t>PR &amp; MARKET STAFF G.013</t>
  </si>
  <si>
    <t>VAV0608</t>
  </si>
  <si>
    <t>TOILET G.405</t>
  </si>
  <si>
    <t>QNL</t>
  </si>
  <si>
    <t>AHUB001</t>
  </si>
  <si>
    <t>Basement Level Zone 4 Plant Room 4 B.220</t>
  </si>
  <si>
    <t>AHUB002</t>
  </si>
  <si>
    <t>Basement Level Zone 1 Plant Room 1 B.063</t>
  </si>
  <si>
    <t>AHUB003</t>
  </si>
  <si>
    <t>Basement Level Zone 1 Plant Room 2 B.070</t>
  </si>
  <si>
    <t>AHUB004</t>
  </si>
  <si>
    <t>Basement Level Zone 2 Plant Room 3 B.110</t>
  </si>
  <si>
    <t>AHUB005</t>
  </si>
  <si>
    <t>AHUB006</t>
  </si>
  <si>
    <t>AHUB007</t>
  </si>
  <si>
    <t>AHUB008</t>
  </si>
  <si>
    <t>AHUB009</t>
  </si>
  <si>
    <t>AHUB010</t>
  </si>
  <si>
    <t>AHUB011</t>
  </si>
  <si>
    <t>AHUB012</t>
  </si>
  <si>
    <t>AHUB013</t>
  </si>
  <si>
    <t>AHUB014</t>
  </si>
  <si>
    <t>AHUB015</t>
  </si>
  <si>
    <t>FCU_1F_001</t>
  </si>
  <si>
    <t>FCU_1F_002</t>
  </si>
  <si>
    <t>ICT Room 02 L1.030</t>
  </si>
  <si>
    <t>FCU_1F_003</t>
  </si>
  <si>
    <t>IDF Room 02 L1.099</t>
  </si>
  <si>
    <t>FCU_1F_004</t>
  </si>
  <si>
    <t>FCU_1F_005</t>
  </si>
  <si>
    <t>FCU_1F_006</t>
  </si>
  <si>
    <t>FCU_1F_007</t>
  </si>
  <si>
    <t>FCU_1F_008</t>
  </si>
  <si>
    <t>FCU_1F_009</t>
  </si>
  <si>
    <t>FCU_1F_010</t>
  </si>
  <si>
    <t>FCU_1F_011</t>
  </si>
  <si>
    <t>FCU_1F_012</t>
  </si>
  <si>
    <t>FCU_1F_013</t>
  </si>
  <si>
    <t>FCU_1F_014</t>
  </si>
  <si>
    <t>FCU_1F_015</t>
  </si>
  <si>
    <t>FCU_1F_016</t>
  </si>
  <si>
    <t>FCU_1F_017</t>
  </si>
  <si>
    <t>FCU_1F_018</t>
  </si>
  <si>
    <t>FCU_1F_019</t>
  </si>
  <si>
    <t>FCU_1F_020</t>
  </si>
  <si>
    <t>FCU_1F_021</t>
  </si>
  <si>
    <t>FCU_1F_022</t>
  </si>
  <si>
    <t>FCU_1F_023</t>
  </si>
  <si>
    <t>FCU_1F_024</t>
  </si>
  <si>
    <t>FCU_1F_025</t>
  </si>
  <si>
    <t>FCU_1F_026</t>
  </si>
  <si>
    <t>FCU_1F_027</t>
  </si>
  <si>
    <t>FCU_1F_028</t>
  </si>
  <si>
    <t>FCU_1F_029</t>
  </si>
  <si>
    <t>FCU_1F_030</t>
  </si>
  <si>
    <t>FCU_1F_031</t>
  </si>
  <si>
    <t>FCU_1F_032</t>
  </si>
  <si>
    <t>FCU_1F_033</t>
  </si>
  <si>
    <t>FCU_1F_034</t>
  </si>
  <si>
    <t>FCU_1F_035</t>
  </si>
  <si>
    <t>FCU_1F_036</t>
  </si>
  <si>
    <t>FCU_1F_037</t>
  </si>
  <si>
    <t>FCU_1F_038</t>
  </si>
  <si>
    <t>FCU_1F_039</t>
  </si>
  <si>
    <t>FCU_1F_040</t>
  </si>
  <si>
    <t>FCU_1F_041</t>
  </si>
  <si>
    <t>FCU_1F_042</t>
  </si>
  <si>
    <t>FCU_1F_043</t>
  </si>
  <si>
    <t>FCU_1F_044</t>
  </si>
  <si>
    <t>FCU_1F_045</t>
  </si>
  <si>
    <t>FCU_1F_046</t>
  </si>
  <si>
    <t>FCU_1F_047</t>
  </si>
  <si>
    <t>FCU_1F_048</t>
  </si>
  <si>
    <t>FCU_1F_049</t>
  </si>
  <si>
    <t>FCU_1F_050</t>
  </si>
  <si>
    <t>FCU_1F_051</t>
  </si>
  <si>
    <t>FCU_1F_052</t>
  </si>
  <si>
    <t>FCU_1F_053</t>
  </si>
  <si>
    <t>FCU_1F_054</t>
  </si>
  <si>
    <t>FCU_1F_055</t>
  </si>
  <si>
    <t>VESTIBULE L1</t>
  </si>
  <si>
    <t>FCU_1F_056</t>
  </si>
  <si>
    <t>External Book Drop L1</t>
  </si>
  <si>
    <t>FCU_1F_057</t>
  </si>
  <si>
    <t>FCU_1F_058</t>
  </si>
  <si>
    <t>FCU_1F_059</t>
  </si>
  <si>
    <t>Restaurant L1.150</t>
  </si>
  <si>
    <t>FCU_1F_060</t>
  </si>
  <si>
    <t>FCU_1F_061</t>
  </si>
  <si>
    <t>FCU_1F_062</t>
  </si>
  <si>
    <t>FCU_1F_063</t>
  </si>
  <si>
    <t>FCU_1F_064</t>
  </si>
  <si>
    <t>FCU_1F_065</t>
  </si>
  <si>
    <t>FCU_2F_001</t>
  </si>
  <si>
    <t>FCU_2F_002</t>
  </si>
  <si>
    <t>FCU_2F_003</t>
  </si>
  <si>
    <t>FCU_2F_004</t>
  </si>
  <si>
    <t>FCU_2F_005</t>
  </si>
  <si>
    <t>MDF Room L2.009</t>
  </si>
  <si>
    <t>FCU_2F_034</t>
  </si>
  <si>
    <t>Auditorium High Levlel in Ceiling Void L2.087</t>
  </si>
  <si>
    <t>FCU_2F_035</t>
  </si>
  <si>
    <t>FCU_2F_036</t>
  </si>
  <si>
    <t>FCU_2F_037</t>
  </si>
  <si>
    <t>FCU_2F_038</t>
  </si>
  <si>
    <t>Auditorium Booths L2.087</t>
  </si>
  <si>
    <t>FCU_2F_039</t>
  </si>
  <si>
    <t>FCU_2F_040</t>
  </si>
  <si>
    <t>FCU_2F_041</t>
  </si>
  <si>
    <t>Bridge Raised Floor L2.088</t>
  </si>
  <si>
    <t>FCU_2F_042</t>
  </si>
  <si>
    <t>STUDY AREA L2.088</t>
  </si>
  <si>
    <t>FCU_2F_043</t>
  </si>
  <si>
    <t>Bridge L2.088</t>
  </si>
  <si>
    <t>FCU_2F_044</t>
  </si>
  <si>
    <t>FCU_2F_045</t>
  </si>
  <si>
    <t>Group Study Room L2.081</t>
  </si>
  <si>
    <t>FCU_2F_046</t>
  </si>
  <si>
    <t>Group Study Room L2.076</t>
  </si>
  <si>
    <t>FCU_2F_047</t>
  </si>
  <si>
    <t>FCU_2F_048</t>
  </si>
  <si>
    <t>INDIVIDUAL STUDY ROOM L2.070</t>
  </si>
  <si>
    <t>FCU_2F_049</t>
  </si>
  <si>
    <t>FCU_2F_050</t>
  </si>
  <si>
    <t>FCU_2F_051</t>
  </si>
  <si>
    <t>INDIVIDUAL STUDY ROOM L2.073</t>
  </si>
  <si>
    <t>FCU_2F_052</t>
  </si>
  <si>
    <t>FCU_2F_053</t>
  </si>
  <si>
    <t>FCU_2F_054</t>
  </si>
  <si>
    <t>FCU_2F_055</t>
  </si>
  <si>
    <t>FCU_2F_056</t>
  </si>
  <si>
    <t>FCU_2F_057</t>
  </si>
  <si>
    <t>North East Core T1.021</t>
  </si>
  <si>
    <t>FCU_2F_058</t>
  </si>
  <si>
    <t>FCU_2F_059</t>
  </si>
  <si>
    <t>FCU_2F_060</t>
  </si>
  <si>
    <t>North West Core T1.020</t>
  </si>
  <si>
    <t>FCU_2F_061</t>
  </si>
  <si>
    <t>FCU_2F_062</t>
  </si>
  <si>
    <t>FCU_B_001</t>
  </si>
  <si>
    <t>IDF ROOM B.155</t>
  </si>
  <si>
    <t>FCU_B_002</t>
  </si>
  <si>
    <t>FUMIGATION B.085</t>
  </si>
  <si>
    <t>FCU_B_003</t>
  </si>
  <si>
    <t>IDF (Corridor) B.062</t>
  </si>
  <si>
    <t>FCU_B_004</t>
  </si>
  <si>
    <t>IDF FM Storage B.215</t>
  </si>
  <si>
    <t>FCU_B_005</t>
  </si>
  <si>
    <t>HL Plant Room B.140</t>
  </si>
  <si>
    <t>FCU_B_006</t>
  </si>
  <si>
    <t>Fire Command ROOM  B.071</t>
  </si>
  <si>
    <t>FCU_B_007</t>
  </si>
  <si>
    <t>Sprinklers Pumps ROOM B.072</t>
  </si>
  <si>
    <t>FCU_B_008</t>
  </si>
  <si>
    <t>GAS SUPPRESSION ROOM B.087</t>
  </si>
  <si>
    <t>FCU_B_009</t>
  </si>
  <si>
    <t>PEOPLE MOVER ROOM B.088</t>
  </si>
  <si>
    <t>FCU_B_010</t>
  </si>
  <si>
    <t>Security Contol Room B.105</t>
  </si>
  <si>
    <t>FCU_B_011</t>
  </si>
  <si>
    <t>Plant Room 1 B.063</t>
  </si>
  <si>
    <t>FCU_B_012</t>
  </si>
  <si>
    <t>FCU_B_013</t>
  </si>
  <si>
    <t>Plant Room 2 B.070</t>
  </si>
  <si>
    <t>FCU_B_014</t>
  </si>
  <si>
    <t>FCU_B_015</t>
  </si>
  <si>
    <t>Plant Room 3 B.110</t>
  </si>
  <si>
    <t>FCU_B_016</t>
  </si>
  <si>
    <t>FCU_B_017</t>
  </si>
  <si>
    <t>FCU_B_018</t>
  </si>
  <si>
    <t>Plant Room 4 B.220</t>
  </si>
  <si>
    <t>FCU_B_019</t>
  </si>
  <si>
    <t>FCU_B_020</t>
  </si>
  <si>
    <t>FCU_B_021</t>
  </si>
  <si>
    <t>FCU_B_022</t>
  </si>
  <si>
    <t>FM Storage B.210</t>
  </si>
  <si>
    <t>FCU_B_023</t>
  </si>
  <si>
    <t>FCU_B_024</t>
  </si>
  <si>
    <t>PH Plant ROOM B.211</t>
  </si>
  <si>
    <t>FCU_B_025</t>
  </si>
  <si>
    <t>MISTING PUMP ROOM B.212</t>
  </si>
  <si>
    <t>FCU_B_026</t>
  </si>
  <si>
    <t>FCU_B_027</t>
  </si>
  <si>
    <t>Sorting Shelving Room B.121</t>
  </si>
  <si>
    <t>FCU_B_028</t>
  </si>
  <si>
    <t>FCU_B_029</t>
  </si>
  <si>
    <t xml:space="preserve"> B.145.05</t>
  </si>
  <si>
    <t>FCU_B_030</t>
  </si>
  <si>
    <t>WATER FEATURE ROOM B.226</t>
  </si>
  <si>
    <t>FCU_B_031</t>
  </si>
  <si>
    <t>IDF ROOM B.215A</t>
  </si>
  <si>
    <t>FCU_B_032</t>
  </si>
  <si>
    <t>Shell Space-Special Collection B.132</t>
  </si>
  <si>
    <t>FCU_B_033</t>
  </si>
  <si>
    <t>FCU_B_034</t>
  </si>
  <si>
    <t>FCU_B_035</t>
  </si>
  <si>
    <t>FCU_B_036</t>
  </si>
  <si>
    <t>IT Office B.122</t>
  </si>
  <si>
    <t>FCU_B_037</t>
  </si>
  <si>
    <t>DIGITALIZATION SERVER SPACE B.215A</t>
  </si>
  <si>
    <t>FCU_B_038</t>
  </si>
  <si>
    <t>ELEC. B.145</t>
  </si>
  <si>
    <t>VAV_1F_S11_001</t>
  </si>
  <si>
    <t>Group Study Room1 L1.026</t>
  </si>
  <si>
    <t>VAV_1F_S11_002</t>
  </si>
  <si>
    <t>Group Study Room2 L1.027</t>
  </si>
  <si>
    <t>VAV_1F_S11_003</t>
  </si>
  <si>
    <t>Group Study Room3 L1.028</t>
  </si>
  <si>
    <t>VAV_1F_S11_004</t>
  </si>
  <si>
    <t>Information Literacy Instr 1 L1.020</t>
  </si>
  <si>
    <t>VAV_1F_S11_005</t>
  </si>
  <si>
    <t>VAV_1F_S11_006</t>
  </si>
  <si>
    <t>Infor. Lteracy Instr.2 L1.021</t>
  </si>
  <si>
    <t>VAV_1F_S11_007</t>
  </si>
  <si>
    <t>VAV_1F_S11_008</t>
  </si>
  <si>
    <t>VAV_1F_S11_009</t>
  </si>
  <si>
    <t>VAV_1F_S11_010</t>
  </si>
  <si>
    <t>VAV_1F_S11_011</t>
  </si>
  <si>
    <t>VAV_1F_S11_012</t>
  </si>
  <si>
    <t>VAV_1F_S11_013</t>
  </si>
  <si>
    <t>VAV_1F_S11_014</t>
  </si>
  <si>
    <t>Computer Classroom L1.022</t>
  </si>
  <si>
    <t>VAV_1F_S11_015</t>
  </si>
  <si>
    <t>VAV_1F_S11_016</t>
  </si>
  <si>
    <t>VAV_1F_S11_017</t>
  </si>
  <si>
    <t>VAV_1F_S11_018</t>
  </si>
  <si>
    <t>VAV_1F_S11_019</t>
  </si>
  <si>
    <t>VAV_1F_S11_020</t>
  </si>
  <si>
    <t>VAV_1F_S11_021</t>
  </si>
  <si>
    <t>VAV_1F_S11_022</t>
  </si>
  <si>
    <t>Group Study Room 4 L1.029</t>
  </si>
  <si>
    <t>VAV_1F_S11_087</t>
  </si>
  <si>
    <t>CHILDRENS LIBRARY SLOPE  CORRIDOR L1.023</t>
  </si>
  <si>
    <t>VAV_1F_S11_088</t>
  </si>
  <si>
    <t>VAV_1F_S11_089</t>
  </si>
  <si>
    <t>VAV_1F_S11_090</t>
  </si>
  <si>
    <t>VAV_1F_S15_001</t>
  </si>
  <si>
    <t>Media Studio1 L1.063</t>
  </si>
  <si>
    <t>VAV_1F_S15_002</t>
  </si>
  <si>
    <t>VAV_1F_S15_003</t>
  </si>
  <si>
    <t>Media Studio2 L1.065</t>
  </si>
  <si>
    <t>VAV_1F_S15_004</t>
  </si>
  <si>
    <t>VAV_1F_S15_005</t>
  </si>
  <si>
    <t>Head Librarian Office L1.040</t>
  </si>
  <si>
    <t>VAV_1F_S15_006</t>
  </si>
  <si>
    <t>Children Library - Pre School Reading &amp; Playing L1.047</t>
  </si>
  <si>
    <t>VAV_1F_S15_007</t>
  </si>
  <si>
    <t>VAV_1F_S15_008</t>
  </si>
  <si>
    <t>VAV_1F_S15_009</t>
  </si>
  <si>
    <t>CHILDRENS LIBRARY-PRE SCHOOL COLLECTION L1.047</t>
  </si>
  <si>
    <t>VAV_1F_S15_010</t>
  </si>
  <si>
    <t>VAV_1F_S15_011</t>
  </si>
  <si>
    <t>VAV_1F_S15_012</t>
  </si>
  <si>
    <t>Staff Office L1.048</t>
  </si>
  <si>
    <t>VAV_1F_S15_021</t>
  </si>
  <si>
    <t>Prayer Room (Female) L1.104</t>
  </si>
  <si>
    <t>VAV_1F_S15_022</t>
  </si>
  <si>
    <t>VAV_1F_S15_023</t>
  </si>
  <si>
    <t>Prayer Room (Male) L1.104</t>
  </si>
  <si>
    <t>VAV_1F_S15_024</t>
  </si>
  <si>
    <t>VAV_1F_S15_025</t>
  </si>
  <si>
    <t>Ablution (Women) L1.106</t>
  </si>
  <si>
    <t>VAV_1F_S15_038</t>
  </si>
  <si>
    <t>Ablution (Men) L1.105</t>
  </si>
  <si>
    <t>VAV_1F_S15_039</t>
  </si>
  <si>
    <t>Green Room L1.002A</t>
  </si>
  <si>
    <t>VAV_1F_S15_039S</t>
  </si>
  <si>
    <t>VAV_1F_S15_040</t>
  </si>
  <si>
    <t>VAV_1F_S15_096</t>
  </si>
  <si>
    <t>Multipurpose Room L1.041</t>
  </si>
  <si>
    <t>VAV_1F_S15_097</t>
  </si>
  <si>
    <t>VAV_1F_S15_098</t>
  </si>
  <si>
    <t>VAV_2F_S10_001</t>
  </si>
  <si>
    <t>VAV_2F_S10_002</t>
  </si>
  <si>
    <t>VAV_2F_S10_003</t>
  </si>
  <si>
    <t>VAV_2F_S10_004</t>
  </si>
  <si>
    <t>VAV_2F_S10_005</t>
  </si>
  <si>
    <t>VAV_2F_S10_006</t>
  </si>
  <si>
    <t>VAV_2F_S12_001</t>
  </si>
  <si>
    <t>OPEN READING AREA L1.001</t>
  </si>
  <si>
    <t>VAV_2F_S12_002</t>
  </si>
  <si>
    <t>VAV_2F_S12_003</t>
  </si>
  <si>
    <t>VAV_2F_S12_004</t>
  </si>
  <si>
    <t>VAV_2F_S12_005</t>
  </si>
  <si>
    <t>VAV_2F_S12_006</t>
  </si>
  <si>
    <t>VAV_2F_S12_007</t>
  </si>
  <si>
    <t>VAV_2F_S12_008</t>
  </si>
  <si>
    <t>VAV_2F_S12_009</t>
  </si>
  <si>
    <t>VAV_2F_S12_010</t>
  </si>
  <si>
    <t>BRAILLE READER L1.002</t>
  </si>
  <si>
    <t>VAV_2F_S12_011</t>
  </si>
  <si>
    <t>VAV_2F_S12_012</t>
  </si>
  <si>
    <t>TUTORING HEAD L1.003</t>
  </si>
  <si>
    <t>VAV_2F_S12_013</t>
  </si>
  <si>
    <t>WRITING ROOM 1 L1.004</t>
  </si>
  <si>
    <t>VAV_2F_S12_014</t>
  </si>
  <si>
    <t>WRITING HEAD L1.005</t>
  </si>
  <si>
    <t>VAV_2F_S12_015</t>
  </si>
  <si>
    <t>WRITING ROOM 2 L1.005</t>
  </si>
  <si>
    <t>VAV_2F_S12_016</t>
  </si>
  <si>
    <t>STUDENT CARRELS L1.007</t>
  </si>
  <si>
    <t>VAV_2F_S12_017</t>
  </si>
  <si>
    <t>VAV_2F_S12_018</t>
  </si>
  <si>
    <t>VAV_2F_S12_019</t>
  </si>
  <si>
    <t>VAV_2F_S12_020</t>
  </si>
  <si>
    <t>VAV_2F_S12_021</t>
  </si>
  <si>
    <t>Breakout Space L2.010</t>
  </si>
  <si>
    <t>VAV_2F_S12_022</t>
  </si>
  <si>
    <t>Circulation Office L2.011</t>
  </si>
  <si>
    <t>VAV_2F_S12_023</t>
  </si>
  <si>
    <t>Office SpL Collection L2.012</t>
  </si>
  <si>
    <t>VAV_2F_S12_024</t>
  </si>
  <si>
    <t>Office SpL Collection L2.013</t>
  </si>
  <si>
    <t>VAV_2F_S12_025</t>
  </si>
  <si>
    <t>CORRIDOR L2</t>
  </si>
  <si>
    <t>VAV_2F_S12_026</t>
  </si>
  <si>
    <t>Group Study Room 5 L2.015</t>
  </si>
  <si>
    <t>VAV_2F_S12_027</t>
  </si>
  <si>
    <t>Group Study Room 7 L2.017</t>
  </si>
  <si>
    <t>VAV_2F_S12_028</t>
  </si>
  <si>
    <t>Meeting Room L2.018</t>
  </si>
  <si>
    <t>VAV_2F_S12_029</t>
  </si>
  <si>
    <t>Group Study Room 6 L2.016</t>
  </si>
  <si>
    <t>VAV_2F_S12_097</t>
  </si>
  <si>
    <t>Group Study Room 8 L2.018</t>
  </si>
  <si>
    <t>VAV_2F_S13_001</t>
  </si>
  <si>
    <t>Lib. Director's Room L2.044</t>
  </si>
  <si>
    <t>VAV_2F_S13_002</t>
  </si>
  <si>
    <t>VAV_2F_S13_003</t>
  </si>
  <si>
    <t>Service &amp; Lounge L2.043</t>
  </si>
  <si>
    <t>VAV_2F_S13_004</t>
  </si>
  <si>
    <t>OPEN OFFICE L2.025</t>
  </si>
  <si>
    <t>VAV_2F_S13_005</t>
  </si>
  <si>
    <t>ACADEMIC PERS. LIBRARIA L2.022</t>
  </si>
  <si>
    <t>VAV_2F_S13_006</t>
  </si>
  <si>
    <t>ACD PERS LIBRARIAN L2.022</t>
  </si>
  <si>
    <t>VAV_2F_S13_007</t>
  </si>
  <si>
    <t>AD ADMIN &amp; PLANNING L2.023</t>
  </si>
  <si>
    <t>VAV_2F_S13_008</t>
  </si>
  <si>
    <t>Office Coord L2.024</t>
  </si>
  <si>
    <t>VAV_2F_S13_009</t>
  </si>
  <si>
    <t>VAV_2F_S13_010</t>
  </si>
  <si>
    <t>VAV_2F_S13_011</t>
  </si>
  <si>
    <t>VAV_2F_S13_012</t>
  </si>
  <si>
    <t>VAV_2F_S13_013</t>
  </si>
  <si>
    <t>VAV_2F_S13_014</t>
  </si>
  <si>
    <t>VAV_2F_S13_015</t>
  </si>
  <si>
    <t>VAV_2F_S13_016</t>
  </si>
  <si>
    <t>VIP Waiting ROOM L2.048</t>
  </si>
  <si>
    <t>VAV_2F_S14_001</t>
  </si>
  <si>
    <t>PUBLIC SERVICES L1.080</t>
  </si>
  <si>
    <t>VAV_2F_S14_002</t>
  </si>
  <si>
    <t>VAV_2F_S14_003</t>
  </si>
  <si>
    <t>VAV_2F_S14_004</t>
  </si>
  <si>
    <t>VAV_2F_S14_005</t>
  </si>
  <si>
    <t>VAV_2F_S14_006</t>
  </si>
  <si>
    <t>VAV_2F_S14_007</t>
  </si>
  <si>
    <t>SPEC COLL &amp; ARCH L1.083</t>
  </si>
  <si>
    <t>VAV_2F_S14_008</t>
  </si>
  <si>
    <t>R&amp;L SERVICES L1.084</t>
  </si>
  <si>
    <t>VAV_2F_S14_009</t>
  </si>
  <si>
    <t>AD. PUBLIC SERVICE L1.085</t>
  </si>
  <si>
    <t>VAV_2F_S14_010</t>
  </si>
  <si>
    <t>REF LIBRARIAN L1.086</t>
  </si>
  <si>
    <t>VAV_2F_S14_011</t>
  </si>
  <si>
    <t>REF LIBRARIAN L1.087</t>
  </si>
  <si>
    <t>VAV_2F_S14_012</t>
  </si>
  <si>
    <t>REF LIBRARIAN L1.088</t>
  </si>
  <si>
    <t>VAV_2F_S14_013</t>
  </si>
  <si>
    <t>REF LIBRARIAN L1.089</t>
  </si>
  <si>
    <t>VAV_2F_S14_014</t>
  </si>
  <si>
    <t>REF LIBRARIAN L1.090</t>
  </si>
  <si>
    <t>VAV_2F_S14_015</t>
  </si>
  <si>
    <t>REF LIBRARIAN L1.091</t>
  </si>
  <si>
    <t>VAV_2F_S14_016</t>
  </si>
  <si>
    <t>REF LIBRARIAN L1.092</t>
  </si>
  <si>
    <t>VAV_2F_S14_017</t>
  </si>
  <si>
    <t>REF LIBRARIAN L1.093</t>
  </si>
  <si>
    <t>VAV_2F_S14_018</t>
  </si>
  <si>
    <t>REF LIBRARIAN L1.094</t>
  </si>
  <si>
    <t>VAV_2F_S14_019</t>
  </si>
  <si>
    <t>REF LIBRARIAN L1.095</t>
  </si>
  <si>
    <t>VAV_2F_S14_020</t>
  </si>
  <si>
    <t>REF LIBRARIAN L1.096</t>
  </si>
  <si>
    <t>VAV_2F_S14_021</t>
  </si>
  <si>
    <t>REF LIBRARIAN L1.097</t>
  </si>
  <si>
    <t>VAV_2F_S15_001</t>
  </si>
  <si>
    <t>VIP Room L2.051</t>
  </si>
  <si>
    <t>VAV_2F_S15_002</t>
  </si>
  <si>
    <t>VAV_2F_S15_003</t>
  </si>
  <si>
    <t>VAV_2F_S15_004</t>
  </si>
  <si>
    <t>VAV_2F_S15_005</t>
  </si>
  <si>
    <t>MAJLIS-VIP Meeting L2.046</t>
  </si>
  <si>
    <t>VAV_B_S10_001</t>
  </si>
  <si>
    <t>DIGITISATION AREA B.200</t>
  </si>
  <si>
    <t>VAV_B_S10_002</t>
  </si>
  <si>
    <t>VAV_B_S10_003</t>
  </si>
  <si>
    <t>VAV_B_S10_004</t>
  </si>
  <si>
    <t>VAV_B_S10_005</t>
  </si>
  <si>
    <t>VAV_B_S10_006</t>
  </si>
  <si>
    <t>VAV_B_S10_007</t>
  </si>
  <si>
    <t>VAV_B_S10_008</t>
  </si>
  <si>
    <t>VAV_B_S10_009</t>
  </si>
  <si>
    <t>VAV_B_S10_010</t>
  </si>
  <si>
    <t>TECHNICAL SERVICES B.204</t>
  </si>
  <si>
    <t>VAV_B_S10_011</t>
  </si>
  <si>
    <t>VAV_B_S10_012</t>
  </si>
  <si>
    <t>CR6 CONVERSATION WORK AREA B.209</t>
  </si>
  <si>
    <t>VAV_B_S10_013</t>
  </si>
  <si>
    <t>VAV_B_S10_014</t>
  </si>
  <si>
    <t>VAV_B_S10_015</t>
  </si>
  <si>
    <t>INSTRUCTION OUTREACH B.206</t>
  </si>
  <si>
    <t>VAV_B_S10_016</t>
  </si>
  <si>
    <t>MULTIMEDIA PRESENTATION B.205</t>
  </si>
  <si>
    <t>VAV_B_S10_017</t>
  </si>
  <si>
    <t>VAV_B_S10_018</t>
  </si>
  <si>
    <t>VAV_B_S10_019</t>
  </si>
  <si>
    <t xml:space="preserve">CR6 PROF LIBRARIAN B.208 </t>
  </si>
  <si>
    <t>VAV_B_S10_020</t>
  </si>
  <si>
    <t>Reserchers Reading Area B.207</t>
  </si>
  <si>
    <t>VAV_B_S10_021</t>
  </si>
  <si>
    <t>VAV_B_S10_022</t>
  </si>
  <si>
    <t>VAV_B_S10_023</t>
  </si>
  <si>
    <t>VAV_B_S10_024</t>
  </si>
  <si>
    <t>VAV_B_S11_001</t>
  </si>
  <si>
    <t>Break Out Area B.001A</t>
  </si>
  <si>
    <t>VAV_B_S11_002</t>
  </si>
  <si>
    <t>VAV_B_S11_003</t>
  </si>
  <si>
    <t>Tech, Services &amp; Collections Office B.001</t>
  </si>
  <si>
    <t>VAV_B_S11_004</t>
  </si>
  <si>
    <t>VAV_B_S11_005</t>
  </si>
  <si>
    <t>VAV_B_S11_006</t>
  </si>
  <si>
    <t>VAV_B_S11_007</t>
  </si>
  <si>
    <t>VAV_B_S11_008</t>
  </si>
  <si>
    <t>VAV_B_S11_009</t>
  </si>
  <si>
    <t>VAV_B_S11_010</t>
  </si>
  <si>
    <t>VAV_B_S11_011</t>
  </si>
  <si>
    <t>VAV_B_S11_012</t>
  </si>
  <si>
    <t>VAV_B_S11_013</t>
  </si>
  <si>
    <t>VAV_B_S11_014</t>
  </si>
  <si>
    <t>VAV_B_S11_015</t>
  </si>
  <si>
    <t>VAV_B_S11_016</t>
  </si>
  <si>
    <t>VAV_B_S11_017</t>
  </si>
  <si>
    <t>VAV_B_S11_018</t>
  </si>
  <si>
    <t>VAV_B_S11_019</t>
  </si>
  <si>
    <t>VAV_B_S11_020</t>
  </si>
  <si>
    <t>VAV_B_S11_021</t>
  </si>
  <si>
    <t>Reception &amp; Lounge B.009</t>
  </si>
  <si>
    <t>VAV_B_S11_022</t>
  </si>
  <si>
    <t>Corridor Leading To Reception &amp; Lounge B.009</t>
  </si>
  <si>
    <t>VAV_B_S11_023</t>
  </si>
  <si>
    <t>VAV_B_S11_024</t>
  </si>
  <si>
    <t>Kitchen B.002</t>
  </si>
  <si>
    <t>VAV_B_S11_025</t>
  </si>
  <si>
    <t>Storage B.028</t>
  </si>
  <si>
    <t>VAV_B_S11_026</t>
  </si>
  <si>
    <t>AD TECH SERVICES DIRECTOR B.003</t>
  </si>
  <si>
    <t>VAV_B_S11_027</t>
  </si>
  <si>
    <t>VAV_B_S11_028</t>
  </si>
  <si>
    <t>Analogue Resources B.004</t>
  </si>
  <si>
    <t>VAV_B_S11_029</t>
  </si>
  <si>
    <t>Digital Resources B.005</t>
  </si>
  <si>
    <t>VAV_B_S11_030</t>
  </si>
  <si>
    <t>Budget &amp; Payment 1 B.006</t>
  </si>
  <si>
    <t>VAV_B_S11_031</t>
  </si>
  <si>
    <t>Budget &amp; Payment 2 B.007</t>
  </si>
  <si>
    <t>VAV_B_S11_032</t>
  </si>
  <si>
    <t>Ad Collection B.024</t>
  </si>
  <si>
    <t>VAV_B_S11_033</t>
  </si>
  <si>
    <t>VAV_B_S11_034</t>
  </si>
  <si>
    <t>Engineering B.020</t>
  </si>
  <si>
    <t>VAV_B_S11_035</t>
  </si>
  <si>
    <t>Arabic Sudies B.021</t>
  </si>
  <si>
    <t>VAV_B_S11_036</t>
  </si>
  <si>
    <t>Licensing Expert B.022</t>
  </si>
  <si>
    <t>VAV_B_S11_037</t>
  </si>
  <si>
    <t>Art &amp; Humanities B.023</t>
  </si>
  <si>
    <t>VAV_B_S11_038</t>
  </si>
  <si>
    <t>HARD &amp; HEALTH SCIENCES B.027</t>
  </si>
  <si>
    <t>VAV_B_S11_039</t>
  </si>
  <si>
    <t>Business Computing B.026</t>
  </si>
  <si>
    <t>VAV_B_S11_040</t>
  </si>
  <si>
    <t>Social Sciences B.025</t>
  </si>
  <si>
    <t>VAV_B_S11_041</t>
  </si>
  <si>
    <t>Literature Language B.029</t>
  </si>
  <si>
    <t>VAV_B_S11_042</t>
  </si>
  <si>
    <t>GENERAL B.030</t>
  </si>
  <si>
    <t>VAV_B_S11_043</t>
  </si>
  <si>
    <t>Receiving Area B.008</t>
  </si>
  <si>
    <t>VAV_B_S11_044</t>
  </si>
  <si>
    <t>VAV_B_S11_045</t>
  </si>
  <si>
    <t>VAV_B_S11_046</t>
  </si>
  <si>
    <t>VAV_B_S13_001</t>
  </si>
  <si>
    <t>Meeting Room B.034</t>
  </si>
  <si>
    <t>VAV_B_S13_002</t>
  </si>
  <si>
    <t>VAV_B_S13_003</t>
  </si>
  <si>
    <t>Processing Room B.103</t>
  </si>
  <si>
    <t>VAV_B_S13_004</t>
  </si>
  <si>
    <t>VAV_B_S13_005</t>
  </si>
  <si>
    <t>VAV_B_S13_006</t>
  </si>
  <si>
    <t>Fumigation Room B.085</t>
  </si>
  <si>
    <t>VAV_B_S13_007</t>
  </si>
  <si>
    <t>Shipping CLIRK B.101</t>
  </si>
  <si>
    <t>VAV_B_S13_008</t>
  </si>
  <si>
    <t>SECURITY CONTROL ROOM B.105</t>
  </si>
  <si>
    <t>VAV_B_S14_001</t>
  </si>
  <si>
    <t>Office B.040</t>
  </si>
  <si>
    <t>VAV_B_S14_002</t>
  </si>
  <si>
    <t>Office Dig Init B.056</t>
  </si>
  <si>
    <t>VAV_B_S14_003</t>
  </si>
  <si>
    <t>Office AD For LIT B.057</t>
  </si>
  <si>
    <t>VAV_B_S14_004</t>
  </si>
  <si>
    <t>Digitization Room B.041</t>
  </si>
  <si>
    <t>VAV_B_S14_005</t>
  </si>
  <si>
    <t>VAV_B_S14_006</t>
  </si>
  <si>
    <t>VAV_B_S14_007</t>
  </si>
  <si>
    <t>Shell Space B.58</t>
  </si>
  <si>
    <t>VAV_B_S14_008</t>
  </si>
  <si>
    <t>Shell Space B.59</t>
  </si>
  <si>
    <t>VAV_B_S14_009</t>
  </si>
  <si>
    <t>VAV_B_S14_010</t>
  </si>
  <si>
    <t>VAV_B_S14_011</t>
  </si>
  <si>
    <t>VAV_B_S14_012</t>
  </si>
  <si>
    <t>VAV_B_S14_013</t>
  </si>
  <si>
    <t>VAV_B_S14_014</t>
  </si>
  <si>
    <t>VAV_B_S14_015</t>
  </si>
  <si>
    <t>VAV_B_S14_016</t>
  </si>
  <si>
    <t>VAV_B_S14_040</t>
  </si>
  <si>
    <t>BOH Kitchen B.044</t>
  </si>
  <si>
    <t>VAV_B_S14_041</t>
  </si>
  <si>
    <t>Fine Binding B.044</t>
  </si>
  <si>
    <t>VAV_B_S14_042</t>
  </si>
  <si>
    <t>Binding &amp; Preservation B.043</t>
  </si>
  <si>
    <t>VAV_B_S14_043</t>
  </si>
  <si>
    <t>VAV_B_S14_044</t>
  </si>
  <si>
    <t>VAV_B_S14_045</t>
  </si>
  <si>
    <t>VAV_B_S14_046</t>
  </si>
  <si>
    <t>VAV_B_S14_047</t>
  </si>
  <si>
    <t xml:space="preserve"> Fine Binding B.044</t>
  </si>
  <si>
    <t>VAV_B_S14_048</t>
  </si>
  <si>
    <t>VAV_B_S14_049</t>
  </si>
  <si>
    <t>VAV_B_S14_050</t>
  </si>
  <si>
    <t>VAV_B_S14_051</t>
  </si>
  <si>
    <t>VAV_B_S15_001</t>
  </si>
  <si>
    <t>Prof. Librarian B.153</t>
  </si>
  <si>
    <t>VAV_B_S15_002</t>
  </si>
  <si>
    <t>Lobby and Security B.145</t>
  </si>
  <si>
    <t>VAV_B_S15_003</t>
  </si>
  <si>
    <t>VAV_B_S15_004</t>
  </si>
  <si>
    <t>VAV_B_S15_005</t>
  </si>
  <si>
    <t>VAV_B_S15_006</t>
  </si>
  <si>
    <t>VAV_B_S15_007</t>
  </si>
  <si>
    <t>HC SECURITY ROOM B.152</t>
  </si>
  <si>
    <t>VAV_B_S15_008</t>
  </si>
  <si>
    <t>RESEARCH &amp; DOC RECORD MGMT B.151</t>
  </si>
  <si>
    <t>VAV_B_S15_009</t>
  </si>
  <si>
    <t>HC DIRECTOR HEAD B.149</t>
  </si>
  <si>
    <t>VAV_B_S15_010</t>
  </si>
  <si>
    <t>VAV_B_S15_011</t>
  </si>
  <si>
    <t>VIP Majlis B.149</t>
  </si>
  <si>
    <t>VAV_B_S15_012</t>
  </si>
  <si>
    <t>VAV_B_S15_013</t>
  </si>
  <si>
    <t>CAV_1F_S11_001</t>
  </si>
  <si>
    <t>CAV</t>
  </si>
  <si>
    <t>CORRIDOR L1.023</t>
  </si>
  <si>
    <t>CAV_1F_S11_002</t>
  </si>
  <si>
    <t>CAV_1F_S11_006</t>
  </si>
  <si>
    <t>CHILDRENS LIBRRY CIRCULATION NW GLAZED L1.047</t>
  </si>
  <si>
    <t>CAV_1F_S11_007</t>
  </si>
  <si>
    <t>CAV_1F_S11_008</t>
  </si>
  <si>
    <t>CAV_1F_S11_009</t>
  </si>
  <si>
    <t>CAV_1F_S15_002</t>
  </si>
  <si>
    <t>CAV_1F_S15_004</t>
  </si>
  <si>
    <t>AERIAL PLATFORM PARKING L1.100</t>
  </si>
  <si>
    <t>CAV_1F_S15_005</t>
  </si>
  <si>
    <t>CAV_1F_S15_006</t>
  </si>
  <si>
    <t>CAV_1F_S15_010</t>
  </si>
  <si>
    <t>CAV_1F_S15_011</t>
  </si>
  <si>
    <t>CAV_1F_S15_012</t>
  </si>
  <si>
    <t>CAV_1F_S15_013</t>
  </si>
  <si>
    <t>CAV_1F_S15_014</t>
  </si>
  <si>
    <t>CAV_1F_S15_015</t>
  </si>
  <si>
    <t>CAV_1F_S15_016</t>
  </si>
  <si>
    <t>CAV_1F_S15_017</t>
  </si>
  <si>
    <t>CAV_1F_S15_018</t>
  </si>
  <si>
    <t>AREAL PLATFORM PARK L1.100</t>
  </si>
  <si>
    <t>CAV_1F_S15_019</t>
  </si>
  <si>
    <t>FURNITURE STORE L1.153</t>
  </si>
  <si>
    <t>CAV_B_S12_001</t>
  </si>
  <si>
    <t>CORRIDOR B.061</t>
  </si>
  <si>
    <t>CAV_B_S12_002</t>
  </si>
  <si>
    <t>CAV_B_S12_003</t>
  </si>
  <si>
    <t>CAV_B_S13_001</t>
  </si>
  <si>
    <t>Corridor 2 B.064</t>
  </si>
  <si>
    <t>CAV_B_S13_002</t>
  </si>
  <si>
    <t>CAV_B_S13_003</t>
  </si>
  <si>
    <t>CAV_B_S13_004</t>
  </si>
  <si>
    <t>CAV_B_S13_005</t>
  </si>
  <si>
    <t>CAV_B_S13_006</t>
  </si>
  <si>
    <t>CORRIDOR 4 B.035</t>
  </si>
  <si>
    <t>CAV_B_S13_007</t>
  </si>
  <si>
    <t>CAV_B_S13_008</t>
  </si>
  <si>
    <t>CAV_B_S13_009</t>
  </si>
  <si>
    <t>IT STORAGE B.104</t>
  </si>
  <si>
    <t>CAV_B_S13_010</t>
  </si>
  <si>
    <t>CAV_B_S13_011</t>
  </si>
  <si>
    <t>CAV_B_S13_012</t>
  </si>
  <si>
    <t>Fire Command B.071</t>
  </si>
  <si>
    <t>CAV_B_S13_013</t>
  </si>
  <si>
    <t>GAS SUPPRESSION B.087</t>
  </si>
  <si>
    <t>CAV_B_S13_014</t>
  </si>
  <si>
    <t>PEOPLE MOVER B.088</t>
  </si>
  <si>
    <t>CAV_B_S13_015</t>
  </si>
  <si>
    <t>Server Room B.089</t>
  </si>
  <si>
    <t>CAV_B_S13_020</t>
  </si>
  <si>
    <t>UPS BATTERY ROOM B.084</t>
  </si>
  <si>
    <t>CAV_B_S13_021</t>
  </si>
  <si>
    <t>Sprinklers Pumps &amp; Zones Valves B.072</t>
  </si>
  <si>
    <t>CAV_B_S13_050</t>
  </si>
  <si>
    <t>PLANT ROOM B.104A</t>
  </si>
  <si>
    <t>CAV_B_S14_001</t>
  </si>
  <si>
    <t>CORRIDOR 3 B.051</t>
  </si>
  <si>
    <t>CAV_B_S14_002</t>
  </si>
  <si>
    <t>CORRIDOR 3 B.052</t>
  </si>
  <si>
    <t>CAV_B_S14_003</t>
  </si>
  <si>
    <t>PLANT ROOM 3 B.110</t>
  </si>
  <si>
    <t>CAV_B_S14_004</t>
  </si>
  <si>
    <t>CAV_B_S14_005</t>
  </si>
  <si>
    <t>CAV_B_S14_006</t>
  </si>
  <si>
    <t>Referigerate Store Kitchen Lobby B.044</t>
  </si>
  <si>
    <t>CAV_B_S14_007</t>
  </si>
  <si>
    <t>Washing Area &amp; Fine Binding B.044</t>
  </si>
  <si>
    <t>CAV_B_S15_001</t>
  </si>
  <si>
    <t>Corridor 5 B.063</t>
  </si>
  <si>
    <t>CAV_B_S15_002</t>
  </si>
  <si>
    <t>CAV_B_S15_003</t>
  </si>
  <si>
    <t>SSC</t>
  </si>
  <si>
    <t>CHILLED WATER B.013</t>
  </si>
  <si>
    <t>entity:SSC_B1_013_CHILLED_WATER</t>
  </si>
  <si>
    <t>VENT PLANT B.014</t>
  </si>
  <si>
    <t>entity:SSC_B1_014_VENT_PLANT</t>
  </si>
  <si>
    <t>VENT PLANT B.008</t>
  </si>
  <si>
    <t>entity:SSC_B1_008_VENT_PLANT</t>
  </si>
  <si>
    <t>SPRINKLER AND WATER B.016</t>
  </si>
  <si>
    <t>entity:SSC_B1_016_SPRINKLER_&amp;_WATER</t>
  </si>
  <si>
    <t>MAIN SEC. CONTROL ROOM B.025</t>
  </si>
  <si>
    <t>entity:SSC_B1_025_MAIN_SEC._CONTROL_ROOM</t>
  </si>
  <si>
    <t>B.M.S B.039</t>
  </si>
  <si>
    <t>entity:SSC_B1_039_BMS</t>
  </si>
  <si>
    <t>AV ROOM 1.008</t>
  </si>
  <si>
    <t>entity:SSC_01_008_AV_ROOM</t>
  </si>
  <si>
    <t>IDF-1 1.027</t>
  </si>
  <si>
    <t>entity:SSC_01_027_IDF_1</t>
  </si>
  <si>
    <t>IDF-2 1.039</t>
  </si>
  <si>
    <t>entity:SSC_01_039_IDF_2</t>
  </si>
  <si>
    <t>CORRIDOR 1.028</t>
  </si>
  <si>
    <t>entity:SSC_01_028_CORRIDOR</t>
  </si>
  <si>
    <t>CORRIDOR 1.010</t>
  </si>
  <si>
    <t>entity:SSC_01_010_CORRIDOR</t>
  </si>
  <si>
    <t>PRINTING 03.033</t>
  </si>
  <si>
    <t>entity:SSC_03_033_PRINTING</t>
  </si>
  <si>
    <t>ENTRANCE B.015</t>
  </si>
  <si>
    <t>entity:SSC_B1_015_ENTRANCE</t>
  </si>
  <si>
    <t>SHARED OFFICE 01.014</t>
  </si>
  <si>
    <t>entity:SSC_01_014_SHELL_SPACE</t>
  </si>
  <si>
    <t>SHARED OFFICE 01.015</t>
  </si>
  <si>
    <t>entity:SSC_01_015_SHELL_SPACE</t>
  </si>
  <si>
    <t>CORRIDOR 01.024</t>
  </si>
  <si>
    <t>entity:SSC_01_024_CORRIDOR</t>
  </si>
  <si>
    <t>PRAYER ROOM 01.019</t>
  </si>
  <si>
    <t>entity:SSC_01_019_PRAYER_ROOM</t>
  </si>
  <si>
    <t>VAV0010</t>
  </si>
  <si>
    <t>ROOM NO 42</t>
  </si>
  <si>
    <t>entity:SSC_01_029_ROOM_NO_42</t>
  </si>
  <si>
    <t>ROOM NO 43</t>
  </si>
  <si>
    <t>ROOM NO 44</t>
  </si>
  <si>
    <t>SHARED OFFICE 01.029</t>
  </si>
  <si>
    <t>entity:SSC_01_029_SHELL_SPACE</t>
  </si>
  <si>
    <t>CORRIDOR 01.013</t>
  </si>
  <si>
    <t>entity:SSC_01_013_CORRIDOR</t>
  </si>
  <si>
    <t>OPEN SPACE 01.003</t>
  </si>
  <si>
    <t>entity:SSC_01_003_OPEN_SPACE</t>
  </si>
  <si>
    <t>CORRIDOR 01.001</t>
  </si>
  <si>
    <t>entity:SSC_01_001_CORRIDOR</t>
  </si>
  <si>
    <t>TEAM SPACE 01.002</t>
  </si>
  <si>
    <t>entity:SSC_01_002_SHELL_SPACE</t>
  </si>
  <si>
    <t>PRINT COPY 01.016</t>
  </si>
  <si>
    <t>entity:SSC_01_016_SHELL_SPACE</t>
  </si>
  <si>
    <t>CORRIDOR 01.018</t>
  </si>
  <si>
    <t>entity:SSC_01_018_CORRIDOR</t>
  </si>
  <si>
    <t>CORRIDOR 01.028</t>
  </si>
  <si>
    <t>CORRIDOR 01.010</t>
  </si>
  <si>
    <t>ABLUTION ROOM 01.022</t>
  </si>
  <si>
    <t>entity:SSC_01_022_ABLUTION_ROOM</t>
  </si>
  <si>
    <t>ST-4 STAIR 4</t>
  </si>
  <si>
    <t>entity:SSC_01_ST-4_STAIR_4</t>
  </si>
  <si>
    <t>CONFERENCE ROOM 02.006</t>
  </si>
  <si>
    <t>entity:SSC_02_006_CONFERENCE_ROOM</t>
  </si>
  <si>
    <t>EXECUTIVE CONFERENCE ROOM 02.005</t>
  </si>
  <si>
    <t>entity:SSC_02_005_EXECUTIVE_CONFERENCE_ROOM</t>
  </si>
  <si>
    <t>CORRIDOR 02.004</t>
  </si>
  <si>
    <t>entity:SSC_02_004_CORRIDOR</t>
  </si>
  <si>
    <t>FOYER 02.001</t>
  </si>
  <si>
    <t>entity:SSC_02_001_FOYER</t>
  </si>
  <si>
    <t>LOBBY 02.002</t>
  </si>
  <si>
    <t>entity:SSC_02_002_LOBBY</t>
  </si>
  <si>
    <t>CORRIDOR 02.003</t>
  </si>
  <si>
    <t>entity:SSC_02_003_CORRIDOR</t>
  </si>
  <si>
    <t>RESEARCHER OFFICE 03.015</t>
  </si>
  <si>
    <t>entity:SSC_03_015_RESEARCHERS_OFFICE</t>
  </si>
  <si>
    <t>FOUND ON THE MECH DRAWINGS BUT MISSED ON THE BMS DRAWINGS</t>
  </si>
  <si>
    <t>VISITOR'S CUBICLE 03.014</t>
  </si>
  <si>
    <t>entity:SSC_03_014_VISITORS_CUBICLE</t>
  </si>
  <si>
    <t>RESEARCHER OFFICE 03.013</t>
  </si>
  <si>
    <t>entity:SSC_03_013_RESEARCHERS_OFFICE</t>
  </si>
  <si>
    <t>RESEARCHER OFFICE 03.012</t>
  </si>
  <si>
    <t>entity:SSC_03_012_RESEARCHERS_OFFICE</t>
  </si>
  <si>
    <t>VISITOR'S CUBICLE 03.011</t>
  </si>
  <si>
    <t>entity:SSC_03_011_VISITORS_CUBICLE</t>
  </si>
  <si>
    <t>RESEARCHER OFFICE 03.010</t>
  </si>
  <si>
    <t>entity:SSC_03_010_RESEARCHERS_OFFICE</t>
  </si>
  <si>
    <t>RESEARCHER OFFICE 03.009</t>
  </si>
  <si>
    <t>entity:SSC_03_009_RESEARCHERS_OFFICE</t>
  </si>
  <si>
    <t>VISITOR'S CUBICLE 03.008</t>
  </si>
  <si>
    <t>entity:SSC_03_008_VISITORS_CUBICLE</t>
  </si>
  <si>
    <t>OPERATION MANAGERS 03.007</t>
  </si>
  <si>
    <t>entity:SSC_03_007_OPERATIONS_MANAGER</t>
  </si>
  <si>
    <t>ROOM 03.006B</t>
  </si>
  <si>
    <t>entity:SSC_03_006_MEETING_ROOM</t>
  </si>
  <si>
    <t>(NOT FOUND ON DRAWING LEVEL 3)</t>
  </si>
  <si>
    <t>ROOM 03.006A</t>
  </si>
  <si>
    <t>RESEARCHER OFFICE 03.005</t>
  </si>
  <si>
    <t>entity:SSC_03_005_RESEARCHERS_OFFICE</t>
  </si>
  <si>
    <t>VISITOR'S CUBICLE 03.004</t>
  </si>
  <si>
    <t>entity:SSC_03_004_VISITORS_CUBICLE</t>
  </si>
  <si>
    <t>RESEARCHER OFFICE 03.003</t>
  </si>
  <si>
    <t>entity:SSC_03_003_RESEARCHERS_OFFICE</t>
  </si>
  <si>
    <t>DIRECTOR MEETING ROOM 03.002</t>
  </si>
  <si>
    <t>entity:SSC_03_002_DIRECTORS_MEETING_ROOM</t>
  </si>
  <si>
    <t>DIRECTOR'S OFFICE 03.001</t>
  </si>
  <si>
    <t>entity:SSC_03_001_DIRECTORS_OFFICE</t>
  </si>
  <si>
    <t>GENERAL OFFICE AREA 03.002</t>
  </si>
  <si>
    <t>ASSOC. DOR. OFFICE 03.031</t>
  </si>
  <si>
    <t>entity:SSC_03_031_ASSOC._DIRECTORS_OFFICE</t>
  </si>
  <si>
    <t>ASSOC. DIR. MEETING ROOM 03.030</t>
  </si>
  <si>
    <t>entity:SSC_03_030_ASSOC._DIRECTORS_MEETING_ROOM</t>
  </si>
  <si>
    <t>RESEARCHER OFFICE 03.029</t>
  </si>
  <si>
    <t>entity:SSC_03_029_RESEARCHERS_OFFICE</t>
  </si>
  <si>
    <t>VISITOR'S CUBICLE 03.028</t>
  </si>
  <si>
    <t>entity:SSC_03_028_VISITORS_CUBICLE</t>
  </si>
  <si>
    <t>RESEARCHER OFFICE 03.027</t>
  </si>
  <si>
    <t>entity:SSC_03_027_RESEARCHERS_OFFICE</t>
  </si>
  <si>
    <t>MEETING ROOM 03.026</t>
  </si>
  <si>
    <t>entity:SSC_03_026_MEETING_ROOM</t>
  </si>
  <si>
    <t>SECRETARIAL AREA 03.025</t>
  </si>
  <si>
    <t>entity:SSC_03_025_SECRETARIAL_AREA</t>
  </si>
  <si>
    <t>VISITOR'S CUBICLE 03.024</t>
  </si>
  <si>
    <t>entity:SSC_03_024_VISITORS_CUBICLE</t>
  </si>
  <si>
    <t>RESEARCHER OFFICE 03.023</t>
  </si>
  <si>
    <t>entity:SSC_03_023_RESEARCHERS_OFFICE</t>
  </si>
  <si>
    <t>RESEARCHER OFFICE 03.022</t>
  </si>
  <si>
    <t>entity:SSC_03_022_RESEARCHERS_OFFICE</t>
  </si>
  <si>
    <t>VISITOR'S CUBICLE 03.021</t>
  </si>
  <si>
    <t>entity:SSC_03_021_VISITORS_CUBICLE</t>
  </si>
  <si>
    <t>RESEARCHER OFFICE 03.020</t>
  </si>
  <si>
    <t>entity:SSC_03_020_RESEARCHERS_OFFICE</t>
  </si>
  <si>
    <t>IT MANAGERS'S OFFICE 03.019</t>
  </si>
  <si>
    <t>entity:SSC_03_019_IT_MANAGERS_OFFICE</t>
  </si>
  <si>
    <t>VISITOR'S CUBICLE 03.018</t>
  </si>
  <si>
    <t>entity:SSC_03_018_VISITORS_CUBICLE</t>
  </si>
  <si>
    <t>RESEARCHER OFFICE 03.017</t>
  </si>
  <si>
    <t>entity:SSC_03_017_RESEARCHERS_OFFICE</t>
  </si>
  <si>
    <t>LOUNGE 03.016</t>
  </si>
  <si>
    <t>entity:SSC_03_016_LOUNGE</t>
  </si>
  <si>
    <t>IT OFFICE 03.049</t>
  </si>
  <si>
    <t>entity:SSC_03_049_IT_OFFICE</t>
  </si>
  <si>
    <t>CORRIDOR 03.042</t>
  </si>
  <si>
    <t>entity:SSC_03_042_CORRIDOR</t>
  </si>
  <si>
    <t>CORRIDOR 03.041</t>
  </si>
  <si>
    <t>entity:SSC_03_041_CORRIDOR</t>
  </si>
  <si>
    <t>CORRIDOR 03.044</t>
  </si>
  <si>
    <t>entity:SSC_03_044_CORRIDOR</t>
  </si>
  <si>
    <t>CORRIDOR 03.034</t>
  </si>
  <si>
    <t>entity:SSC_03_034_CORRIDOR</t>
  </si>
  <si>
    <t>RDC</t>
  </si>
  <si>
    <t>RDC_NB_AHU8511</t>
  </si>
  <si>
    <t>NORTH BUILDING PENT HOUSE N-2101</t>
  </si>
  <si>
    <t>RDC_NB_AHU8512</t>
  </si>
  <si>
    <t>RDC_NB_2F_2F_AHU8513</t>
  </si>
  <si>
    <t>RDC_NB_2F_AHU8514</t>
  </si>
  <si>
    <t>RDC_NB_2F_AHU8515</t>
  </si>
  <si>
    <t>RDC_NB_2F_AHU8516</t>
  </si>
  <si>
    <t>RDC_NB_2F_AHU8517</t>
  </si>
  <si>
    <t>RDC_NB_2F_AHU8518</t>
  </si>
  <si>
    <t>RDC_NB_2F_AHU8519</t>
  </si>
  <si>
    <t>RDC_NB_2F_AHU8520</t>
  </si>
  <si>
    <t>RDC_NB_2F_AHU8521</t>
  </si>
  <si>
    <t>RDC_SB_2F_AHU8011</t>
  </si>
  <si>
    <t>SOUTH BUILDING PENTHOUSE S-2101</t>
  </si>
  <si>
    <t>RDC_SB_2F_AHU8012</t>
  </si>
  <si>
    <t>RDC_SB_2F_AHU8021</t>
  </si>
  <si>
    <t>RDC_SB_2F_AHU8022</t>
  </si>
  <si>
    <t>RDC_SB_2F_AHU8023</t>
  </si>
  <si>
    <t>RDC_SB_2F_AHU8024</t>
  </si>
  <si>
    <t>RDC_SB_2F_AHU8025</t>
  </si>
  <si>
    <t>RDC_SB_2F_AHU8026</t>
  </si>
  <si>
    <t>RDC_SB_GF_AHU8031</t>
  </si>
  <si>
    <t>COMPUTER RESEARCH LAB S-1112</t>
  </si>
  <si>
    <t>RDC_SB_GF_AHU8032</t>
  </si>
  <si>
    <t>RDC_SB_GF_AHU8033</t>
  </si>
  <si>
    <t>RDC_SB_GF_AHU8034</t>
  </si>
  <si>
    <t>RDC_SB_GF_AHU8035</t>
  </si>
  <si>
    <t>RDC_SB_GF_AHU8036</t>
  </si>
  <si>
    <t>RDC_SB_GF_AHU8037</t>
  </si>
  <si>
    <t>RDC_SB_GF_AHU8041</t>
  </si>
  <si>
    <t>UPS ROOM S-0145</t>
  </si>
  <si>
    <t>RDC_SB_GF_AHU8042</t>
  </si>
  <si>
    <t>RDC_UB_AHU8601</t>
  </si>
  <si>
    <t>UTILITY BUILDING MECHANICAL ROOM U-1101</t>
  </si>
  <si>
    <t>RDC_UB_AHU8602</t>
  </si>
  <si>
    <t>RDC_UB_AHU8603</t>
  </si>
  <si>
    <t>RDC_UB_AHU8604</t>
  </si>
  <si>
    <t>RDC_UB_AHU8605</t>
  </si>
  <si>
    <t>RDC_UB_AHU8606</t>
  </si>
  <si>
    <t>RDC_UB_AHU8607</t>
  </si>
  <si>
    <t>RDC_UB_AHU8608</t>
  </si>
  <si>
    <t>RDC_UB_AHU8609</t>
  </si>
  <si>
    <t>RDC_NB_GF_VAV4001</t>
  </si>
  <si>
    <t>Store N-0201</t>
  </si>
  <si>
    <t>RDC_NB_GF_VAV4005_EV4006</t>
  </si>
  <si>
    <t>Electrical N-0202</t>
  </si>
  <si>
    <t>RDC_NB_GF_VAV4040</t>
  </si>
  <si>
    <t>Air Quality High Bay N-0215A</t>
  </si>
  <si>
    <t>RDC_NB_GF_VAV4050_VEV4051</t>
  </si>
  <si>
    <t>CSP High Bay N-0215B</t>
  </si>
  <si>
    <t>RDC_NB_GF_VAV4060_VEV4061</t>
  </si>
  <si>
    <t>Machine Shop N-0215C</t>
  </si>
  <si>
    <t>RDC_NB_GF_VAV4070A_VEV4073A</t>
  </si>
  <si>
    <t>Open High Bay Lab N-0215D</t>
  </si>
  <si>
    <t>RDC_NB_GF_VAV4070B_VEV4073B</t>
  </si>
  <si>
    <t>RDC_NB_GF_VAV4071A_VEV4074A</t>
  </si>
  <si>
    <t>RDC_NB_GF_VAV4071B_VEV4074B</t>
  </si>
  <si>
    <t>RDC_NB_GF_VAV4072A_VEV4075A</t>
  </si>
  <si>
    <t>RDC_NB_GF_VAV4072B_VEV4075B</t>
  </si>
  <si>
    <t>RDC_NB_GF_VAV4080A_VEV4082A</t>
  </si>
  <si>
    <t>Desal High Bay Lab N-0215E</t>
  </si>
  <si>
    <t>RDC_NB_GF_VAV4080B_VEV4082B</t>
  </si>
  <si>
    <t>RDC_NB_GF_VAV4081A_VEV4083A</t>
  </si>
  <si>
    <t>RDC_NB_GF_VAV4081B_VEV4083B</t>
  </si>
  <si>
    <t>RDC_NB_GF_VAV4090_VEV4091</t>
  </si>
  <si>
    <t>Support Lab N-0215F</t>
  </si>
  <si>
    <t>RDC_NB_GF_VAV4100_EV4101</t>
  </si>
  <si>
    <t>Emergency Elec. Room N-0225</t>
  </si>
  <si>
    <t>RDC_NB_GF_VAV4105_EV4106</t>
  </si>
  <si>
    <t>Normal Electrical Room N-0225</t>
  </si>
  <si>
    <t>RDC_NB_GF_VAV4110_EV4111</t>
  </si>
  <si>
    <t>Conference Room N-0227</t>
  </si>
  <si>
    <t>RDC_NB_GF_VAV4115_EV4116</t>
  </si>
  <si>
    <t>Office N-0228</t>
  </si>
  <si>
    <t>RDC_NB_GF_VAV4120_EV4121</t>
  </si>
  <si>
    <t>Office N-0229</t>
  </si>
  <si>
    <t>RDC_NB_GF_VAV4125_EV4126</t>
  </si>
  <si>
    <t>Office N-0230</t>
  </si>
  <si>
    <t>RDC_NB_GF_VAV4130_EV4131</t>
  </si>
  <si>
    <t>Office N-0231</t>
  </si>
  <si>
    <t>RDC_NB_GF_VAV4135_EV4136</t>
  </si>
  <si>
    <t>Office N-0232</t>
  </si>
  <si>
    <t>RDC_NB_GF_VAV4140_EV4141</t>
  </si>
  <si>
    <t>Conference Room N-0233</t>
  </si>
  <si>
    <t>RDC_NB_GF_VAV4145_EV4146</t>
  </si>
  <si>
    <t>Office N-0234</t>
  </si>
  <si>
    <t>RDC_NB_GF_VAV4165_EV4166</t>
  </si>
  <si>
    <t>Office N-0236</t>
  </si>
  <si>
    <t>RDC_NB_GF_VAV4180_VEV4181</t>
  </si>
  <si>
    <t>Test Room N-0240A</t>
  </si>
  <si>
    <t>RDC_NB_GF_VAV4190_VEV4192</t>
  </si>
  <si>
    <t>CSP Lab N-0240B</t>
  </si>
  <si>
    <t>RDC_NB_GF_VAV4191</t>
  </si>
  <si>
    <t>RDC_NB_GF_VAV4200_VEV4201</t>
  </si>
  <si>
    <t>Test Room 1 N-0240C</t>
  </si>
  <si>
    <t>RDC_NB_GF_VAV4210</t>
  </si>
  <si>
    <t>Desalination Lab N-0240D</t>
  </si>
  <si>
    <t>RDC_NB_GF_VAV4211</t>
  </si>
  <si>
    <t>RDC_NB_GF_VAV4212</t>
  </si>
  <si>
    <t>RDC_NB_GF_VAV4225</t>
  </si>
  <si>
    <t>Office N-0247</t>
  </si>
  <si>
    <t>RDC_NB_GF_VAV4230</t>
  </si>
  <si>
    <t>Office N-0248</t>
  </si>
  <si>
    <t>RDC_NB_GF_VAV4235</t>
  </si>
  <si>
    <t>Office 05 -8WS- N-0250</t>
  </si>
  <si>
    <t>RDC_NB_GF_VAV4240</t>
  </si>
  <si>
    <t>Office 04 N-0251</t>
  </si>
  <si>
    <t>RDC_NB_GF_VAV4245</t>
  </si>
  <si>
    <t>Office N-0252</t>
  </si>
  <si>
    <t>RDC_NB_GF_VAV4250</t>
  </si>
  <si>
    <t>Office N-0253</t>
  </si>
  <si>
    <t>RDC_NB_GF_VAV4255</t>
  </si>
  <si>
    <t>Office N-0254</t>
  </si>
  <si>
    <t>RDC_NB_GF_VAV4260</t>
  </si>
  <si>
    <t>Office 05 -8WS- N-0255</t>
  </si>
  <si>
    <t>RDC_NB_GF_VAV4265</t>
  </si>
  <si>
    <t>Office N-0256</t>
  </si>
  <si>
    <t>RDC_NB_GF_VAV4270</t>
  </si>
  <si>
    <t>Office N-0257</t>
  </si>
  <si>
    <t>RDC_NB_GF_VAV4275</t>
  </si>
  <si>
    <t>Office N-0258</t>
  </si>
  <si>
    <t>RDC_NB_GF_VAV4280</t>
  </si>
  <si>
    <t>Office N-0259</t>
  </si>
  <si>
    <t>RDC_NB_GF_VAV4285</t>
  </si>
  <si>
    <t>Workstation N-0260</t>
  </si>
  <si>
    <t>RDC_NB_GF_VAV4290</t>
  </si>
  <si>
    <t>Office 04 N-0261</t>
  </si>
  <si>
    <t>RDC_NB_GF_VAV4295</t>
  </si>
  <si>
    <t>Office N-0262</t>
  </si>
  <si>
    <t>RDC_NB_GF_VAV4300</t>
  </si>
  <si>
    <t>Office N-0263</t>
  </si>
  <si>
    <t>RDC_NB_GF_VAV4305</t>
  </si>
  <si>
    <t>Office N-0264</t>
  </si>
  <si>
    <t>RDC_NB_GF_VAV4310</t>
  </si>
  <si>
    <t>Workstation N-0265</t>
  </si>
  <si>
    <t>RDC_NB_GF_VAV4312</t>
  </si>
  <si>
    <t>Breakout N-0265B</t>
  </si>
  <si>
    <t>RDC_NB_GF_VAV5000_EV5002</t>
  </si>
  <si>
    <t>Lobby North N-0101</t>
  </si>
  <si>
    <t>RDC_NB_GF_VAV5001_EV5003</t>
  </si>
  <si>
    <t>RDC_NB_GF_VAV5010_EV5011</t>
  </si>
  <si>
    <t>Conf N-0106</t>
  </si>
  <si>
    <t>RDC_NB_GF_VAV5015_EV5016</t>
  </si>
  <si>
    <t>Conference N-0107</t>
  </si>
  <si>
    <t>RDC_NB_GF_VAV5025</t>
  </si>
  <si>
    <t>Corridor N-0110</t>
  </si>
  <si>
    <t>RDC_NB_GF_VAV5030_EV5031</t>
  </si>
  <si>
    <t>Confr Room N-0112</t>
  </si>
  <si>
    <t>RDC_NB_GF_VAV5040_EV5041</t>
  </si>
  <si>
    <t>Normal Elec. N-0113</t>
  </si>
  <si>
    <t>RDC_NB_GF_VAV5045_EV5046</t>
  </si>
  <si>
    <t>Emergency Elec. N-0114</t>
  </si>
  <si>
    <t>RDC_NB_GF_VAV5050</t>
  </si>
  <si>
    <t>Analytical Core Lab 1 N-0114A</t>
  </si>
  <si>
    <t>RDC_NB_GF_VAV5051</t>
  </si>
  <si>
    <t>RDC_NB_GF_VAV5054</t>
  </si>
  <si>
    <t>Clean Lab N-0114B</t>
  </si>
  <si>
    <t>RDC_NB_GF_VAV5060_CEV5061</t>
  </si>
  <si>
    <t>RDC_NB_GF_VAV5070</t>
  </si>
  <si>
    <t>Dirty Lab N-0114C</t>
  </si>
  <si>
    <t>RDC_NB_GF_VAV5080_VEV5081</t>
  </si>
  <si>
    <t>Bio Analyt N-0114D</t>
  </si>
  <si>
    <t>RDC_NB_GF_VAV5090</t>
  </si>
  <si>
    <t>Air Quality N-0114F</t>
  </si>
  <si>
    <t>RDC_NB_GF_VAV5091</t>
  </si>
  <si>
    <t>RDC_NB_GF_VAV5100_EV5101</t>
  </si>
  <si>
    <t>Office N-0115</t>
  </si>
  <si>
    <t>RDC_NB_GF_VAV5105</t>
  </si>
  <si>
    <t>Office N-0116</t>
  </si>
  <si>
    <t>RDC_NB_GF_VAV5110</t>
  </si>
  <si>
    <t>Office N-0117</t>
  </si>
  <si>
    <t>RDC_NB_GF_VAV5115</t>
  </si>
  <si>
    <t>Office N-0118</t>
  </si>
  <si>
    <t>RDC_NB_GF_VAV5120</t>
  </si>
  <si>
    <t>Office N-0119</t>
  </si>
  <si>
    <t>RDC_NB_GF_VAV5125</t>
  </si>
  <si>
    <t>Office N-0120</t>
  </si>
  <si>
    <t>RDC_NB_GF_VAV5130</t>
  </si>
  <si>
    <t>Office N-0121</t>
  </si>
  <si>
    <t>RDC_NB_GF_VAV5135</t>
  </si>
  <si>
    <t>Office N-0122</t>
  </si>
  <si>
    <t>RDC_NB_GF_VAV5140</t>
  </si>
  <si>
    <t>Office N-0123</t>
  </si>
  <si>
    <t>RDC_NB_GF_VAV5145</t>
  </si>
  <si>
    <t>Office N-0124</t>
  </si>
  <si>
    <t>RDC_NB_GF_VAV5150</t>
  </si>
  <si>
    <t>Office N-0125</t>
  </si>
  <si>
    <t>RDC_NB_GF_VAV5152</t>
  </si>
  <si>
    <t>Office N-0126</t>
  </si>
  <si>
    <t>RDC_NB_GF_VAV5155</t>
  </si>
  <si>
    <t>Office N-0127</t>
  </si>
  <si>
    <t>RDC_NB_GF_VAV5156</t>
  </si>
  <si>
    <t>Office 04 N-0129</t>
  </si>
  <si>
    <t>RDC_NB_GF_VAV5165_EV5166</t>
  </si>
  <si>
    <t>Corridor N-0134</t>
  </si>
  <si>
    <t>RDC_NB_GF_VAV5180</t>
  </si>
  <si>
    <t>Analytical Core Lab 2 N-0140A</t>
  </si>
  <si>
    <t>RDC_NB_GF_VAV5181</t>
  </si>
  <si>
    <t>RDC_NB_GF_VAV5190</t>
  </si>
  <si>
    <t>Furnace Room N-0140B</t>
  </si>
  <si>
    <t>RDC_NB_GF_VAV5200</t>
  </si>
  <si>
    <t>Prep Lab N-0140C</t>
  </si>
  <si>
    <t>RDC_NB_GF_VAV5210</t>
  </si>
  <si>
    <t>Sputter Room N-0140D</t>
  </si>
  <si>
    <t>RDC_NB_GF_VAV5220</t>
  </si>
  <si>
    <t>MBE/Evap Room N-0140E</t>
  </si>
  <si>
    <t>RDC_NB_GF_VAV5230</t>
  </si>
  <si>
    <t>ALD Room N-0140F</t>
  </si>
  <si>
    <t>RDC_NB_GF_VAV5250_VEV5251</t>
  </si>
  <si>
    <t>Support Room N-0140H</t>
  </si>
  <si>
    <t>RDC_NB_GF_VAV5260_VEV5261</t>
  </si>
  <si>
    <t>PLD Room N-0140J</t>
  </si>
  <si>
    <t>RDC_NB_GF_VAV5270A</t>
  </si>
  <si>
    <t>Organic Chemistry Lab N-0140K</t>
  </si>
  <si>
    <t>RDC_NB_GF_VAV5270B</t>
  </si>
  <si>
    <t>Org Chem N-0140K</t>
  </si>
  <si>
    <t>RDC_NB_GF_VAV5295_EV5296</t>
  </si>
  <si>
    <t>Conference Room N-0149</t>
  </si>
  <si>
    <t>RDC_NB_GF_VAV5300</t>
  </si>
  <si>
    <t>Corridor N-0150</t>
  </si>
  <si>
    <t>RDC_NB_GF_VAV5305</t>
  </si>
  <si>
    <t>Office N-0151</t>
  </si>
  <si>
    <t>RDC_NB_GF_VAV5310</t>
  </si>
  <si>
    <t>Office N-0152</t>
  </si>
  <si>
    <t>RDC_NB_GF_VAV5315</t>
  </si>
  <si>
    <t>Open Office N-0153</t>
  </si>
  <si>
    <t>RDC_NB_GF_VAV5325</t>
  </si>
  <si>
    <t>Office N-0155</t>
  </si>
  <si>
    <t>RDC_NB_GF_VAV5330</t>
  </si>
  <si>
    <t>Office N-0156</t>
  </si>
  <si>
    <t>RDC_NB_GF_VAV5335</t>
  </si>
  <si>
    <t>Office N-0157</t>
  </si>
  <si>
    <t>RDC_NB_GF_VAV5340</t>
  </si>
  <si>
    <t>Office N-0158</t>
  </si>
  <si>
    <t>RDC_NB_GF_VAV5345</t>
  </si>
  <si>
    <t>Office N-0159</t>
  </si>
  <si>
    <t>RDC_NB_GF_VAV5355</t>
  </si>
  <si>
    <t>Office N-0161</t>
  </si>
  <si>
    <t>RDC_NB_GF_VAV5360</t>
  </si>
  <si>
    <t>Office N-0162</t>
  </si>
  <si>
    <t>RDC_NB_GF_VAV5365</t>
  </si>
  <si>
    <t>Office N-0163</t>
  </si>
  <si>
    <t>RDC_NB_GF_VAV5370</t>
  </si>
  <si>
    <t>Office N-0164</t>
  </si>
  <si>
    <t>RDC_NB_GF_VAV5380</t>
  </si>
  <si>
    <t>Office N-0166</t>
  </si>
  <si>
    <t>RDC_NB_GF_VAV5385</t>
  </si>
  <si>
    <t>Office N-0167A</t>
  </si>
  <si>
    <t>RDC_NB_GF_VAV5390</t>
  </si>
  <si>
    <t>Office 04 N-0168</t>
  </si>
  <si>
    <t>RDC_NB_GF_VAV5395</t>
  </si>
  <si>
    <t>Exp. Office N-0169</t>
  </si>
  <si>
    <t>RDC_NB_GF_VAV5400</t>
  </si>
  <si>
    <t>Reception Area N-0170</t>
  </si>
  <si>
    <t>RDC_NB_GF_VAV5405</t>
  </si>
  <si>
    <t>Exp. Office N-0172</t>
  </si>
  <si>
    <t>RDC_NB_GF_VAV5410_EV5411</t>
  </si>
  <si>
    <t>Conf Room N-0173</t>
  </si>
  <si>
    <t>RDC_NB_GF_VAV5415</t>
  </si>
  <si>
    <t>Office 04 N-0174</t>
  </si>
  <si>
    <t>RDC_NB_GF_VAV6000_EV6001</t>
  </si>
  <si>
    <t>Conf Room N-0301</t>
  </si>
  <si>
    <t>RDC_NB_GF_VAV6010_EV6011</t>
  </si>
  <si>
    <t>Conf N-0304</t>
  </si>
  <si>
    <t>RDC_NB_GF_VAV6025_EV6026</t>
  </si>
  <si>
    <t>Normal Elec. N-0310</t>
  </si>
  <si>
    <t>RDC_NB_GF_VAV6130_EV6131</t>
  </si>
  <si>
    <t>Store N-0315</t>
  </si>
  <si>
    <t>RDC_NB_GF_VAV6135</t>
  </si>
  <si>
    <t>Store N-0316</t>
  </si>
  <si>
    <t>RDC_NB_GF_VAV6140</t>
  </si>
  <si>
    <t>Workstation N-0317</t>
  </si>
  <si>
    <t>RDC_NB_GF_VAV6145</t>
  </si>
  <si>
    <t>Office N-0318</t>
  </si>
  <si>
    <t>RDC_NB_GF_VAV6150</t>
  </si>
  <si>
    <t>Office N-0319</t>
  </si>
  <si>
    <t>RDC_NB_GF_VAV6155</t>
  </si>
  <si>
    <t>Workstation N-0320</t>
  </si>
  <si>
    <t>RDC_NB_GF_VAV6160</t>
  </si>
  <si>
    <t>Office N-0321</t>
  </si>
  <si>
    <t>RDC_NB_GF_VAV6170</t>
  </si>
  <si>
    <t>Office N-0323</t>
  </si>
  <si>
    <t>RDC_NB_GF_VAV6175</t>
  </si>
  <si>
    <t>Workstation N-0324</t>
  </si>
  <si>
    <t>RDC_NB_GF_VAV6180</t>
  </si>
  <si>
    <t>Office N-0325</t>
  </si>
  <si>
    <t>RDC_NB_GF_VAV6185_EV6186</t>
  </si>
  <si>
    <t>Office N-0326</t>
  </si>
  <si>
    <t>RDC_NB_GF_VAV6190_EV6191</t>
  </si>
  <si>
    <t>Normal Elec. N-0328</t>
  </si>
  <si>
    <t>RDC_NB_GF_VAV6195</t>
  </si>
  <si>
    <t>Store N-0329</t>
  </si>
  <si>
    <t>RDC_NB_GF_VAV6200_EV6201</t>
  </si>
  <si>
    <t>Conf N-0330</t>
  </si>
  <si>
    <t>RDC_NB_GF_VAV6205_EV6206</t>
  </si>
  <si>
    <t>Conf N-0331</t>
  </si>
  <si>
    <t>RDC_NB_GF_VAV6210</t>
  </si>
  <si>
    <t>Corr. +N-033B N-0332C</t>
  </si>
  <si>
    <t>RDC_NB_GF_VAV6220_EV6221</t>
  </si>
  <si>
    <t>Emergency Elec. N-0333</t>
  </si>
  <si>
    <t>RDC_NB_GF_VAV6240_EV6241</t>
  </si>
  <si>
    <t>Emergency Electrical N-0350A</t>
  </si>
  <si>
    <t>RDC_NB_GF_VAV6285_EV6286</t>
  </si>
  <si>
    <t>Conf N-0358</t>
  </si>
  <si>
    <t>RDC_NB_GF_VAV6295_EV6296</t>
  </si>
  <si>
    <t>Conference N-0360</t>
  </si>
  <si>
    <t>RDC_NB_GF_VAV6300</t>
  </si>
  <si>
    <t>Store N-0362B</t>
  </si>
  <si>
    <t>RDC_NB_GF_VAV6305</t>
  </si>
  <si>
    <t>Office N-0363</t>
  </si>
  <si>
    <t>RDC_NB_GF_VAV6310</t>
  </si>
  <si>
    <t>Office N-0364</t>
  </si>
  <si>
    <t>RDC_NB_GF_VAV6315_EV6316</t>
  </si>
  <si>
    <t>Conf Room N-0364A</t>
  </si>
  <si>
    <t>RDC_NB_GF_VAV6320</t>
  </si>
  <si>
    <t>Corridor N-0365</t>
  </si>
  <si>
    <t>RDC_NB_GF_VAV6325</t>
  </si>
  <si>
    <t>Office N-0366</t>
  </si>
  <si>
    <t>RDC_NB_GF_VAV6330</t>
  </si>
  <si>
    <t>Office 04 N-0367</t>
  </si>
  <si>
    <t>RDC_NB_GF_VAV6335</t>
  </si>
  <si>
    <t>Office N-0368</t>
  </si>
  <si>
    <t>RDC_NB_GF_VAV6340</t>
  </si>
  <si>
    <t>Office N-0369</t>
  </si>
  <si>
    <t>RDC_NB_GF_VAV6345</t>
  </si>
  <si>
    <t>Office N-0370</t>
  </si>
  <si>
    <t>RDC_NB_GF_VAV6350</t>
  </si>
  <si>
    <t>Office N-0371</t>
  </si>
  <si>
    <t>RDC_NB_GF_VAV6355</t>
  </si>
  <si>
    <t>Workstation N-0372</t>
  </si>
  <si>
    <t>RDC_NB_GF_VAV6360</t>
  </si>
  <si>
    <t>Office N-0374</t>
  </si>
  <si>
    <t>RDC_NB_GF_VAV6365</t>
  </si>
  <si>
    <t>Office N-0375</t>
  </si>
  <si>
    <t>RDC_NB_GF_VAV6370</t>
  </si>
  <si>
    <t>Office N-0376</t>
  </si>
  <si>
    <t>RDC_NB_GF_VAV6375</t>
  </si>
  <si>
    <t>Office N-0377</t>
  </si>
  <si>
    <t>RDC_NB_GF_VAV6380</t>
  </si>
  <si>
    <t>Workstation N-0378</t>
  </si>
  <si>
    <t>RDC_NB_GF_VAV6390</t>
  </si>
  <si>
    <t>Office N-0379</t>
  </si>
  <si>
    <t>RDC_NB_GF_VAV6395</t>
  </si>
  <si>
    <t>Office N-0380</t>
  </si>
  <si>
    <t>RDC_NB_GF_VAV6400</t>
  </si>
  <si>
    <t>Workstation N-0381</t>
  </si>
  <si>
    <t>RDC_NB_GF_VAV6405</t>
  </si>
  <si>
    <t>Office N-0382</t>
  </si>
  <si>
    <t>RDC_NB_GF_VAV6410</t>
  </si>
  <si>
    <t>Office N-0383</t>
  </si>
  <si>
    <t>RDC_NB_GF_VAV7000</t>
  </si>
  <si>
    <t>Vestibule Staging N-0401</t>
  </si>
  <si>
    <t>RDC_NB_GF_VAV7020A</t>
  </si>
  <si>
    <t>NMR Lab N-0404A</t>
  </si>
  <si>
    <t>RDC_NB_GF_VAV7020B</t>
  </si>
  <si>
    <t>RDC_NB_GF_VAV7021A</t>
  </si>
  <si>
    <t>RDC_NB_GF_VAV7021B</t>
  </si>
  <si>
    <t>RDC_NB_GF_VAV7030_VEV7031</t>
  </si>
  <si>
    <t>CONTROL ROOM N-0404B</t>
  </si>
  <si>
    <t>RDC_NB_GF_VAV7040</t>
  </si>
  <si>
    <t>Service Equipm. Room N-0404C</t>
  </si>
  <si>
    <t>RDC_NB_GF_VAV7050_VEV7051</t>
  </si>
  <si>
    <t>EM Prep 1 - MAT N-0404D</t>
  </si>
  <si>
    <t>RDC_NB_GF_VAV7060_VEV7061</t>
  </si>
  <si>
    <t>EM Prep 2 - BIO N-0404E</t>
  </si>
  <si>
    <t>RDC_NB_GF_VAV7070A</t>
  </si>
  <si>
    <t>Surf Analysis Lab N-0404F</t>
  </si>
  <si>
    <t>RDC_NB_GF_VAV7070B</t>
  </si>
  <si>
    <t>RDC_NB_GF_VAV7071A</t>
  </si>
  <si>
    <t>RDC_NB_GF_VAV7071B</t>
  </si>
  <si>
    <t>RDC_NB_GF_VAV7080</t>
  </si>
  <si>
    <t>Exp. Office N-0410</t>
  </si>
  <si>
    <t>RDC_NB_GF_VAV7085</t>
  </si>
  <si>
    <t>Office N-0411</t>
  </si>
  <si>
    <t>RDC_NB_GF_VAV7090</t>
  </si>
  <si>
    <t>Office N-0412</t>
  </si>
  <si>
    <t>RDC_NB_GF_VAV7095</t>
  </si>
  <si>
    <t>Office N-0413</t>
  </si>
  <si>
    <t>RDC_NB_GF_VAV7100</t>
  </si>
  <si>
    <t>Office N-0414</t>
  </si>
  <si>
    <t>RDC_NB_GF_VAV7105</t>
  </si>
  <si>
    <t>Office N-0415</t>
  </si>
  <si>
    <t>RDC_NB_GF_VAV7110</t>
  </si>
  <si>
    <t>Office N-0416</t>
  </si>
  <si>
    <t>RDC_NB_GF_VAV7115</t>
  </si>
  <si>
    <t>Office N-0417</t>
  </si>
  <si>
    <t>RDC_NB_GF_VAV7120</t>
  </si>
  <si>
    <t>Office N-0418</t>
  </si>
  <si>
    <t>RDC_NB_GF_VAV7125_EV7126</t>
  </si>
  <si>
    <t>Normal Elec. Room N-0420</t>
  </si>
  <si>
    <t>RDC_NB_GF_VAV7130</t>
  </si>
  <si>
    <t>Office N-0421</t>
  </si>
  <si>
    <t>RDC_NB_GF_VAV7135</t>
  </si>
  <si>
    <t>Office N-0422</t>
  </si>
  <si>
    <t>RDC_NB_GF_VAV7140_EV7141</t>
  </si>
  <si>
    <t>Conference N-0423</t>
  </si>
  <si>
    <t>RDC_NB_GF_VAV7145</t>
  </si>
  <si>
    <t>Office N-0425</t>
  </si>
  <si>
    <t>RDC_NB_GF_VAV7155</t>
  </si>
  <si>
    <t>Office N-0427</t>
  </si>
  <si>
    <t>RDC_NB_GF_VAV7165</t>
  </si>
  <si>
    <t>Office N-0429</t>
  </si>
  <si>
    <t>RDC_NB_GF_VAV7175</t>
  </si>
  <si>
    <t>Office 05-15-WS N-0431</t>
  </si>
  <si>
    <t>RDC_NB_GF_VAV7176</t>
  </si>
  <si>
    <t>RDC_NB_GF_VAV7180</t>
  </si>
  <si>
    <t>Corridor N-0432</t>
  </si>
  <si>
    <t>RDC_NB_GF_VAV7185_EV7186</t>
  </si>
  <si>
    <t>Emer. Elec. Room N-0433</t>
  </si>
  <si>
    <t>RDC_NB_GF_VAV7195</t>
  </si>
  <si>
    <t>Office 04 N-0436</t>
  </si>
  <si>
    <t>RDC_NB_GF_VAV7205</t>
  </si>
  <si>
    <t>Office 04 N-0438</t>
  </si>
  <si>
    <t>RDC_NB_GF_VAV7215_EV7216</t>
  </si>
  <si>
    <t>Conference Room N-0440</t>
  </si>
  <si>
    <t>RDC_NB_GF_VAV7220_CEV7221</t>
  </si>
  <si>
    <t>Service Corridor N-0441</t>
  </si>
  <si>
    <t>RDC_NB_GF_VAV7230_VEV7231</t>
  </si>
  <si>
    <t>Inter Lab N-0442A</t>
  </si>
  <si>
    <t>RDC_NB_GF_VAV7240_VEV7241A</t>
  </si>
  <si>
    <t>Optical Lab N-0442B</t>
  </si>
  <si>
    <t>RDC_NB_GF_VAV7250_VEV7251</t>
  </si>
  <si>
    <t>CONF N-0442C</t>
  </si>
  <si>
    <t>RDC_NB_GF_VAV7260_VEV7261</t>
  </si>
  <si>
    <t>SEM 1 Room N-0442D</t>
  </si>
  <si>
    <t>RDC_NB_GF_VAV7270_VEV7271</t>
  </si>
  <si>
    <t>SERV 1 N-0442E</t>
  </si>
  <si>
    <t>RDC_NB_GF_VAV7280_VEV7281</t>
  </si>
  <si>
    <t>Confocal 2 Room N-0442F</t>
  </si>
  <si>
    <t>RDC_NB_GF_VAV7290_VEV7291</t>
  </si>
  <si>
    <t>SEM 2 N-0442G</t>
  </si>
  <si>
    <t>RDC_NB_GF_VAV7300</t>
  </si>
  <si>
    <t>Air Lock 1 N-0442H</t>
  </si>
  <si>
    <t>RDC_NB_GF_VAV7310_VEV7311</t>
  </si>
  <si>
    <t>SEM 3 N-0442J</t>
  </si>
  <si>
    <t>RDC_NB_GF_VAV7320_VEV7321</t>
  </si>
  <si>
    <t>SEM 4 N-0442K</t>
  </si>
  <si>
    <t>RDC_NB_GF_VAV7330_VEV7331</t>
  </si>
  <si>
    <t>SEM 5 N-0442L</t>
  </si>
  <si>
    <t>RDC_NB_GF_VAV7340_VEV7341</t>
  </si>
  <si>
    <t>SERV 2 N-0442M</t>
  </si>
  <si>
    <t>RDC_NB_GF_VAV7350_VEV7351</t>
  </si>
  <si>
    <t>SEM Lab N-0442N</t>
  </si>
  <si>
    <t>RDC_NB_GF_VAV7360_VEV7361</t>
  </si>
  <si>
    <t>SEM Lab N-0442p</t>
  </si>
  <si>
    <t>RDC_NB_GF_VAV7370_VEV7371</t>
  </si>
  <si>
    <t>A/L 2 N-0442R</t>
  </si>
  <si>
    <t>RDC_NB_GF_VAV7385</t>
  </si>
  <si>
    <t>Office N-0444</t>
  </si>
  <si>
    <t>RDC_NB_GF_VAV7390</t>
  </si>
  <si>
    <t>Office 04 N-0445</t>
  </si>
  <si>
    <t>RDC_NB_GF_VAV7395</t>
  </si>
  <si>
    <t>Workstation N-0446</t>
  </si>
  <si>
    <t>RDC_NB_GF_VAV7400</t>
  </si>
  <si>
    <t>Office N-0447</t>
  </si>
  <si>
    <t>RDC_NB_GF_VAV7405</t>
  </si>
  <si>
    <t>Office N-0448</t>
  </si>
  <si>
    <t>RDC_NB_GF_VAV7410</t>
  </si>
  <si>
    <t>Office N-0449</t>
  </si>
  <si>
    <t>RDC_NB_GF_VAV7415</t>
  </si>
  <si>
    <t>Office N-0450</t>
  </si>
  <si>
    <t>RDC_NB_GF_VAV7425</t>
  </si>
  <si>
    <t>Office 05-8-WKS N-0452</t>
  </si>
  <si>
    <t>RDC_NB_GF_VAV7430</t>
  </si>
  <si>
    <t>Office N-0453</t>
  </si>
  <si>
    <t>RDC_NB_GF_VAV7435</t>
  </si>
  <si>
    <t>Office N-0454</t>
  </si>
  <si>
    <t>RDC_NB_GF_VAV7440</t>
  </si>
  <si>
    <t>Office N-0455</t>
  </si>
  <si>
    <t>RDC_NB_GF_VAV7445</t>
  </si>
  <si>
    <t>Office 04 N-0456</t>
  </si>
  <si>
    <t>RDC_NB_GF_VAV7460</t>
  </si>
  <si>
    <t>Office 05-8-WKS N-0457</t>
  </si>
  <si>
    <t>RDC_NB_GF_VAV7465</t>
  </si>
  <si>
    <t>Office N-0458</t>
  </si>
  <si>
    <t>RDC_NB_GF_VAV7470</t>
  </si>
  <si>
    <t>Office N-0459</t>
  </si>
  <si>
    <t>RDC_NB_GF_VAV7475</t>
  </si>
  <si>
    <t>Office N-0460</t>
  </si>
  <si>
    <t>RDC_NB_GF_VAV7480</t>
  </si>
  <si>
    <t>Office N-0461</t>
  </si>
  <si>
    <t>RDC_NB_GF_VAV7485</t>
  </si>
  <si>
    <t>Office 05-8-WKS N-0462</t>
  </si>
  <si>
    <t>RDC_NB_GF_VAV7490_EV7495</t>
  </si>
  <si>
    <t>Confer N-0463</t>
  </si>
  <si>
    <t>RDC_NB_GF_VAV7496</t>
  </si>
  <si>
    <t>Office 04 N-0464</t>
  </si>
  <si>
    <t>RDC_NB_GF_VAV7498</t>
  </si>
  <si>
    <t>Office N-0465</t>
  </si>
  <si>
    <t>RDC_NB_GF_VAV7499</t>
  </si>
  <si>
    <t>Office 04 N-0466</t>
  </si>
  <si>
    <t>RDC_SB_1F_VAV0506</t>
  </si>
  <si>
    <t>Conf. S-1110</t>
  </si>
  <si>
    <t>RDC_SB_1F_VAV0507</t>
  </si>
  <si>
    <t>Computer Research Lab-4 S-1112</t>
  </si>
  <si>
    <t>RDC_SB_1F_VAV0508</t>
  </si>
  <si>
    <t>Conf S-1113</t>
  </si>
  <si>
    <t>RDC_SB_1F_VAV0509</t>
  </si>
  <si>
    <t>NCIR Office S-1115</t>
  </si>
  <si>
    <t>RDC_SB_1F_VAV0510</t>
  </si>
  <si>
    <t>Workstation S-1115A</t>
  </si>
  <si>
    <t>RDC_SB_1F_VAV0511</t>
  </si>
  <si>
    <t>NCIR Office S-1116</t>
  </si>
  <si>
    <t>RDC_SB_1F_VAV0512</t>
  </si>
  <si>
    <t>NCIR Office S-1117</t>
  </si>
  <si>
    <t>RDC_SB_1F_VAV0513</t>
  </si>
  <si>
    <t>NCIR Office S-1118</t>
  </si>
  <si>
    <t>RDC_SB_1F_VAV0514</t>
  </si>
  <si>
    <t>NCIR Office S-1119</t>
  </si>
  <si>
    <t>RDC_SB_1F_VAV0518</t>
  </si>
  <si>
    <t>Office S-1161</t>
  </si>
  <si>
    <t>RDC_SB_1F_VAV0519</t>
  </si>
  <si>
    <t>Office S-1162</t>
  </si>
  <si>
    <t>RDC_SB_1F_VAV0520</t>
  </si>
  <si>
    <t>Office S-1163</t>
  </si>
  <si>
    <t>RDC_SB_1F_VAV0521</t>
  </si>
  <si>
    <t>Office S-1164</t>
  </si>
  <si>
    <t>RDC_SB_1F_VAV0522</t>
  </si>
  <si>
    <t>Office S-1165</t>
  </si>
  <si>
    <t>RDC_SB_1F_VAV0523</t>
  </si>
  <si>
    <t>Office S-1166</t>
  </si>
  <si>
    <t>RDC_SB_1F_VAV0526</t>
  </si>
  <si>
    <t>Office S-1171</t>
  </si>
  <si>
    <t>RDC_SB_1F_VAV0527</t>
  </si>
  <si>
    <t>Office S-1172</t>
  </si>
  <si>
    <t>RDC_SB_1F_VAV0528</t>
  </si>
  <si>
    <t>Office S-1173</t>
  </si>
  <si>
    <t>RDC_SB_1F_VAV0529</t>
  </si>
  <si>
    <t>Corridor S-1174</t>
  </si>
  <si>
    <t>RDC_SB_1F_VAV0530</t>
  </si>
  <si>
    <t>Situation Room S-1175</t>
  </si>
  <si>
    <t>RDC_SB_1F_VAV0531</t>
  </si>
  <si>
    <t>Immersive Viz Lab S-1176</t>
  </si>
  <si>
    <t>RDC_SB_1F_VAV0532</t>
  </si>
  <si>
    <t>Conference Room S-1177</t>
  </si>
  <si>
    <t>RDC_SB_1F_VAV0533</t>
  </si>
  <si>
    <t>Telepresence S-1179</t>
  </si>
  <si>
    <t>RDC_SB_1F_VAV0538</t>
  </si>
  <si>
    <t>Workstation S-1151A</t>
  </si>
  <si>
    <t>RDC_SB_1F_VAV1501</t>
  </si>
  <si>
    <t>Workstation S-1119A</t>
  </si>
  <si>
    <t>RDC_SB_1F_VAV1502</t>
  </si>
  <si>
    <t>NCIR Office S-1120</t>
  </si>
  <si>
    <t>RDC_SB_1F_VAV1503</t>
  </si>
  <si>
    <t>NCIR Office S-1121</t>
  </si>
  <si>
    <t>RDC_SB_1F_VAV1505</t>
  </si>
  <si>
    <t>SC. Comp Office 2 S-1123</t>
  </si>
  <si>
    <t>RDC_SB_1F_VAV1506</t>
  </si>
  <si>
    <t>SC. Comp Office 3 S-1124</t>
  </si>
  <si>
    <t>RDC_SB_1F_VAV1507</t>
  </si>
  <si>
    <t>Workstation S-1124A</t>
  </si>
  <si>
    <t>RDC_SB_1F_VAV1508</t>
  </si>
  <si>
    <t>Scientific Comp. Office 1 S-1125</t>
  </si>
  <si>
    <t>RDC_SB_1F_VAV1509</t>
  </si>
  <si>
    <t>Scientific Comp. Office S-1126</t>
  </si>
  <si>
    <t>RDC_SB_1F_VAV1510</t>
  </si>
  <si>
    <t>ALT Office 2 S-1127</t>
  </si>
  <si>
    <t>RDC_SB_1F_VAV1511</t>
  </si>
  <si>
    <t>ALT Office 3 S-1128</t>
  </si>
  <si>
    <t>RDC_SB_1F_VAV1512</t>
  </si>
  <si>
    <t>Workstation S-1128A</t>
  </si>
  <si>
    <t>RDC_SB_1F_VAV1513</t>
  </si>
  <si>
    <t>ALT Office 1 S-1129</t>
  </si>
  <si>
    <t>RDC_SB_1F_VAV1514</t>
  </si>
  <si>
    <t>ALT Office S-1130</t>
  </si>
  <si>
    <t>RDC_SB_1F_VAV1515</t>
  </si>
  <si>
    <t>Distub. Syst Office 1 S-1131</t>
  </si>
  <si>
    <t>RDC_SB_1F_VAV1516</t>
  </si>
  <si>
    <t>Distub. Syst Office S-1132</t>
  </si>
  <si>
    <t>RDC_SB_1F_VAV1517</t>
  </si>
  <si>
    <t>Workstation S-1132A</t>
  </si>
  <si>
    <t>RDC_SB_1F_VAV1518</t>
  </si>
  <si>
    <t>Distub. Syst Office S-1133</t>
  </si>
  <si>
    <t>RDC_SB_1F_VAV1519</t>
  </si>
  <si>
    <t>Distub. Syst Office S-1134</t>
  </si>
  <si>
    <t>RDC_SB_1F_VAV1520</t>
  </si>
  <si>
    <t>Data Analytic Office S-1135</t>
  </si>
  <si>
    <t>RDC_SB_1F_VAV1521</t>
  </si>
  <si>
    <t>Data Analytic Office S-1136</t>
  </si>
  <si>
    <t>RDC_SB_1F_VAV1522</t>
  </si>
  <si>
    <t>Workstation S-1136A</t>
  </si>
  <si>
    <t>RDC_SB_1F_VAV1523</t>
  </si>
  <si>
    <t>Data Analytic Office S-1137</t>
  </si>
  <si>
    <t>RDC_SB_1F_VAV1524</t>
  </si>
  <si>
    <t>Data Analytic Office S-1138</t>
  </si>
  <si>
    <t>RDC_SB_1F_VAV1525</t>
  </si>
  <si>
    <t>Office S-1139</t>
  </si>
  <si>
    <t>RDC_SB_1F_VAV1526</t>
  </si>
  <si>
    <t>Office S-1140</t>
  </si>
  <si>
    <t>RDC_SB_1F_VAV1527</t>
  </si>
  <si>
    <t>Conference Room S-1141</t>
  </si>
  <si>
    <t>RDC_SB_1F_VAV1528</t>
  </si>
  <si>
    <t>Office S-1142</t>
  </si>
  <si>
    <t>RDC_SB_1F_VAV1529</t>
  </si>
  <si>
    <t>Office S-1144</t>
  </si>
  <si>
    <t>RDC_SB_1F_VAV1530</t>
  </si>
  <si>
    <t>Office S-1145</t>
  </si>
  <si>
    <t>RDC_SB_1F_VAV1531</t>
  </si>
  <si>
    <t>Office S-1146</t>
  </si>
  <si>
    <t>RDC_SB_1F_VAV1532</t>
  </si>
  <si>
    <t>Workstation S-1146A</t>
  </si>
  <si>
    <t>RDC_SB_1F_VAV1533</t>
  </si>
  <si>
    <t>Office S-1148</t>
  </si>
  <si>
    <t>RDC_SB_1F_VAV1534</t>
  </si>
  <si>
    <t>Office S-1149</t>
  </si>
  <si>
    <t>RDC_SB_1F_VAV1536</t>
  </si>
  <si>
    <t>Office S-1150</t>
  </si>
  <si>
    <t>RDC_SB_1F_VAV1539</t>
  </si>
  <si>
    <t>Video Conf. Room S-1154</t>
  </si>
  <si>
    <t>RDC_SB_1F_VAV1540</t>
  </si>
  <si>
    <t>Conf S-1159</t>
  </si>
  <si>
    <t>RDC_SB_1F_VAV1542</t>
  </si>
  <si>
    <t>Office S-1182</t>
  </si>
  <si>
    <t>RDC_SB_1F_VAV1543</t>
  </si>
  <si>
    <t>Workstation S-1182A</t>
  </si>
  <si>
    <t>RDC_SB_1F_VAV1544</t>
  </si>
  <si>
    <t>Office S-1182C</t>
  </si>
  <si>
    <t>RDC_SB_1F_VAV1545</t>
  </si>
  <si>
    <t>Office S-1182D</t>
  </si>
  <si>
    <t>RDC_SB_1F_VAV1546</t>
  </si>
  <si>
    <t>Office S-1182E</t>
  </si>
  <si>
    <t>RDC_SB_1F_VAV1547</t>
  </si>
  <si>
    <t>Office S-1182F</t>
  </si>
  <si>
    <t>RDC_SB_1F_VAV1548</t>
  </si>
  <si>
    <t>Office S-1183</t>
  </si>
  <si>
    <t>RDC_SB_1F_VAV1549</t>
  </si>
  <si>
    <t>Workstation S-1183A</t>
  </si>
  <si>
    <t>RDC_SB_1F_VAV1550</t>
  </si>
  <si>
    <t>Office S-1184</t>
  </si>
  <si>
    <t>RDC_SB_1F_VAV1551</t>
  </si>
  <si>
    <t>Social Comp Office S-1185</t>
  </si>
  <si>
    <t>RDC_SB_1F_VAV1552</t>
  </si>
  <si>
    <t>Social Comp Office S-1186</t>
  </si>
  <si>
    <t>RDC_SB_1F_VAV1553</t>
  </si>
  <si>
    <t>Workstation S-1186A</t>
  </si>
  <si>
    <t>RDC_SB_1F_VAV1554</t>
  </si>
  <si>
    <t>Social Comp Office S-1187</t>
  </si>
  <si>
    <t>RDC_SB_1F_VAV1555</t>
  </si>
  <si>
    <t>Social Comp Office S-1188</t>
  </si>
  <si>
    <t>RDC_SB_1F_VAV1556</t>
  </si>
  <si>
    <t>Cyber Sec Office S-1189</t>
  </si>
  <si>
    <t>RDC_SB_1F_VAV1557</t>
  </si>
  <si>
    <t>Cyber Sec Office S-1190</t>
  </si>
  <si>
    <t>RDC_SB_1F_VAV1558</t>
  </si>
  <si>
    <t>Workstation S-1190A</t>
  </si>
  <si>
    <t>RDC_SB_1F_VAV1559</t>
  </si>
  <si>
    <t>Office S-1191</t>
  </si>
  <si>
    <t>RDC_SB_1F_VAV1560</t>
  </si>
  <si>
    <t>Cyber Sec Office S-1192</t>
  </si>
  <si>
    <t>RDC_SB_1F_VAV1561</t>
  </si>
  <si>
    <t>Cyber Sec Office S-1193</t>
  </si>
  <si>
    <t>RDC_SB_1F_VAV2501</t>
  </si>
  <si>
    <t>Lobby S-1201</t>
  </si>
  <si>
    <t>RDC_SB_1F_VAV2502</t>
  </si>
  <si>
    <t>Lobby S-1202</t>
  </si>
  <si>
    <t>RDC_SB_1F_VAV2503</t>
  </si>
  <si>
    <t>RDC_SB_1F_VAV2504</t>
  </si>
  <si>
    <t>RDC_SB_1F_VAV2505</t>
  </si>
  <si>
    <t>RDC_SB_1F_VAV2506</t>
  </si>
  <si>
    <t>RDC_SB_1F_VAV2508</t>
  </si>
  <si>
    <t>Female Prayer S-1207</t>
  </si>
  <si>
    <t>RDC_SB_1F_VAV2509</t>
  </si>
  <si>
    <t>Open Plan S-1210</t>
  </si>
  <si>
    <t>RDC_SB_1F_VAV2510</t>
  </si>
  <si>
    <t>Exc. Dir. Office S-1211</t>
  </si>
  <si>
    <t>RDC_SB_1F_VAV2511</t>
  </si>
  <si>
    <t>Office S-1212</t>
  </si>
  <si>
    <t>RDC_SB_1F_VAV2512</t>
  </si>
  <si>
    <t>Office S-1213</t>
  </si>
  <si>
    <t>RDC_SB_1F_VAV2513</t>
  </si>
  <si>
    <t>Office S-1214</t>
  </si>
  <si>
    <t>RDC_SB_1F_VAV2514</t>
  </si>
  <si>
    <t>Office S-1215</t>
  </si>
  <si>
    <t>RDC_SB_1F_VAV2515</t>
  </si>
  <si>
    <t>Office S-1216</t>
  </si>
  <si>
    <t>RDC_SB_1F_VAV2516</t>
  </si>
  <si>
    <t>Executive Director Office S-1217</t>
  </si>
  <si>
    <t>RDC_SB_1F_VAV2517</t>
  </si>
  <si>
    <t>Executive Director Office S-1218</t>
  </si>
  <si>
    <t>RDC_SB_1F_VAV2518</t>
  </si>
  <si>
    <t>Office S-1219</t>
  </si>
  <si>
    <t>RDC_SB_1F_VAV2519</t>
  </si>
  <si>
    <t>Office S-1220</t>
  </si>
  <si>
    <t>RDC_SB_1F_VAV2520</t>
  </si>
  <si>
    <t>Office S-1221</t>
  </si>
  <si>
    <t>RDC_SB_1F_VAV2521</t>
  </si>
  <si>
    <t>Office S-1222</t>
  </si>
  <si>
    <t>RDC_SB_1F_VAV2522</t>
  </si>
  <si>
    <t>Office S-1223</t>
  </si>
  <si>
    <t>RDC_SB_1F_VAV2523</t>
  </si>
  <si>
    <t>Office S-1224</t>
  </si>
  <si>
    <t>RDC_SB_1F_VAV2524</t>
  </si>
  <si>
    <t>Office S-1225</t>
  </si>
  <si>
    <t>RDC_SB_1F_VAV2525</t>
  </si>
  <si>
    <t>Office S-1226</t>
  </si>
  <si>
    <t>RDC_SB_1F_VAV2526</t>
  </si>
  <si>
    <t>Open Plan S-1227</t>
  </si>
  <si>
    <t>RDC_SB_1F_VAV2527</t>
  </si>
  <si>
    <t>Director Office S-1228</t>
  </si>
  <si>
    <t>RDC_SB_1F_VAV2528</t>
  </si>
  <si>
    <t>Director Office S-1230</t>
  </si>
  <si>
    <t>RDC_SB_1F_VAV2529</t>
  </si>
  <si>
    <t>Office S-1231</t>
  </si>
  <si>
    <t>RDC_SB_1F_VAV2530</t>
  </si>
  <si>
    <t>Office S-1232</t>
  </si>
  <si>
    <t>RDC_SB_1F_VAV2531</t>
  </si>
  <si>
    <t>Director Office S-1241</t>
  </si>
  <si>
    <t>RDC_SB_1F_VAV2532</t>
  </si>
  <si>
    <t>Office S-1242</t>
  </si>
  <si>
    <t>RDC_SB_1F_VAV2533</t>
  </si>
  <si>
    <t>Cooridor S-1246</t>
  </si>
  <si>
    <t>RDC_SB_1F_VAV2534</t>
  </si>
  <si>
    <t>Meeting Room S-1247</t>
  </si>
  <si>
    <t>RDC_SB_1F_VAV2535</t>
  </si>
  <si>
    <t>Store S-1248</t>
  </si>
  <si>
    <t>RDC_SB_1F_VAV2536</t>
  </si>
  <si>
    <t>Normal Elec. S-1251</t>
  </si>
  <si>
    <t>RDC_SB_1F_VAV2538</t>
  </si>
  <si>
    <t>Office S-1257</t>
  </si>
  <si>
    <t>RDC_SB_1F_VAV2539</t>
  </si>
  <si>
    <t>Office S-1257B</t>
  </si>
  <si>
    <t>RDC_SB_1F_VAV2540</t>
  </si>
  <si>
    <t>Executive Director S-1260</t>
  </si>
  <si>
    <t>RDC_SB_1F_VAV2541</t>
  </si>
  <si>
    <t>Assistant S-1261</t>
  </si>
  <si>
    <t>RDC_SB_1F_VAV2542</t>
  </si>
  <si>
    <t>Open Plan S-1263</t>
  </si>
  <si>
    <t>RDC_SB_1F_VAV2543</t>
  </si>
  <si>
    <t>Office S-1264</t>
  </si>
  <si>
    <t>RDC_SB_1F_VAV2544</t>
  </si>
  <si>
    <t>Office S-1265</t>
  </si>
  <si>
    <t>RDC_SB_1F_VAV2545</t>
  </si>
  <si>
    <t>Office S-1266</t>
  </si>
  <si>
    <t>RDC_SB_1F_VAV2546</t>
  </si>
  <si>
    <t>Office S-1267</t>
  </si>
  <si>
    <t>RDC_SB_1F_VAV2547</t>
  </si>
  <si>
    <t>Office S-1268</t>
  </si>
  <si>
    <t>RDC_SB_1F_VAV2548</t>
  </si>
  <si>
    <t>Office S-1269</t>
  </si>
  <si>
    <t>RDC_SB_1F_VAV2549</t>
  </si>
  <si>
    <t>Office S-1270</t>
  </si>
  <si>
    <t>RDC_SB_1F_VAV2550</t>
  </si>
  <si>
    <t>Office S-1271</t>
  </si>
  <si>
    <t>RDC_SB_1F_VAV2551</t>
  </si>
  <si>
    <t>Meeting Room S-1272</t>
  </si>
  <si>
    <t>RDC_SB_1F_VAV2552</t>
  </si>
  <si>
    <t>Vestibule S-1273</t>
  </si>
  <si>
    <t>RDC_SB_1F_VAV2553</t>
  </si>
  <si>
    <t>Male Prayer S-1278</t>
  </si>
  <si>
    <t>RDC_SB_1F_VAV3504</t>
  </si>
  <si>
    <t>Open Plan S-1229</t>
  </si>
  <si>
    <t>RDC_SB_1F_VAV3505</t>
  </si>
  <si>
    <t>RDC_SB_1F_VAV3506</t>
  </si>
  <si>
    <t>Office S-1233</t>
  </si>
  <si>
    <t>RDC_SB_1F_VAV3507</t>
  </si>
  <si>
    <t>Office S-1234</t>
  </si>
  <si>
    <t>RDC_SB_1F_VAV3508</t>
  </si>
  <si>
    <t>Office S-1235</t>
  </si>
  <si>
    <t>RDC_SB_1F_VAV3509</t>
  </si>
  <si>
    <t>Policy Director Office S-1237</t>
  </si>
  <si>
    <t>RDC_SB_1F_VAV3510</t>
  </si>
  <si>
    <t>Policy Executive Director Office S-1240</t>
  </si>
  <si>
    <t>RDC_SB_1F_VAV3511</t>
  </si>
  <si>
    <t>Corridor S-1280</t>
  </si>
  <si>
    <t>RDC_SB_1F_VAV3512</t>
  </si>
  <si>
    <t>Pantry S-1282</t>
  </si>
  <si>
    <t>RDC_SB_1F_VAV3513</t>
  </si>
  <si>
    <t>Office S-1283</t>
  </si>
  <si>
    <t>RDC_SB_1F_VAV3514</t>
  </si>
  <si>
    <t>Office S-1284</t>
  </si>
  <si>
    <t>RDC_SB_1F_VAV3515</t>
  </si>
  <si>
    <t>S-1285 VP R&amp;D</t>
  </si>
  <si>
    <t>RDC_SB_1F_VAV3516</t>
  </si>
  <si>
    <t>Meeting Room S-1288</t>
  </si>
  <si>
    <t>RDC_SB_1F_VAV3517</t>
  </si>
  <si>
    <t>Dressing Room S-1290</t>
  </si>
  <si>
    <t>RDC_SB_1F_VAV3518</t>
  </si>
  <si>
    <t>Waiting Area S-1292</t>
  </si>
  <si>
    <t>RDC_SB_1F_VAV3519</t>
  </si>
  <si>
    <t>Open Plan S-1293</t>
  </si>
  <si>
    <t>RDC_SB_1F_VAV3520</t>
  </si>
  <si>
    <t>Office S-1294</t>
  </si>
  <si>
    <t>RDC_SB_1F_VAV3521</t>
  </si>
  <si>
    <t>Office S-1295</t>
  </si>
  <si>
    <t>RDC_SB_1F_VAV3522</t>
  </si>
  <si>
    <t>Conference Room S-1296</t>
  </si>
  <si>
    <t>RDC_SB_1F_VAV3523</t>
  </si>
  <si>
    <t>Office S-1299</t>
  </si>
  <si>
    <t>RDC_SB_1F_VAV3524</t>
  </si>
  <si>
    <t>Normal Elec. S-1238</t>
  </si>
  <si>
    <t>RDC_SB_GF_VAV0001</t>
  </si>
  <si>
    <t>Vestibule S-0101</t>
  </si>
  <si>
    <t>RDC_SB_GF_VAV0002</t>
  </si>
  <si>
    <t>Main Lobby S-0102</t>
  </si>
  <si>
    <t>RDC_SB_GF_VAV0003</t>
  </si>
  <si>
    <t>Entrance Lobby S-0102</t>
  </si>
  <si>
    <t>RDC_SB_GF_VAV0007</t>
  </si>
  <si>
    <t>Conference S-0109</t>
  </si>
  <si>
    <t>RDC_SB_GF_VAV0008</t>
  </si>
  <si>
    <t>Computer Research Lab 3 S-0110</t>
  </si>
  <si>
    <t>RDC_SB_GF_VAV0009</t>
  </si>
  <si>
    <t>Phone Booth S-0111</t>
  </si>
  <si>
    <t>RDC_SB_GF_VAV0010</t>
  </si>
  <si>
    <t>Phone Booth S-0112</t>
  </si>
  <si>
    <t>RDC_SB_GF_VAV0011</t>
  </si>
  <si>
    <t>Conference S-0113</t>
  </si>
  <si>
    <t>RDC_SB_GF_VAV0012</t>
  </si>
  <si>
    <t>Computer Research Lab 2 S-0114</t>
  </si>
  <si>
    <t>RDC_SB_GF_VAV0013</t>
  </si>
  <si>
    <t>Phone Booth S-0115</t>
  </si>
  <si>
    <t>RDC_SB_GF_VAV0014</t>
  </si>
  <si>
    <t>Phone Booth S-0116</t>
  </si>
  <si>
    <t>RDC_SB_GF_VAV0016</t>
  </si>
  <si>
    <t>Conference S-0118</t>
  </si>
  <si>
    <t>RDC_SB_GF_VAV0017</t>
  </si>
  <si>
    <t>Computer Research Lab 1 S-0119</t>
  </si>
  <si>
    <t>RDC_SB_GF_VAV0018</t>
  </si>
  <si>
    <t>Restaurant S-0123</t>
  </si>
  <si>
    <t>RDC_SB_GF_VAV0019</t>
  </si>
  <si>
    <t>RDC_SB_GF_VAV0025</t>
  </si>
  <si>
    <t>Alt Recording Sound S-0135</t>
  </si>
  <si>
    <t>RDC_SB_GF_VAV1003_VEV1002</t>
  </si>
  <si>
    <t>NOC Lab S-0140A</t>
  </si>
  <si>
    <t>RDC_SB_GF_VAV1004</t>
  </si>
  <si>
    <t>Corridor S-0137 / S-0143</t>
  </si>
  <si>
    <t>RDC_SB_GF_VAV1008</t>
  </si>
  <si>
    <t>Cyber Embedded Sys. S-0146</t>
  </si>
  <si>
    <t>RDC_SB_GF_VAV2002</t>
  </si>
  <si>
    <t>Conference Room S-0207</t>
  </si>
  <si>
    <t>RDC_SB_GF_VAV2003</t>
  </si>
  <si>
    <t>Multi Purpose Hall S-0208</t>
  </si>
  <si>
    <t>RDC_SB_GF_VAV2004</t>
  </si>
  <si>
    <t>RDC_SB_GF_VAV2005</t>
  </si>
  <si>
    <t>Technical Open Plan S-0211</t>
  </si>
  <si>
    <t>RDC_SB_GF_VAV2006</t>
  </si>
  <si>
    <t>Meeting Room S-0212</t>
  </si>
  <si>
    <t>RDC_SB_GF_VAV2007</t>
  </si>
  <si>
    <t>Office S-0213</t>
  </si>
  <si>
    <t>RDC_SB_GF_VAV2008</t>
  </si>
  <si>
    <t>Office S-0214</t>
  </si>
  <si>
    <t>RDC_SB_GF_VAV2009</t>
  </si>
  <si>
    <t>Office S-0215</t>
  </si>
  <si>
    <t>RDC_SB_GF_VAV2010</t>
  </si>
  <si>
    <t>Office S-0216</t>
  </si>
  <si>
    <t>RDC_SB_GF_VAV2011</t>
  </si>
  <si>
    <t>Office S-0217</t>
  </si>
  <si>
    <t>RDC_SB_GF_VAV2012</t>
  </si>
  <si>
    <t>Director Office S-0218</t>
  </si>
  <si>
    <t>RDC_SB_GF_VAV2013</t>
  </si>
  <si>
    <t>Office S-0219</t>
  </si>
  <si>
    <t>RDC_SB_GF_VAV2014</t>
  </si>
  <si>
    <t>Office S-0220</t>
  </si>
  <si>
    <t>RDC_SB_GF_VAV2015</t>
  </si>
  <si>
    <t>Director Office S-0221</t>
  </si>
  <si>
    <t>RDC_SB_GF_VAV2016</t>
  </si>
  <si>
    <t>Director Office S-0222</t>
  </si>
  <si>
    <t>RDC_SB_GF_VAV2017</t>
  </si>
  <si>
    <t>Meeting Room S-0223</t>
  </si>
  <si>
    <t>RDC_SB_GF_VAV2018</t>
  </si>
  <si>
    <t>Print Hub S-0225</t>
  </si>
  <si>
    <t>RDC_SB_GF_VAV2019</t>
  </si>
  <si>
    <t>Office S-0227</t>
  </si>
  <si>
    <t>RDC_SB_GF_VAV2020</t>
  </si>
  <si>
    <t>Informal Meeting S-0231</t>
  </si>
  <si>
    <t>RDC_SB_GF_VAV2021</t>
  </si>
  <si>
    <t>Open Plan S-0228</t>
  </si>
  <si>
    <t>RDC_SB_GF_VAV2022</t>
  </si>
  <si>
    <t>Director Office S-0229</t>
  </si>
  <si>
    <t>RDC_SB_GF_VAV2023</t>
  </si>
  <si>
    <t>Office S-0230</t>
  </si>
  <si>
    <t>RDC_SB_GF_VAV2024</t>
  </si>
  <si>
    <t>Executive Director Office S-0232</t>
  </si>
  <si>
    <t>RDC_SB_GF_VAV2025</t>
  </si>
  <si>
    <t>Executive Director Office S-0233</t>
  </si>
  <si>
    <t>RDC_SB_GF_VAV2026</t>
  </si>
  <si>
    <t>Office S-0234</t>
  </si>
  <si>
    <t>RDC_SB_GF_VAV2027</t>
  </si>
  <si>
    <t>Office S-0235</t>
  </si>
  <si>
    <t>RDC_SB_GF_VAV2028</t>
  </si>
  <si>
    <t>Office S-0236</t>
  </si>
  <si>
    <t>RDC_SB_GF_VAV2029</t>
  </si>
  <si>
    <t>Waiting Area S-0251</t>
  </si>
  <si>
    <t>RDC_SB_GF_VAV2030</t>
  </si>
  <si>
    <t>Office S-0259</t>
  </si>
  <si>
    <t>RDC_SB_GF_VAV2031</t>
  </si>
  <si>
    <t>Office S-0260</t>
  </si>
  <si>
    <t>RDC_SB_GF_VAV2032</t>
  </si>
  <si>
    <t>Open Plan S-0269</t>
  </si>
  <si>
    <t>RDC_SB_GF_VAV2033</t>
  </si>
  <si>
    <t>Store S-0275</t>
  </si>
  <si>
    <t>RDC_SB_GF_VAV2034</t>
  </si>
  <si>
    <t>Meeting Room S-0274</t>
  </si>
  <si>
    <t>RDC_SB_GF_VAV2035</t>
  </si>
  <si>
    <t>Pantry S-0270</t>
  </si>
  <si>
    <t>RDC_SB_GF_VAV2036</t>
  </si>
  <si>
    <t>Emergency Elec. Room S-0278</t>
  </si>
  <si>
    <t>RDC_SB_GF_VAV2037</t>
  </si>
  <si>
    <t>Men S-0284</t>
  </si>
  <si>
    <t>RDC_SB_GF_VAV2038</t>
  </si>
  <si>
    <t>Informal Meeting S-0285</t>
  </si>
  <si>
    <t>RDC_SB_GF_VAV2039</t>
  </si>
  <si>
    <t>Meeting Room S-0286</t>
  </si>
  <si>
    <t>RDC_SB_GF_VAV2040</t>
  </si>
  <si>
    <t>Open Plan S-0289</t>
  </si>
  <si>
    <t>RDC_SB_GF_VAV2041</t>
  </si>
  <si>
    <t>RDC_SB_GF_VAV2042</t>
  </si>
  <si>
    <t>Corridor S-0273</t>
  </si>
  <si>
    <t>RDC_SB_GF_VAV2043</t>
  </si>
  <si>
    <t>Women S-0281</t>
  </si>
  <si>
    <t>RDC_SB_GF_VAV2044</t>
  </si>
  <si>
    <t>Lobby S-0294</t>
  </si>
  <si>
    <t>RDC_SB_GF_VAV2045</t>
  </si>
  <si>
    <t>RDC_SB_GF_VAV2046</t>
  </si>
  <si>
    <t>RDC_SB_GF_VAV2047</t>
  </si>
  <si>
    <t>RDC_SB_GF_VAV3001</t>
  </si>
  <si>
    <t>Director Office S-0237</t>
  </si>
  <si>
    <t>RDC_SB_GF_VAV3002</t>
  </si>
  <si>
    <t>Office S-0238</t>
  </si>
  <si>
    <t>RDC_SB_GF_VAV3003</t>
  </si>
  <si>
    <t>Office S-0239</t>
  </si>
  <si>
    <t>RDC_SB_GF_VAV3004</t>
  </si>
  <si>
    <t>Office S-0240</t>
  </si>
  <si>
    <t>RDC_SB_GF_VAV3005</t>
  </si>
  <si>
    <t>Office S-0241</t>
  </si>
  <si>
    <t>RDC_SB_GF_VAV3006</t>
  </si>
  <si>
    <t>Office S-0242</t>
  </si>
  <si>
    <t>RDC_SB_GF_VAV3007</t>
  </si>
  <si>
    <t>Director Office S-0243</t>
  </si>
  <si>
    <t>RDC_SB_GF_VAV3008</t>
  </si>
  <si>
    <t>Open Plan S-0244</t>
  </si>
  <si>
    <t>RDC_SB_GF_VAV3009</t>
  </si>
  <si>
    <t>RDC_SB_GF_VAV3010</t>
  </si>
  <si>
    <t>RDC_SB_GF_VAV3011</t>
  </si>
  <si>
    <t>Meeting Room S-0245</t>
  </si>
  <si>
    <t>RDC_SB_GF_VAV3012</t>
  </si>
  <si>
    <t>Office S-0246</t>
  </si>
  <si>
    <t>RDC_SB_GF_VAV3013</t>
  </si>
  <si>
    <t>Office S-0247</t>
  </si>
  <si>
    <t>RDC_SB_GF_VAV3014</t>
  </si>
  <si>
    <t>Office S-0248</t>
  </si>
  <si>
    <t>RDC_SB_GF_VAV3015</t>
  </si>
  <si>
    <t>Security S-0249</t>
  </si>
  <si>
    <t>RDC_SB_GF_VAV3016</t>
  </si>
  <si>
    <t>Corridor S-0250</t>
  </si>
  <si>
    <t>RDC_SB_GF_VAV3017</t>
  </si>
  <si>
    <t>Office S-0251</t>
  </si>
  <si>
    <t>RDC_SB_GF_VAV3018</t>
  </si>
  <si>
    <t>Corridor S-0251</t>
  </si>
  <si>
    <t>RDC_SB_GF_VAV3019</t>
  </si>
  <si>
    <t>RDC_SB_GF_VAV3020</t>
  </si>
  <si>
    <t>Office S-0252</t>
  </si>
  <si>
    <t>RDC_SB_GF_VAV3021</t>
  </si>
  <si>
    <t>RDC_SB_GF_VAV3022</t>
  </si>
  <si>
    <t>Office S-0253</t>
  </si>
  <si>
    <t>RDC_SB_GF_VAV3023</t>
  </si>
  <si>
    <t>RDC_SB_GF_VAV3024</t>
  </si>
  <si>
    <t>Office S-0254</t>
  </si>
  <si>
    <t>RDC_SB_GF_VAV3025</t>
  </si>
  <si>
    <t>Office S-0255</t>
  </si>
  <si>
    <t>RDC_SB_GF_VAV3026</t>
  </si>
  <si>
    <t>Office S-0256</t>
  </si>
  <si>
    <t>RDC_SB_GF_VAV3027</t>
  </si>
  <si>
    <t>Office S-0257</t>
  </si>
  <si>
    <t>RDC_SB_GF_VAV3028</t>
  </si>
  <si>
    <t>Office S-0258</t>
  </si>
  <si>
    <t>RDC_SB_GF_VAV3029</t>
  </si>
  <si>
    <t>Open Plan S-0261</t>
  </si>
  <si>
    <t>RDC_SB_GF_VAV3030</t>
  </si>
  <si>
    <t>Open Plan S-0262</t>
  </si>
  <si>
    <t>RDC_SB_GF_VAV3031</t>
  </si>
  <si>
    <t>Server S-0264</t>
  </si>
  <si>
    <t>RDC_SB_GF_VAV3032</t>
  </si>
  <si>
    <t>Open Plan S-0265</t>
  </si>
  <si>
    <t>RDC_SB_GF_VAV3033</t>
  </si>
  <si>
    <t>Corridor / Print / Emergency Elec Rm / Normal Elec Rm S-0251 / S-0263 / S-0266 / S-0267</t>
  </si>
  <si>
    <t>RDC_SB_GF_VAV3034</t>
  </si>
  <si>
    <t>Vestibule S-0293</t>
  </si>
  <si>
    <t>RDC_SB_GF_VAV3035</t>
  </si>
  <si>
    <t>RDC_SB_GF_VAV3036</t>
  </si>
  <si>
    <t>RDC_SB_GF_VAV3501</t>
  </si>
  <si>
    <t>RDC_SB_GF_VAV3502</t>
  </si>
  <si>
    <t>RDC_SB_GF_VAV3503</t>
  </si>
  <si>
    <t>RDC_NB_1F_VAV4510</t>
  </si>
  <si>
    <t>Corridor N-1202A</t>
  </si>
  <si>
    <t>RDC_NB_1F_VAV4515_EV4516</t>
  </si>
  <si>
    <t>Emergency Electrical Room N-1203</t>
  </si>
  <si>
    <t>RDC_NB_1F_VAV4520_EV4521</t>
  </si>
  <si>
    <t>Normal Electrical Room N-1204</t>
  </si>
  <si>
    <t>RDC_NB_1F_VAV4525_EV4526</t>
  </si>
  <si>
    <t>Conference Room N-1205</t>
  </si>
  <si>
    <t>RDC_NB_1F_VAV4530_EV4531</t>
  </si>
  <si>
    <t>Office N-1206</t>
  </si>
  <si>
    <t>RDC_NB_1F_VAV4535_EV4536</t>
  </si>
  <si>
    <t>Office N-1207</t>
  </si>
  <si>
    <t>RDC_NB_1F_VAV4540_EV4541</t>
  </si>
  <si>
    <t>Office N-1208</t>
  </si>
  <si>
    <t>RDC_NB_1F_VAV4545_EV4546</t>
  </si>
  <si>
    <t>Office N-1209</t>
  </si>
  <si>
    <t>RDC_NB_1F_VAV4550_EV4551</t>
  </si>
  <si>
    <t>Office N-1210</t>
  </si>
  <si>
    <t>RDC_NB_1F_VAV4555_EV4556</t>
  </si>
  <si>
    <t>Confer Room N-1211</t>
  </si>
  <si>
    <t>RDC_NB_1F_VAV4560_EV4561</t>
  </si>
  <si>
    <t>Office N-1212</t>
  </si>
  <si>
    <t>RDC_NB_1F_VAV4565_EV4566</t>
  </si>
  <si>
    <t>Conference N-1213</t>
  </si>
  <si>
    <t>RDC_NB_1F_VAV4570_EV4571</t>
  </si>
  <si>
    <t>Office 04 N-1214</t>
  </si>
  <si>
    <t>RDC_NB_1F_VAV4575_EV4576</t>
  </si>
  <si>
    <t>Storage N-1215</t>
  </si>
  <si>
    <t>RDC_NB_1F_VAV4580</t>
  </si>
  <si>
    <t>Photovoltaic Lab N-1216A</t>
  </si>
  <si>
    <t>RDC_NB_1F_VAV4600</t>
  </si>
  <si>
    <t>Testing Room N-1216B</t>
  </si>
  <si>
    <t>RDC_NB_1F_VAV4601</t>
  </si>
  <si>
    <t>RDC_NB_1F_VAV4620_VEV4621</t>
  </si>
  <si>
    <t>EL Shop N-1216C</t>
  </si>
  <si>
    <t>RDC_NB_1F_VAV4630_VEV4631</t>
  </si>
  <si>
    <t>GIS N-1216D</t>
  </si>
  <si>
    <t>RDC_NB_1F_VAV4650</t>
  </si>
  <si>
    <t>Breakout N-1225</t>
  </si>
  <si>
    <t>RDC_NB_1F_VAV4660</t>
  </si>
  <si>
    <t>Expansion Workstation N-1227</t>
  </si>
  <si>
    <t>RDC_NB_1F_VAV4665</t>
  </si>
  <si>
    <t>Office N-1228</t>
  </si>
  <si>
    <t>RDC_NB_1F_VAV4670</t>
  </si>
  <si>
    <t>Office N-1229</t>
  </si>
  <si>
    <t>RDC_NB_1F_VAV4675</t>
  </si>
  <si>
    <t>Office N-1230</t>
  </si>
  <si>
    <t>RDC_NB_1F_VAV4680</t>
  </si>
  <si>
    <t>Office N-1231</t>
  </si>
  <si>
    <t>RDC_NB_1F_VAV4685</t>
  </si>
  <si>
    <t>Workstation N-1232</t>
  </si>
  <si>
    <t>RDC_NB_1F_VAV4690</t>
  </si>
  <si>
    <t>Office N-1233</t>
  </si>
  <si>
    <t>RDC_NB_1F_VAV4695</t>
  </si>
  <si>
    <t>Office N-1234</t>
  </si>
  <si>
    <t>RDC_NB_1F_VAV4700</t>
  </si>
  <si>
    <t>Office N-1235</t>
  </si>
  <si>
    <t>RDC_NB_1F_VAV4705</t>
  </si>
  <si>
    <t>Office N-1236</t>
  </si>
  <si>
    <t>RDC_NB_1F_VAV4710</t>
  </si>
  <si>
    <t>Workstation N-1237</t>
  </si>
  <si>
    <t>RDC_NB_1F_VAV4715</t>
  </si>
  <si>
    <t>Office N-1238</t>
  </si>
  <si>
    <t>RDC_NB_1F_VAV4720</t>
  </si>
  <si>
    <t>Office N-1239</t>
  </si>
  <si>
    <t>RDC_NB_1F_VAV4725</t>
  </si>
  <si>
    <t>Office N-1240</t>
  </si>
  <si>
    <t>RDC_NB_1F_VAV4730</t>
  </si>
  <si>
    <t>Office N-1241</t>
  </si>
  <si>
    <t>RDC_NB_1F_VAV4735</t>
  </si>
  <si>
    <t>Workstation N-1242</t>
  </si>
  <si>
    <t>RDC_NB_1F_VAV4740</t>
  </si>
  <si>
    <t>Exp Office N-1243</t>
  </si>
  <si>
    <t>RDC_NB_1F_VAV4745</t>
  </si>
  <si>
    <t>Office N-1244</t>
  </si>
  <si>
    <t>RDC_NB_1F_VAV4900P</t>
  </si>
  <si>
    <t>Normal Electric N-2102</t>
  </si>
  <si>
    <t>RDC_NB_1F_VAV4910P</t>
  </si>
  <si>
    <t>Emergency Electr N-2103</t>
  </si>
  <si>
    <t>RDC_NB_1F_VAV5500</t>
  </si>
  <si>
    <t>Lobby N-1101</t>
  </si>
  <si>
    <t>RDC_NB_1F_VAV5501</t>
  </si>
  <si>
    <t>RDC_NB_1F_VAV5510_EV5511</t>
  </si>
  <si>
    <t>Conference N-1101A</t>
  </si>
  <si>
    <t>RDC_NB_1F_VAV5515_EV5516</t>
  </si>
  <si>
    <t>Emergency Electrical Room N-1102</t>
  </si>
  <si>
    <t>RDC_NB_1F_VAV5520_EV5521</t>
  </si>
  <si>
    <t>Conference N-1106</t>
  </si>
  <si>
    <t>RDC_NB_1F_VAV5525_EV5526</t>
  </si>
  <si>
    <t>Conference N-1107</t>
  </si>
  <si>
    <t>RDC_NB_1F_VAV5535_EV5536</t>
  </si>
  <si>
    <t>Conference N-1112</t>
  </si>
  <si>
    <t>RDC_NB_1F_VAV5540_EV5541</t>
  </si>
  <si>
    <t>Normal Electrical Room N-1113</t>
  </si>
  <si>
    <t>RDC_NB_1F_VAV5550_VEV5551</t>
  </si>
  <si>
    <t>PCR N-1115A</t>
  </si>
  <si>
    <t>RDC_NB_1F_VAV5560_VEV5561</t>
  </si>
  <si>
    <t>PRE-PCR N-1115B</t>
  </si>
  <si>
    <t>RDC_NB_1F_VAV5570</t>
  </si>
  <si>
    <t>Met/Prot Lab N-1115C</t>
  </si>
  <si>
    <t>RDC_NB_1F_VAV5571</t>
  </si>
  <si>
    <t>RDC_NB_1F_VAV5580_VEV5581</t>
  </si>
  <si>
    <t>DNA/RNA N-1115D</t>
  </si>
  <si>
    <t>RDC_NB_1F_VAV5590</t>
  </si>
  <si>
    <t>Cell Culture N-1115E</t>
  </si>
  <si>
    <t>RDC_NB_1F_VAV5600_VEV5601</t>
  </si>
  <si>
    <t>Library N-1115H</t>
  </si>
  <si>
    <t>RDC_NB_1F_VAV5610_VEV5611</t>
  </si>
  <si>
    <t>Robotics N-1115J</t>
  </si>
  <si>
    <t>RDC_NB_1F_VAV5620_VEV5622</t>
  </si>
  <si>
    <t>Sequence Lab N-1115K</t>
  </si>
  <si>
    <t>RDC_NB_1F_VAV5621_VEV5623</t>
  </si>
  <si>
    <t>RDC_NB_1F_VAV5630_VEV5631</t>
  </si>
  <si>
    <t>Genom Med Lab N-1115K1</t>
  </si>
  <si>
    <t>RDC_NB_1F_VAV5650</t>
  </si>
  <si>
    <t>Office N-1120</t>
  </si>
  <si>
    <t>RDC_NB_1F_VAV5655_EV5656</t>
  </si>
  <si>
    <t>Store N-1120B</t>
  </si>
  <si>
    <t>RDC_NB_1F_VAV5660</t>
  </si>
  <si>
    <t>Office N-1121</t>
  </si>
  <si>
    <t>RDC_NB_1F_VAV5665</t>
  </si>
  <si>
    <t>Office N-1122</t>
  </si>
  <si>
    <t>RDC_NB_1F_VAV5670</t>
  </si>
  <si>
    <t>Office N-1123</t>
  </si>
  <si>
    <t>RDC_NB_1F_VAV5675</t>
  </si>
  <si>
    <t>Office N-1124</t>
  </si>
  <si>
    <t>RDC_NB_1F_VAV5680</t>
  </si>
  <si>
    <t>Office N-1125</t>
  </si>
  <si>
    <t>RDC_NB_1F_VAV5685</t>
  </si>
  <si>
    <t>Corridor N-1126</t>
  </si>
  <si>
    <t>RDC_NB_1F_VAV5690</t>
  </si>
  <si>
    <t>Office N-1127</t>
  </si>
  <si>
    <t>RDC_NB_1F_VAV5695</t>
  </si>
  <si>
    <t>Office N-1128</t>
  </si>
  <si>
    <t>RDC_NB_1F_VAV5700</t>
  </si>
  <si>
    <t>Office N-1129</t>
  </si>
  <si>
    <t>RDC_NB_1F_VAV5705</t>
  </si>
  <si>
    <t>Office N-1130</t>
  </si>
  <si>
    <t>RDC_NB_1F_VAV5710</t>
  </si>
  <si>
    <t>Office N-1131</t>
  </si>
  <si>
    <t>RDC_NB_1F_VAV5715_EV5716</t>
  </si>
  <si>
    <t>Conf Rm N-1132</t>
  </si>
  <si>
    <t>RDC_NB_1F_VAV5730_EV5731</t>
  </si>
  <si>
    <t>Store N-1135</t>
  </si>
  <si>
    <t>RDC_NB_1F_VAV5735_EV5736</t>
  </si>
  <si>
    <t>Normal Elec. N-1136</t>
  </si>
  <si>
    <t>RDC_NB_1F_VAV5740_EV5741</t>
  </si>
  <si>
    <t>Emer. Elec. N-1137</t>
  </si>
  <si>
    <t>RDC_NB_1F_VAV5745</t>
  </si>
  <si>
    <t>Corridor N-1138</t>
  </si>
  <si>
    <t>RDC_NB_1F_VAV5760_EV5761</t>
  </si>
  <si>
    <t>Conf N-1143</t>
  </si>
  <si>
    <t>RDC_NB_1F_VAV5770_VEV5771</t>
  </si>
  <si>
    <t>Histology N-1144A</t>
  </si>
  <si>
    <t>RDC_NB_1F_VAV5780_VEV5781</t>
  </si>
  <si>
    <t>Culture &amp; Gel Rm N-1144B</t>
  </si>
  <si>
    <t>RDC_NB_1F_VAV5790</t>
  </si>
  <si>
    <t>Shafallah N-1144C</t>
  </si>
  <si>
    <t>RDC_NB_1F_VAV5792_VEV5793</t>
  </si>
  <si>
    <t>Sample Accession N-1144C1</t>
  </si>
  <si>
    <t>RDC_NB_1F_VAV5794_VEV5795A</t>
  </si>
  <si>
    <t>Storage and Archives N-1144C2</t>
  </si>
  <si>
    <t>RDC_NB_1F_VAV5800_VEV5801</t>
  </si>
  <si>
    <t>Pre-PCR N-1144D</t>
  </si>
  <si>
    <t>RDC_NB_1F_VAV5810</t>
  </si>
  <si>
    <t>Nano Lab N-1144E</t>
  </si>
  <si>
    <t>RDC_NB_1F_VAV5814</t>
  </si>
  <si>
    <t>RDC_NB_1F_VAV5835_EV5836</t>
  </si>
  <si>
    <t>P/C/S Pantry N-1146</t>
  </si>
  <si>
    <t>RDC_NB_1F_VAV5840</t>
  </si>
  <si>
    <t>Corridor N-1150</t>
  </si>
  <si>
    <t>RDC_NB_1F_VAV5845</t>
  </si>
  <si>
    <t>Reception+N-1151B Storage N-1151</t>
  </si>
  <si>
    <t>RDC_NB_1F_VAV5850</t>
  </si>
  <si>
    <t>Office 04 N-1151A</t>
  </si>
  <si>
    <t>RDC_NB_1F_VAV5855</t>
  </si>
  <si>
    <t>Office 04 N-1152</t>
  </si>
  <si>
    <t>RDC_NB_1F_VAV5860</t>
  </si>
  <si>
    <t>Office N-1154</t>
  </si>
  <si>
    <t>RDC_NB_1F_VAV5865</t>
  </si>
  <si>
    <t>Office N-1155</t>
  </si>
  <si>
    <t>RDC_NB_1F_VAV5870</t>
  </si>
  <si>
    <t>Exp Office N-1156</t>
  </si>
  <si>
    <t>RDC_NB_1F_VAV5875</t>
  </si>
  <si>
    <t>Office N-1157</t>
  </si>
  <si>
    <t>RDC_NB_1F_VAV5880</t>
  </si>
  <si>
    <t>Office N-1158</t>
  </si>
  <si>
    <t>RDC_NB_1F_VAV5885</t>
  </si>
  <si>
    <t>Office N-1159</t>
  </si>
  <si>
    <t>RDC_NB_1F_VAV5890</t>
  </si>
  <si>
    <t>Workstation N-1160</t>
  </si>
  <si>
    <t>RDC_NB_1F_VAV5895</t>
  </si>
  <si>
    <t>Office N-1161</t>
  </si>
  <si>
    <t>RDC_NB_1F_VAV5900</t>
  </si>
  <si>
    <t>Office N-1162</t>
  </si>
  <si>
    <t>RDC_NB_1F_VAV5905</t>
  </si>
  <si>
    <t>Office N-1163</t>
  </si>
  <si>
    <t>RDC_NB_1F_VAV5910</t>
  </si>
  <si>
    <t>Office N-1164</t>
  </si>
  <si>
    <t>RDC_NB_1F_VAV5915</t>
  </si>
  <si>
    <t>Office N-1167</t>
  </si>
  <si>
    <t>RDC_NB_1F_VAV5920</t>
  </si>
  <si>
    <t>Workstation N-1168</t>
  </si>
  <si>
    <t>RDC_NB_1F_VAV5925</t>
  </si>
  <si>
    <t>Office N-1169</t>
  </si>
  <si>
    <t>RDC_NB_1F_VAV5930</t>
  </si>
  <si>
    <t>Office N-1170</t>
  </si>
  <si>
    <t>RDC_NB_1F_VAV5930P</t>
  </si>
  <si>
    <t>Normal Elec. N-2105</t>
  </si>
  <si>
    <t>RDC_NB_1F_VAV5935</t>
  </si>
  <si>
    <t>Office N-1166</t>
  </si>
  <si>
    <t>RDC_NB_1F_VAV5940</t>
  </si>
  <si>
    <t>Workstation N-1165</t>
  </si>
  <si>
    <t>RDC_NB_1F_VAV5940P</t>
  </si>
  <si>
    <t>Emer. Elec. N-2106</t>
  </si>
  <si>
    <t>RDC_NB_1F_VAV6505_EV6506</t>
  </si>
  <si>
    <t>Conference N-1302</t>
  </si>
  <si>
    <t>RDC_NB_1F_VAV6510_EV6511</t>
  </si>
  <si>
    <t>Conference N-1303</t>
  </si>
  <si>
    <t>RDC_NB_1F_VAV6525_EV6526</t>
  </si>
  <si>
    <t>Normal Electrical Room N-1310</t>
  </si>
  <si>
    <t>RDC_NB_1F_VAV6530_VEV6531</t>
  </si>
  <si>
    <t>AAV N-1316A</t>
  </si>
  <si>
    <t>RDC_NB_1F_VAV6540</t>
  </si>
  <si>
    <t>Tissure Culture 1 N-1316B</t>
  </si>
  <si>
    <t>RDC_NB_1F_VAV6550</t>
  </si>
  <si>
    <t>Gene Therapy Lab N-1316C</t>
  </si>
  <si>
    <t>RDC_NB_1F_VAV6551</t>
  </si>
  <si>
    <t>RDC_NB_1F_VAV6560_VEV6561</t>
  </si>
  <si>
    <t>TC2 N-1316D</t>
  </si>
  <si>
    <t>RDC_NB_1F_VAV6570_VEV6571</t>
  </si>
  <si>
    <t>STORE ROOM N-1316E</t>
  </si>
  <si>
    <t>RDC_NB_1F_VAV6590_VEV6591</t>
  </si>
  <si>
    <t>LENTIV N-1316G</t>
  </si>
  <si>
    <t>RDC_NB_1F_VAV6600_VEV6601</t>
  </si>
  <si>
    <t>Analytical Core N-1316H</t>
  </si>
  <si>
    <t>RDC_NB_1F_VAV6610_VEV6611</t>
  </si>
  <si>
    <t>Microscope Room N-1316H</t>
  </si>
  <si>
    <t>RDC_NB_1F_VAV6620_VEV6621</t>
  </si>
  <si>
    <t>Mscopy1 N-1316K</t>
  </si>
  <si>
    <t>RDC_NB_1F_VAV6630A</t>
  </si>
  <si>
    <t>Bio-Med Chem Lab 1 N-1316L</t>
  </si>
  <si>
    <t>RDC_NB_1F_VAV6630B</t>
  </si>
  <si>
    <t>RDC_NB_1F_VAV6631A</t>
  </si>
  <si>
    <t>RDC_NB_1F_VAV6631B</t>
  </si>
  <si>
    <t>RDC_NB_1F_VAV6650</t>
  </si>
  <si>
    <t>Office N-1319</t>
  </si>
  <si>
    <t>RDC_NB_1F_VAV6655</t>
  </si>
  <si>
    <t>Office N-1320</t>
  </si>
  <si>
    <t>RDC_NB_1F_VAV6660</t>
  </si>
  <si>
    <t>Workstation N-1321</t>
  </si>
  <si>
    <t>RDC_NB_1F_VAV6665</t>
  </si>
  <si>
    <t>Office N-1322</t>
  </si>
  <si>
    <t>RDC_NB_1F_VAV6670</t>
  </si>
  <si>
    <t>Office N-1323</t>
  </si>
  <si>
    <t>RDC_NB_1F_VAV6675</t>
  </si>
  <si>
    <t>Workstation N-1324</t>
  </si>
  <si>
    <t>RDC_NB_1F_VAV6680</t>
  </si>
  <si>
    <t>Office N-1325</t>
  </si>
  <si>
    <t>RDC_NB_1F_VAV6685</t>
  </si>
  <si>
    <t>Office N-1326</t>
  </si>
  <si>
    <t>RDC_NB_1F_VAV6690</t>
  </si>
  <si>
    <t>Exp. Workstation N-1327</t>
  </si>
  <si>
    <t>RDC_NB_1F_VAV6695</t>
  </si>
  <si>
    <t>Office N-1328</t>
  </si>
  <si>
    <t>RDC_NB_1F_VAV6700_EV6701</t>
  </si>
  <si>
    <t>NORMAL ELEC. N-1329</t>
  </si>
  <si>
    <t>RDC_NB_1F_VAV6705</t>
  </si>
  <si>
    <t>Office N-1330</t>
  </si>
  <si>
    <t>RDC_NB_1F_VAV6710</t>
  </si>
  <si>
    <t>Office N-1331</t>
  </si>
  <si>
    <t>RDC_NB_1F_VAV6715</t>
  </si>
  <si>
    <t>Office N-1332</t>
  </si>
  <si>
    <t>RDC_NB_1F_VAV6720</t>
  </si>
  <si>
    <t>Corridor N-1335</t>
  </si>
  <si>
    <t>RDC_NB_1F_VAV6725_EV6726</t>
  </si>
  <si>
    <t>Emer. Elec. N-1336</t>
  </si>
  <si>
    <t>RDC_NB_1F_VAV6750</t>
  </si>
  <si>
    <t>Tissue Culture 1 N-1345A</t>
  </si>
  <si>
    <t>RDC_NB_1F_VAV6760</t>
  </si>
  <si>
    <t>Diabetes Lab N-1345B</t>
  </si>
  <si>
    <t>RDC_NB_1F_VAV6761</t>
  </si>
  <si>
    <t>RDC_NB_1F_VAV6800_VEV6801</t>
  </si>
  <si>
    <t>Tissue Culture 3 N-1345D</t>
  </si>
  <si>
    <t>RDC_NB_1F_VAV6810_VEV6811</t>
  </si>
  <si>
    <t>Calc Imaging N-1345E</t>
  </si>
  <si>
    <t>RDC_NB_1F_VAV6820_VEV6821</t>
  </si>
  <si>
    <t>Electro Physics N-1345F</t>
  </si>
  <si>
    <t>RDC_NB_1F_VAV6830_VEV6831</t>
  </si>
  <si>
    <t>Shared Cold Lab N-1345G</t>
  </si>
  <si>
    <t>RDC_NB_1F_VAV6840_VEV6841</t>
  </si>
  <si>
    <t>Bacterlgy Lab N-1345H</t>
  </si>
  <si>
    <t>RDC_NB_1F_VAV6850</t>
  </si>
  <si>
    <t>Bio-Med Chem Lab 2 N-1345J</t>
  </si>
  <si>
    <t>RDC_NB_1F_VAV6851</t>
  </si>
  <si>
    <t>RDC_NB_1F_VAV6870_EV6871</t>
  </si>
  <si>
    <t>Emergency Electrical Room N-1353</t>
  </si>
  <si>
    <t>RDC_NB_1F_VAV6880</t>
  </si>
  <si>
    <t>Reception+N-1355C Storage N-1355</t>
  </si>
  <si>
    <t>RDC_NB_1F_VAV6885</t>
  </si>
  <si>
    <t>Office 04 N-1355A</t>
  </si>
  <si>
    <t>RDC_NB_1F_VAV6890_EV6891</t>
  </si>
  <si>
    <t>Conference Room N-1355B</t>
  </si>
  <si>
    <t>RDC_NB_1F_VAV6895</t>
  </si>
  <si>
    <t>Office 04 N-1356</t>
  </si>
  <si>
    <t>RDC_NB_1F_VAV6900</t>
  </si>
  <si>
    <t>Office N-1357</t>
  </si>
  <si>
    <t>RDC_NB_1F_VAV6905</t>
  </si>
  <si>
    <t>Open Plan N-1358</t>
  </si>
  <si>
    <t>RDC_NB_1F_VAV6910</t>
  </si>
  <si>
    <t>Office N-1359</t>
  </si>
  <si>
    <t>RDC_NB_1F_VAV6915</t>
  </si>
  <si>
    <t>Office N-1360</t>
  </si>
  <si>
    <t>RDC_NB_1F_VAV6920</t>
  </si>
  <si>
    <t>Office N-1360B</t>
  </si>
  <si>
    <t>RDC_NB_1F_VAV6925</t>
  </si>
  <si>
    <t>Office N-1361</t>
  </si>
  <si>
    <t>RDC_NB_1F_VAV6930</t>
  </si>
  <si>
    <t>Office N-1362</t>
  </si>
  <si>
    <t>RDC_NB_1F_VAV6935</t>
  </si>
  <si>
    <t>Workstation N-1363</t>
  </si>
  <si>
    <t>RDC_NB_1F_VAV6940</t>
  </si>
  <si>
    <t>Office N-1364</t>
  </si>
  <si>
    <t>RDC_NB_1F_VAV6945</t>
  </si>
  <si>
    <t>Office N-1365</t>
  </si>
  <si>
    <t>RDC_NB_1F_VAV6950</t>
  </si>
  <si>
    <t>Office N-1366</t>
  </si>
  <si>
    <t>RDC_NB_1F_VAV6955</t>
  </si>
  <si>
    <t>Office N-1367</t>
  </si>
  <si>
    <t>RDC_NB_1F_VAV6960</t>
  </si>
  <si>
    <t>Workstation N-1368</t>
  </si>
  <si>
    <t>RDC_NB_1F_VAV6965</t>
  </si>
  <si>
    <t>Office N-1369</t>
  </si>
  <si>
    <t>RDC_NB_1F_VAV6967</t>
  </si>
  <si>
    <t>Office N-1370</t>
  </si>
  <si>
    <t>RDC_NB_1F_VAV6968</t>
  </si>
  <si>
    <t>Workstation N-1371</t>
  </si>
  <si>
    <t>RDC_NB_1F_VAV6970_EV6971</t>
  </si>
  <si>
    <t>PANTRY N-1372</t>
  </si>
  <si>
    <t>RDC_NB_1F_VAV6972</t>
  </si>
  <si>
    <t>Office N-1374</t>
  </si>
  <si>
    <t>RDC_NB_1F_VAV6974</t>
  </si>
  <si>
    <t>Office N-1375</t>
  </si>
  <si>
    <t>RDC_NB_1F_VAV6976</t>
  </si>
  <si>
    <t>Office N-1376</t>
  </si>
  <si>
    <t>RDC_NB_1F_VAV6978</t>
  </si>
  <si>
    <t>Office N-1377</t>
  </si>
  <si>
    <t>RDC_NB_1F_VAV6979P</t>
  </si>
  <si>
    <t>Normal Elec. N-2107</t>
  </si>
  <si>
    <t>RDC_NB_1F_VAV6980P</t>
  </si>
  <si>
    <t>Emer. Elec. N-2108</t>
  </si>
  <si>
    <t>RDC_NB_1F_VAV7510_VEV7511</t>
  </si>
  <si>
    <t>TC1 N-1404A</t>
  </si>
  <si>
    <t>RDC_NB_1F_VAV7530_VEV7532</t>
  </si>
  <si>
    <t>Cell Bio N-1404C</t>
  </si>
  <si>
    <t>RDC_NB_1F_VAV7531_VEV7533</t>
  </si>
  <si>
    <t>RDC_NB_1F_VAV7540_VEV7541</t>
  </si>
  <si>
    <t>Shared Eq Rm N-1404D</t>
  </si>
  <si>
    <t>RDC_NB_1F_VAV7550_VEV7551</t>
  </si>
  <si>
    <t>TC2 N-1404E</t>
  </si>
  <si>
    <t>RDC_NB_1F_VAV7560_VEV7561</t>
  </si>
  <si>
    <t>Imaging N-1404F</t>
  </si>
  <si>
    <t>RDC_NB_1F_VAV7570_VEV7571</t>
  </si>
  <si>
    <t>Cell Bio Lab2 N-1404G</t>
  </si>
  <si>
    <t>RDC_NB_1F_VAV7580_VEV7581</t>
  </si>
  <si>
    <t>TC3 N-1404H</t>
  </si>
  <si>
    <t>RDC_NB_1F_VAV7600_VEV7601</t>
  </si>
  <si>
    <t>Cell Bio Lab3 N-1404K</t>
  </si>
  <si>
    <t>RDC_NB_1F_VAV7620</t>
  </si>
  <si>
    <t>Office N-1415</t>
  </si>
  <si>
    <t>RDC_NB_1F_VAV7625</t>
  </si>
  <si>
    <t>Office N-1416</t>
  </si>
  <si>
    <t>RDC_NB_1F_VAV7630</t>
  </si>
  <si>
    <t>Office 05 - 2 WKS- N-1407</t>
  </si>
  <si>
    <t>RDC_NB_1F_VAV7635</t>
  </si>
  <si>
    <t>Office N-1418</t>
  </si>
  <si>
    <t>RDC_NB_1F_VAV7640</t>
  </si>
  <si>
    <t>Office N-1419</t>
  </si>
  <si>
    <t>RDC_NB_1F_VAV7645</t>
  </si>
  <si>
    <t>Exp. Workstation N-1420</t>
  </si>
  <si>
    <t>RDC_NB_1F_VAV7650</t>
  </si>
  <si>
    <t>Office N-1421</t>
  </si>
  <si>
    <t>RDC_NB_1F_VAV7655</t>
  </si>
  <si>
    <t>Office N-1422</t>
  </si>
  <si>
    <t>RDC_NB_1F_VAV7660</t>
  </si>
  <si>
    <t>Office 05 - 2 WKS- N-1401</t>
  </si>
  <si>
    <t>RDC_NB_1F_VAV7665_EV7666</t>
  </si>
  <si>
    <t>Normal Elec. N-1425</t>
  </si>
  <si>
    <t>RDC_NB_1F_VAV7670</t>
  </si>
  <si>
    <t>Office N-1426</t>
  </si>
  <si>
    <t>RDC_NB_1F_VAV7675</t>
  </si>
  <si>
    <t>Office N-1428</t>
  </si>
  <si>
    <t>RDC_NB_1F_VAV7680_EV7681</t>
  </si>
  <si>
    <t>Conf N-1429</t>
  </si>
  <si>
    <t>RDC_NB_1F_VAV7685</t>
  </si>
  <si>
    <t>Office N-1433</t>
  </si>
  <si>
    <t>RDC_NB_1F_VAV7690</t>
  </si>
  <si>
    <t>Office N-1435</t>
  </si>
  <si>
    <t>RDC_NB_1F_VAV7695</t>
  </si>
  <si>
    <t>Office N-1437</t>
  </si>
  <si>
    <t>RDC_NB_1F_VAV7700_EV7701</t>
  </si>
  <si>
    <t>Emer. Elec. N-1438</t>
  </si>
  <si>
    <t>RDC_NB_1F_VAV7705</t>
  </si>
  <si>
    <t>Office 05 - 24 WKS + N-1441 Room N-1442</t>
  </si>
  <si>
    <t>RDC_NB_1F_VAV7710</t>
  </si>
  <si>
    <t>Workstation N-1442</t>
  </si>
  <si>
    <t>RDC_NB_1F_VAV7730_VEV7731</t>
  </si>
  <si>
    <t>Microscope 2 N-1450A</t>
  </si>
  <si>
    <t>RDC_NB_1F_VAV7740_VEV7741</t>
  </si>
  <si>
    <t>LN2 Stor N-1450B</t>
  </si>
  <si>
    <t>RDC_NB_1F_VAV7750_VEV7751</t>
  </si>
  <si>
    <t>Flow Cyto N-1450C</t>
  </si>
  <si>
    <t>RDC_NB_1F_VAV7770_VEV7771</t>
  </si>
  <si>
    <t>Qurnt N-1450E</t>
  </si>
  <si>
    <t>RDC_NB_1F_VAV7780_VEV7781</t>
  </si>
  <si>
    <t>iPS-TC N-1450F</t>
  </si>
  <si>
    <t>RDC_NB_1F_VAV7800_VEV7801</t>
  </si>
  <si>
    <t>IPS TISSUE CULTURE N-1450J</t>
  </si>
  <si>
    <t>RDC_NB_1F_VAV7810_VEV7811</t>
  </si>
  <si>
    <t>TC1 N-1450L</t>
  </si>
  <si>
    <t>RDC_NB_1F_VAV7820_VEV7822</t>
  </si>
  <si>
    <t>STEM/PCR Open Lab N-1450M</t>
  </si>
  <si>
    <t>RDC_NB_1F_VAV7821_VEV7823</t>
  </si>
  <si>
    <t>RDC_NB_1F_VAV7830_VEV7831</t>
  </si>
  <si>
    <t>TC2 N-1450N</t>
  </si>
  <si>
    <t>RDC_NB_1F_VAV7840_EV7841</t>
  </si>
  <si>
    <t>Conf N-1458</t>
  </si>
  <si>
    <t>RDC_NB_1F_VAV7845_EV7846</t>
  </si>
  <si>
    <t>Conf N-1459</t>
  </si>
  <si>
    <t>RDC_NB_1F_VAV7850</t>
  </si>
  <si>
    <t>Office N-1459A</t>
  </si>
  <si>
    <t>RDC_NB_1F_VAV7860</t>
  </si>
  <si>
    <t>Exp. Workstation N-1461</t>
  </si>
  <si>
    <t>RDC_NB_1F_VAV7865</t>
  </si>
  <si>
    <t>Workstation N-1461A</t>
  </si>
  <si>
    <t>RDC_NB_1F_VAV7870</t>
  </si>
  <si>
    <t>Office N-1462</t>
  </si>
  <si>
    <t>RDC_NB_1F_VAV7875</t>
  </si>
  <si>
    <t>Office N-1463</t>
  </si>
  <si>
    <t>RDC_NB_1F_VAV7880</t>
  </si>
  <si>
    <t>Office N-1464</t>
  </si>
  <si>
    <t>RDC_NB_1F_VAV7885</t>
  </si>
  <si>
    <t>Office N-1465</t>
  </si>
  <si>
    <t>RDC_NB_1F_VAV7890</t>
  </si>
  <si>
    <t>Workstation N-1466</t>
  </si>
  <si>
    <t>RDC_NB_1F_VAV7895</t>
  </si>
  <si>
    <t>Office N-1467</t>
  </si>
  <si>
    <t>RDC_NB_1F_VAV7900</t>
  </si>
  <si>
    <t>Office N-1468</t>
  </si>
  <si>
    <t>RDC_NB_1F_VAV7905</t>
  </si>
  <si>
    <t>Office N-1469</t>
  </si>
  <si>
    <t>RDC_NB_1F_VAV7910</t>
  </si>
  <si>
    <t>Office N-1470</t>
  </si>
  <si>
    <t>RDC_NB_1F_VAV7915</t>
  </si>
  <si>
    <t>Workstation N-1471</t>
  </si>
  <si>
    <t>RDC_NB_1F_VAV7920</t>
  </si>
  <si>
    <t>Office N-1472</t>
  </si>
  <si>
    <t>RDC_NB_1F_VAV7925</t>
  </si>
  <si>
    <t>Office N-1473</t>
  </si>
  <si>
    <t>RDC_NB_1F_VAV7930</t>
  </si>
  <si>
    <t>Office N-1474</t>
  </si>
  <si>
    <t>RDC_NB_1F_VAV7935</t>
  </si>
  <si>
    <t>Office N-1475</t>
  </si>
  <si>
    <t>RDC_NB_1F_VAV7940</t>
  </si>
  <si>
    <t>Workstation N-1476</t>
  </si>
  <si>
    <t>RDC_NB_1F_VAV7945</t>
  </si>
  <si>
    <t>Office N-1477</t>
  </si>
  <si>
    <t>RDC_NB_1F_VAV7950</t>
  </si>
  <si>
    <t>Office N-1478</t>
  </si>
  <si>
    <t>RDC_NB_1F_VAV7955</t>
  </si>
  <si>
    <t>Office N-1479</t>
  </si>
  <si>
    <t>RDC_NB_1F_VAV7960</t>
  </si>
  <si>
    <t>Office N-1480</t>
  </si>
  <si>
    <t>RDC_NB_1F_VAV7975P</t>
  </si>
  <si>
    <t>Normal Elec. N-2111</t>
  </si>
  <si>
    <t>RDC_NB_1F_VAV7980P</t>
  </si>
  <si>
    <t>Emer. Elec. N-2112</t>
  </si>
  <si>
    <t>RDC_NB_1F_FCU4910</t>
  </si>
  <si>
    <t>Stair 1 N-1ST01</t>
  </si>
  <si>
    <t>RDC_NB_1F_FCU4914</t>
  </si>
  <si>
    <t>Mech/ FPC  N- L1 A2.1</t>
  </si>
  <si>
    <t>RDC_NB_1F_FCU4915</t>
  </si>
  <si>
    <t>MDF N-1201</t>
  </si>
  <si>
    <t>RDC_NB_1F_FCU4916</t>
  </si>
  <si>
    <t>RDC_NB_1F_FCU4917</t>
  </si>
  <si>
    <t>Stair N-1ST02</t>
  </si>
  <si>
    <t>RDC_NB_1F_FCU5983</t>
  </si>
  <si>
    <t>IDF N-1140</t>
  </si>
  <si>
    <t>RDC_NB_1F_FCU5984</t>
  </si>
  <si>
    <t>ROBOTICS N-115J</t>
  </si>
  <si>
    <t>RDC_NB_1F_FCU5985</t>
  </si>
  <si>
    <t>Corridor N-1142</t>
  </si>
  <si>
    <t>RDC_NB_1F_FCU5986</t>
  </si>
  <si>
    <t>RDC_NB_1F_FCU5987</t>
  </si>
  <si>
    <t>Stair 3 N-L1 A2.3</t>
  </si>
  <si>
    <t>RDC_NB_1F_FCU5993</t>
  </si>
  <si>
    <t>Conference Room N-L0 A2.2</t>
  </si>
  <si>
    <t>RDC_NB_1F_FCU5994</t>
  </si>
  <si>
    <t>RDC_NB_1F_FCU6988</t>
  </si>
  <si>
    <t>Service Corridor N-1337</t>
  </si>
  <si>
    <t>RDC_NB_1F_FCU6989</t>
  </si>
  <si>
    <t>RDC_NB_1F_FCU6990</t>
  </si>
  <si>
    <t>Mech/ FPC N-L1 A2.3</t>
  </si>
  <si>
    <t>RDC_NB_1F_FCU6991</t>
  </si>
  <si>
    <t>RDC_NB_1F_FCU6992</t>
  </si>
  <si>
    <t>Stair 4 N-L1 A2.3</t>
  </si>
  <si>
    <t>RDC_NB_1F_FCU7790</t>
  </si>
  <si>
    <t>Stair 6 N-1ST06</t>
  </si>
  <si>
    <t>RDC_NB_1F_FCU7984</t>
  </si>
  <si>
    <t>RDC_NB_1F_FCU7985</t>
  </si>
  <si>
    <t>IDF N-1424</t>
  </si>
  <si>
    <t>RDC_NB_1F_FCU7986</t>
  </si>
  <si>
    <t>RDC_NB_1F_FCU7987</t>
  </si>
  <si>
    <t>Service Corridor N-1446</t>
  </si>
  <si>
    <t>RDC_NB_1F_FCU7988</t>
  </si>
  <si>
    <t>RDC_NB_1F_FCU7989</t>
  </si>
  <si>
    <t>Stair 5 N-1ST05</t>
  </si>
  <si>
    <t>RDC_NB_2F_FCU4918</t>
  </si>
  <si>
    <t>IDF N-2104</t>
  </si>
  <si>
    <t>RDC_NB_2F_FCU4919</t>
  </si>
  <si>
    <t>RDC_NB_2F_FCU5988</t>
  </si>
  <si>
    <t>Mechanical (AHU 8512)</t>
  </si>
  <si>
    <t>RDC_NB_2F_FCU5989</t>
  </si>
  <si>
    <t>Stair 2 N-2ST02</t>
  </si>
  <si>
    <t>RDC_NB_2F_FCU5990</t>
  </si>
  <si>
    <t>Mechanical (AHU 8512/8514)</t>
  </si>
  <si>
    <t>RDC_NB_2F_FCU6993</t>
  </si>
  <si>
    <t>Mechanical (AHU 8516)</t>
  </si>
  <si>
    <t>RDC_NB_2F_FCU6994</t>
  </si>
  <si>
    <t>RDC_NB_2F_FCU6995</t>
  </si>
  <si>
    <t>IDF N-2110</t>
  </si>
  <si>
    <t>RDC_NB_2F_FCU6996</t>
  </si>
  <si>
    <t>RDC_NB_2F_FCU7991</t>
  </si>
  <si>
    <t>RDC_NB_2F_FCU7992</t>
  </si>
  <si>
    <t>RDC_NB_GF_FCU4911</t>
  </si>
  <si>
    <t>MDF Room N-0206A</t>
  </si>
  <si>
    <t>RDC_NB_GF_FCU4912</t>
  </si>
  <si>
    <t>RDC_NB_GF_FCU4913</t>
  </si>
  <si>
    <t>RDC_NB_GF_FCU4920</t>
  </si>
  <si>
    <t>Emergency Electrical Landing Room N-0205</t>
  </si>
  <si>
    <t>RDC_NB_GF_FCU5980</t>
  </si>
  <si>
    <t>Serv Core N-0136</t>
  </si>
  <si>
    <t>RDC_NB_GF_FCU5981</t>
  </si>
  <si>
    <t>RDC_NB_GF_FCU5982</t>
  </si>
  <si>
    <t>Stair 3 N-OST03</t>
  </si>
  <si>
    <t>RDC_NB_GF_FCU5991</t>
  </si>
  <si>
    <t>Vestibule N-0103</t>
  </si>
  <si>
    <t>RDC_NB_GF_FCU5992</t>
  </si>
  <si>
    <t>Vestibule N-0102</t>
  </si>
  <si>
    <t>RDC_NB_GF_FCU6981</t>
  </si>
  <si>
    <t>IDF N-0133</t>
  </si>
  <si>
    <t>RDC_NB_GF_FCU6982</t>
  </si>
  <si>
    <t>Mech/FPC N-0128</t>
  </si>
  <si>
    <t>RDC_NB_GF_FCU6983</t>
  </si>
  <si>
    <t>Service Corridor N-0344</t>
  </si>
  <si>
    <t>RDC_NB_GF_FCU6984</t>
  </si>
  <si>
    <t>RDC_NB_GF_FCU6985</t>
  </si>
  <si>
    <t>IDF N-0311</t>
  </si>
  <si>
    <t>RDC_NB_GF_FCU6986</t>
  </si>
  <si>
    <t>RDC_NB_GF_FCU6987</t>
  </si>
  <si>
    <t>Stair 4 N-0ST04</t>
  </si>
  <si>
    <t>RDC_NB_GF_FCU7981</t>
  </si>
  <si>
    <t>SURF ANALYSIS LAB N-0404F</t>
  </si>
  <si>
    <t>RDC_NB_GF_FCU7982</t>
  </si>
  <si>
    <t>RDC_NB_GF_FCU7983</t>
  </si>
  <si>
    <t>Stair 5 N-0ST05</t>
  </si>
  <si>
    <t>RDC_NB_SB_Walkway_FCU9001</t>
  </si>
  <si>
    <t xml:space="preserve">Pedestrian Walkway between North &amp; South Buildings </t>
  </si>
  <si>
    <t>RDC_NB_SB_Walkway_FCU9002</t>
  </si>
  <si>
    <t>RDC_NB_SB_Walkway_FCU9003</t>
  </si>
  <si>
    <t>RDC_NB_SB_Walkway_FCU9004</t>
  </si>
  <si>
    <t>RDC_NB_SB_Walkway_FCU9005</t>
  </si>
  <si>
    <t>RDC_SB_1F_FCU0501</t>
  </si>
  <si>
    <t>STAIR-04 1ST04</t>
  </si>
  <si>
    <t>RDC_SB_1F_FCU0502</t>
  </si>
  <si>
    <t>UPS ROOM S-1107D</t>
  </si>
  <si>
    <t>RDC_SB_1F_FCU0503</t>
  </si>
  <si>
    <t>RDC_SB_1F_FCU1501</t>
  </si>
  <si>
    <t>IDF ROOM S-1156</t>
  </si>
  <si>
    <t>RDC_SB_1F_FCU1502</t>
  </si>
  <si>
    <t>RDC_SB_1F_FCU1503</t>
  </si>
  <si>
    <t>STAIR-01 1ST01</t>
  </si>
  <si>
    <t>RDC_SB_1F_FCU2501</t>
  </si>
  <si>
    <t>STAIR-03 1ST03</t>
  </si>
  <si>
    <t>RDC_SB_1F_FCU2502</t>
  </si>
  <si>
    <t>IDF ROOM S-1244</t>
  </si>
  <si>
    <t>RDC_SB_1F_FCU2503</t>
  </si>
  <si>
    <t>RDC_SB_1F_FCU2504</t>
  </si>
  <si>
    <t>UPS ROOM S-1276</t>
  </si>
  <si>
    <t>RDC_SB_1F_FCU2505</t>
  </si>
  <si>
    <t>RDC_SB_1F_FCU3501</t>
  </si>
  <si>
    <t>RDC_SB_2F_FCU0201</t>
  </si>
  <si>
    <t>South Penthouse S-2101</t>
  </si>
  <si>
    <t>RDC_SB_2F_FCU0202</t>
  </si>
  <si>
    <t>RDC_SB_2F_FCU0203</t>
  </si>
  <si>
    <t>RDC_SB_2F_FCU0204</t>
  </si>
  <si>
    <t>RDC_SB_2F_FCU0205</t>
  </si>
  <si>
    <t>Normal Elec. S-2103</t>
  </si>
  <si>
    <t>RDC_SB_2F_FCU0206</t>
  </si>
  <si>
    <t>RDC_SB_2F_FCU0207</t>
  </si>
  <si>
    <t>Emerg. Elec. S-2104</t>
  </si>
  <si>
    <t>RDC_SB_2F_FCU0208</t>
  </si>
  <si>
    <t>RDC_SB_2F_FCU1201</t>
  </si>
  <si>
    <t>IDF S-2102</t>
  </si>
  <si>
    <t>RDC_SB_2F_FCU1202</t>
  </si>
  <si>
    <t>RDC_SB_2F_FCU2201</t>
  </si>
  <si>
    <t>RDC_SB_2F_FCU2202</t>
  </si>
  <si>
    <t>RDC_SB_2F_FCU2203</t>
  </si>
  <si>
    <t>RDC_SB_2F_FCU2204</t>
  </si>
  <si>
    <t>Emerg. Elec. S-2105</t>
  </si>
  <si>
    <t>RDC_SB_2F_FCU2205</t>
  </si>
  <si>
    <t>RDC_SB_2F_FCU2206</t>
  </si>
  <si>
    <t>Normal Elec. S-2106</t>
  </si>
  <si>
    <t>RDC_SB_2F_FCU2207</t>
  </si>
  <si>
    <t>RDC_SB_2F_FCU2208</t>
  </si>
  <si>
    <t>IDF S-2107</t>
  </si>
  <si>
    <t>RDC_SB_2F_FCU2209</t>
  </si>
  <si>
    <t>RDC_SB_2F_FCU2210</t>
  </si>
  <si>
    <t>RDC_SB_GF_FCU0001</t>
  </si>
  <si>
    <t>STAIR-02 S-02T02</t>
  </si>
  <si>
    <t>RDC_SB_GF_FCU1001</t>
  </si>
  <si>
    <t>QTEL ROOM S-0132</t>
  </si>
  <si>
    <t>RDC_SB_GF_FCU1002</t>
  </si>
  <si>
    <t>RDC_SB_GF_FCU1003</t>
  </si>
  <si>
    <t>IDF ROOM S-0133</t>
  </si>
  <si>
    <t>RDC_SB_GF_FCU1004</t>
  </si>
  <si>
    <t>RDC_SB_GF_FCU1005</t>
  </si>
  <si>
    <t>EC MDF ROOM S-0134</t>
  </si>
  <si>
    <t>RDC_SB_GF_FCU1006</t>
  </si>
  <si>
    <t>RDC_SB_GF_FCU1007</t>
  </si>
  <si>
    <t>MECHANICAL ROOM S-0136</t>
  </si>
  <si>
    <t>RDC_SB_GF_FCU1008</t>
  </si>
  <si>
    <t>STAIR-01 S-01T01</t>
  </si>
  <si>
    <t>RDC_SB_GF_FCU2001</t>
  </si>
  <si>
    <t>STAIR-03 S-0ST03</t>
  </si>
  <si>
    <t>RDC_SB_GF_FCU2002</t>
  </si>
  <si>
    <t>AV ROOM S-0210</t>
  </si>
  <si>
    <t>RDC_SB_GF_FCU2003</t>
  </si>
  <si>
    <t>RDC_SB_GF_FCU2004</t>
  </si>
  <si>
    <t>IDF ROOM S-0271</t>
  </si>
  <si>
    <t>RDC_SB_GF_FCU2005</t>
  </si>
  <si>
    <t>RDC_SB_GF_FCU3001</t>
  </si>
  <si>
    <t>STAIR-04 S-0ST04</t>
  </si>
  <si>
    <t>RDC_UB_GF_FCU8001</t>
  </si>
  <si>
    <t>GENERAL STORAGE ROOM U-0129</t>
  </si>
  <si>
    <t>RDC_UB_GF_FCU8002</t>
  </si>
  <si>
    <t>SHOP U-0135</t>
  </si>
  <si>
    <t>RDC_UB_GF_FCU8003</t>
  </si>
  <si>
    <t>MAIL ROOM U-0128</t>
  </si>
  <si>
    <t>RDC_UB_GF_FCU8004</t>
  </si>
  <si>
    <t>GENERAL STORAGE U-0108</t>
  </si>
  <si>
    <t>RDC_UB_GF_FCU8005</t>
  </si>
  <si>
    <t>RECYCLING ROOM U-0109</t>
  </si>
  <si>
    <t>RDC_UB_GF_FCU8006</t>
  </si>
  <si>
    <t>CYLINDER STORAGE U-0105</t>
  </si>
  <si>
    <t>RDC_UB_GF_FCU8007</t>
  </si>
  <si>
    <t>LN2 DISPENSER U-0104</t>
  </si>
  <si>
    <t>RDC_UB_GF_FCU8008</t>
  </si>
  <si>
    <t>FLAMMABLE STORAGE U-0103</t>
  </si>
  <si>
    <t>RDC_UB_GF_FCU8009</t>
  </si>
  <si>
    <t>FLAMMABLE WASTE STORAGE U-0102</t>
  </si>
  <si>
    <t>RDC_UB_GF_FCU8010</t>
  </si>
  <si>
    <t>BMS ROOM U-0117</t>
  </si>
  <si>
    <t>RDC_UB_GF_FCU8011</t>
  </si>
  <si>
    <t>BREAK ROOM U-0118</t>
  </si>
  <si>
    <t>RDC_UB_GF_FCU8012</t>
  </si>
  <si>
    <t>OFFICE SPACE U-0119</t>
  </si>
  <si>
    <t>RDC_UB_GF_FCU8013</t>
  </si>
  <si>
    <t>WET/MECH/FIRE ROOM U-0120</t>
  </si>
  <si>
    <t>RDC_UB_GF_FCU8014</t>
  </si>
  <si>
    <t>RDC_UB_GF_FCU8502</t>
  </si>
  <si>
    <t>SHIPPING AND RECEIVING L0</t>
  </si>
  <si>
    <t>RDC_UB_GF_FCU8503</t>
  </si>
  <si>
    <t>RDC_UB_GF_FCU8504</t>
  </si>
  <si>
    <t>RDC_UB_GF_FCU8505</t>
  </si>
  <si>
    <t>RDC_UB_GF_FCU8512</t>
  </si>
  <si>
    <t>RDC_UB_GF_FCU8513</t>
  </si>
  <si>
    <t>RDC_UB_GF_FCU8514</t>
  </si>
  <si>
    <t>RDC_UB_GF_FCU8515</t>
  </si>
  <si>
    <t>RDC_UB_MF_FCU8501</t>
  </si>
  <si>
    <t>MECHANICAL ROOM U-1101</t>
  </si>
  <si>
    <t>RDC_UB_MF_FCU8506</t>
  </si>
  <si>
    <t>RDC_UB_MF_FCU8507</t>
  </si>
  <si>
    <t>RDC_UB_MF_FCU8508</t>
  </si>
  <si>
    <t>RDC_UB_MF_FCU8509</t>
  </si>
  <si>
    <t>RDC_UB_MF_FCU8510</t>
  </si>
  <si>
    <t>RDC_UB_MF_FCU8511</t>
  </si>
  <si>
    <t>RDC_SB_L0_AT-1001</t>
  </si>
  <si>
    <t>AT</t>
  </si>
  <si>
    <t>Corridor S-0137</t>
  </si>
  <si>
    <t>RDC_SB_L0_AT-1002</t>
  </si>
  <si>
    <t>Computer Lab S-0139</t>
  </si>
  <si>
    <t>RDC_SB_L0_EV-1001</t>
  </si>
  <si>
    <t>EV</t>
  </si>
  <si>
    <t>RDC_SB_L0_AT-1003</t>
  </si>
  <si>
    <t>NOC S-0140A</t>
  </si>
  <si>
    <t>RDC_SB_L0_EV-1002</t>
  </si>
  <si>
    <t>RDC_SB_L0_AT-1004</t>
  </si>
  <si>
    <t>Dedicated Cyber SOC/NOC Lab S-0141</t>
  </si>
  <si>
    <t>RDC_SB_L0_AT-1005</t>
  </si>
  <si>
    <t>Normal &amp; Emergency Elec. Landing S-0142</t>
  </si>
  <si>
    <t>RDC_SB_L0_AT-1006</t>
  </si>
  <si>
    <t>RDC_SB_L0_AT-1007</t>
  </si>
  <si>
    <t>UPS S-0145</t>
  </si>
  <si>
    <t>RDC_SB_L0_EV-1003</t>
  </si>
  <si>
    <t>RDC_SB_L0_AT-1008</t>
  </si>
  <si>
    <t>Cyber/Embedded/Dist System Electrical Lab S-0146</t>
  </si>
  <si>
    <t>RDC_SB_L0_AT-1009</t>
  </si>
  <si>
    <t>Service Dock S-0151</t>
  </si>
  <si>
    <t>RDC_NB_GF_AT-4005</t>
  </si>
  <si>
    <t>RDC_NB_GF_AT-4035</t>
  </si>
  <si>
    <t>Corridor N-0207A</t>
  </si>
  <si>
    <t>RDC_NB_GF_AT-4100</t>
  </si>
  <si>
    <t>RDC_NB_GF_AT-4105</t>
  </si>
  <si>
    <t>RDC_NB_GF_AT-4110</t>
  </si>
  <si>
    <t>RDC_NB_GF_AT-4115</t>
  </si>
  <si>
    <t>RDC_NB_GF_AT-4120</t>
  </si>
  <si>
    <t>RDC_NB_GF_AT-4125</t>
  </si>
  <si>
    <t>RDC_NB_GF_AT-4130</t>
  </si>
  <si>
    <t>RDC_NB_GF_AT-4135</t>
  </si>
  <si>
    <t>RDC_NB_GF_AT-4140</t>
  </si>
  <si>
    <t>RDC_NB_GF_AT-4145</t>
  </si>
  <si>
    <t>RDC_NB_GF_AT-4165</t>
  </si>
  <si>
    <t>RDC_NB_GF_AT-4170</t>
  </si>
  <si>
    <t>Storage Room N-0237</t>
  </si>
  <si>
    <t>RDC_NB_GF_AT-4225</t>
  </si>
  <si>
    <t>RDC_NB_GF_AT-4230</t>
  </si>
  <si>
    <t>RDC_NB_GF_AT-4235</t>
  </si>
  <si>
    <t>Workstation N-0250</t>
  </si>
  <si>
    <t>RDC_NB_GF_AT-4240</t>
  </si>
  <si>
    <t>Office N-0251</t>
  </si>
  <si>
    <t>RDC_NB_GF_AT-4245</t>
  </si>
  <si>
    <t>RDC_NB_GF_AT-4250</t>
  </si>
  <si>
    <t>RDC_NB_GF_AT-4255</t>
  </si>
  <si>
    <t>RDC_NB_GF_AT-4260</t>
  </si>
  <si>
    <t>Workstation N-0255</t>
  </si>
  <si>
    <t>RDC_NB_GF_AT-4265</t>
  </si>
  <si>
    <t>RDC_NB_GF_AT-4270</t>
  </si>
  <si>
    <t>RDC_NB_GF_AT-4275</t>
  </si>
  <si>
    <t>RDC_NB_GF_AT-4280</t>
  </si>
  <si>
    <t>RDC_NB_GF_AT-4285</t>
  </si>
  <si>
    <t>RDC_NB_GF_AT-4290</t>
  </si>
  <si>
    <t>Office N-0261</t>
  </si>
  <si>
    <t>RDC_NB_GF_AT-4295</t>
  </si>
  <si>
    <t>RDC_NB_GF_AT-4300</t>
  </si>
  <si>
    <t>RDC_NB_GF_AT-4305</t>
  </si>
  <si>
    <t>RDC_NB_GF_AT-4310</t>
  </si>
  <si>
    <t>RDC_NB_GF_CEV-4031</t>
  </si>
  <si>
    <t>CEV</t>
  </si>
  <si>
    <t>Service Corridor N-0207</t>
  </si>
  <si>
    <t>RDC_NB_GF_EV-4028</t>
  </si>
  <si>
    <t>MDF ROOM N-0206A</t>
  </si>
  <si>
    <t>RDC_NB_GF_EV-4236</t>
  </si>
  <si>
    <t>RDC_NB_GF_EV-4261</t>
  </si>
  <si>
    <t>RDC_NB_GF_EV-4286</t>
  </si>
  <si>
    <t>Office 05 -8WS- N-0260</t>
  </si>
  <si>
    <t>RDC_NB_GF_EV-4311</t>
  </si>
  <si>
    <t>WORKSTATION N-0265</t>
  </si>
  <si>
    <t>RDC_NB_GF_VEV-4041</t>
  </si>
  <si>
    <t>VEV</t>
  </si>
  <si>
    <t>RDC_NB_GF_FEV-4193</t>
  </si>
  <si>
    <t>FEV</t>
  </si>
  <si>
    <t>RDC_NB_GF_FEV-4194</t>
  </si>
  <si>
    <t>RDC_NB_GF_VEV-4213A</t>
  </si>
  <si>
    <t>Desal Lab N-0240D</t>
  </si>
  <si>
    <t>RDC_NB_GF_VEV-4213B</t>
  </si>
  <si>
    <t>RDC_NB_GF_FEV-4214</t>
  </si>
  <si>
    <t>RDC_NB_GF_FEV-4215</t>
  </si>
  <si>
    <t>RDC_NB_GF_FEV-4216</t>
  </si>
  <si>
    <t>RDC_SB_L0_AT-0003</t>
  </si>
  <si>
    <t>RDC_SB_L0_AT-0006</t>
  </si>
  <si>
    <t>Normal Elec. S-0107</t>
  </si>
  <si>
    <t>RDC_SB_L0_AT-0007</t>
  </si>
  <si>
    <t>Conf S-0109</t>
  </si>
  <si>
    <t>RDC_SB_L0_AT-0008</t>
  </si>
  <si>
    <t>RDC_SB_L0_AT-0009</t>
  </si>
  <si>
    <t>RDC_SB_L0_AT-0010</t>
  </si>
  <si>
    <t>RDC_SB_L0_AT-0011</t>
  </si>
  <si>
    <t>Conference Room S-0113</t>
  </si>
  <si>
    <t>RDC_SB_L0_AT-0012</t>
  </si>
  <si>
    <t>RDC_SB_L0_AT-0013</t>
  </si>
  <si>
    <t>RDC_SB_L0_AT-0014</t>
  </si>
  <si>
    <t>RDC_SB_L0_AT-0015</t>
  </si>
  <si>
    <t>Corridor S-0117</t>
  </si>
  <si>
    <t>RDC_SB_L0_AT-0016</t>
  </si>
  <si>
    <t>Conf S-0118</t>
  </si>
  <si>
    <t>RDC_SB_L0_AT-0017</t>
  </si>
  <si>
    <t>RDC_SB_L0_AT-0018</t>
  </si>
  <si>
    <t>RDC_SB_L0_AT-0019</t>
  </si>
  <si>
    <t>RDC_SB_L0_AT-0020</t>
  </si>
  <si>
    <t>Storage S-0120B</t>
  </si>
  <si>
    <t>RDC_SB_L0_AT-0021</t>
  </si>
  <si>
    <t>Vestibule S-0125</t>
  </si>
  <si>
    <t>RDC_SB_L0_AT-0022</t>
  </si>
  <si>
    <t>Men S-0126</t>
  </si>
  <si>
    <t>RDC_SB_L0_AT-0023</t>
  </si>
  <si>
    <t>Women S-0127</t>
  </si>
  <si>
    <t>RDC_SB_L0_AT-0024</t>
  </si>
  <si>
    <t>NORM. ELEC. S-0129</t>
  </si>
  <si>
    <t>RDC_SB_L0_AT-0025</t>
  </si>
  <si>
    <t>Alt Recording/Sound S-0135</t>
  </si>
  <si>
    <t>RDC_NB_GF_AT-4001</t>
  </si>
  <si>
    <t>RDC_NB_GF_AT-4312</t>
  </si>
  <si>
    <t>RDC_NB_GF_AT-4315</t>
  </si>
  <si>
    <t>Vestibule N-0270A</t>
  </si>
  <si>
    <t>RDC_NB_GF_AT-5025</t>
  </si>
  <si>
    <t>RDC_NB_GF_AT-5100</t>
  </si>
  <si>
    <t>RDC_NB_GF_AT-5105</t>
  </si>
  <si>
    <t>RDC_NB_GF_AT-5110</t>
  </si>
  <si>
    <t>RDC_NB_GF_AT-5115</t>
  </si>
  <si>
    <t>RDC_NB_GF_AT-5120</t>
  </si>
  <si>
    <t>RDC_NB_GF_AT-5125</t>
  </si>
  <si>
    <t>RDC_NB_GF_AT-5130</t>
  </si>
  <si>
    <t>RDC_NB_GF_AT-5135</t>
  </si>
  <si>
    <t>RDC_NB_GF_AT-5140</t>
  </si>
  <si>
    <t>RDC_NB_GF_AT-5145</t>
  </si>
  <si>
    <t>RDC_NB_GF_AT-5150</t>
  </si>
  <si>
    <t>RDC_NB_GF_AT-5152</t>
  </si>
  <si>
    <t>RDC_NB_GF_AT-5155</t>
  </si>
  <si>
    <t>RDC_NB_GF_AT-5156</t>
  </si>
  <si>
    <t>RDC_NB_GF_AT-5160</t>
  </si>
  <si>
    <t>MENS ROOM N-0130</t>
  </si>
  <si>
    <t>RDC_NB_GF_AT-5165</t>
  </si>
  <si>
    <t>RDC_NB_GF_AT-5280</t>
  </si>
  <si>
    <t>Store N-0146</t>
  </si>
  <si>
    <t>RDC_NB_GF_AT-5290</t>
  </si>
  <si>
    <t>Pantry N-0148</t>
  </si>
  <si>
    <t>RDC_NB_GF_AT-5295</t>
  </si>
  <si>
    <t>RDC_NB_GF_AT-5300</t>
  </si>
  <si>
    <t>RDC_NB_GF_AT-5305</t>
  </si>
  <si>
    <t>RDC_NB_GF_AT-5310</t>
  </si>
  <si>
    <t>RDC_NB_GF_AT-5315</t>
  </si>
  <si>
    <t>RDC_NB_GF_AT-5320</t>
  </si>
  <si>
    <t>Office N-0154</t>
  </si>
  <si>
    <t>RDC_NB_GF_AT-5325</t>
  </si>
  <si>
    <t>RDC_NB_GF_AT-5330</t>
  </si>
  <si>
    <t>RDC_NB_GF_AT-5335</t>
  </si>
  <si>
    <t>RDC_NB_GF_AT-5340</t>
  </si>
  <si>
    <t>RDC_NB_GF_AT-5345</t>
  </si>
  <si>
    <t>RDC_NB_GF_AT-5350</t>
  </si>
  <si>
    <t>Open Office N-0160</t>
  </si>
  <si>
    <t>RDC_NB_GF_AT-5355</t>
  </si>
  <si>
    <t>RDC_NB_GF_AT-5360</t>
  </si>
  <si>
    <t>RDC_NB_GF_AT-5365</t>
  </si>
  <si>
    <t>RDC_NB_GF_AT-5370</t>
  </si>
  <si>
    <t>RDC_NB_GF_AT-5375</t>
  </si>
  <si>
    <t>Open Office N-0165</t>
  </si>
  <si>
    <t>RDC_NB_GF_AT-5380</t>
  </si>
  <si>
    <t>RDC_NB_GF_AT-5385</t>
  </si>
  <si>
    <t>RDC_NB_GF_AT-5390</t>
  </si>
  <si>
    <t>RDC_NB_GF_AT-5415</t>
  </si>
  <si>
    <t>RDC_NB_GF_EV-4316</t>
  </si>
  <si>
    <t>RDC_NB_GF_EV-5026</t>
  </si>
  <si>
    <t>RDC_NB_GF_EV-5161</t>
  </si>
  <si>
    <t>Womens+N-0130A+N-0132 JC N-0130</t>
  </si>
  <si>
    <t>RDC_NB_GF_EV-5163</t>
  </si>
  <si>
    <t>RDC_NB_GF_EV-5291</t>
  </si>
  <si>
    <t>RDC_NB_GF_VEV-5052A</t>
  </si>
  <si>
    <t>RDC_NB_GF_VEV-5052B</t>
  </si>
  <si>
    <t>RDC_NB_GF_FEV-5053</t>
  </si>
  <si>
    <t>RDC_NB_GF_VEV-5055</t>
  </si>
  <si>
    <t>RDC_NB_GF_FEV-5062</t>
  </si>
  <si>
    <t>RDC_NB_GF_VEV-5071</t>
  </si>
  <si>
    <t>RDC_NB_GF_FEV-5072</t>
  </si>
  <si>
    <t>RDC_NB_GF_FEV-5073</t>
  </si>
  <si>
    <t>RDC_NB_GF_FEV-5074</t>
  </si>
  <si>
    <t>RDC_NB_GF_FEV-5082</t>
  </si>
  <si>
    <t>RDC_NB_GF_FEV-5083</t>
  </si>
  <si>
    <t>RDC_NB_GF_VEV-5092</t>
  </si>
  <si>
    <t>RDC_NB_GF_FEV-5093</t>
  </si>
  <si>
    <t>RDC_NB_GF_FEV-5094</t>
  </si>
  <si>
    <t>RDC_NB_GF_FEV-5095A</t>
  </si>
  <si>
    <t>RDC_NB_GF_FEV-5095B</t>
  </si>
  <si>
    <t>RDC_NB_GF_VEV-5182A</t>
  </si>
  <si>
    <t>Analyt Core-2 N-0140A</t>
  </si>
  <si>
    <t>RDC_NB_GF_VEV-5182B</t>
  </si>
  <si>
    <t>RDC_NB_GF_FEV-5183</t>
  </si>
  <si>
    <t>RDC_NB_GF_VEV-5192a</t>
  </si>
  <si>
    <t>RDC_NB_GF_VEV-5192b</t>
  </si>
  <si>
    <t>RDC_NB_GF_FEV-5203</t>
  </si>
  <si>
    <t>RDC_NB_GF_VEV-5211</t>
  </si>
  <si>
    <t>RDC_NB_GF_VEV-5221</t>
  </si>
  <si>
    <t>RDC_NB_GF_FEV-5222</t>
  </si>
  <si>
    <t>Evap Room N-0140E</t>
  </si>
  <si>
    <t>RDC_NB_GF_FEV-5223</t>
  </si>
  <si>
    <t>RDC_NB_GF_VEV-5231</t>
  </si>
  <si>
    <t>RDC_NB_GF_CEV-5241</t>
  </si>
  <si>
    <t>Air Lock N-0140G</t>
  </si>
  <si>
    <t>RDC_NB_GF_FEV-5271</t>
  </si>
  <si>
    <t>RDC_NB_GF_FEV-5272</t>
  </si>
  <si>
    <t>RDC_NB_GF_FEV-5273</t>
  </si>
  <si>
    <t>RDC_NB_GF_FEV-5274</t>
  </si>
  <si>
    <t>RDC_NB_GF_FEV-5275</t>
  </si>
  <si>
    <t>RDC_NB_GF_FEV-5276</t>
  </si>
  <si>
    <t>RDC_NB_GF_FEV-5277</t>
  </si>
  <si>
    <t>RDC_SB_L0_AT-0001</t>
  </si>
  <si>
    <t>RDC_SB_L0_AT-0002</t>
  </si>
  <si>
    <t>Employee Entry Lobby S-0102</t>
  </si>
  <si>
    <t>RDC_SB_L0_AT-0004</t>
  </si>
  <si>
    <t>Corridor S-0104</t>
  </si>
  <si>
    <t>RDC_SB_L0_AT-0005</t>
  </si>
  <si>
    <t>Men S-0105</t>
  </si>
  <si>
    <t>RDC_SB_L0_A1.2_AT-2001</t>
  </si>
  <si>
    <t>High-Density Room S-0206</t>
  </si>
  <si>
    <t>RDC_SB_L0_A1.3_AT-2001</t>
  </si>
  <si>
    <t>WOMEN S-0205</t>
  </si>
  <si>
    <t>RDC_NB_GF_AT-5005</t>
  </si>
  <si>
    <t>Vestibule N-0105</t>
  </si>
  <si>
    <t>RDC_NB_GF_AT-5010</t>
  </si>
  <si>
    <t>RDC_NB_GF_AT-5015</t>
  </si>
  <si>
    <t>RDC_NB_GF_AT-5020</t>
  </si>
  <si>
    <t>Mens + Vestibule + N-0109 N-0108</t>
  </si>
  <si>
    <t>RDC_NB_GF_AT-5030</t>
  </si>
  <si>
    <t>RDC_NB_GF_AT-5040</t>
  </si>
  <si>
    <t>RDC_NB_GF_AT-5045</t>
  </si>
  <si>
    <t>RDC_NB_GF_AT-5395</t>
  </si>
  <si>
    <t>RDC_NB_GF_AT-5400</t>
  </si>
  <si>
    <t>RDC_NB_GF_AT-5405</t>
  </si>
  <si>
    <t>RDC_NB_GF_AT-5410</t>
  </si>
  <si>
    <t>RDC_NB_GF_AT-5000</t>
  </si>
  <si>
    <t>RDC_NB_GF_AT-5001</t>
  </si>
  <si>
    <t>RDC_NB_GF_AT-6000</t>
  </si>
  <si>
    <t>RDC_NB_GF_AT-6005</t>
  </si>
  <si>
    <t>Vestibule N-0302</t>
  </si>
  <si>
    <t>RDC_NB_GF_AT-6010</t>
  </si>
  <si>
    <t>RDC_NB_GF_AT-6015</t>
  </si>
  <si>
    <t>Men N-0306</t>
  </si>
  <si>
    <t>RDC_NB_GF_AT-6020</t>
  </si>
  <si>
    <t>Vestibule N-0308</t>
  </si>
  <si>
    <t>RDC_NB_GF_AT-6025</t>
  </si>
  <si>
    <t>RDC_NB_GF_AT-6240</t>
  </si>
  <si>
    <t>RDC_NB_GF_AT-6300</t>
  </si>
  <si>
    <t>RDC_NB_GF_AT-6305</t>
  </si>
  <si>
    <t>RDC_NB_GF_AT-6310</t>
  </si>
  <si>
    <t>RDC_NB_GF_AT-6315</t>
  </si>
  <si>
    <t>RDC_NB_GF_EV-6316</t>
  </si>
  <si>
    <t>RDC_NB_GF_EV-5021</t>
  </si>
  <si>
    <t>RDC_NB_GF_EV-5035</t>
  </si>
  <si>
    <t>RDC_NB_GF_EV-6016</t>
  </si>
  <si>
    <t>RDC_NB_GF_EV-6127</t>
  </si>
  <si>
    <t>RDC_SB_L0_AT-2002</t>
  </si>
  <si>
    <t>RDC_SB_L0_AT-2003</t>
  </si>
  <si>
    <t>RDC_SB_L0_AT-2004</t>
  </si>
  <si>
    <t>RDC_SB_L0_AT-2006</t>
  </si>
  <si>
    <t>RDC_SB_L0_AT-2007</t>
  </si>
  <si>
    <t>RDC_SB_L0_AT-2008</t>
  </si>
  <si>
    <t>RDC_SB_L0_AT-2009</t>
  </si>
  <si>
    <t>RDC_SB_L0_AT-2010</t>
  </si>
  <si>
    <t>RDC_SB_L0_AT-2011</t>
  </si>
  <si>
    <t>RDC_SB_L0_AT-2012</t>
  </si>
  <si>
    <t>RDC_SB_L0_AT-2013</t>
  </si>
  <si>
    <t>RDC_SB_L0_AT-2014</t>
  </si>
  <si>
    <t>RDC_SB_L0_AT-2015</t>
  </si>
  <si>
    <t>RDC_SB_L0_AT-2016</t>
  </si>
  <si>
    <t>RDC_SB_L0_AT-2017</t>
  </si>
  <si>
    <t>RDC_SB_L0_AT-2018</t>
  </si>
  <si>
    <t>PANTRY S-0226</t>
  </si>
  <si>
    <t>RDC_SB_L0_AT-2019</t>
  </si>
  <si>
    <t>RDC_SB_L0_AT-2020</t>
  </si>
  <si>
    <t>RDC_SB_L0_AT-2021</t>
  </si>
  <si>
    <t>RDC_SB_L0_AT-2022</t>
  </si>
  <si>
    <t>RDC_SB_L0_AT-2023</t>
  </si>
  <si>
    <t>RDC_SB_L0_AT-2024</t>
  </si>
  <si>
    <t>RDC_SB_L0_AT-2025</t>
  </si>
  <si>
    <t>RDC_SB_L0_AT-2026</t>
  </si>
  <si>
    <t>RDC_SB_L0_AT-2027</t>
  </si>
  <si>
    <t>RDC_SB_L0_AT-2028</t>
  </si>
  <si>
    <t>RDC_SB_L0_AT-2029</t>
  </si>
  <si>
    <t>RDC_SB_L0_AT-2030</t>
  </si>
  <si>
    <t>RDC_SB_L0_AT-2031</t>
  </si>
  <si>
    <t>RDC_SB_L0_AT-2032</t>
  </si>
  <si>
    <t>RDC_SB_L0_AT-2033</t>
  </si>
  <si>
    <t>CORRIDOR S-0273</t>
  </si>
  <si>
    <t>RDC_SB_L0_AT-2034</t>
  </si>
  <si>
    <t>RDC_SB_L0_AT-2035</t>
  </si>
  <si>
    <t>MECH S-0272</t>
  </si>
  <si>
    <t>RDC_SB_L0_AT-2036</t>
  </si>
  <si>
    <t>RDC_SB_L0_AT-2037</t>
  </si>
  <si>
    <t>RDC_SB_L0_AT-2038</t>
  </si>
  <si>
    <t>RDC_SB_L0_AT-2039</t>
  </si>
  <si>
    <t>RDC_SB_L0_AT-2040</t>
  </si>
  <si>
    <t>RDC_SB_L0_AT-2041</t>
  </si>
  <si>
    <t>RDC_SB_L0_AT-2042</t>
  </si>
  <si>
    <t>RDC_SB_L0_AT-2043</t>
  </si>
  <si>
    <t>RDC_SB_L0_AT-2044</t>
  </si>
  <si>
    <t>RDC_SB_L0_AT-2045</t>
  </si>
  <si>
    <t>RDC_SB_L0_AT-2046</t>
  </si>
  <si>
    <t>RDC_SB_L0_AT-2047</t>
  </si>
  <si>
    <t>RDC_SB_L0_AT-0115</t>
  </si>
  <si>
    <t>Office S-0233A</t>
  </si>
  <si>
    <t>RDC_SB_L0_AT-0116</t>
  </si>
  <si>
    <t>Office S-0232A</t>
  </si>
  <si>
    <t>RDC_SB_L0_AT-0117</t>
  </si>
  <si>
    <t>RDC_SB_L0_AT-0118</t>
  </si>
  <si>
    <t>Open Plan S-0228B</t>
  </si>
  <si>
    <t>RDC_SB_L0_AT-0120</t>
  </si>
  <si>
    <t>Open Plan S-0228A</t>
  </si>
  <si>
    <t>RDC_SB_L0_AT-0122</t>
  </si>
  <si>
    <t>Office S-0211A</t>
  </si>
  <si>
    <t>RDC_SB_L0_AT-0123</t>
  </si>
  <si>
    <t>Office S-0211B</t>
  </si>
  <si>
    <t>RDC_SB_L0_AT-0124</t>
  </si>
  <si>
    <t>RDC_NB_GF_AT-6130</t>
  </si>
  <si>
    <t>RDC_NB_GF_AT-6135</t>
  </si>
  <si>
    <t>RDC_NB_GF_AT-6140</t>
  </si>
  <si>
    <t>RDC_NB_GF_AT-6145</t>
  </si>
  <si>
    <t>RDC_NB_GF_AT-6150</t>
  </si>
  <si>
    <t>RDC_NB_GF_AT-6155</t>
  </si>
  <si>
    <t>RDC_NB_GF_AT-6160</t>
  </si>
  <si>
    <t>RDC_NB_GF_AT-6170</t>
  </si>
  <si>
    <t>RDC_NB_GF_AT-6175</t>
  </si>
  <si>
    <t>RDC_NB_GF_AT-6180</t>
  </si>
  <si>
    <t>RDC_NB_GF_AT-6185</t>
  </si>
  <si>
    <t>RDC_NB_GF_AT-7000</t>
  </si>
  <si>
    <t>Vestibule / Staging N-0401</t>
  </si>
  <si>
    <t>RDC_NB_GF_AT-6195</t>
  </si>
  <si>
    <t>RDC_NB_GF_AT-6190</t>
  </si>
  <si>
    <t>RDC_NB_GF_AT-6200</t>
  </si>
  <si>
    <t>RDC_NB_GF_AT-7005</t>
  </si>
  <si>
    <t>WOMEN N-0402</t>
  </si>
  <si>
    <t>RDC_NB_GF_AT-6220</t>
  </si>
  <si>
    <t>RDC_NB_GF_AT-6205</t>
  </si>
  <si>
    <t>Conference N-0331</t>
  </si>
  <si>
    <t>RDC_NB_GF_AT-6285</t>
  </si>
  <si>
    <t>Conference N-0358</t>
  </si>
  <si>
    <t>RDC_NB_GF_AT-7380</t>
  </si>
  <si>
    <t>Pipe Chase N-0443B</t>
  </si>
  <si>
    <t>RDC_NB_GF_AT-6210</t>
  </si>
  <si>
    <t>Corridor N-0332C</t>
  </si>
  <si>
    <t>RDC_NB_GF_AT-6280</t>
  </si>
  <si>
    <t>Pantry N-0356</t>
  </si>
  <si>
    <t>RDC_NB_GF_AT-6295</t>
  </si>
  <si>
    <t>RDC_NB_GF_AT-6320</t>
  </si>
  <si>
    <t>RDC_NB_GF_AT-6325</t>
  </si>
  <si>
    <t>RDC_NB_GF_AT-6330</t>
  </si>
  <si>
    <t>RDC_NB_GF_AT-6335</t>
  </si>
  <si>
    <t>RDC_NB_GF_AT-6340</t>
  </si>
  <si>
    <t>RDC_NB_GF_AT-6345</t>
  </si>
  <si>
    <t>RDC_NB_GF_AT-6350</t>
  </si>
  <si>
    <t>RDC_NB_GF_AT-6355</t>
  </si>
  <si>
    <t>RDC_NB_GF_AT-6360</t>
  </si>
  <si>
    <t>RDC_NB_GF_AT-6365</t>
  </si>
  <si>
    <t>RDC_NB_GF_AT-6370</t>
  </si>
  <si>
    <t>RDC_NB_GF_AT-6375</t>
  </si>
  <si>
    <t>RDC_NB_GF_AT-6380</t>
  </si>
  <si>
    <t>RDC_NB_GF_AT-6390</t>
  </si>
  <si>
    <t>RDC_NB_GF_AT-6395</t>
  </si>
  <si>
    <t>RDC_NB_GF_AT-6400</t>
  </si>
  <si>
    <t>RDC_NB_GF_AT-6405</t>
  </si>
  <si>
    <t>RDC_NB_GF_AT-6410</t>
  </si>
  <si>
    <t>RDC_NB_GF_AT-7385</t>
  </si>
  <si>
    <t>RDC_NB_GF_AT-7390</t>
  </si>
  <si>
    <t>RDC_NB_GF_EV-6141</t>
  </si>
  <si>
    <t>RDC_NB_GF_EV-6156</t>
  </si>
  <si>
    <t>RDC_NB_GF_EV-6176</t>
  </si>
  <si>
    <t>RDC_NB_GF_EV-6281</t>
  </si>
  <si>
    <t>RDC_NB_GF_EV-6356</t>
  </si>
  <si>
    <t>Office 05-8-WKS N-0372</t>
  </si>
  <si>
    <t>RDC_NB_GF_EV-6381</t>
  </si>
  <si>
    <t>Office 05-8-WKS N-0378</t>
  </si>
  <si>
    <t>RDC_NB_GF_EV-6401</t>
  </si>
  <si>
    <t>Office 05-8-WKS N-0381</t>
  </si>
  <si>
    <t>RDC_NB_GF_EV-7006</t>
  </si>
  <si>
    <t>RDC_NB_GF_EV-7381</t>
  </si>
  <si>
    <t>RDC_NB_GF_VEV-6053</t>
  </si>
  <si>
    <t>Open Lab 1 N-0310C</t>
  </si>
  <si>
    <t>RDC_NB_GF_VEV-6061</t>
  </si>
  <si>
    <t>Lab Support 3 N-0310D</t>
  </si>
  <si>
    <t>RDC_NB_GF_VEV-6071</t>
  </si>
  <si>
    <t>Lab Support 4 N-0310E</t>
  </si>
  <si>
    <t>RDC_NB_GF_VEV-6081</t>
  </si>
  <si>
    <t>Lab Support 5 N-0310F</t>
  </si>
  <si>
    <t>RDC_NB_GF_VEV-6091</t>
  </si>
  <si>
    <t>Lab Support 6 N-0310G</t>
  </si>
  <si>
    <t>RDC_NB_GF_VAV-6080</t>
  </si>
  <si>
    <t>RDC_NB_GF_FCU6997</t>
  </si>
  <si>
    <t>Lab Sup 2 N-0310B</t>
  </si>
  <si>
    <t>RDC_SB_L0_AT-3001</t>
  </si>
  <si>
    <t>RDC_SB_L0_AT-3002</t>
  </si>
  <si>
    <t>RDC_SB_L0_AT-3003</t>
  </si>
  <si>
    <t>RDC_SB_L0_AT-3004</t>
  </si>
  <si>
    <t>RDC_SB_L0_AT-3005</t>
  </si>
  <si>
    <t>RDC_SB_L0_AT-3006</t>
  </si>
  <si>
    <t>RDC_SB_L0_AT-3007</t>
  </si>
  <si>
    <t>RDC_SB_L0_AT-3010</t>
  </si>
  <si>
    <t>RDC_SB_L0_AT-3011</t>
  </si>
  <si>
    <t>RDC_SB_L0_AT-3012</t>
  </si>
  <si>
    <t>RDC_SB_L0_AT-3013</t>
  </si>
  <si>
    <t>RDC_SB_L0_AT-3014</t>
  </si>
  <si>
    <t>RDC_SB_L0_AT-3015</t>
  </si>
  <si>
    <t>RDC_SB_L0_AT-3016</t>
  </si>
  <si>
    <t>RDC_SB_L0_AT-3017</t>
  </si>
  <si>
    <t>RDC_SB_L0_AT-3018</t>
  </si>
  <si>
    <t>Corridor S-0251B</t>
  </si>
  <si>
    <t>RDC_SB_L0_AT-3019</t>
  </si>
  <si>
    <t>RDC_SB_L0_AT-3020</t>
  </si>
  <si>
    <t>RDC_SB_L0_AT-3021</t>
  </si>
  <si>
    <t>RDC_SB_L0_AT-3022</t>
  </si>
  <si>
    <t>RDC_SB_L0_AT-3023</t>
  </si>
  <si>
    <t>RDC_SB_L0_AT-3024</t>
  </si>
  <si>
    <t>RDC_SB_L0_AT-3025</t>
  </si>
  <si>
    <t>RDC_SB_L0_AT-3026</t>
  </si>
  <si>
    <t>RDC_SB_L0_AT-3027</t>
  </si>
  <si>
    <t>RDC_SB_L0_AT-3028</t>
  </si>
  <si>
    <t>RDC_SB_L0_AT-3031</t>
  </si>
  <si>
    <t>IT Server S-0264</t>
  </si>
  <si>
    <t>RDC_SB_L0_AT-3032</t>
  </si>
  <si>
    <t>RDC_SB_L0_AT-3033</t>
  </si>
  <si>
    <t>Emergency Elec. S-0266</t>
  </si>
  <si>
    <t>RDC_SB_L0_AT-3034</t>
  </si>
  <si>
    <t>Reception / Vestibule S-0293</t>
  </si>
  <si>
    <t>RDC_SB_L0_AT-3035</t>
  </si>
  <si>
    <t>RDC_SB_L0_AT-3036</t>
  </si>
  <si>
    <t>RDC_SB_L0_AT-0101</t>
  </si>
  <si>
    <t>Office S-0244A</t>
  </si>
  <si>
    <t>RDC_SB_L0_AT-0102</t>
  </si>
  <si>
    <t>Office S-0244B</t>
  </si>
  <si>
    <t>RDC_SB_L0_AT-0103</t>
  </si>
  <si>
    <t>Office S-0244C</t>
  </si>
  <si>
    <t>RDC_SB_L0_AT-0104</t>
  </si>
  <si>
    <t>Office S-0244D</t>
  </si>
  <si>
    <t>RDC_SB_L0_AT-0105</t>
  </si>
  <si>
    <t>Office S-0244E</t>
  </si>
  <si>
    <t>RDC_SB_L0_AT-0107</t>
  </si>
  <si>
    <t>Office S-0262A</t>
  </si>
  <si>
    <t>RDC_SB_L0_AT-0108</t>
  </si>
  <si>
    <t>Office S-0262B</t>
  </si>
  <si>
    <t>RDC_SB_L0_AT-0109</t>
  </si>
  <si>
    <t>Office S-0262C</t>
  </si>
  <si>
    <t>RDC_SB_L0_AT-0110</t>
  </si>
  <si>
    <t>Office S-0262H</t>
  </si>
  <si>
    <t>RDC_SB_L0_AT-0111</t>
  </si>
  <si>
    <t>Office S-0262E</t>
  </si>
  <si>
    <t>RDC_SB_L0_AT-0112</t>
  </si>
  <si>
    <t>Office S-0262F</t>
  </si>
  <si>
    <t>RDC_SB_L0_AT-0113</t>
  </si>
  <si>
    <t>Office S-0262G</t>
  </si>
  <si>
    <t>RDC_SB_L0_AT-0114</t>
  </si>
  <si>
    <t>Office S-0262D</t>
  </si>
  <si>
    <t>RDC_NB_GF_AT-7080</t>
  </si>
  <si>
    <t>RDC_NB_GF_AT-7085</t>
  </si>
  <si>
    <t>RDC_NB_GF_AT-7095</t>
  </si>
  <si>
    <t>RDC_NB_GF_AT-7100</t>
  </si>
  <si>
    <t>RDC_NB_GF_AT-7110</t>
  </si>
  <si>
    <t>RDC_NB_GF_AT-7115</t>
  </si>
  <si>
    <t>RDC_NB_GF_AT-7125</t>
  </si>
  <si>
    <t>NORMAL ELEC. ROOM N-0420</t>
  </si>
  <si>
    <t>RDC_NB_GF_AT-7130</t>
  </si>
  <si>
    <t>RDC_NB_GF_AT-7135</t>
  </si>
  <si>
    <t>RDC_NB_GF_AT-7140</t>
  </si>
  <si>
    <t>RDC_NB_GF_AT-7145</t>
  </si>
  <si>
    <t>RDC_NB_GF_AT-7155</t>
  </si>
  <si>
    <t>RDC_NB_GF_AT-7165</t>
  </si>
  <si>
    <t>RDC_NB_GF_AT-7180</t>
  </si>
  <si>
    <t>RDC_NB_GF_AT-7185</t>
  </si>
  <si>
    <t>RDC_NB_GF_AT-7195</t>
  </si>
  <si>
    <t>OFFICE N-0436</t>
  </si>
  <si>
    <t>RDC_NB_GF_AT-7205</t>
  </si>
  <si>
    <t>RDC_NB_GF_AT-7215</t>
  </si>
  <si>
    <t>CONFERENCE ROOM N-0440</t>
  </si>
  <si>
    <t>RDC_NB_GF_AT-7395</t>
  </si>
  <si>
    <t>RDC_NB_GF_AT-7400</t>
  </si>
  <si>
    <t>RDC_NB_GF_AT-7405</t>
  </si>
  <si>
    <t>RDC_NB_GF_AT-7410</t>
  </si>
  <si>
    <t>RDC_NB_GF_AT-7415</t>
  </si>
  <si>
    <t>RDC_NB_GF_AT-7425</t>
  </si>
  <si>
    <t>Workstation N-0452</t>
  </si>
  <si>
    <t>RDC_NB_GF_AT-7430</t>
  </si>
  <si>
    <t>RDC_NB_GF_AT-7435</t>
  </si>
  <si>
    <t>RDC_NB_GF_AT-7440</t>
  </si>
  <si>
    <t>RDC_NB_GF_AT-7445</t>
  </si>
  <si>
    <t>Office N-0456</t>
  </si>
  <si>
    <t>RDC_NB_GF_AT-7460</t>
  </si>
  <si>
    <t>Workstation N-0457</t>
  </si>
  <si>
    <t>RDC_NB_GF_AT-7465</t>
  </si>
  <si>
    <t>RDC_NB_GF_AT-7470</t>
  </si>
  <si>
    <t>RDC_NB_GF_AT-7475</t>
  </si>
  <si>
    <t>RDC_NB_GF_AT-7480</t>
  </si>
  <si>
    <t>RDC_NB_GF_AT-7485</t>
  </si>
  <si>
    <t>WORKSTATION N-0462</t>
  </si>
  <si>
    <t>RDC_NB_GF_AT-7490</t>
  </si>
  <si>
    <t>RDC_NB_GF_AT-7496</t>
  </si>
  <si>
    <t>Office N-0464</t>
  </si>
  <si>
    <t>RDC_NB_GF_AT-7498</t>
  </si>
  <si>
    <t>RDC_NB_GF_AT-7499</t>
  </si>
  <si>
    <t>Office N-0466</t>
  </si>
  <si>
    <t>RDC_NB_GF_AT-7090-N1</t>
  </si>
  <si>
    <t>RDC_NB_GF_AT-7090-N2</t>
  </si>
  <si>
    <t>Office N-0412A</t>
  </si>
  <si>
    <t>RDC_NB_GF_AT-7105-N1</t>
  </si>
  <si>
    <t>RDC_NB_GF_AT-7105-N2</t>
  </si>
  <si>
    <t>Office N-0415A</t>
  </si>
  <si>
    <t>RDC_NB_GF_AT-7120-N1</t>
  </si>
  <si>
    <t>RDC_NB_GF_AT-7120-N2</t>
  </si>
  <si>
    <t>Office N-0418A</t>
  </si>
  <si>
    <t>RDC_NB_GF_AT-7120-N3</t>
  </si>
  <si>
    <t>Office N-0430A</t>
  </si>
  <si>
    <t>RDC_NB_GF_AT-7120-N4</t>
  </si>
  <si>
    <t>Office N-0430B</t>
  </si>
  <si>
    <t>RDC_NB_GF_AT-7120-N5</t>
  </si>
  <si>
    <t>Office N-0430C</t>
  </si>
  <si>
    <t>RDC_NB_GF_AT-7120-N6</t>
  </si>
  <si>
    <t>Office N-0430D</t>
  </si>
  <si>
    <t>RDC_NB_GF_AT-7120-N7</t>
  </si>
  <si>
    <t>Office N-0430E</t>
  </si>
  <si>
    <t>RDC_NB_GF_AT-7120-N8</t>
  </si>
  <si>
    <t>Office N-0430F</t>
  </si>
  <si>
    <t>RDC_NB_GF_AT-7120-N9</t>
  </si>
  <si>
    <t>Corridor N-0418A</t>
  </si>
  <si>
    <t>RDC_NB_GF_EV-7091</t>
  </si>
  <si>
    <t>RDC_NB_GF_EV-7106</t>
  </si>
  <si>
    <t>RDC_NB_GF_EV-7121</t>
  </si>
  <si>
    <t>Office 05-4-WS N-0418</t>
  </si>
  <si>
    <t>RDC_NB_GF_EV-7122</t>
  </si>
  <si>
    <t>IDF Room N-0419</t>
  </si>
  <si>
    <t>RDC_NB_GF_EV-7396</t>
  </si>
  <si>
    <t>Office 05-8-WKS N-0446</t>
  </si>
  <si>
    <t>RDC_NB_GF_EV-7426</t>
  </si>
  <si>
    <t>RDC_NB_GF_EV-7461</t>
  </si>
  <si>
    <t>RDC_NB_GF_EV-7486</t>
  </si>
  <si>
    <t>RDC_NB_GF_VEV-7022A</t>
  </si>
  <si>
    <t>RDC_NB_GF_VEV-7022B</t>
  </si>
  <si>
    <t>RDC_NB_GF_VEV-7023A</t>
  </si>
  <si>
    <t>RDC_NB_GF_VEV-7023B</t>
  </si>
  <si>
    <t>RDC_NB_GF_VEV-7024A</t>
  </si>
  <si>
    <t>RDC_NB_GF_VEV-7024B</t>
  </si>
  <si>
    <t>RDC_NB_GF_FEV-7052</t>
  </si>
  <si>
    <t>RDC_NB_GF_FEV-7053</t>
  </si>
  <si>
    <t>RDC_NB_GF_FEV-7062</t>
  </si>
  <si>
    <t>RDC_NB_GF_VEV-7072A</t>
  </si>
  <si>
    <t>RDC_NB_GF_VEV-7072B</t>
  </si>
  <si>
    <t>RDC_NB_GF_VEV-7073</t>
  </si>
  <si>
    <t>RDC_NB_GF_FEV-7074</t>
  </si>
  <si>
    <t>RDC_NB_GF_FEV-7075</t>
  </si>
  <si>
    <t>RDC_NB_GF_FEV-7232</t>
  </si>
  <si>
    <t>RDC_NB_GF_VEV-7241B</t>
  </si>
  <si>
    <t>RDC_NB_GF_VEV-7301</t>
  </si>
  <si>
    <t>A/L 1 N-0442H</t>
  </si>
  <si>
    <t>RDC_NB_GF_FCU7993</t>
  </si>
  <si>
    <t>RDC_SB_1F_AT-1504</t>
  </si>
  <si>
    <t>Corridor S-1122</t>
  </si>
  <si>
    <t>RDC_SB_1F_AT-1507</t>
  </si>
  <si>
    <t>RDC_SB_1F_AT-1508</t>
  </si>
  <si>
    <t>RDC_SB_1F_AT-1509</t>
  </si>
  <si>
    <t>RDC_SB_1F_AT-1510</t>
  </si>
  <si>
    <t>RDC_SB_1F_AT-1511</t>
  </si>
  <si>
    <t>RDC_SB_1F_AT-1512</t>
  </si>
  <si>
    <t>RDC_SB_1F_AT-1513</t>
  </si>
  <si>
    <t>RDC_SB_1F_AT-1514</t>
  </si>
  <si>
    <t>RDC_SB_1F_AT-1515</t>
  </si>
  <si>
    <t>RDC_SB_1F_AT-1516</t>
  </si>
  <si>
    <t>RDC_SB_1F_AT-1517</t>
  </si>
  <si>
    <t>RDC_SB_1F_AT-1518</t>
  </si>
  <si>
    <t>RDC_SB_1F_AT-1519</t>
  </si>
  <si>
    <t>RDC_SB_1F_AT-1520</t>
  </si>
  <si>
    <t>RDC_SB_1F_AT-1521</t>
  </si>
  <si>
    <t>RDC_SB_1F_AT-1522</t>
  </si>
  <si>
    <t>RDC_SB_1F_AT-1523</t>
  </si>
  <si>
    <t>RDC_SB_1F_AT-1524</t>
  </si>
  <si>
    <t>RDC_SB_1F_AT-1525</t>
  </si>
  <si>
    <t>RDC_SB_1F_AT-1526</t>
  </si>
  <si>
    <t>RDC_SB_1F_AT-1527</t>
  </si>
  <si>
    <t>RDC_SB_1F_AT-1528</t>
  </si>
  <si>
    <t>RDC_SB_1F_AT-1529</t>
  </si>
  <si>
    <t>RDC_SB_1F_AT-1530</t>
  </si>
  <si>
    <t>RDC_SB_1F_AT-1531</t>
  </si>
  <si>
    <t>RDC_SB_1F_AT-1532</t>
  </si>
  <si>
    <t>RDC_SB_1F_AT-1533</t>
  </si>
  <si>
    <t>RDC_SB_1F_AT-1534</t>
  </si>
  <si>
    <t>RDC_SB_1F_AT-1535</t>
  </si>
  <si>
    <t>Pantry S-1149A</t>
  </si>
  <si>
    <t>RDC_SB_1F_AT-1536</t>
  </si>
  <si>
    <t>RDC_SB_1F_AT-1537</t>
  </si>
  <si>
    <t>Normal Elec. S-1147</t>
  </si>
  <si>
    <t>RDC_SB_1F_AT-1542</t>
  </si>
  <si>
    <t>RDC_SB_1F_AT-1546</t>
  </si>
  <si>
    <t>RDC_SB_1F_AT-1548</t>
  </si>
  <si>
    <t>RDC_SB_1F_AT-1549</t>
  </si>
  <si>
    <t>RDC_SB_1F_AT-1550</t>
  </si>
  <si>
    <t>RDC_SB_1F_AT-1551</t>
  </si>
  <si>
    <t>RDC_SB_1F_AT-1552</t>
  </si>
  <si>
    <t>RDC_SB_1F_AT-1553</t>
  </si>
  <si>
    <t>RDC_SB_1F_AT-1554</t>
  </si>
  <si>
    <t>RDC_SB_1F_AT-1555</t>
  </si>
  <si>
    <t>RDC_SB_1F_AT-1556</t>
  </si>
  <si>
    <t>RDC_SB_1F_AT-1557</t>
  </si>
  <si>
    <t>RDC_SB_1F_AT-1558</t>
  </si>
  <si>
    <t>RDC_SB_1F_AT-1559</t>
  </si>
  <si>
    <t>RDC_SB_1F_AT-1560</t>
  </si>
  <si>
    <t>RDC_SB_1F_AT-1561</t>
  </si>
  <si>
    <t>RDC_SB_1F_AT-0538</t>
  </si>
  <si>
    <t>RDC_NB_1F_AT-4660</t>
  </si>
  <si>
    <t>RDC_NB_1F_AT-4665</t>
  </si>
  <si>
    <t>RDC_NB_1F_AT-4680</t>
  </si>
  <si>
    <t>RDC_NB_1F_AT-4690</t>
  </si>
  <si>
    <t>RDC_NB_1F_AT-4705</t>
  </si>
  <si>
    <t>RDC_NB_1F_AT-4720</t>
  </si>
  <si>
    <t>RDC_NB_1F_AT-4730</t>
  </si>
  <si>
    <t>RDC_NB_1F_AT-4745</t>
  </si>
  <si>
    <t>RDC_NB_1F_EV-4500</t>
  </si>
  <si>
    <t>RDC_NB_1F_CEV-4502</t>
  </si>
  <si>
    <t>Corridor N-1202</t>
  </si>
  <si>
    <t>RDC_NB_1F_EV-4661</t>
  </si>
  <si>
    <t>Office 05 - 8 WKS- N-1227</t>
  </si>
  <si>
    <t>RDC_NB_1F_EV-4686</t>
  </si>
  <si>
    <t>Office 05 - 8 WKS- N-1232</t>
  </si>
  <si>
    <t>RDC_NB_1F_EV-4711</t>
  </si>
  <si>
    <t>Office 05 - 8 WKS- N-1237</t>
  </si>
  <si>
    <t>RDC_NB_1F_EV-4736</t>
  </si>
  <si>
    <t>Office 05 - 8 WKS- N-1242</t>
  </si>
  <si>
    <t>RDC_NB_1F_VEV-4602</t>
  </si>
  <si>
    <t>RDC_NB_1F_FEV-4603</t>
  </si>
  <si>
    <t>RDC_NB_1F_FEV-4604</t>
  </si>
  <si>
    <t>RDC_NB_1F_FEV-4605</t>
  </si>
  <si>
    <t>RDC_NB_1F_FEV-4606</t>
  </si>
  <si>
    <t>RDC_NB_1F_FEV-4622</t>
  </si>
  <si>
    <t>RDC_NB_1F_CAV-4581B</t>
  </si>
  <si>
    <t>RDC_NB_1F_VEV-4585A</t>
  </si>
  <si>
    <t>RDC_NB_1F_VEV-4585B</t>
  </si>
  <si>
    <t>RDC_NB_1F_VEV-4586A</t>
  </si>
  <si>
    <t>RDC_NB_1F_VEV-4586B</t>
  </si>
  <si>
    <t>RDC_NB_1F_FEV-4587</t>
  </si>
  <si>
    <t>RDC_NB_1F_FEV-4588</t>
  </si>
  <si>
    <t>RDC_NB_1F_FCU2004</t>
  </si>
  <si>
    <t>RDC_SB_1F_AT-0501</t>
  </si>
  <si>
    <t>Lobby S-1102</t>
  </si>
  <si>
    <t>RDC_SB_1F_AT-0502</t>
  </si>
  <si>
    <t>Vestibule S-1105</t>
  </si>
  <si>
    <t>RDC_SB_1F_AT-0503</t>
  </si>
  <si>
    <t>Women S-1106B</t>
  </si>
  <si>
    <t>RDC_SB_1F_AT-0504</t>
  </si>
  <si>
    <t>Vestibule S-1107</t>
  </si>
  <si>
    <t>RDC_SB_1F_AT-0505</t>
  </si>
  <si>
    <t>EMERGENCY Elec. S-1107B</t>
  </si>
  <si>
    <t>RDC_SB_1F_AT-0515</t>
  </si>
  <si>
    <t>RDC_SB_1F_AT-0516</t>
  </si>
  <si>
    <t>Pantry S-1158</t>
  </si>
  <si>
    <t>RDC_SB_1F_AT-0517</t>
  </si>
  <si>
    <t>Normal Elec. S-1160</t>
  </si>
  <si>
    <t>RDC_SB_1F_AT-0524</t>
  </si>
  <si>
    <t>Women S-1169</t>
  </si>
  <si>
    <t>RDC_SB_1F_AT-0525</t>
  </si>
  <si>
    <t>Men S-1170</t>
  </si>
  <si>
    <t>RDC_SB_1F_AT-0534</t>
  </si>
  <si>
    <t>CORRIDOR S-1180</t>
  </si>
  <si>
    <t>RDC_SB_1F_AT-0535</t>
  </si>
  <si>
    <t>Cooridor S-1180</t>
  </si>
  <si>
    <t>RDC_SB_1F_AT-1541</t>
  </si>
  <si>
    <t>Cooridor S-1181</t>
  </si>
  <si>
    <t>RDC_SB_1F_AT-0506</t>
  </si>
  <si>
    <t>RDC_SB_1F_AT-0507</t>
  </si>
  <si>
    <t>RDC_SB_1F_AT-0508</t>
  </si>
  <si>
    <t>RDC_SB_1F_AT-0509</t>
  </si>
  <si>
    <t>NCIR OFFICE S-1115</t>
  </si>
  <si>
    <t>RDC_SB_1F_AT-0510</t>
  </si>
  <si>
    <t>RDC_SB_1F_AT-0511</t>
  </si>
  <si>
    <t>RDC_SB_1F_AT-0512</t>
  </si>
  <si>
    <t>RDC_SB_1F_AT-0513</t>
  </si>
  <si>
    <t>RDC_SB_1F_AT-0514</t>
  </si>
  <si>
    <t>RDC_SB_1F_AT-0518</t>
  </si>
  <si>
    <t>RDC_SB_1F_AT-0519</t>
  </si>
  <si>
    <t>RDC_SB_1F_AT-0520</t>
  </si>
  <si>
    <t>RDC_SB_1F_AT-0521</t>
  </si>
  <si>
    <t>RDC_SB_1F_AT-0522</t>
  </si>
  <si>
    <t>RDC_SB_1F_AT-0523</t>
  </si>
  <si>
    <t>RDC_SB_1F_AT-0526</t>
  </si>
  <si>
    <t>RDC_SB_1F_AT-0527</t>
  </si>
  <si>
    <t>RDC_SB_1F_AT-0528</t>
  </si>
  <si>
    <t>RDC_SB_1F_AT-0529</t>
  </si>
  <si>
    <t>RDC_SB_1F_AT-0530</t>
  </si>
  <si>
    <t>RDC_SB_1F_AT-0531</t>
  </si>
  <si>
    <t>RDC_SB_1F_AT-0532</t>
  </si>
  <si>
    <t>RDC_SB_1F_AT-0533</t>
  </si>
  <si>
    <t>RDC_SB_1F_AT-1501</t>
  </si>
  <si>
    <t>RDC_SB_1F_AT-1502</t>
  </si>
  <si>
    <t>RDC_SB_1F_AT-1503</t>
  </si>
  <si>
    <t>RDC_SB_1F_AT-1505</t>
  </si>
  <si>
    <t>RDC_SB_1F_AT-1506</t>
  </si>
  <si>
    <t>RDC_SB_1F_AT-1539</t>
  </si>
  <si>
    <t>RDC_SB_1F_AT-1540</t>
  </si>
  <si>
    <t>RDC_SB_1F_AT-1543</t>
  </si>
  <si>
    <t>RDC_SB_1F_AT-1544</t>
  </si>
  <si>
    <t>RDC_SB_1F_AT-1545</t>
  </si>
  <si>
    <t>RDC_SB_1F_AT-1547</t>
  </si>
  <si>
    <t>RDC_NB_1F_AT-5650</t>
  </si>
  <si>
    <t>RDC_NB_1F_AT-5655</t>
  </si>
  <si>
    <t>RDC_NB_1F_AT-5660</t>
  </si>
  <si>
    <t>RDC_NB_1F_AT-5665</t>
  </si>
  <si>
    <t>RDC_NB_1F_AT-5670</t>
  </si>
  <si>
    <t>RDC_NB_1F_AT-5675</t>
  </si>
  <si>
    <t>RDC_NB_1F_AT-5680</t>
  </si>
  <si>
    <t>RDC_NB_1F_AT-5685</t>
  </si>
  <si>
    <t>RDC_NB_1F_AT-5690</t>
  </si>
  <si>
    <t>RDC_NB_1F_AT-5695</t>
  </si>
  <si>
    <t>RDC_NB_1F_AT-5700</t>
  </si>
  <si>
    <t>RDC_NB_1F_AT-5705</t>
  </si>
  <si>
    <t>RDC_NB_1F_AT-5710</t>
  </si>
  <si>
    <t>RDC_NB_1F_AT-5715</t>
  </si>
  <si>
    <t>RDC_NB_1F_AT-5730</t>
  </si>
  <si>
    <t>RDC_NB_1F_AT-5735</t>
  </si>
  <si>
    <t>RDC_NB_1F_AT-5740</t>
  </si>
  <si>
    <t>RDC_NB_1F_AT-5745</t>
  </si>
  <si>
    <t>RDC_NB_1F_AT-5760</t>
  </si>
  <si>
    <t>RDC_NB_1F_AT-5835</t>
  </si>
  <si>
    <t>RDC_NB_1F_AT-5840</t>
  </si>
  <si>
    <t>RDC_NB_1F_AT-5860</t>
  </si>
  <si>
    <t>RDC_NB_1F_AT-5865</t>
  </si>
  <si>
    <t>RDC_NB_1F_AT-5870</t>
  </si>
  <si>
    <t>RDC_NB_1F_AT-5875</t>
  </si>
  <si>
    <t>RDC_NB_1F_AT-5880</t>
  </si>
  <si>
    <t>RDC_NB_1F_AT-5885</t>
  </si>
  <si>
    <t>RDC_NB_1F_AT-5890</t>
  </si>
  <si>
    <t>RDC_NB_1F_AT-5895</t>
  </si>
  <si>
    <t>RDC_NB_1F_AT-5900</t>
  </si>
  <si>
    <t>RDC_NB_1F_AT-5905</t>
  </si>
  <si>
    <t>RDC_NB_1F_AT-5910</t>
  </si>
  <si>
    <t>RDC_NB_1F_AT-5915</t>
  </si>
  <si>
    <t>RDC_NB_1F_AT-5920</t>
  </si>
  <si>
    <t>RDC_NB_1F_AT-5925</t>
  </si>
  <si>
    <t>RDC_NB_1F_AT-5930</t>
  </si>
  <si>
    <t>RDC_NB_1F_AT-5935</t>
  </si>
  <si>
    <t>RDC_NB_1F_AT-5940</t>
  </si>
  <si>
    <t>RDC_NB_1F_AT-5720</t>
  </si>
  <si>
    <t>Men N-1134</t>
  </si>
  <si>
    <t>RDC_NB_1F_AT-5750</t>
  </si>
  <si>
    <t>Store N-1141</t>
  </si>
  <si>
    <t>RDC_NB_1F_AT-4640</t>
  </si>
  <si>
    <t>Women N-1221</t>
  </si>
  <si>
    <t>RDC_NB_1F_AT-4650</t>
  </si>
  <si>
    <t>RDC_NB_1F_EV-5686</t>
  </si>
  <si>
    <t>RDC_NB_1F_EV-5721</t>
  </si>
  <si>
    <t>RDC_NB_1F_EV-5747</t>
  </si>
  <si>
    <t>RDC_NB_1F_EV-4641</t>
  </si>
  <si>
    <t>RDC_NB_1F_EV-5891</t>
  </si>
  <si>
    <t>Office 05 - 8 WKS- North N-1160</t>
  </si>
  <si>
    <t>RDC_NB_1F_EV-5921</t>
  </si>
  <si>
    <t>Office 05 - 8 WKS- N-1168</t>
  </si>
  <si>
    <t>RDC_NB_1F_EV-5941</t>
  </si>
  <si>
    <t>Office 05 - 8 WKS- N-1165</t>
  </si>
  <si>
    <t>RDC_NB_1F_FEV-5624</t>
  </si>
  <si>
    <t>RDC_NB_1F_VEV-5572</t>
  </si>
  <si>
    <t>RDC_NB_1F_VEV-5573A</t>
  </si>
  <si>
    <t>RDC_NB_1F_VEV-5573B</t>
  </si>
  <si>
    <t>RDC_NB_1F_FEV-5574</t>
  </si>
  <si>
    <t>RDC_NB_1F_FEV-5575</t>
  </si>
  <si>
    <t>RDC_NB_1F_VEV-5591</t>
  </si>
  <si>
    <t>RDC_NB_1F_FEV-5772</t>
  </si>
  <si>
    <t>RDC_NB_1F_VEV-5791</t>
  </si>
  <si>
    <t>RDC_NB_1F_VEV-5795B</t>
  </si>
  <si>
    <t>RDC_NB_1F_FEV-5796</t>
  </si>
  <si>
    <t>RDC_NB_1F_VEV-5811A</t>
  </si>
  <si>
    <t>RDC_NB_1F_VEV-5811B</t>
  </si>
  <si>
    <t>RDC_NB_1F_FEV-5812</t>
  </si>
  <si>
    <t>RDC_NB_1F_FEV-5813</t>
  </si>
  <si>
    <t>RDC_NB_1F_VEV-5821</t>
  </si>
  <si>
    <t>RDC_SB_1F_AT-2501</t>
  </si>
  <si>
    <t>RDC_SB_1F_AT-2507</t>
  </si>
  <si>
    <t>Female S-1204</t>
  </si>
  <si>
    <t>RDC_SB_1F_AT-2502</t>
  </si>
  <si>
    <t>RDC_SB_1F_AT-2503</t>
  </si>
  <si>
    <t>RDC_SB_1F_AT-2504</t>
  </si>
  <si>
    <t>RDC_SB_1F_AT-2505</t>
  </si>
  <si>
    <t>RDC_SB_1F_AT-2506</t>
  </si>
  <si>
    <t>RDC_SB_1F_AT-2508</t>
  </si>
  <si>
    <t>RDC_SB_1F_AT-2509</t>
  </si>
  <si>
    <t>RDC_SB_1F_AT-2510</t>
  </si>
  <si>
    <t>RDC_SB_1F_AT-2511</t>
  </si>
  <si>
    <t>RDC_SB_1F_AT-2512</t>
  </si>
  <si>
    <t>RDC_SB_1F_AT-2513</t>
  </si>
  <si>
    <t>RDC_SB_1F_AT-2514</t>
  </si>
  <si>
    <t>RDC_SB_1F_AT-2515</t>
  </si>
  <si>
    <t>RDC_SB_1F_AT-2516</t>
  </si>
  <si>
    <t>RDC_SB_1F_AT-2517</t>
  </si>
  <si>
    <t>RDC_SB_1F_AT-2518</t>
  </si>
  <si>
    <t>RDC_SB_1F_AT-2519</t>
  </si>
  <si>
    <t>RDC_SB_1F_AT-2520</t>
  </si>
  <si>
    <t>RDC_SB_1F_AT-2521</t>
  </si>
  <si>
    <t>RDC_SB_1F_AT-2522</t>
  </si>
  <si>
    <t>RDC_SB_1F_AT-2523</t>
  </si>
  <si>
    <t>RDC_SB_1F_AT-2524</t>
  </si>
  <si>
    <t>RDC_SB_1F_AT-2525</t>
  </si>
  <si>
    <t>RDC_SB_1F_AT-2526</t>
  </si>
  <si>
    <t>RDC_SB_1F_AT-2527</t>
  </si>
  <si>
    <t>RDC_SB_1F_AT-2528</t>
  </si>
  <si>
    <t>RDC_SB_1F_AT-2529</t>
  </si>
  <si>
    <t>RDC_SB_1F_AT-2530</t>
  </si>
  <si>
    <t>RDC_SB_1F_AT-2531</t>
  </si>
  <si>
    <t>Director Ofice S-1241</t>
  </si>
  <si>
    <t>RDC_SB_1F_AT-2532</t>
  </si>
  <si>
    <t>RDC_SB_1F_AT-2533</t>
  </si>
  <si>
    <t>RDC_SB_1F_AT-2534</t>
  </si>
  <si>
    <t>RDC_SB_1F_AT-2535</t>
  </si>
  <si>
    <t>RDC_SB_1F_AT-2536</t>
  </si>
  <si>
    <t>RDC_SB_1F_AT-2538</t>
  </si>
  <si>
    <t>RDC_SB_1F_AT-2539</t>
  </si>
  <si>
    <t>RDC_SB_1F_AT-2540</t>
  </si>
  <si>
    <t>RDC_SB_1F_AT-2541</t>
  </si>
  <si>
    <t>RDC_SB_1F_AT-2542</t>
  </si>
  <si>
    <t>RDC_SB_1F_AT-2543</t>
  </si>
  <si>
    <t>RDC_SB_1F_AT-2544</t>
  </si>
  <si>
    <t>RDC_SB_1F_AT-2545</t>
  </si>
  <si>
    <t>RDC_SB_1F_AT-2546</t>
  </si>
  <si>
    <t>RDC_SB_1F_AT-2547</t>
  </si>
  <si>
    <t>RDC_SB_1F_AT-2548</t>
  </si>
  <si>
    <t>RDC_SB_1F_AT-2549</t>
  </si>
  <si>
    <t>RDC_SB_1F_AT-2550</t>
  </si>
  <si>
    <t>RDC_SB_1F_AT-2551</t>
  </si>
  <si>
    <t>RDC_SB_1F_AT-2552</t>
  </si>
  <si>
    <t>RDC_SB_1F_AT-2553</t>
  </si>
  <si>
    <t>RDC_SB_1F_AT-4260</t>
  </si>
  <si>
    <t>RDC_NB_1F_AT-6650</t>
  </si>
  <si>
    <t>RDC_NB_1F_AT-6655</t>
  </si>
  <si>
    <t>RDC_NB_1F_AT-6660</t>
  </si>
  <si>
    <t>RDC_NB_1F_AT-6665</t>
  </si>
  <si>
    <t>RDC_NB_1F_AT-6670</t>
  </si>
  <si>
    <t>RDC_NB_1F_AT-6675</t>
  </si>
  <si>
    <t>RDC_NB_1F_AT-6680</t>
  </si>
  <si>
    <t>RDC_NB_1F_AT-6685</t>
  </si>
  <si>
    <t>RDC_NB_1F_AT-6690</t>
  </si>
  <si>
    <t>RDC_NB_1F_AT-6695</t>
  </si>
  <si>
    <t>RDC_NB_1F_AT-6700</t>
  </si>
  <si>
    <t>RDC_NB_1F_AT-6705</t>
  </si>
  <si>
    <t>RDC_NB_1F_AT-6710</t>
  </si>
  <si>
    <t>RDC_NB_1F_AT-6715</t>
  </si>
  <si>
    <t>RDC_NB_1F_AT-6720</t>
  </si>
  <si>
    <t>RDC_NB_1F_AT-6725</t>
  </si>
  <si>
    <t>RDC_NB_1F_AT-6740</t>
  </si>
  <si>
    <t>Men N-1340</t>
  </si>
  <si>
    <t>RDC_NB_1F_AT-7500</t>
  </si>
  <si>
    <t>Women N-1403</t>
  </si>
  <si>
    <t>RDC_NB_1F_AT-6900</t>
  </si>
  <si>
    <t>RDC_NB_1F_AT-6905</t>
  </si>
  <si>
    <t>RDC_NB_1F_AT-6910</t>
  </si>
  <si>
    <t>RDC_NB_1F_AT-6915</t>
  </si>
  <si>
    <t>RDC_NB_1F_AT-6920</t>
  </si>
  <si>
    <t>RDC_NB_1F_AT-6925</t>
  </si>
  <si>
    <t>RDC_NB_1F_AT-6930</t>
  </si>
  <si>
    <t>RDC_NB_1F_AT-6935</t>
  </si>
  <si>
    <t>RDC_NB_1F_AT-6940</t>
  </si>
  <si>
    <t>RDC_NB_1F_AT-6945</t>
  </si>
  <si>
    <t>RDC_NB_1F_AT-6950</t>
  </si>
  <si>
    <t>RDC_NB_1F_AT-6955</t>
  </si>
  <si>
    <t>RDC_NB_1F_AT-6960</t>
  </si>
  <si>
    <t>RDC_NB_1F_AT-6965</t>
  </si>
  <si>
    <t>RDC_NB_1F_AT-6967</t>
  </si>
  <si>
    <t>RDC_NB_1F_AT-6968</t>
  </si>
  <si>
    <t>RDC_NB_1F_AT-6970</t>
  </si>
  <si>
    <t>RDC_NB_1F_AT-7865</t>
  </si>
  <si>
    <t>RDC_NB_1F_AT-6372</t>
  </si>
  <si>
    <t>RDC_NB_1F_AT-6374</t>
  </si>
  <si>
    <t>RDC_NB_1F_AT-6376</t>
  </si>
  <si>
    <t>RDC_NB_1F_AT-6378</t>
  </si>
  <si>
    <t>RDC_NB_1F_EV-6661</t>
  </si>
  <si>
    <t>RDC_NB_1F_EV-6676</t>
  </si>
  <si>
    <t>RDC_NB_1F_EV-6691</t>
  </si>
  <si>
    <t>RDC_NB_1F_EV-6741</t>
  </si>
  <si>
    <t>RDC_NB_1F_EV-7501</t>
  </si>
  <si>
    <t>RDC_NB_1F_EV-6936</t>
  </si>
  <si>
    <t>RDC_NB_1F_EV-6961</t>
  </si>
  <si>
    <t>RDC_NB_1F_EV-6969</t>
  </si>
  <si>
    <t>RDC_NB_1F_VEV-6541</t>
  </si>
  <si>
    <t>TC1 N-1316B</t>
  </si>
  <si>
    <t>RDC_NB_1F_VEV-6552</t>
  </si>
  <si>
    <t>RDC_NB_1F_VEV-6553</t>
  </si>
  <si>
    <t>RDC_NB_1F_FEV-6554</t>
  </si>
  <si>
    <t>RDC_NB_1F_FEV-6555</t>
  </si>
  <si>
    <t>RDC_NB_1F_CEV-6581</t>
  </si>
  <si>
    <t>TC3 N-1316F</t>
  </si>
  <si>
    <t>RDC_NB_1F_FEV-6602</t>
  </si>
  <si>
    <t>RDC_NB_1F_FEV-6632</t>
  </si>
  <si>
    <t>RDC_NB_1F_FEV-6633</t>
  </si>
  <si>
    <t>RDC_NB_1F_FEV-6634</t>
  </si>
  <si>
    <t>RDC_NB_1F_FEV-6635</t>
  </si>
  <si>
    <t>RDC_NB_1F_FEV-6636</t>
  </si>
  <si>
    <t>RDC_NB_1F_FEV-6637</t>
  </si>
  <si>
    <t>RDC_NB_1F_FEV-6638</t>
  </si>
  <si>
    <t>RDC_NB_1F_FEV-6639</t>
  </si>
  <si>
    <t>RDC_NB_1F_FEV-6731</t>
  </si>
  <si>
    <t>SERIVICE CORRRIDOR N-1337</t>
  </si>
  <si>
    <t>RDC_NB_1F_VEV-6751</t>
  </si>
  <si>
    <t>TC1 N-1345A</t>
  </si>
  <si>
    <t>RDC_NB_1F_VEV-6762</t>
  </si>
  <si>
    <t>Diabetes Lab / Open Lab N-1345B</t>
  </si>
  <si>
    <t>RDC_NB_1F_VEV-6763</t>
  </si>
  <si>
    <t>RDC_NB_1F_FEV-6764</t>
  </si>
  <si>
    <t>RDC_NB_1F_FEV-6765</t>
  </si>
  <si>
    <t>RDC_NB_1F_FEV-6766</t>
  </si>
  <si>
    <t>RDC_NB_1F_CEV-6791</t>
  </si>
  <si>
    <t>TC2 N-1345C</t>
  </si>
  <si>
    <t>RDC_NB_1F_FEV-6852</t>
  </si>
  <si>
    <t>RDC_NB_1F_FEV-6853</t>
  </si>
  <si>
    <t>RDC_NB_1F_FEV-6854</t>
  </si>
  <si>
    <t>RDC_NB_1F_FEV-6855</t>
  </si>
  <si>
    <t>RDC_NB_1F_FEV-6856</t>
  </si>
  <si>
    <t>RDC_NB_1F_FEV-6857</t>
  </si>
  <si>
    <t>RDC_NB_1F_FEV-6858</t>
  </si>
  <si>
    <t>RDC_NB_1F_FEV-6859</t>
  </si>
  <si>
    <t>RDC_SB_1F_AT-3501</t>
  </si>
  <si>
    <t>RDC_SB_1F_AT-3502</t>
  </si>
  <si>
    <t>RDC_SB_1F_AT-3503</t>
  </si>
  <si>
    <t>Reception S-0293</t>
  </si>
  <si>
    <t>RDC_SB_1F_AT-3504</t>
  </si>
  <si>
    <t>RDC_SB_1F_AT-3505</t>
  </si>
  <si>
    <t>RDC_SB_1F_AT-3506</t>
  </si>
  <si>
    <t>RDC_SB_1F_AT-3507</t>
  </si>
  <si>
    <t>RDC_SB_1F_AT-3508</t>
  </si>
  <si>
    <t>RDC_SB_1F_AT-3509</t>
  </si>
  <si>
    <t>RDC_SB_1F_AT-3510</t>
  </si>
  <si>
    <t>RDC_SB_1F_AT-3511</t>
  </si>
  <si>
    <t>CORRIDOR S-1280</t>
  </si>
  <si>
    <t>RDC_SB_1F_AT-3512</t>
  </si>
  <si>
    <t>RDC_SB_1F_AT-3513</t>
  </si>
  <si>
    <t>RDC_SB_1F_AT-3514</t>
  </si>
  <si>
    <t>RDC_SB_1F_AT-3515</t>
  </si>
  <si>
    <t>RDC_SB_1F_AT-3516</t>
  </si>
  <si>
    <t>RDC_SB_1F_AT-3517</t>
  </si>
  <si>
    <t>RDC_SB_1F_AT-3518</t>
  </si>
  <si>
    <t>RDC_SB_1F_AT-3520</t>
  </si>
  <si>
    <t>RDC_SB_1F_AT-3521</t>
  </si>
  <si>
    <t>RDC_SB_1F_AT-3522</t>
  </si>
  <si>
    <t>RDC_SB_1F_AT-3523</t>
  </si>
  <si>
    <t>RDC_SB_1F_AT-3524</t>
  </si>
  <si>
    <t>RDC_SB_1F_AT-0207</t>
  </si>
  <si>
    <t>Open Plan S-1293A</t>
  </si>
  <si>
    <t>RDC_SB_1F_AT-0208</t>
  </si>
  <si>
    <t>RDC_SB_1F_AT-0201A</t>
  </si>
  <si>
    <t>RDC_SB_1F_AT-0201B</t>
  </si>
  <si>
    <t>RDC_SB_1F_AT-0206</t>
  </si>
  <si>
    <t>RDC_NB_1F_AT-7620</t>
  </si>
  <si>
    <t>RDC_NB_1F_AT-7625</t>
  </si>
  <si>
    <t>RDC_NB_1F_AT-7630</t>
  </si>
  <si>
    <t>RDC_NB_1F_AT-7635</t>
  </si>
  <si>
    <t>RDC_NB_1F_AT-7640</t>
  </si>
  <si>
    <t>RDC_NB_1F_AT-7645</t>
  </si>
  <si>
    <t>RDC_NB_1F_AT-7650</t>
  </si>
  <si>
    <t>RDC_NB_1F_AT-7655</t>
  </si>
  <si>
    <t>RDC_NB_1F_AT-7660</t>
  </si>
  <si>
    <t>RDC_NB_1F_AT-7665</t>
  </si>
  <si>
    <t>RDC_NB_1F_AT-7670</t>
  </si>
  <si>
    <t>RDC_NB_1F_AT-7675</t>
  </si>
  <si>
    <t>RDC_NB_1F_AT-7680</t>
  </si>
  <si>
    <t>RDC_NB_1F_AT-7685</t>
  </si>
  <si>
    <t>RDC_NB_1F_AT-7690</t>
  </si>
  <si>
    <t>RDC_NB_1F_AT-7695</t>
  </si>
  <si>
    <t>RDC_NB_1F_AT-7700</t>
  </si>
  <si>
    <t>RDC_NB_1F_AT-7705</t>
  </si>
  <si>
    <t>Expansion WORKstation N-1442</t>
  </si>
  <si>
    <t>RDC_NB_1F_AT-7710</t>
  </si>
  <si>
    <t>RDC_NB_1F_AT-7840</t>
  </si>
  <si>
    <t>RDC_NB_1F_AT-7845</t>
  </si>
  <si>
    <t>RDC_NB_1F_AT-7850</t>
  </si>
  <si>
    <t>RDC_NB_1F_AT-7860</t>
  </si>
  <si>
    <t>RDC_NB_1F_AT-7870</t>
  </si>
  <si>
    <t>RDC_NB_1F_AT-7875</t>
  </si>
  <si>
    <t>RDC_NB_1F_AT-7880</t>
  </si>
  <si>
    <t>RDC_NB_1F_AT-7885</t>
  </si>
  <si>
    <t>RDC_NB_1F_AT-7890</t>
  </si>
  <si>
    <t>RDC_NB_1F_AT-7895</t>
  </si>
  <si>
    <t>RDC_NB_1F_AT-7900</t>
  </si>
  <si>
    <t>RDC_NB_1F_AT-7905</t>
  </si>
  <si>
    <t>RDC_NB_1F_AT-7910</t>
  </si>
  <si>
    <t>RDC_NB_1F_AT-7915</t>
  </si>
  <si>
    <t>RDC_NB_1F_AT-7920</t>
  </si>
  <si>
    <t>RDC_NB_1F_AT-7925</t>
  </si>
  <si>
    <t>RDC_NB_1F_AT-7930</t>
  </si>
  <si>
    <t>RDC_NB_1F_AT-7935</t>
  </si>
  <si>
    <t>RDC_NB_1F_AT-7940</t>
  </si>
  <si>
    <t>RDC_NB_1F_AT-7945</t>
  </si>
  <si>
    <t>RDC_NB_1F_AT-7950</t>
  </si>
  <si>
    <t>RDC_NB_1F_AT-7955</t>
  </si>
  <si>
    <t>RDC_NB_1F_AT-7960</t>
  </si>
  <si>
    <t>RDC_NB_1F_EV-7631</t>
  </si>
  <si>
    <t>RDC_NB_1F_EV-7646</t>
  </si>
  <si>
    <t>RDC_NB_1F_EV-7661</t>
  </si>
  <si>
    <t>RDC_NB_1F_EV-7663</t>
  </si>
  <si>
    <t>RDC_NB_1F_EV-7711</t>
  </si>
  <si>
    <t>RDC_NB_1F_EV-7712</t>
  </si>
  <si>
    <t>RDC_NB_1F_EV-7861</t>
  </si>
  <si>
    <t>Office 05 - 9 WKS N-1461</t>
  </si>
  <si>
    <t>RDC_NB_1F_EV-7916</t>
  </si>
  <si>
    <t>Office 05 - 8 WKS N-1471</t>
  </si>
  <si>
    <t>RDC_NB_1F_CEV-7521</t>
  </si>
  <si>
    <t>Isotope N-1404B</t>
  </si>
  <si>
    <t>RDC_NB_1F_FEV-7522</t>
  </si>
  <si>
    <t>RDC_NB_1F_CEV-7591</t>
  </si>
  <si>
    <t>HY Room N-1404J</t>
  </si>
  <si>
    <t>RDC_NB_1F_CEV-7581</t>
  </si>
  <si>
    <t>RDC_NB_1F_FEV-7602</t>
  </si>
  <si>
    <t>CELL BIO LABS N-1404K</t>
  </si>
  <si>
    <t>RDC_NB_1F_CEV-7611</t>
  </si>
  <si>
    <t>TC1 N-1404L</t>
  </si>
  <si>
    <t>RDC_NB_1F_CEV-6831</t>
  </si>
  <si>
    <t>SHARED COLD LAB N-1345G</t>
  </si>
  <si>
    <t>RDC_NB_1F_CEV-7761</t>
  </si>
  <si>
    <t>A/L N-1450D</t>
  </si>
  <si>
    <t>RDC_NB_1F_CEV-7791</t>
  </si>
  <si>
    <t>A/L N-1450G</t>
  </si>
  <si>
    <t>RDC_NB_1F_FEV-7824</t>
  </si>
  <si>
    <t>RDC_NB_2F_AT-4900</t>
  </si>
  <si>
    <t>RDC_NB_2F_AT-4910</t>
  </si>
  <si>
    <t>RDC_NB_2F_EV-4920</t>
  </si>
  <si>
    <t>RDC_NB_2F_AT-5930</t>
  </si>
  <si>
    <t>Office 04 N-1170</t>
  </si>
  <si>
    <t>RDC_NB_2F_AT-5940</t>
  </si>
  <si>
    <t>RDC_NB_2F_AT-6979</t>
  </si>
  <si>
    <t>RDC_NB_2F_AT-6980</t>
  </si>
  <si>
    <t>RDC_NB_2F_EV-6981</t>
  </si>
  <si>
    <t>RDC_NB_2F_AT-7975</t>
  </si>
  <si>
    <t>RDC_NB_2F_AT-7980</t>
  </si>
  <si>
    <t>Turn #</t>
  </si>
  <si>
    <t>Date</t>
  </si>
  <si>
    <t>User Request</t>
  </si>
  <si>
    <t>Action Taken</t>
  </si>
  <si>
    <t>Details</t>
  </si>
  <si>
    <t>Outcome</t>
  </si>
  <si>
    <t>Provided full transcript from previous session (classifying HQ VAV/FCU tags as Included/Not Included in column D by room type across Ground Floor–Level 11). New session; selection at D1174.</t>
  </si>
  <si>
    <t>Loaded prior context; set up Claude Log sheet; inspected the registry section around D1174.</t>
  </si>
  <si>
    <t>Row 1170 = AHUB_0005; FCU numbering restarts at FCU0001 on row 1171 — this is a separate building/section where column D holds room descriptions (e.g. 'SPRINKLER AND WATER','B.M.S'), not Included/Not Included marks. AHUs (rows 4-28) still unmarked pending direction.</t>
  </si>
  <si>
    <t>Awaiting user direction on next step (new floor, AHU handling, or final excluded-room verification).</t>
  </si>
  <si>
    <t>Clarified: wants room names (rooms served by each equipment tag) filled for the HQ block, rows 3–763, in column E (keeping the Included/Not Included marks in column D).</t>
  </si>
  <si>
    <t>Confirmed target column E via question; checked E is empty apart from a legend at E3/E4. Explained I cannot view the previous session's drawing images and my prior notes are not a clean per-row room map.</t>
  </si>
  <si>
    <t>Room names must be exact; prior notes grouped multiple tags per room label. Requested the floor drawings be resent one at a time to fill column E accurately, floor by floor.</t>
  </si>
  <si>
    <t>Awaiting user to resend the first HQ floor drawing to begin populating column E.</t>
  </si>
  <si>
    <t>Said they will send the floor drawings later tonight.</t>
  </si>
  <si>
    <t>Acknowledged; no workbook changes made. Confirmed the floor-by-floor workflow to populate column E with room names once drawings arrive.</t>
  </si>
  <si>
    <t>No cells written to Controllable Asset Registry this turn.</t>
  </si>
  <si>
    <t>On hold — awaiting HQ floor drawings from user (expected tonight).</t>
  </si>
  <si>
    <t>Sent HQ Roof Top (Level 12) drawing; asked me to start filling room names in column E for that floor.</t>
  </si>
  <si>
    <t>Wrote FCU room names to E155:E160 (FCU0126/0127 → 12.002 MCC Closet; FCU0128/0129 → 12.003 MCC Closet; FCU0130 → 12.004 MCC Closet; FCU0131 → roof plant/walkway near CSRR-0008). Verified by re-reading A155:E160.</t>
  </si>
  <si>
    <t>Roof VAV/12/01-13 units are NOT in the tag list (all VAV0001-0607 already assigned to Ground-L11; HQ block ends row 763, QNL starts 764). AHU/12/01-10 (rows 4-12) left blank — parked per earlier decision and AHUs don't serve a single room.</t>
  </si>
  <si>
    <t>Level 12 FCUs done. Flagged: SE 12.001 Electrical Closet sits beside 12.002 MCC Closet — could not confirm if one FCU serves 12.001 instead; FCU0131 has no room number on the drawing.</t>
  </si>
  <si>
    <t>Sent the 3rd image pair — new: South Building L0 Section A1.3; old: North Building L0 Section A2.3. Asked me to continue the established workflow (map the new floor, extract standalone tags from the old floor).</t>
  </si>
  <si>
    <t>Filled 3 blank FCU rows (FCU6987 row 2118, SB FCU0001 row 2159, SB FCU2001 row 2168). Appended 33 new rows (2365-2397): 5 A1.3 South Building AT tags, 24 A2.3 North Building AT tags, 4 A2.3 standalone EV valves. Flagged 7 uncertain rows yellow in C:D.</t>
  </si>
  <si>
    <t>Duplicate avoidance: skipped AT-0006 (already row 2262 from B1.1) and all A2.3 numbers already embedded in existing VAV rows (5000/5002, 5001/5003, 5010/5011, 5015/5016, 5030/5031, 5040/5041, 5045/5046, 5395, 5400, 5405, 5410/5411, 6000/6001, 6010/6011, 6025/6026, 6240/6241, 6300, 6305, 6310, 6315/6316). Appended only valves with no VAV row: EV-5021, EV-5035, EV-6016, EV-6127. Equipment type = each tag's own prefix (AT/EV) per the standing rule. NB FCU5982/5991/5992/6985/6986 were already populated from an earlier session and matched A2.3, so left untouched.</t>
  </si>
  <si>
    <t>3rd pair complete and verified (rows 2118, 2159, 2168, 2365-2397 re-read; no gaps). Next append row = 2398. Flagged yellow: AT-0002, AT-0005, AT-2001, AT-5030, AT-5045, EV-5035, EV-6127. Open note: A2.3 right-hand area is labelled RECEPTION AREA N-0169, which duplicates the left-side EXP. OFFICE N-0169 label - no tag sits there so no row was written.</t>
  </si>
  <si>
    <t>Sent the 4th image pair — new: South Building L0 Section A1.2; old: North Building L0 Section B2.1. Continue the established workflow.</t>
  </si>
  <si>
    <t>Filled SB FCU2002-2005 (rows 2169-2172). Mapped 45 of 46 blank VAV rows for A1.2 (C/D 1738:1783 = VAV2002-VAV2047). Appended 112 rows (2398-2509): 45 A1.2 AT-20xx, 8 A1.2 standalone 0-series AT, 43 B2.1 AT, 15 B2.1 valves, FCU6997. Corrected AT-2001 (row 2369). Flagged 39 uncertain rows yellow, then fixed 14 misplaced flags.</t>
  </si>
  <si>
    <t>A1.2 turned out to be a map-the-rooms floor: VAV2002-VAV2047 existed but were blank, and AT numbers correspond 1:1 to VAV numbers. There is no VAV2001 row and no VAV rows for the 0115-0124 series, so those 9 tags were appended only. VAV2005 (row 1741) left blank - AT-2005 does not appear on A1.2. Self-caught error: skipping AT-2005 in the append shifted my flag row offsets by one, so 7 flags landed on confident rows (AT-2010/2014/2017/2018/2026/2034/2036) and 7 uncertain rows were unflagged; cleared and re-applied correctly. AT-2001 moved from Vestibule S-0202 (per A1.3) to High-Density Room S-0206 (per A1.2, box sits inside the room outline) - still flagged.</t>
  </si>
  <si>
    <t>4th pair complete and verified (rows 2169-2172, 2369, 1738-1783, 2398-2510 re-read; no gaps; flag colours confirmed on C:D). Next append row = 2510. DEFERRED / NEEDS USER DECISION: (1) 21 blank NB VAV rows discovered - 1468 (VAV6295), 1473-1490 (VAV6320-6410), 1543-1544 (VAV7385/7390) - not filled because two existing rows conflict with the drawing, so a bulk same-number fill is unsafe. (2) Conflict A: registry row 1465 VAV6220 = Conf N-0331 and row 1463 VAV6205 = Emergency Elec. N-0333, but B2.1 shows AT-6220 at Emergency Elec. N-0333 and AT-6205 at Conference N-0331 (appears swapped). (3) Conflict B: registry row 1485 VAV6380 = Office N-0376, but B2.1 shows AT-6370 at Office N-0376 and AT-6380 at Workstation N-0378 (possible off-by-one, same pattern as the A2.2 fix).</t>
  </si>
  <si>
    <t>Sent the 5th image pair — new: South Building L0 Section A1.1; old: North Building L0 Section B2.2. Continue the established workflow.</t>
  </si>
  <si>
    <t>A1.1: filled VAV3001-3007 (rows 1784-1790) and FCU3001 (row 2173); appended 45 tags (2510-2554) = 32 AT-30xx plus 13 of the 2301-AT-01xx BACnet points. B2.2: appended 77 rows (2555-2631) = 51 AT (incl. the AT-7090/7105/7120 multi-node sensors), 8 standalone EV, 17 lab valves, FCU7993. Flagged 34 rows yellow across both.</t>
  </si>
  <si>
    <t>B2.2's VAV rows mostly already existed with rooms, so the AT twins inherited the registry room (consistent with the A2.1/A2.2 approach) rather than my read of the drawing; the five places where the drawing disagrees were flagged instead of overwritten. Multi-node tags (AT-7090-N1/N2, AT-7105-N1/N2, AT-7120-N1..N9) have no VAV rows and were mapped from the drawing to N-0412/0412A, N-0415/0415A, N-0418/0418A and N-0430A..N-0430F - all flagged. Skipped every valve already embedded in a VAV row name (VEV7031, VEV7051, VEV7061, CEV7221, VEV7231, VEV7241A, VEV7251/7261/7271/7281/7291/7311/7321/7331/7341/7351/7361/7371, EV7126/7141/7186/7216/7495). FEV-7232 appears twice on the drawing - appended once and flagged.</t>
  </si>
  <si>
    <t>5th pair complete and verified (rows 1784-1790, 2173, 2510-2632 re-read; 122 appended rows with no gaps; flag colours spot-checked against tag names). Next append row = 2632. NEW CONFLICTS FLAGGED, NOT OVERWRITTEN: (1) FCU rows 2119/2120/2121 (FCU7981 = Stair 5 N-0STO5, FCU7982 and FCU7983 = Service Corridor N-0344) disagree with B2.2, which shows FCU-7993 at Stair 5, FCU-7981 at IDF N-0419 and FCU-7982 near Mech/FPC N-0434. (2) Row 2085 FCU7790 is tagged NB_1F but B2.2 (Level 0) shows FCU-7790 at Stair 6 N-0ST06. (3) Registry rows 1517/1518 give both VAV7145 and VAV7155 the same room (Office N-0427) - drawing suggests 7145 = N-0425. (4) Row 1519 VAV7165 = N-0428 vs drawing N-0429. (5) Row 1523 VAV7185 = Office N-0426 vs drawing Emer. Elec. Room N-0433, and row 1526 VAV7215 = Emergency Elec. N-0433 vs drawing Office N-0438. STILL OPEN from turn 7: the 21 blank NB VAV rows (1468, 1473-1490, 1543-1544) and the VAV6205/6220 and VAV6380 conflicts.</t>
  </si>
  <si>
    <t>Sent the 6th image pair — new: South Building Level 1 Section B1.2; old: North Building Level 01 Section A2.1. First pair on Level 1 rather than Level 0.</t>
  </si>
  <si>
    <t>B1.2: filled 45 blank VAV rows (C/D across 1595:1645) and FCU1503 (row 2132); appended 49 AT tags (2632-2680). A2.1 L01: appended 28 rows (2681-2708) = 8 AT twins, 19 valves, FCU2004. Flagged 5 rows yellow after correcting 2 that landed one row off.</t>
  </si>
  <si>
    <t>Both drawings are Level 1, so writes went to the SB_1F and NB_1F blocks (not GF). SB VAV15xx occupies rows 1590-1645 but the series is not contiguous - VAV1504, 1535, 1537, 1538 and 1541 have no rows, so AT-1504/1535/1537 were appended only. NB_1F registry rooms for VAV4660-4745 matched my reading of the drawing exactly (N-1227 through N-1244), so those 8 AT twins needed no flags. NB_1F FCU4910/4915/4916/4917 were already correctly populated and match A2.1, so left untouched. Skipped valves already embedded in VAV row names (VEV4621, VEV4631, VEV4051/4061/4091, the VAV4070-4083 high-bay pairs) and VEV-4041 which was already appended at row 2253.</t>
  </si>
  <si>
    <t>6th pair complete and verified (rows 1590-1645, 2132, 2632-2709 re-read; 77 appended rows with no gaps; flag cells checked against tag names). Next append row = 2709. Flagged: AT-1504 (corridor position), AT-1533 and AT-1536 (sit between an electrical room and an office), AT-1537, CEV-4502, FCU2004. Still-blank SB L1 VAV rows with no tag on this drawing: 1590-1594 (VAV1501-1503, 1505, 1506), 1624-1625 (VAV1539/1540), 1627-1629 (VAV1543-1545), 1631 (VAV1547) - likely on the B1.1 half of Level 1. STILL OPEN: the 21 blank NB GF VAV rows (1468, 1473-1490, 1543-1544) and the registry conflicts at rows 1463/1465, 1485, 1517/1518, 1519, 1523/1526, 2085, 2119-2121.</t>
  </si>
  <si>
    <t>Sent the 7th image pair — new: South Building Level 1 Section B1.1; old: North Building Level 1 Section A2.2.</t>
  </si>
  <si>
    <t>B1.1: filled 34 blank VAV rows (1566-1594, 1624-1631) + FCU1501/1502 (2130-2131); appended 46 AT tags (2709-2754). A2.2: filled FCU5986 (2076) and VAV4650 (1842); appended 67 rows (2755-2821) = 42 AT, 7 EV, 18 lab valves. Flagged 12 rows yellow.</t>
  </si>
  <si>
    <t>ERROR MADE AND CORRECTED: I wrote to FCU5983 (row 2073) and FCU5984 (row 2074) without reading them first - they already held 'Not Included / JC N-1139' and 'Included / Corridor N-1138'. I overwrote both with my own reading of the drawing (IDF N-1140 / JC N-1139), then restored the original values from the pre-write snapshot and flagged all three rows instead. Only FCU5986 was genuinely blank and kept a new value. Lesson: read FCU rows before writing, as several were populated in earlier sessions. Otherwise: NB_1F VAV5650-5940 rooms already matched the drawing closely, so those 38 AT twins inherited the registry room. Skipped valves embedded in VAV row names (VEV5601/5611/5622/5623/5631/5771/5781/5793/5795A/5801, EV5656/5716/5731/5736/5741/5761/5836). Unnumbered 'TAG 0.0' boxes on A2.2 could not be appended.</t>
  </si>
  <si>
    <t>7th pair complete and verified (rows 1566-1645, 1842, 2073-2076, 2130-2132, 2709-2822 re-read; 113 appended rows with no gaps; all 12 flag cells checked against tag names). Next append row = 2822. South Building Level 1 is now fully mapped except VAV0509 (row 1569) - no AT-0509 appears on either B1.1 or B1.2. Flagged: AT-0504, AT-0505, AT-0515, AT-0534, AT-0529, AT-5685 (registry calls N-1126 an Office, drawing calls it Corridor), AT-5840 and AT-5905 (registry gives both Office N-1163), EV-5686, VEV-5581 (label appears twice on drawing), VEV-5821, FCU1503 (row 2132 - B1.2 shows it at Stair 1, B1.1 shows it near FPC S-1108/UPS S-1107D), FCU5983/5984/5986. STILL OPEN: 21 blank NB GF VAV rows (1468, 1473-1490, 1543-1544) and conflicts at rows 1463/1465, 1485, 1517/1518, 1519, 1523/1526, 2085, 2119-2121.</t>
  </si>
  <si>
    <t>Sent the 8th image pair — new: South Building Level 1 Section A1.3; old: North Building Level 1 Section A2.3. Both are sparse core/lobby sections.</t>
  </si>
  <si>
    <t>A1.3: filled VAV2501 (row 1646, Lobby S-1201), FCU0501 (2127, Stair 2 S-1ST02) and FCU2501 (2133, Stair 3 S-1ST03); appended 2 AT tags (2822-2823 = AT-2501 Lobby S-1201, AT-2507 Female S-1204); corrected AT-0503 and AT-0505 rooms. A2.3: NO rows written - see details. Flagged 4 rows.</t>
  </si>
  <si>
    <t>Pre-read all three fill targets before writing this turn (lesson from turn 10) - all were genuinely blank. AT-0503 changed from NCIR Office S-1115 to Women S-1106B and AT-0505 from UPS S-1107D to Emergency Elec. S-1107B: A1.3 is the section that actually contains the S-1105/S-1106B/S-1107B core, AT-0502 already matched Vestibule S-1105, and 0502/0503/0505 form a clean sequence onto those three rooms. A2.3 yielded nothing appendable: every sensor box on it is an unnumbered 'TAG' with no tag ID, so there is nothing to key a registry row on. Separately, FCU-2004 appears SIX times on A2.3 (Stair 3 N-1ST03, Stair 4 N-1ST04, Normal Elec. N-1310, IDF N-1311, Mech/FPC N-1353A, Reception N-1355) all reading 25.3 C - one BMS point bound to six graphic boxes, so no new rows could be derived; flagged row 2708 instead.</t>
  </si>
  <si>
    <t>8th pair complete and verified (rows 1646, 2127, 2133, 2708, 2711-2713, 2822-2824 re-read; flag fills confirmed). Next append row = 2824. OPEN QUESTION raised: moving AT-0503 to Women S-1106B leaves NCIR Office S-1115 with no sensor and VAV0509 (row 1569) still blank - the B1.1 tag I read as AT-0503 in that office may actually be AT-0509. Needs user confirmation before writing. Flagged: AT-0503, AT-0505, AT-2501, FCU2004. STILL OPEN from earlier turns: 21 blank NB GF VAV rows (1468, 1473-1490, 1543-1544) and conflicts at rows 1463/1465, 1485, 1517/1518, 1519, 1523/1526, 2085, 2119-2121, 1889, 1910/1923, 2132, 2073/2074.</t>
  </si>
  <si>
    <t>Sent the 9th image pair — new: South Building Level 1 Section A1.2; old: North Building Level 1 Section B2.1.</t>
  </si>
  <si>
    <t>A1.2: filled 50 blank VAV rows (C/D 1647:1696 = VAV2502-VAV2553) and 4 FCU rows (2134-2137); appended 51 AT tags (2824-2874). B2.1: appended 79 rows (2875-2953) = 40 AT, 8 EV, 31 lab valves. 130 appended rows total. Flagged 22 rows yellow.</t>
  </si>
  <si>
    <t>Pre-read all 54 fill targets before writing - all confirmed blank, no overwrite. Verified fill alignment by spot-checking VAV2511=Office S-1212, VAV2536=Normal Elec. S-1251, VAV2553=Male Prayer S-1278 after the block write. B2.1 registry rooms matched the drawing throughout (VAV6650-6725 = N-1319 to N-1336, VAV6900-6970 = N-1357 to N-1371, VAV7865 = N-1461A), so those 34 AT twins inherited the registry room with no flags. VAV6630B/6631B were checked and already populated (Bio-Med Chem Lab 1 N-1316L) so were skipped, as were FCU6988/6989 which already read Service Corridor N-1337 and match the drawing. Corridor-run valves EV-6936/6961/6969 were assigned by the EV-pairs-with-VAV convention (Workstation N-1363/N-1368/N-1371) and flagged, since the dotted corridor they sit on carries no room number on this drawing.</t>
  </si>
  <si>
    <t>9th pair complete and verified (rows 1647-1696, 2080-2081, 2134-2137, 2824-2954 re-read; 130 appended rows with no gaps; all 22 flag cells checked against tag names). Next append row = 2954. Flagged: AT-2502/2503/2505/2506 and VAV2502/2503/2505/2506 (four lobby-band sensors with no room label of their own - all assigned Lobby S-1202), AT-2552/VAV2552 (label appears twice on A1.2), AT-4260 (4000-series tag on a South Building drawing, assigned Men S-1254), FCU2502-2505, AT-7500, EV-7501, EV-6936/6961/6969, CEV-6581, FEV-6731. STILL OPEN: 21 blank NB GF VAV rows (1468, 1473-1490, 1543-1544); conflicts at rows 1463/1465, 1485, 1517/1518, 1519, 1523/1526, 2085, 2119-2121, 1889, 1910/1923, 2132, 2073/2074; and the AT-0503/AT-0509 vs NCIR Office S-1115 question (row 1569 still blank).</t>
  </si>
  <si>
    <t>Sent the 10th image pair — new: South Building Level 1 Section A1.1; old: North Building Level 1 Section B2.2.</t>
  </si>
  <si>
    <t>A1.1: filled 20 blank VAV rows (C/D 1697:1717 = VAV3504-VAV3524, leaving VAV3519 blank) and FCU3501 (row 2138, Stair S-1ST104); appended 28 AT tags (2954-2981). B2.2: appended 58 rows (2982-3039) = 42 AT, 8 EV, 8 lab valves. 86 appended rows total. Flagged 15 rows yellow.</t>
  </si>
  <si>
    <t>Pre-read all 22 fill targets and aborted-on-conflict guard was in the code; all were blank so nothing was overwritten. Verified alignment after the block write (VAV3504=Open Plan S-1229, VAV3514=Office S-1294, VAV3519 blank, VAV3524=Normal Elec. S-1238). VAV3519 left blank - no AT-3519 on the drawing. There are no VAV rows for AT-3501/3502/3503 or for the 2301-AT-02xx BACnet points, so those were appended only. B2.2 registry rooms matched the drawing throughout (VAV7620-7710 = N-1415 to N-1442, VAV7840-7960 = N-1458 to N-1480, and the N-1404x / N-1450x lab series), so all 42 AT twins inherited the registry room. RESOLVED an earlier flag: row 2085 FCU7790 was flagged in turn 8 because it carries the NB_1F tag but appeared on a Level 0 drawing - B2.2 (Level 1) now shows FCU-7790 at Stair 6 N-1ST06, matching the registry, so the NB_1F assignment looks correct and the Level 0 sighting was a graphic repeat. All seven NB_1F FCU rows (2085-2091) were already populated and match B2.2, so none were touched.</t>
  </si>
  <si>
    <t>10th pair complete and verified (rows 1697-1717, 2085-2091, 2138, 2954-3040 re-read; 86 appended rows with no gaps; all 15 flag cells checked against tag names). Next append row = 3040. Flagged: AT-3501 (sits under Lobby S-0294 which is a Level 0 room number on a Level 1 drawing), AT-3502, AT-3511/VAV3511, AT-3514/VAV3514 and AT-3520/VAV3520 (drawing carries TWO rooms labelled OFFICE S-1294 - one bottom-centre, one right of the stair), AT-0207/AT-0208, AT-7705 (registry room is just 'Expansion (Office)' with no number), EV-7663, EV-7712, CEV-7761, CEV-7791. NEW pre-existing issue spotted: rows 2034 and 2036 both give Flow Cyto N-1450C (VEV7751 and VEV7781) but the drawing puts VEV-7781 in iPS-TC N-1450F. STILL OPEN: 21 blank NB GF VAV rows (1468, 1473-1490, 1543-1544); conflicts at rows 1463/1465, 1485, 1517/1518, 1519, 1523/1526, 2119-2121, 1889, 1910/1923, 2132, 2073/2074, 2034/2036; and the AT-0503/AT-0509 vs NCIR Office S-1115 question (row 1569 still blank).</t>
  </si>
  <si>
    <t>Sent the 11th and final image pair — South Building Level 2 and North Building Level 2. Both are plant / penthouse levels.</t>
  </si>
  <si>
    <t>SB L2: filled all 20 blank FCU rows (C/D 2139:2158 = FCU0201-0208, FCU1201/1202, FCU2201-2210), all Not Included. NB L2: appended 10 rows (3040-3049) = 8 AT and 2 EV tags for the electrical and IDF rooms. NB L2 FCU rows (2092-2102) already populated and matching, so untouched. Flagged 6 rows yellow.</t>
  </si>
  <si>
    <t>Pre-read the 20 SB targets with an abort-on-conflict guard; all blank. Verified alignment after the write (FCU0201=South Penthouse S-2101, FCU1201=IDF S-2102, FCU2204=Emerg. Elec. S-2105, FCU2210=IDF S-2107). AT-5930 and AT-5940 also exist as NB_1F rows with different rooms (Office N-1170 / Workstation N-1165); the NB_2F prefix keeps them distinct, and the registry's own VAV5930P (row 1929, Normal Elec. N-2105) and VAV5940P (row 1932, Emer. Elec. N-2106) confirm the Level 2 penthouse assignment is right. AHUs (8011-8026, 8512-8521), ERUs (8531-8541) and EFs (8011A, 8012A, 8041-8044, 8551-8554) were NOT written - continuing the decision made early in this project that AHU-class plant does not serve a single room. If those should be registered, they need a separate pass.</t>
  </si>
  <si>
    <t>Final pair complete and verified (rows 2092-2102, 2139-2158, 3040-3050 re-read; 10 appended rows with no gaps; row 3050 empty; all 6 flag cells checked against tag names). Next append row = 3050. Flagged: FCU0204, FCU2201, FCU2202, FCU2203, FCU2205, FCU2210 - the penthouse FCUs sit in open plant space with no room boundary, so the split between South Penthouse S-2101 and the adjacent Emerg. Elec./IDF rooms is a best-guess. ALL 11 IMAGE PAIRS NOW PROCESSED. OUTSTANDING WORK FOR NEXT SESSION: (1) 21 blank NB GF VAV rows - 1468, 1473-1490, 1543-1544; (2) registry conflicts at rows 1463/1465, 1485, 1517/1518, 1519, 1523/1526, 2119-2121, 1889, 1910/1923, 2132, 2073/2074, 2034/2036; (3) AT-0503 vs AT-0509 and NCIR Office S-1115, row 1569 still blank; (4) SB L1 VAV3519 (row 1712) blank, no AT-3519 on any drawing; (5) unnumbered TAG boxes on NB A2.3, B2.1 and B2.2 that carry no tag ID; (6) AHU/ERU/EF plant equipment unregistered.</t>
  </si>
  <si>
    <t>Re-sent all 18 drawings and asked me to tackle outstanding items 1 to 3: the blank North Building GF VAV rows, the 12 registry conflicts, and the AT-0503 / AT-0509 / NCIR Office S-1115 question.</t>
  </si>
  <si>
    <t>Item 1: filled 19 blank NB GF VAV rows (1468, 1473-1484, 1486, 1488-1490, 1543-1544). Item 2: corrected 13 conflicting rows (1463, 1465, 1485, 1517, 1519, 1523, 1526, 1889, 1910, 2036, 2074, 2119, 2120) and synced 9 dependent appended rows (2565, 2567, 2569, 2572, 2711, 2762, 2775, 2797). Item 3: filled VAV0509 (row 1569). Bonus: filled FCU0502/FCU0503 (2128-2129) from B1.1. Cleared 21 resolved flags, set 11 remaining. Added 16 cell notes recording the evidence for each change.</t>
  </si>
  <si>
    <t>Two swaps were confirmed by temperature, not just position: AT-6220 reads 18.1 C and AT-6205 reads 20.8 C, so VAV6220 is the Emergency Elec. N-0333 unit and VAV6205 the Conference N-0331 unit (rows 1463/1465 were reversed); AT-7185 reads 15.0 C, so VAV7185 is the Emer. Elec. Room N-0433 unit and VAV7215 serves Office N-0438 (rows 1523/1526). Three duplicate-room errors resolved: VAV7145 was sharing N-0427 with VAV7155 (now N-0425); VAV5840 was sharing N-1163 with VAV5905 - A2.2's bottom office band has exactly 17 tags for 17 rooms with AT-5840 left over sitting on the Corridor N-1150 run, so VAV5840 is the corridor unit; VEV7781 was sharing Flow Cyto N-1450C with VEV7751 (now iPS-TC N-1450F). Row 2132 FCU1503 needed no change at all - my turn-10 flag was a misreading of B1.1, which actually shows FCU-0502 and FCU-0503, and filling those two was the bonus. VAV0509 was resolved by elimination rather than read off a drawing, and is flagged with a note saying so.</t>
  </si>
  <si>
    <t>Items 1-3 complete and verified (all 38 changed rows re-read; NB GF rows 1468-1490 and 1543-1544 now have zero blanks; the entire South Building Level 1 block 1566-1696 now has zero blanks; flag colours spot-checked against tag names). REMAINING OPEN: (a) row 2121 FCU7983 - reads Service Corridor N-0344 but does not appear on any drawing supplied, still flagged; (b) VAV6295 (1468), VAV6320 (1473), VAV6410 (1490) - filled but flagged, positions are best-guess; (c) VAV0509 (1569) and AT-0503 (2711) - flagged, need the BMS point list to settle whether the S-1115 sensor is AT-0503 or AT-0509; (d) FCU0502/0503 (2128-2129) flagged on position; (e) SB L1 VAV3519 (row 1712) still blank, no AT-3519 on any drawing; (f) unnumbered TAG boxes on NB A2.3, B2.1, B2.2 need IDs from the mechanical drawings or point list; (g) AHU / ERU / EF plant equipment still unregistered.</t>
  </si>
  <si>
    <t>Switched to the QNL section (rows 766-1165). Sent IMG_9606.jpeg (Honeywell HMI, QNL Second Floor Zone-1 Part-1). New rules: use the Key Plan zone name + image name in parentheses when a room number is absent, mark those Included and highlight red; highlight uncertain rows yellow; only technical/executive rooms are Not Included. Follow-up: CAV/FEV/VEV tags found on drawings must be appended above the SSC section.</t>
  </si>
  <si>
    <t>Filled C/D for VAV_2F_S12_001-029, _097 (rows 975-1004), VAV_2F_S13_004 (row 1008) and FCU_2F_005 (row 850). Applied red fill to the 20 zone-named rows and yellow to the 2 uncertain/technical rows. Located the QNL/SSC boundary for future CAV/FEV/VEV inserts.</t>
  </si>
  <si>
    <t>Rows 975-994 (VAV_2F_S12_001-020) sit in the unlabelled open library floor, so all 20 got 'Second Floor Zone-1 Part-1 (IMG_9606.jpeg)' per the new Key Plan rule (Current View = Part-1), Included, red fill. Named rooms mapped left-to-right along the top office band: 021 Breakout Space, 022 Circulation Office, 023 + 024 Office Space Col., 025 Transl. Spc &amp; ED Publications Spc.; group study band: 026 Room 5, 029 Room 6, 027 Room 7, 097 Room 8; S13_004 Open Office. FCU_2F_005 = MDF Room, Not Included as a technical room, flagged yellow. VAV_2F_S12_028 sits between the two Office Space Col. cells and Transl. Spc with no clear boundary - given a dual name and flagged yellow. QNL section confirmed as rows 766-1165 with the SSC header at row 1166; QNL currently holds only AHUB, FCU and VAV prefixes (no CAV/FEV/VEV rows exist yet).</t>
  </si>
  <si>
    <t>Verified by re-reading A970:D1010 and C850:D850 - values and fill colours confirmed. NOT WRITTEN this turn (right edge of the photo is cut off, rooms not fully readable): VAV_2F_S13_005/006/009/011/012/013 and VAV_2F_S10_001/002/004/005 - awaiting a clearer or adjacent view. No CAV/FEV/VEV tags appear on IMG_9606, so no rows were appended; when they do appear they will be inserted at row 1166, immediately above the SSC header.</t>
  </si>
  <si>
    <t>Second image: IMG_9608.jpeg - QNL Honeywell HMI, 'Second Floor Zone-2-P1' (Key Plan: Second Level, Current View = Part-1). Fill in the QNL section using the same rules as the first image.</t>
  </si>
  <si>
    <t>Filled C/D for 33 rows: VAV_2F_S10_003 (971), _006 (974); VAV_2F_S13_001/002/003/008/010/015/016 (1005-1020); VAV_2F_S14_001-014 (1021-1034) and _016-020 (1036-1040); VAV_2F_S15_001-005 (1042-1046). Red fill on the 21 zone-named rows, yellow on 2 rows needing review.</t>
  </si>
  <si>
    <t>Named rooms read left-to-right off the executive/admin band: S13_010 + S13_015 = Ad. Admin &amp; Planning, S13_008 = Office Coord., S13_001 + S13_002 = Lib. Director's Room, S13_003 = Service &amp; Lounge, S13_016 = VIP Waiting, S15_001-004 = VIP Room, S15_005 = VIP Meeting. Applied the executive-room rule: Lib. Director's Room, VIP Room, VIP Waiting and VIP Meeting all set to Not Included (7 rows). Ad. Admin &amp; Planning set to Included but flagged yellow - it sits inside the same executive suite band and may be an executive office rather than a staff office, so it needs your call. The whole right-hand grid (S14_001-014, _016-020) and the two S10 units on the left have no room label on the drawing, so all 21 got 'Second Floor Zone-2 Part-1 (IMG_9608.jpeg)' per the Key Plan rule, Included, red fill.</t>
  </si>
  <si>
    <t>Verified by re-reading A971:D1046 - tags, values and fill colours all confirmed against the intended mapping. NOT WRITTEN (cropped off the right edge of the photo): VAV_2F_S14_015 (row 1035) and VAV_2F_S14_021 (row 1041) - their tags are cut off mid-label. Also still outstanding from image 1: VAV_2F_S13_005/006/009/011/012/013 and VAV_2F_S10_001/002/004/005. No CAV, FEV or VEV tags on this drawing either, so no rows appended above the SSC header (row 1166).</t>
  </si>
  <si>
    <t>Third image: IMG_9610.jpeg - QNL Honeywell HMI, 'Second Floor Zone-3-P1' (Key Plan: Second Level, Current View = Part-1). Fill in the QNL section using the same rules.</t>
  </si>
  <si>
    <t>Filled C/D for 2 rows: FCU_2F_043 (row 860) and FCU_2F_044 (row 861), both set to Included / 'Display Area'. No highlight applied.</t>
  </si>
  <si>
    <t>This view is almost empty - only two FCU tags and a single blue room label, 'Display Area', are present. Both FCUs sit inside the same wall-bounded open hall as that label (between the vertical wall runs at either side), so the real room name was used rather than the Key Plan zone fallback, meaning no red highlight was needed. Display Area is a public library space, so neither the technical-room nor the executive-room exclusion applies and both are Included. Row positions confirmed by reading A846:A880: the FCU_2F block runs 001-005 at rows 846-850 then jumps to 034-062 at rows 851-879, which puts 043 at 860 and 044 at 861.</t>
  </si>
  <si>
    <t>Verified by re-reading A860:D861 as rendered text - both rows show the correct tag, Included, and Display Area. Judgement call flagged to the user in chat rather than with a yellow fill: the 'Display Area' label sits a fair distance from the two tags in a sparse drawing, so it is worth a glance on review. Outstanding backlog unchanged: VAV_2F_S14_015 (1035), VAV_2F_S14_021 (1041), VAV_2F_S13_005/006/009/011/012/013, VAV_2F_S10_001/002/004/005. Still no CAV, FEV or VEV tags seen on any drawing so far, so nothing appended above the SSC header at row 1166.</t>
  </si>
  <si>
    <t>Fourth image: IMG_9611.jpeg - QNL Honeywell HMI, 'Second Floor Zone-3-P2' (Key Plan: Second Level, Zn-3, Current View = Part-2). Fill the QNL section using the established rules.</t>
  </si>
  <si>
    <t>Filled C/D for 18 FCU rows: FCU_2F_034-040 (851-857), _045-055 (862-872). All set Included. Yellow flag on 2 rows (866, 869). No red/zone-named rows needed - every device on this view sits in a labelled room.</t>
  </si>
  <si>
    <t>Auditorium is the large room top-centre and holds 7 units: FCU_2F_034-040 (rows 851-857). The middle block carries two 'Group Study Room' labels (one above, one below) with FCU_2F_045, _046, _047 inside - all three named Group Study Room since both labels read identically. The right block is split into a rest-room column and an individual-study column, top and bottom: FCU_2F_048 = Rest Room (Men), _051 = Rest Room (Women), _050 and _053 = Indiv. Study Room. Bottom of view: FCU_2F_054 and _055 = Lounge Area. Rest rooms, lounge, auditorium and study rooms are all public library spaces - none are technical or executive - so nothing on this drawing is Not Included.</t>
  </si>
  <si>
    <t>Verified by re-reading A851:D872 - tags, values and fill colours all confirmed. FLAGGED YELLOW for review: FCU_2F_049 (row 866) and FCU_2F_052 (row 869) sit in a middle column between the rest rooms and the individual study rooms with no label directly above them, so each was given a dual name pending your decision. NOT WRITTEN: FCU_2F_041 (858) and _042 (859) do not appear on this view. Backlog still open: VAV_2F_S14_015 (1035), _021 (1041), VAV_2F_S13_005/006/009/011/012/013, VAV_2F_S10_001/002/004/005. Still no CAV, FEV or VEV tags on any drawing so far - nothing inserted above the SSC header (row 1166).</t>
  </si>
  <si>
    <t>Fifth image: IMG_9621.jpeg - QNL Honeywell HMI, 'Terrace Floor Zone-1-P1' (Key Plan: Terrace Level, Current View = Part-1). First terrace-level drawing; only 4 tags on the view.</t>
  </si>
  <si>
    <t>Filled C/D for 4 FCU rows, all Included: FCU_2F_060/061/062 (rows 877-879) = Recreational Area; FCU_2F_003 (row 848) = 'Book Shelf (IMG_9621.jpeg)' flagged yellow. No red rows - every sensor had a nearby drawing label.</t>
  </si>
  <si>
    <t>FCU_2F_060, _061 and _062 sit clearly inside the walled box carrying the 'Recreational Area' label, so those three were straightforward. FCU_2F_003 is the judgement call: it sits at the left end of the long open strip along the top of the terrace that carries three repeated 'Book Shelf' labels. That is a furniture/zone descriptor rather than a discrete room, and because the label repeats three times it does not uniquely identify a space - so it was named 'Book Shelf (IMG_9621.jpeg)' and flagged yellow rather than red, since a real drawing label does exist and the Key Plan fallback was not strictly triggered. Note the terrace level still uses the FCU_2F_ tag prefix, so terrace assets live inside the same FCU_2F block (rows 846-879) as the second floor - no separate terrace range.</t>
  </si>
  <si>
    <t>Verified by re-reading A877:D879 and A848:D848 as rendered text - tags, values and Included flags all confirmed. Open question raised with the user: whether 'Book Shelf' should stand as the room name or be replaced with the Terrace Zone-1 Part-1 Key Plan name. Backlog still owed: VAV_2F_S14_015 (1035), _021 (1041), VAV_2F_S13_005/006/009/011/012/013 (1009/1010/1013/1015/1016/1017), VAV_2F_S10_001/002/004/005 (969/970/972/973), plus FCU_2F_041 (858) and _042 (859). Also still pending user decision: middle-column rows 866 and 869 from IMG_9611, and the Ad. Admin &amp; Planning rows 1014/1019 from IMG_9608. Still zero CAV/FEV/VEV on any drawing so far.</t>
  </si>
  <si>
    <t>Sixth image: IMG_9622.jpeg - QNL Honeywell HMI, 'Terrace Floor Zone-2-P1' (Key Plan: Terrace Level, Current View = Part-1). Fill in the QNL section using the established rules.</t>
  </si>
  <si>
    <t>Filled C/D for 5 rows, all Included: FCU_2F_056-059 (rows 873-876) = Internal Terrace; FCU_2F_004 (row 849) = zone name, red fill. Confirmed tags in column A before writing.</t>
  </si>
  <si>
    <t>The four sensors FCU_2F_056-059 sit inside the walled box carrying the blue 'Internal Terrace' label, so that room name was used directly - no highlight needed. FCU_2F_004 sits alone in the upper open band at the top right of the drawing with no room or area label anywhere near it, so the Key Plan fallback applied: 'Terrace Floor Zone-2 Part-1 (IMG_9622.jpeg)', Included, red fill. Neither the technical-room nor executive-room exclusion applies to anything on this view. Row positions confirmed against the FCU_2F block: 034=851 so 056=873 ... 059=876, and 004=849.</t>
  </si>
  <si>
    <t>Verified by re-reading A849:D849 and A873:D876 - tags, values and fill colours all confirmed. Open question still unanswered from the previous turn: how to treat terrace open-plan furniture labels (Book Shelf, Carrels, Media Station, Computer Station, Open Seating) - use the label as-is or fall back to the Key Plan zone name. Row 848 remains yellow pending that decision. Backlog owed: FCU_2F_041 (858), _042 (859), VAV_2F_S14_015 (1035), _021 (1041), VAV_2F_S13_005/006/009/011/012/013, VAV_2F_S10_001/002/004/005. Pending user decisions: rows 866/869 middle column, rows 1014/1019 Ad. Admin &amp; Planning. Still zero CAV/FEV/VEV on any drawing, so nothing appended above the SSC header (row 1166).</t>
  </si>
  <si>
    <t>Seventh image: IMG_9624.jpeg - QNL Honeywell HMI, 'Terrace Floor Zone-3-P1' (Key Plan: Terrace Level, Zn-3, Current View = Part-1). Fill in the QNL section.</t>
  </si>
  <si>
    <t>Filled C/D for a single row: FCU_1F_001 (row 781) = Included / 'Scholarly Journals (IMG_9624.jpeg)', yellow flagged pending the terrace naming decision.</t>
  </si>
  <si>
    <t>This view has only one tag on the whole drawing. Note the prefix is FCU-1F-001, not FCU-2F - the terrace level draws on both the FCU_1F and FCU_2F blocks, so row lookup was confirmed by reading A780:B782 (FCU_1F_001 = row 781, immediately after AHUB015 at row 780). The only nearby label is 'Scholarly Journals', which is a collection/furniture-area descriptor of the same kind as 'Book Shelf' on row 848 - not a discrete room. Handled it identically to row 848: used the drawing label with the image name appended and flagged yellow, so both rows can be flipped together once the user decides whether terrace furniture labels count as room names or should fall back to the Key Plan zone name. Included, as it is neither a technical nor an executive room.</t>
  </si>
  <si>
    <t>Verified by re-reading A781:D781 as rendered text - tag FCU_1F_001, Included, 'Scholarly Journals (IMG_9624.jpeg)' confirmed. No other tags on this view. Backlog still owed: FCU_2F_041 (858), _042 (859), VAV_2F_S14_015 (1035), _021 (1041), VAV_2F_S13_005/006/009/011/012/013, VAV_2F_S10_001/002/004/005. Awaiting user decisions on: terrace furniture-label policy (rows 848 and 781), rows 866/869 middle column, rows 1014/1019 Ad. Admin &amp; Planning. Still zero CAV, FEV or VEV tags across all seven drawings, so nothing appended above the SSC header (row 1166).</t>
  </si>
  <si>
    <t>Ninth image: IMG_9627.jpeg - QNL Honeywell HMI, 'Terrace Floor Zone-4-P2' (Key Plan: Terrace Level, Current View = Part-2). Fill in the QNL section.</t>
  </si>
  <si>
    <t>Filled C/D for 2 rows: FCU_2F_001 (846) and FCU_2F_002 (847), both Included with the Key Plan zone name and red fill.</t>
  </si>
  <si>
    <t>Only two tags on this view: FCU-2F-001 (39.9 C) and FCU-2F-002 (38.7 C), both sitting in the unlabelled triangular open corner at the left of the plan, inside the outer wall. The surrounding text on this floor is all repeated open-plan furniture descriptors (Carrels, Media Station, Computer Station, Open Seating) rather than room names, and none of them sits on top of either unit - the nearest, Carrels, falls between the two. Because those descriptors repeat many times across the terrace and cannot uniquely identify a location, both rows got 'Terrace Floor Zone-4 Part-2 (IMG_9627.jpeg)' per the Key Plan rule, Included, red fill. Note this differs from rows 848 and 781, where the unit did sit inside a single labelled strip so the drawing label was kept and flagged yellow instead - both approaches remain open pending the user's terrace naming decision.</t>
  </si>
  <si>
    <t>Verified by re-reading A846:D847 as rendered text - tags confirmed as FCU_2F_001 and FCU_2F_002, values and red fill correct. Backlog still owed: FCU_2F_041 (858), _042 (859), VAV_2F_S14_015 (1035), _021 (1041), VAV_2F_S13_005/006/009/011/012/013 (1009/1010/1013/1015/1016/1017), VAV_2F_S10_001/002/004/005 (969/970/972/973). Awaiting user decisions on: terrace furniture-label policy (rows 781, 848 and the approach used here), rows 866/869 middle column, rows 1014/1019 Ad. Admin &amp; Planning. No CAV, FEV or VEV tags on this drawing - none seen on any of the eight drawings so far, so nothing appended above the SSC header (row 1166).</t>
  </si>
  <si>
    <t>IMG_9587.jpeg - QNL Honeywell HMI, 'Basement Zone-1-P1' (Key Plan: Basement Level, Current View = Part-1). Largest drawing so far and the FIRST one containing CAV tags, which per the earlier instruction must be added above the SSC section.</t>
  </si>
  <si>
    <t>Filled C/D for 49 existing rows and INSERTED 2 new CAV rows. Existing: VAV_B_S11_001-046 (rows 1071-1116, minus _023 not on view), VAV_B_S13_001/002/006 (1117/1118/1122), FCU_B_002 (881). New: inserted rows 1166-1167 for CAV_B_S13_007 and CAV_B_S13_020 - the SSC section header consequently moved from row 1166 to row 1168.</t>
  </si>
  <si>
    <t>Basement row map confirmed by reading A1047:A1166: VAV_B_S10_001-024 = 1047-1070, VAV_B_S11_001-046 = 1071-1116, VAV_B_S13_001-008 = 1117-1124, VAV_B_S14 = 1125+, VAV_B_S15_013 = 1165. Small labelled offices mapped one-to-one: 024 Kitchen, 025 Storage, 026 Finance Cooridinator &amp; Business Support OFCR. (yellow leader arrow), 028 Analog Resources, 029 Digital Resources, 030+031 Budget &amp; Payment, 032+033 Ad Collection, 034 Engineering, 035 Arabic Sudies, 037 Art &amp; Humanities, 038 Procurement SPC, 039 Business Computing, 040 Social Sciences, 041 Literature Language, 042 Coordinator, 043-046 Receiving Area, 022 Corridor 1, S13_001+002 Meeting Room. VAV_B_S11_036 sits alone at the top of the drawing but has a yellow leader line running down and left to the 'Licensing Expert' label, so it was named from the leader rather than from proximity. Spellings kept exactly as drawn ('Cooridinator', 'Arabic Sudies'). Both CAVs set Not Included as technical rooms (MV Room-01 / MV Room-02) and flagged yellow. Row 1091 (VAV_B_S11_021) has no room label so it took the Key Plan name, Included, red.</t>
  </si>
  <si>
    <t>Verified by re-reading A1071:D1073, A1090:D1092, A1094:D1098, A1106:D1107, A1116:D1118, A1122:D1122, A881:D881 and A1163:D1170 - tags, values and the row insert all confirmed; SSC header now at 1168. YELLOW flagged for user review (7 rows + 2 CAV): 1071/1072/1081/1082 Break Out Area - the top open area carries TWO labels ('Break Out Area' and 'Tech, Services &amp; Collections Office') with no dividing wall between them, so the split point between VAV _002/_003 and _012/_013 is a judgement call; 1097 (VAV_B_S11_027) sits between the Finance and Budget &amp; Payment cells with no label above it; 1122 + 881 'Freeze Area' - unclear whether this counts as a technical/plant space (currently Included); 1166/1167 CAVs - inferred from proximity to the MV rooms. NOT WRITTEN: VAV_B_S11_023 (row 1093) is not shown on this view. Non-HVAC tags on the drawing (EF-B-09, GCP-01, SMDB, DX-B-xx, MV Panel-1/2/3, CPNL-0006, LCP-Z1, FWS/FWP-01) are out of scope. Future CAV/FEV/VEV inserts now go at row 1168.</t>
  </si>
  <si>
    <t>IMG_9588.jpeg - QNL Honeywell HMI, 'Basement Zone-1-P2' (Lower Level Floor Plan Zone-1 Part-2). Heavily plant-orientated view containing 15 new CAV tags plus 18 FCU_B tags and the one VAV that was missing from the previous drawing.</t>
  </si>
  <si>
    <t>Filled C/D for 19 existing rows and INSERTED 15 new CAV rows. Existing: FCU_B_003/006/007/008/009/011/012/013/014/027/028/031-037 (rows 882-916) and VAV_B_S11_023 (row 1093). New: inserted rows 1168-1182 and rewrote the whole CAV block A1166:D1182 in sorted tag order - the SSC section header moved from row 1168 to row 1183.</t>
  </si>
  <si>
    <t>FCU_B row map confirmed (FCU_B_00N = row 879+N, 001=880 ... 038=917). Plant/technical rooms set Not Included per the rule: Plant Room 1 (FCU_B_011/012 + CAV_B_S12_001/002/003), Plant Room 2 (FCU_B_013/014 + CAV_B_S13_010/011), Sprinklers Pumps (FCU_B_007 + CAV_B_S13_021), Server Room (CAV_B_S13_013/014/015), Fire Command (FCU_B_006 + CAV_B_S13_006/012), GAS Suppression (CAV_B_S13_008), IDF (FCU_B_003). Library spaces set Included: Sorting Shelving Room (FCU_B_027/028), Compact Shelving Main Collection (FCU_B_031), Shell Space-Special Collection (FCU_B_032/033/034/035), IT Office (FCU_B_036 - treated as a staff office, not a plant room), Corridor 2 (CAV_B_S13_001/002). FCU_B_003 was named from a yellow leader line running up to the IDF label rather than by proximity. The CAV block was rebuilt as a single sorted range so the two CAVs added last turn (S13_007, S13_020) now sit in tag order with the new ones; their names were kept and re-stamped with their source image (IMG_9587).</t>
  </si>
  <si>
    <t>Verified by re-reading A882:D888, A890:D893, A906:D916, A1093:D1093 and A1166:D1183 - all 36 rows, the 15-row insert and the new SSC header position at 1183 confirmed. YELLOW flagged for review (10 rows): 882 IDF and 916 Corridor (leader/proximity calls); 885 + 1172 + 1177 Fire Command - three units sit in the top strip shared by Fire Command, GAS Suppression and UPS Battery Room with no clear wall, so the split is inferred partly from leader lines; 1174 GAS Suppression (same strip); 1178 + 1179 Server Room - these two sit left of the Server Room label near MF-B-02 and may belong to a separate space; 1171 Corridor - sits between People Mover, Shell Space and the Corridor label; 1093 VAV_B_S11_023 - sits exactly on the Plant Room 1 / Plant Room 2 boundary, though both are technical so Not Included holds either way. RED (2 rows): 887 + 888 (FCU_B_008/009) are at the cropped right edge with no room label, so they took the Key Plan name. Out of scope on this drawing: AHU-B-xx, EF-B-xx, DX-B-xx, PDP, PCP, MF-B, CPNL, GWSHL, CC-B, ATS Panel, SWP, FP/JP. Future CAV/FEV/VEV inserts now go at row 1183.</t>
  </si>
  <si>
    <t>IMG_9589.jpeg - QNL Honeywell HMI, 'Basement Zone-2-P1' (Lower Level Floor Plan Zone-2 Part-1). Back-of-house / bindery view with 28 VAV_B_S14 tags and 5 new CAV tags.</t>
  </si>
  <si>
    <t>Filled C/D for 28 existing VAV rows (VAV_B_S14_001-016 = rows 1125-1140, _040-051 = rows 1141-1152) and INSERTED 5 new CAV rows at 1183-1187 (CAV_B_S14_001, _006, _007, CAV_B_S15_002, _003). SSC section header moved from row 1183 to row 1188. Everything on this drawing is Included - no technical or executive rooms carry a controllable tag here.</t>
  </si>
  <si>
    <t>Clean one-to-one mappings: S14_001 Office, _002 Office DG., _003 Office AD. For LIT, _004/_005/_006 Digitization Room, _007/_008 Shell Space, _009 Dry Store, _015 Reception &amp; Lounge. CAVs: S14_001 Loading Area, S14_006 Referigerate Store, S14_007 BOH Kitchen, S15_002 Corridor 5 (label sits directly beside it). Kept the drawing's own spelling 'Referigerate Store'. The Q-Tel Room, Telecom Room and MEP Kitchen are technical spaces but carry no VAV/CAV/FCU tag on this view, so nothing was set to Not Included. Out of scope: EF-B-xx, DX-B-17/18/19, SWP-05/06, CCU-B-01 to 04, LCP-Z2, DRS &amp; DTS, Calorifier.</t>
  </si>
  <si>
    <t>Verified by re-reading A1125:D1152 and A1180:D1190 - all 33 rows, the 5-row insert and the new SSC header position at 1188 confirmed. IMPORTANT DISCREPANCY logged as a cell note on D1129: the HMI label between VAV-B-S14-004 and VAV-B-S14-006 reads 'VAV-B-S11-005', but VAV_B_S11_005 (row 1075) was already assigned to Tech, Services &amp; Collections Office from IMG_9587.jpeg. Recorded positionally as VAV_B_S14_005 = Digitization Room and flagged yellow - user to confirm the correct tag. OTHER YELLOW FLAGS (9 rows total): 1136/1137/1144/1145/1150/1151 - 'Fine Binding' and 'Binding &amp; Preservation Space' label one large open area with no dividing wall, so the left/right split of the 16 units in that room is a judgement call and these six sit nearest the split point; 1140 (S14_016) sits below the Reception &amp; Lounge cell near the DRS &amp; DTS panel; 1141 (S14_040) is drawn outside the plan at the bottom and was named from its yellow leader line running up into the BOH Kitchen; 1187 (CAV_B_S15_003) sits well above the Corridor 5 label and may belong to the bindery instead.</t>
  </si>
  <si>
    <t>IMG_9591.jpeg - QNL Honeywell HMI, 'Basement Zone-3-P1' (Lower Level Floor Plan Zone-3 Part-1). Heritage/researcher entrance sequence. The whole plan is drawn on a 45-degree diagonal, which makes label-to-device proximity much less reliable than on the orthogonal views.</t>
  </si>
  <si>
    <t>Filled C/D for 16 existing rows, all Included: VAV_B_S10_020-023 (rows 1066-1069), VAV_B_S15_001-009 (rows 1153-1161), VAV_B_S15_013 (row 1165), FCU_B_029 (row 908), FCU_B_038 (row 917). No CAV, FEV or VEV tags on this drawing, so no rows were inserted and the SSC header stays at row 1188.</t>
  </si>
  <si>
    <t>Confident mappings: S10_020/021 Reserchers Reading Area, S10_023 Entry, S15_008 Vestibule, S15_013 Reserchers &amp; Doc. RCRDS MGMT (yellow leader lines link the tag and that label across the drawing), FCU_B_029 Heritage Collection Entrance, FCU_B_038 Pantry (named from its yellow leader, since the tag itself sits outside the room outline). Drawing spellings preserved exactly: 'Reserchers Reading Area', 'Loby and Security', 'Reserchers &amp; Doc. RCRDS MGMT'. Nothing was set to Not Included - the only technical space on the view is the IDF Room and it carries no controllable tag. FCU_B_038 displays '??????' rather than a temperature, recorded as a cell note on D917.</t>
  </si>
  <si>
    <t>Verified by re-reading A908:D908, A917:D917, A1066:D1069, A1153:D1161 and A1165:D1165 - all values and notes confirmed. YELLOW flagged (9 rows): 1153/1157/1158 Prof. Librarian and 1154/1155/1156/1159 Loby and Security - these seven S15 units sit in the diagonal entrance band where Entry, Prof. Librarian, Loby and Security, Vestibule and Pantry are packed close together and the 45-degree rotation makes nearest-label assignment unreliable, so the split between Prof. Librarian and Loby and Security needs user confirmation; 1068 (S10_022) sits below the Reserchers Reading Area label and may belong to the adjacent space; 1161 (S15_009) Asst. Head is flagged for the INCLUSION question rather than the name - it is a management office and may qualify as an executive room, currently left Included, cell note added to D1161. NOT WRITTEN: VAV_B_S15_010/011/012 (rows 1162-1164) do not appear on this view.</t>
  </si>
  <si>
    <t>IMG_9592.jpeg - QNL Honeywell HMI, 'Basement Zone-3-P2' (Lower Level Floor Plan Zone-3 Part-2). Sparse view: mostly plant equipment plus the executive suite at the top. Contains the three S15 VAVs that were left blank from the previous drawing.</t>
  </si>
  <si>
    <t>Filled C/D for 4 existing rows: VAV_B_S15_010/011/012 (rows 1162-1164) and FCU_B_001 (row 880). No CAV, FEV or VEV tags on this drawing, so no rows inserted and the SSC header stays at row 1188. The VAV_B_S15 block (rows 1153-1165) is now complete.</t>
  </si>
  <si>
    <t>Applied the executive-room rule: VAV_B_S15_010 = Director Head and VAV_B_S15_012 = VIP Majlis, both Not Included, consistent with how Lib. Director's Room / VIP Room / VIP Meeting were treated on the second floor. Room names sit just below-right of each sensor's T circle on this drawing, which is what drove the assignment. Note the 'Asst. Head' label appears on BOTH this view and Zone-3-P1 - it is the same room seen across the Part-1 / Part-2 boundary, already recorded against VAV_B_S15_009 (row 1161), so it was not duplicated here. Out of scope on this drawing: UPS Panel, EF-B-12, FWP-05/06, PHX-B-01 to 04, CHWP-1/2/3/4, PU-B-01, CPNL-0005, LCP-Z3. Plant Room 4, Ventilation, Air Shaft, Maintanance and Corridor are labelled but carry no controllable tag, so nothing else was set to Not Included.</t>
  </si>
  <si>
    <t>Verified by re-reading A880:D880 and A1161:D1165 - values, fills and notes confirmed. YELLOW (1 row): 1163 (VAV_B_S15_011) sits between the Director Head and VIP Majlis labels with no clear wall; assigned to VIP Majlis, though both candidates are executive so Not Included holds either way. RED (1 row): 880 (FCU_B_001) is drawn outside the plan outline on the left with NO leader line to any room, so it took the Key Plan name and was auto-Included per the agreed rule - however its two nearest labels are 'IDF Rooom' and 'VIP Restroom', and BOTH of those would make it Not Included (technical / executive). This is the one row on this drawing where the standing rule and the likely reality disagree, so a cell note was added to D880 asking the user to confirm. Two 'VIP Restroom' labels with upward yellow leader arrows exist on the view but neither points at a controllable tag.</t>
  </si>
  <si>
    <t>IMG_9593.jpeg - QNL Honeywell HMI, 'Basement Zone-4-P1' (Lower Level Floor Plan Zone-4 Part-1). Almost entirely empty view - the bulk of it is the Compact Shelving Main Collection stacks and the Vault / Heritage Collection block, none of which carry controllable tags.</t>
  </si>
  <si>
    <t>Filled C/D for 1 existing row: FCU_B_005 (row 884) set to Not Included / 'HL Plant Room'. No CAV, FEV or VEV tags on this drawing, so no rows inserted and the SSC header stays at row 1188.</t>
  </si>
  <si>
    <t>FCU_B_005 was named from its yellow leader line rather than by proximity: the 'HL Plant Room' label sits below-left of the tag and runs a leader right then up into the small room at the apex of the diagonal wall, and the CCU-1,2,3,4,5,6 block leaders into the same space. HL Plant Room is a plant/technical room, so the technical-room rule applies and it was set Not Included. No highlight was needed - the leader makes the assignment unambiguous. Labelled but untagged on this view: Compact Shelving Main Collection (x2), Vault, Heritage Collection. Out of scope: CCU-1,2,3,4,5,6.</t>
  </si>
  <si>
    <t>Verified by re-reading A884:D884 as rendered text - FCU_B_005 / FCU / Not Included / HL Plant Room confirmed. No yellow or red flags raised on this drawing. Outstanding backlog unchanged: FCU_2F_041 (858), FCU_2F_042 (859), VAV_2F_S14_015 (1035), VAV_2F_S14_021 (1041), VAV_2F_S13_005/006/009/011/012/013 (1009/1010/1013/1015/1016/1017), VAV_2F_S10_001/002/004/005 (969/970/972/973). Pending user decisions carried forward: terrace furniture-label policy (rows 781, 848 vs 846/847), rows 866/869 middle column, rows 1014/1019 Ad. Admin &amp; Planning, row 1129 VAV-B-S11-005 vs S14-005 tag conflict, Fine Binding / Binding &amp; Preservation split, row 1161 Asst. Head executive question, row 880 FCU_B_001.</t>
  </si>
  <si>
    <t>IMG_9594.jpeg - QNL Honeywell HMI, 'Basement Zone-4-P2' (Lower Level Floor Plan Zone-4 Part-2). Plant-heavy view: Plant Room 4, PH Plant, Pump Room, FM Storage and the misting/storage cluster off Corridor 6.</t>
  </si>
  <si>
    <t>Filled C/D for 11 existing FCU rows: FCU_B_004 (883), _018/_019/_020/_021 (897-900), _022/_023 (901-902), _024 (903), _025/_026 (904-905), _030 (909). Seven set Not Included as technical rooms, four Included. No CAV, FEV or VEV tags on this drawing, so no rows inserted and the SSC header stays at row 1188.</t>
  </si>
  <si>
    <t>Technical rooms set Not Included per the rule: Plant Room 4 (FCU_B_018/019/020/021 - the room also holds AHU-B-01/05/06/07/08, EF-B-03, GWSHL-B-05, LCP-Z4, CPNL-0004), PH Plant (FCU_B_024, room holds PPSP-01 to 06), Pump Room (FCU_B_030), Misting System (FCU_B_026). Included: FM Storage (FCU_B_004/022/023) and Storage (FCU_B_025) - storage areas are neither technical plant nor executive, so they stay in scope. FCU_B_025 and _026 are drawn BELOW the plan outline and were placed using their yellow leader lines, which run up into the two small rooms off Corridor 6 labelled 'Storage' and 'Misting System'. Out of scope on this drawing: AHU-B-xx, EF-B-03, GWSHL-B-04/05, PDS/PDP-03/05, PPSP-01 to 06, MBP-01, LCP-Z4, CPNL-0004, CC-B-10/11, SWP-11/12, ST-12.</t>
  </si>
  <si>
    <t>Verified by re-reading A883:D883 and A897:D909 as rendered text - all 11 rows confirmed. YELLOW flagged (3 rows): 883 (FCU_B_004) sits OUTSIDE the FM Storage wall on the left with no leader line, assigned to FM Storage as the nearest room but unconfirmed; 904 (FCU_B_025) and 905 (FCU_B_026) - both are drawn outside the plan and their leaders terminate very close together at the Storage / Misting System pair, with the 'Corridor 6' label sitting directly between the two leader lines, so the Storage vs Misting System vs Corridor 6 split is a judgement call. This matters for classification, not just naming: FCU_B_025 was left Included as Storage while FCU_B_026 was set Not Included as Misting System, so if the pairing is reversed the inclusion flips too. FCU_B block status: 34 of 38 rows now filled; still blank are FCU_B_010 (889), _015 (894), _016 (895) and _017 (896), none of which have appeared on any drawing yet.</t>
  </si>
  <si>
    <t>IMG_9596.jpeg - QNL Honeywell HMI, 'First Floor Zone-1-P1' (First Level Floor Plan Zone-1 Part-1). First drawing from the first floor and the first to contain CAV_1F tags. Dense teaching/study view with 26 VAV_1F_S11, 8 VAV_1F_S15, 6 CAV_1F_S11 and one FCU_1F.</t>
  </si>
  <si>
    <t>Filled C/D for 34 existing rows and INSERTED 6 new CAV rows. Existing: VAV_1F_S11_001-022 (rows 919-940), _088/_089/_090 (942-944), VAV_1F_S15_005/006/007/008 (949-952), _012 (956), _039S (964), _096/_097 (966-967), FCU_1F_002 (782). New: inserted rows 1166-1171 for CAV_1F_S11_001/002/006/007/008/009, placed AHEAD of the CAV_B block to keep the CAV section in tag order. CAV block now spans 1166-1193 and the SSC header moved from row 1188 to row 1194.</t>
  </si>
  <si>
    <t>Clean mappings: Group Study Room1/2/3/4 (S11_001/002/003/022), Computer Classroom (S11_014-021, eight units in the right-hand teaching block), Childeren Library (S15_006/007/008 + CAV_1F_S11_009), Multipurpose Room (S15_096/097), Staff Office (S15_039S), Security Room (CAV_1F_S11_001), Open Reading Area (CAV_1F_S11_006). Drawing spellings preserved: 'Infor. Lteracy Instr.1/2', 'Childeren Library'. EXECUTIVE RULE APPLIED: VAV_1F_S15_005 = Head Librarian Office set Not Included, consistent with Lib. Director's Room and Director Head. Everything else on this view is Included. FCU_1F_002 named from its yellow leader line running down to the ICT Room (Women) label. Out of scope: EF-1-02C, LCP-Z1, ST-01, ST-16, L-1, L-2.</t>
  </si>
  <si>
    <t>Verified by re-reading A782, A919:D944, A949:D952, A956, A964:D967 and A1164:D1196 - all 40 rows, the 6-row insert and the new SSC header position at 1194 confirmed. YELLOW flagged (9 rows): 922/923/924/928 - the Infor. Lteracy Instr.1 and Instr.2 labels sit one above the other over a single 2x5 grid of VAVs with no clear wall between them; split as 2 units to Instr.1 and 8 to Instr.2, which is uneven and needs confirmation; 956 (S15_012) sits below the Staff Office in an unlabelled pocket and was assigned to Childeren Library on proximity; 782 (FCU_1F_002) ICT Room (Women) - flagged for the INCLUSION question, currently Included as a public ICT space rather than a technical room; 1167 (CAV_1F_S11_002) leader points into the Rest Room / ICT block; 1169 (CAV_1F_S11_007) sits in the corridor gap between the Computer Classroom and the Head Librarian/Staff Office block, reading a notably cold 15.2; 1170 (CAV_1F_S11_008) sits exactly between the downward leader arrows for Infor. Lteracy Instr.1 and Computer Classroom, so it was given a dual name. RED (3 rows): 942/943/944 (S11_088/089/090) sit in the bottom-right run with no room label. NOT WRITTEN: VAV_1F_S11_087 (row 941) does not appear on this view.</t>
  </si>
  <si>
    <t>IMG_9598.jpeg - QNL Honeywell HMI, 'First Floor Zone-2-P1' (First Level Floor Plan Zone-2 Part-1). Restaurant / Front Kitchen / Public Service view with 12 new CAV_1F_S15 tags.</t>
  </si>
  <si>
    <t>Filled C/D for 11 existing rows and INSERTED 12 new CAV rows. Existing: FCU_1F_003 (783), FCU_1F_059-064 (839-844), VAV_1F_S15_009/010/011 (953-955), VAV_1F_S15_098 (968). New: inserted rows 1172-1183 for CAV_1F_S15_002/005/006/010/011/012/013/014/015/016/017/018, placed after the CAV_1F_S11 group. CAV block now spans 1166-1205 and the SSC header moved from row 1194 to row 1206.</t>
  </si>
  <si>
    <t>The Restaurant / Front Kitchen block was split by row: the bottom run of sensors sits level with the 'Front Kitchen' label (CAV_1F_S15_006 + FCU_1F_062/063/064) and everything above it belongs to the Restaurant (CAV_1F_S15_002/005/010/011/012/013/014/015 + FCU_1F_059/060/061). Both are Included - a kitchen is neither plant nor executive. Multipurpose Room (VAV_1F_S15_098) sits inside the circular room outline, unambiguous. FCU_1F_003 = IDF Room set Not Included as a technical room. The right-hand staff rooms on this view (Bibliographer1/2, Spec. Coll &amp; Arch, R&amp;L Services, AD. Public Service, REF. Librarian 1-12) carry NO controllable tags, so none were recorded. Out of scope: EF-2-01, EF-1-01C, L-3, L-4, ST-03.</t>
  </si>
  <si>
    <t>Verified by re-reading A783, A839:D844, A953:D955, A968 and A1170:D1207 - all 23 rows, the 12-row insert and the new SSC header position at 1206 confirmed. YELLOW flagged (3 rows): 783 (FCU_1F_003) sits between the 'Storage' label above and 'IDF Room' below; assigned IDF Room per this drawing's label-below-right convention, which also drives the Not Included call, so if it is actually Storage the classification flips; 1181 + 1182 (CAV_1F_S15_016/017) sit just outside the restaurant's right-hand wall in the circulation zone and were assigned to Public Service on proximity. RED (4 rows): 953/954/955 (VAV_1F_S15_009/010/011) sit in the unlabelled open area at top-left outside the room outline; 1183 (CAV_1F_S15_018) sits in an unlabelled pocket near the L-3/L-4 lifts, above the Media Studio / Storage strip. Cell note added to D1180: CAV_1F_S15_015 displays '??????' instead of a temperature - second sensor found showing this fault after FCU_B_038 (row 917).</t>
  </si>
  <si>
    <t>IMG_9599.jpeg - QNL Honeywell HMI, 'First Floor Zone-2-P2' (First Level Floor Plan Zone-2 Part-2). Media studios, prayer/ablution block and the lounge FCU bank. Also contains VAV_1F_S11_087, which was outstanding from IMG_9596.</t>
  </si>
  <si>
    <t>Filled C/D for 26 existing rows and INSERTED 2 new CAV rows. Existing: FCU_1F_027/029/030/031/032/033/034/035 (807-815), FCU_1F_047-050 (827-830), VAV_1F_S11_087 (941), VAV_1F_S15_001-004 (945-948), _021-025 (957-961), _038/_039/_040 (962/963/965). New: CAV_1F_S15_004 at row 1173 and CAV_1F_S15_019 at row 1185, both placed in sorted tag position. CAV block now spans 1166-1207 and the SSC header moved from row 1206 to row 1208. Everything on this drawing is Included.</t>
  </si>
  <si>
    <t>Clean mappings: Media Studio1 (S15_001/002), Storage (S15_003), Media Studio2 (S15_004), Prayer Room (Female) (S15_021/022), Prayer Room (Male) (S15_023), Lounge (FCU_1F_047/048/049/050). Prayer rooms, ablution rooms and lounges are all public spaces, so none of the exclusion rules apply. BACKLOG CLEARED: VAV_1F_S11_087 (row 941) was the tag missing from IMG_9596 and appears here in the unlabelled open area at top-left, so it took the Key Plan name for THIS drawing (Zone-2 Part-2) rather than Zone-1 Part-1. Out of scope: Structure Area, Special Events and People Mover Main Entrance are labelled but carry no controllable tags.</t>
  </si>
  <si>
    <t>Verified by re-reading A807:D815, A827:D830, A941:D948, A957:D965 and A1170:D1209 - all 28 rows, both inserts and the new SSC header position at 1208 confirmed. YELLOW flagged (14 rows): 807/809/810/811/812/813/814/815 - eight FCUs drawn OUTSIDE the building outline below the two 'Lounge' cells with no labels of their own; all given 'Lounge' since both labels read the same, but whether they serve the lounges at all needs confirming; 960 (S15_024) and 961 (S15_025) sit between Prayer Room (Male)/(Female) and the two Ablution rooms, whose labels are placed far right with long horizontal leader arrows, making the split uncertain; 962 (S15_038) assigned Ablution (Men) from the same leader cluster; 963 + 965 (S15_039/040) and 1173 (CAV_1F_S15_004) - three units surround the small 'Green Room' label from above, left and below, which is more units than a green room would normally need; 1185 (CAV_1F_S15_019) sits just below the Media Studio1 block, possibly in the corridor. RED (1 row): 941. TEMPERATURE ANOMALIES noted as cell notes: D830 FCU_1F_050 reads 41.7 C against ~17 C on its neighbours, and D947 VAV_1F_S15_003 reads 34.1 C in Storage. NOT WRITTEN: FCU_1F_028 (row 808) does not appear on this view despite sitting mid-sequence in the lounge bank.</t>
  </si>
  <si>
    <t>IMG_9600.jpeg - QNL Honeywell HMI, 'First Floor Zone-3-P1' (First Level Floor Plan Zone-3 Part-1). Unusual view: 19 FCU tags but the drawing carries only ONE piece of text, the word 'Enter' near the top - no room names anywhere.</t>
  </si>
  <si>
    <t>Filled C/D for 19 existing rows, all Included and all red: FCU_1F_014 (794), _016/_017/_018 (796-798), _020 (800), _022-_028 (802-808), _036-_040 (816-820), _051/_052 (831-832), _065 (845). No CAV, FEV or VEV tags, so no rows inserted and the SSC header stays at row 1208.</t>
  </si>
  <si>
    <t>Every one of the 19 sensors took the Key Plan name 'First Floor Zone-3 Part-1 (IMG_9600.jpeg)' and was auto-Included per the agreed rule, because the drawing contains no room labels at all. The only text on the plan is 'Enter', which marks a doorway rather than naming a room, so it was not used. The sensors are drawn as a free-floating grid over an open diagonal area with no room outlines around them, which is consistent with this being open library floor rather than cellular rooms. BACKLOG CLEARED: FCU_1F_028 (row 808) was noted last turn as missing from the lounge bank on IMG_9599 - it appears here instead.</t>
  </si>
  <si>
    <t>Verified by re-reading A794:D845 - all 19 rows carry the correct zone name, and spot-checked A794:D798, A805:D808 and A845 as rendered text. No yellow flags: with no labels present there is nothing ambiguous to flag, the whole set is red for your review. Rows deliberately left blank because those tags are not on this view: FCU_1F_015 (795), _019 (799), _021 (801). FCU_1F block status: 40 of 65 rows now filled; still blank are FCU_1F_004-013 (784-793), _015 (795), _019 (799), _021 (801), _041-046 (821-826) and _053-058 (833-838). Temperature spread on this view is wide - FCU_1F_018 reads 12.8 C and _020 reads 14.1 C against 21.2 C on _023 - but all are plausible for an open floor so no anomaly notes were added.</t>
  </si>
  <si>
    <t>IMG_9601.jpeg - QNL Honeywell HMI, 'First Floor Zone-3-P2' (First Level Floor Plan Zone-3 Part-2). Circulation / book-handling area: 23 FCU tags arranged as a free-floating grid over open floor with blue zone labels interleaved between the rows.</t>
  </si>
  <si>
    <t>Filled C/D for 23 existing FCU_1F rows: _004-_013 (784-793), _015 (795), _019 (799), _021 (801), _041-_046 (821-826), _053/_054 (833-834), _057/_058 (837-838). Seventeen Included, six Not Included as executive rooms. No CAV, FEV or VEV tags, so no rows inserted and the SSC header stays at row 1208.</t>
  </si>
  <si>
    <t>There are no room outlines on this view - the sensors sit in two column-pairs and the blue labels act as headers sitting ABOVE each group, so assignment was made by reading down from each label to the next one. Left pair: 'Access Service' heads the first two rows (FCU_1F_019/021/053/054), then 'Book Drop Off' heads the remaining four rows (FCU_1F_011/012/010/042/008/009/007/041). Right pair: 'Circulation Director' heads the first two rows (FCU_1F_015/013/045/046), then 'Book Exit Point' heads the rest (FCU_1F_006/005/044/043/004). 'ILL Director' heads the two units above everything else (FCU_1F_057/058). EXECUTIVE RULE APPLIED: ILL Director and Circulation Director both set Not Included, consistent with Head Librarian Office, Lib. Director's Room and Director Head. People Mover Main Entrance and Heritage Collection Entrance are labelled on the view but sit well away from any tag.</t>
  </si>
  <si>
    <t>Verified by re-reading A784:D795, A799:D801, A821:D826 and A833:D838 as rendered text - all 23 rows confirmed. YELLOW flagged (6 rows): 837/838 ILL Director and 793/795/825/826 Circulation Director. The flag is about GROUPING, not the executive call - assigning four sensors to a single 'Circulation Director' office and two to 'ILL Director' is a lot for cellular offices, which suggests these blue labels may mark open-plan functional zones (a director's desk area within the circulation floor) rather than enclosed rooms. If they are open zones rather than private offices, the Not Included classification on all six rows should be reversed. TEMPERATURE ANOMALY: cell note added to D837 - FCU_1F_057 reads 56.3 C, the highest reading seen on any QNL drawing so far, against 19.6 C on FCU_1F_058 directly beneath it; almost certainly a failed sensor. FCU_1F BLOCK NOW 63 of 65 FILLED - only FCU_1F_055 (835) and _056 (836) remain outstanding.</t>
  </si>
  <si>
    <t>IMG_9603.jpeg - QNL Honeywell HMI, 'First Floor Zone-4-P2' (First Level Floor Plan Zone-4 Part-2). Final image of the batch. Near-empty view with only two FCU tags. User indicated this was the last drawing, so a completeness sweep of the whole QNL section was run afterwards.</t>
  </si>
  <si>
    <t>Filled C/D for the final 2 FCU_1F rows: FCU_1F_056 (836) = Included / 'External Book Drop', and FCU_1F_055 (835) = Included / 'First Floor Zone-4 Part-2 (IMG_9603.jpeg)' in red. This completes the FCU_1F block (all 65 rows, 781-845). No CAV, FEV or VEV tags; SSC header remains at row 1208.</t>
  </si>
  <si>
    <t>FCU_1F_056 has its room name printed directly beneath the tag inside the same box outline ('External Book Drop'), which is the clearest label placement seen on any drawing so far - no ambiguity, no highlight. FCU_1F_055 sits alone in a small angled room at top-right with no label anywhere near it, so it took the Key Plan name and was auto-Included per the rule. The other two blue labels on the view, 'RP-06' and 'Main Entrance', are a ramp reference and an entrance marker rather than room names, and both sit far from either tag, so neither was used. FCU_1F_056 reads 13.4 C, which is consistent with an external book drop exposed to outside air.</t>
  </si>
  <si>
    <t>Verified by re-reading A835:D836 as rendered text. COMPLETENESS SWEEP of the full QNL section (rows 766-1207, 442 tags) found 381 filled and 61 still blank, broken down as: AHUB001-015 (766-780, 15 rows); FCU_2F_041/042 (858-859); FCU_B_010/015/016/017 (889, 894, 895, 896); VAV0001 (918); VAV_2F_S10_001/002/004/005 (969, 970, 972, 973); VAV_2F_S13_005/006/007/009/011/012/013/014 (1009-1018); VAV_2F_S14_015/021 (1035, 1041); VAV_B_S10_001-019 and _024 (1047-1065, 1070 - 20 rows); VAV_B_S13_003/004/005/007/008 (1119-1124). RAISED WITH USER: the 15 AHUB rows are a scope question, not a missing drawing - AHU-B-01 to AHU-B-13 were visible inside Plant Room 1, Plant Room 2 and Plant Room 4 on IMG_9588 and IMG_9594 but were treated as out of scope because the brief named VAV, FCU, CAV, FEV and VEV only. If AHUs are wanted they would all be Not Included as plant-room equipment. The largest genuine gap is VAV_B_S10 (20 rows) - only _020 to _023 have appeared on any drawing so far.</t>
  </si>
  <si>
    <t>New validation stream: sending Honeywell BMS screenshots to validate/correct/update QNL room names and inclusion status, noting column A tag formats differ but are distinguishable. First image IMG_9563.jpeg = VAV Summary Type-01, basement S11 units.</t>
  </si>
  <si>
    <t>Matched the 24 VAV/B/S11 units on the BMS screen to registry rows 1071-1094 and 1113-1116. Appended the BMS room codes (B001, B001A, B002, B008, B009) to column D and corrected VAV_B_S11_022/023. Changed C1093 from Not Included to Included, flagged C1093:D1093 yellow and added an explanatory note.</t>
  </si>
  <si>
    <t>Tag format maps as VAV/B/S11/nnn -&gt; VAV_B_S11_nnn. BMS location groups: 001-004 + 011-014 = Tech.Services Area B001 &amp; Break Out Area B001A (kept the registry's finer Break Out vs Tech Services split, only added the codes); 005-010 + 015-020 = Tech.Services Area B001; 024 = Kitchen B002; 043-046 = Receiving Area B008; 022 + 023 = Corridor Leading To Reception &amp; Lounge B009. The Location column in the photo is skewed progressively downward toward the bottom, so group boundaries were resolved using the registry's existing names as the cross-check (024=Kitchen and 043-046=Receiving already agreed, which anchors the alignment). Row 1091 (VAV_B_S11_021, 'Basement Zone-1 Part-1') is not on this screen and was left untouched, as were rows 1095-1112 (S11_025-042).</t>
  </si>
  <si>
    <t>Verified by re-reading A1071:D1094 and A1113:D1116 - all 24 room names and the C1093 inclusion change confirmed. ONE CONFLICT RAISED: VAV_B_S11_023 was 'Plant Room 1 / Plant Room 2 (IMG_9588.jpeg)' / Not Included from an earlier drawing; the BMS pairs it with 022 (Master/Slave) on the corridor, so it was updated to Corridor Leading To Reception &amp; Lounge B009 / Included and flagged yellow pending your confirmation. Awaiting the next BMS image.</t>
  </si>
  <si>
    <t>Asked why the TRANSPOSE(FILTER(...)) formula in 'SSC Room Names'!D45 — pulling matching Tag Nos from the Controllable Asset Registry into a horizontal list — always returns #N/A.</t>
  </si>
  <si>
    <t>Diagnosed the criteria range and rewrote D45 to wrap the comparison in IFERROR.</t>
  </si>
  <si>
    <t>Scanned 'Controllable Asset Registry'!E1214:E1332 for error values: exactly one, E1287 (#N/A), on VAV0063 whose room reads '(NOT FOUND ON DRAWING LEVEL 3)'. A single error anywhere in a FILTER include-array poisons the whole array, so FILTER returned #N/A regardless of the match. New formula: =TRANSPOSE(FILTER('Controllable Asset Registry'!$A$1214:$A$1332,IFERROR('Controllable Asset Registry'!$E$1214:$E$1332=C45,FALSE),"No Equipment in entity")). Chose IFERROR over patching E1287 so the formula is robust to future error rows; E1287 itself still needs an entity name.</t>
  </si>
  <si>
    <t>D45 now spills VAV0002, VAV0003, VAV0004 across D45:F45. Only D45 was changed — same fix should be copied to other rows in column D. Open item: E1287 in the Controllable Asset Registry is still #N/A.</t>
  </si>
  <si>
    <t>Sent IMG_9565.jpeg - Honeywell VAV Summary Type-01 (QNL). Asked me to take the VAV names from the 3rd column of the screen, find them in column A of the Controllable Asset Registry, and fill the Location text from the 1st column into column D.</t>
  </si>
  <si>
    <t>Matched all 27 VAV tags on the screen to registry rows. Filled the 5 rows whose column D was blank: D1068 (VAV_B_S10_009), D1071/D1072/D1073 (VAV_B_S10_012/013/014) and D1078 (VAV_B_S10_019). Left the other 22 rows untouched because they already held room names.</t>
  </si>
  <si>
    <t>Screen tag format VAV/B/S10/009 maps to registry format VAV_B_S10_009. Groupings read off the merged Location cells: S10/009 = CR6 Circulation; S10/012, 013, 014 = CR6 Conversation Work Area B.209; S10/019 = CR6 Prof Librarian B.208. Image name appended in parentheses per the established convention. CONFLICTS NOT OVERWRITTEN, needing your call: (1) VAV_B_S15_001 row 1166 registry says 'Prof. Librarian (IMG_9591.jpeg)' but this screen shows it under HC Lobby &amp; Vestibule B154; (2) VAV_B_S15_002/003/004 rows 1167-1169 say 'Loby and Security' vs screen 'HC Lobby &amp; Vestibule B154'; (3) VAV_B_S15_011/012 rows 1176-1177 say 'VIP Majlis' vs screen 'Basement Zone 3 HC VIP Majlis B148' - same room, different wording. Rows 1060-1067 + 1083 (Digitisation Area B.200), 1069/1070 (Technical Services B.204), 1074 (Instruction Outreach B.206), 1075-1077 (Multimedia Presentation B.205) and 1137 (Security Control Room B.105) all agree with the screen.</t>
  </si>
  <si>
    <t>5 blank cells filled and verified by re-reading A1068:D1068, A1071:D1073 and A1078:D1078. Awaiting your decision on the 7 VAV_B_S15 wording conflicts listed in Details.</t>
  </si>
  <si>
    <t>Sent IMG_9564.jpeg - Honeywell VAV Summary Type-01 page P2 (QNL). Same task as the previous screen: match the VAV names to column A of the Controllable Asset Registry and write the Location into column D, and highlight all the matched rows in blue.</t>
  </si>
  <si>
    <t>Matched all 26 VAV tags from the screen, wrote the screen Location into column D for each, and applied a blue fill (#BDD7EE) across A:D on all 26 rows. Rows touched: 1104, 1108, 1132, 1133, 1135, 1141-1143, 1146-1149, 1152-1165.</t>
  </si>
  <si>
    <t>Adopted the naming convention you applied by hand earlier this session: dropped the 'Basement Zone N' prefix and punctuated the room number as B.xxx, no image-name suffix. Screen typo 'Presrvation' corrected to 'Preservation' to match existing sheet spelling; 'Boh Kitchen' written as 'BOH Kitchen' for the same reason. Location groupings read off the merged cells, allowing for the row drift in the Honeywell page: S14_040 = BOH Kitchen B.044 (standalone) and S13_003/004 = Processing Room B.103 (slave + master). Unlike the previous image I overwrote existing column D text, because the old entries were generic placeholders without room numbers. One overwrite worth noting: D1104 (VAV_B_S11_021) previously read 'Basement Zone-1 Part-1 (IMG_9587.jpeg)' and is now 'Reception &amp; Lounge B.009' per this screen - flag if IMG_9587 was the better source.</t>
  </si>
  <si>
    <t>All 26 rows re-read after writing; tag, location text and #BDD7EE fill confirmed on every one. Prior turn's VAV_B_S15 conflicts (rows 1166-1169, 1176-1177) remain open.</t>
  </si>
  <si>
    <t>Sent IMG_9563.jpeg - Honeywell VAV Summary Type-01 page P1 (QNL). Same task: match the VAV names to column A of the Controllable Asset Registry, put the Location into column D, and highlight them in blue.</t>
  </si>
  <si>
    <t>Matched all 27 VAV_B_S11 tags from the screen. Normalised 5 column D entries that still carried the old image-suffix format (D1107 to 'Kitchen B.002'; D1126:D1129 to 'Receiving Area B.008') and applied the blue fill (#BDD7EE) across A:D on all 27 rows: 1084-1103, 1105-1107, 1126-1129.</t>
  </si>
  <si>
    <t>The other 22 rows already held correct room text from your earlier manual pass, so I left the wording alone and only added the highlight. Deliberate decision on group 1: the screen shows one merged label 'Tech.Services Area B001 &amp; Break Out Area B001A' covering S11_001/002/003/004/011/012/013/014, but the sheet already splits that group - 001, 002, 011, 012 as 'Break Out Area B.001A' and 003, 004, 013, 014 as 'Tech, Services &amp; Collections Office B.001'. The split is more precise than the merged screen label so I preserved it rather than flattening all eight rows to the combined name. Row drift on the Honeywell page handled as before: standalone S11_024 = Kitchen B.002, and S11_022/023 = Corridor Leading To Reception &amp; Lounge B.009.</t>
  </si>
  <si>
    <t>All 27 rows re-read after writing; tag, location text and #BDD7EE fill confirmed on each. Open items unchanged: VAV_B_S15 wording conflicts at rows 1166-1169 and 1176-1177, and whether D1104 should revert to the IMG_9587 value.</t>
  </si>
  <si>
    <t>Sent IMG_3029.jpeg - Siemens RDC BMS 'Utility Building FCU Summary'. Asked me to take the FCU names from the 5th column of the screen, find them in column A of the Controllable Asset Registry, and write their location (room name + room no. from the 4th and 3rd columns) into column D, matching the format of the selected cell D2240.</t>
  </si>
  <si>
    <t>Matched all 29 RDC Utility Building FCU tags on the screen to registry rows 2238-2266 and wrote the room name + room number into column D for the 28 that were blank (D2240 was already filled).</t>
  </si>
  <si>
    <t>Format followed from D2240 ('MAIL ROOM U-0128'): room name in caps followed by the room number. Ground floor (RDC_UB_GF_): FCU8001 GENERAL STORAGE ROOM U-0129, 8002 SHOP U-0135, 8004 GENERAL STORAGE U-0108, 8005 RECYCLING ROOM U-0109, 8006 CYLINDER STORAGE U-0105, 8007 LN2 DISPENSER U-0104, 8008 FLAMMABLE STORAGE U-0103, 8009 FLAMMABLE WASTE STORAGE U-0102, 8010 BMS ROOM U-0117, 8011 BREAK ROOM U-0118, 8012 OFFICE SPACE U-0119, 8013/8014/8512/8513/8514/8515 WET/MECH/FIRE ROOM U-0120, 8502-8505 SHIPPING AND RECEIVING. Mezzanine (RDC_UB_MF_): FCU8501/8506/8507/8508/8509/8510/8511 MECHANICAL ROOM U-1101. Two judgement calls: (1) FCU-8502 to 8505 sit against a merged 'SHIPPING AND RECEIVING' room-name cell with the ROOM NO. column blank on the screen, so no room number was appended - note added on D2252. (2) U-1101 is shown as a single merged room number spanning the whole Level -1 mechanical block, so it was applied to all seven mezzanine FCUs.</t>
  </si>
  <si>
    <t>Rows 2238-2266 of column D on Controllable Asset Registry are now fully populated; verified by re-reading A2238:D2266. Open item: room numbers for the four SHIPPING AND RECEIVING FCUs (8502-8505) need confirming from drawings.</t>
  </si>
  <si>
    <t>Sent IMG_3056.jpeg - Siemens RDC BMS 'South Building Fan Coil Unit' summary (Level 0 and Level -1) - and asked me to apply the same treatment as the Utility Building screen: match the FCU tags to column A of the Controllable Asset Registry and write their room location into column D.</t>
  </si>
  <si>
    <t>Located all 26 South Building FCUs from the screen (rows 2191-2202 Level -1, rows 2223-2237 Ground Floor). Column D was already populated in an older abbreviated style, so I stopped and asked before overwriting; user chose to rewrite all 26 to the BMS format. Wrote D2191:D2202 and D2223:D2237.</t>
  </si>
  <si>
    <t>Format followed from D2240: room name in caps + room number. Level -1: FCU0501/FCU3501 STAIR-04 1ST04, FCU0502/0503 UPS ROOM S-1107D, FCU1501/1502 IDF ROOM S-1156, FCU1503 STAIR-01 1ST01, FCU2501 STAIR-03 1ST03, FCU2502/2503 IDF ROOM S-1244, FCU2504/2505 UPS ROOM S-1276. Ground floor: FCU0001 STAIR-02 S-02T02, FCU1001/1002 QTEL ROOM S-0132, FCU1003/1004 IDF ROOM S-0133, FCU1005/1006 EC MDF ROOM S-0134, FCU1007 MECHANICAL ROOM S-0136, FCU1008 STAIR-01 S-01T01, FCU2001 STAIR-03 S-0ST03, FCU2002/2003 AV ROOM S-0210, FCU2004/2005 IDF ROOM S-0271, FCU3001 STAIR-04 S-0ST04. Four rows were genuine data conflicts, not just wording: FCU2502 was 'MEETING ROOM S-1247' (screen pairs 2502 and 2503 to IDF S-1244), FCU2505 was 'MEETING ROOM S-1272' (screen pairs 2504 and 2505 to UPS S-1276), FCU0501 was 'Stair 2 S-1ST02' and FCU3501 was 'Stair S-1ST104' (screen shows both as STAIR-04 1ST04). Two cosmetic calls noted in-cell: the screen labels S-0271 'IDF-S-0271' and S-0ST04 'STAIR-OST04'; both were normalised to match the other IDF and stair entries.</t>
  </si>
  <si>
    <t>D2191:D2202 and D2223:D2237 rewritten and verified by re-read. Pre-existing drawing notes on D2192 and D2193 were left intact. Not covered: the screen has a NEXT &gt;&gt; button, so any further South Building FCU pages have not been reviewed, and the 2F rows (2203-2222) were untouched.</t>
  </si>
  <si>
    <t>Uploaded RDC_HVAC_DRAWINGS_MERGED.pdf (68 A0 as-built sheets) and the register. Asked to fill blank and verify yellow column-D cells for RDC FCU/VAV/EV/VEV equipment from the drawing schedules, North Building first. Rule: if room name/number not found, put the schedule page in column D and highlight blue; if a yellow row cannot be verified, note where to look in column E.</t>
  </si>
  <si>
    <t>Extracted the AIR TERMINAL DEVICES SCHEDULES and FAN COIL UNIT SCHEDULES for all North Building parts, then matched every NB target row by tag number. Processed all 219 NB targets: 105 VERIFIED (yellow cleared), 28 verified by room number but schedule uses a different room NAME (noted in E), 53 CORRECTED, 8 blanks filled, 12 blanks flagged blue (found but no room number on the schedule), 11 yellow unverifiable, 2 tags not in any NB schedule.</t>
  </si>
  <si>
    <t>Pages 1-66 have NO text layer (raster scans; confirmed with poppler and PyMuPDF) and OCR misread reference numbers (e.g. EV-5026 as EV-5025), so all tables were read visually at native 200 DPI. Sources: Level 0 p6 (A2.1), p7 (A2.2), p8 (A2.3), p9 (B2.1 + FCU@L0), p10 (B2.2); Level 1 p21 (A2.1 + FCU@L1), p22 (A2.2), p23 (A2.3), p24 (B2.1), p25 (B2.2); Level 2 FCU p32; Pedestrian Walkway FCU p57. 860 air-terminal refs + 44 FCUs captured. The AT schedules list VAV, EV, VEV, FEV, CEV and CAV refs in one table, so EV/VEV rows resolve from the same source. Corrections were applied only where the schedule room NUMBER differed; the previous value is preserved verbatim in column E as was: "...". Saved with openpyxl only - NOT LibreOffice-recalc - to preserve the 159 TRANSPOSE(FILTER) array formulas in SSC Room Names with Equip. (verified 159/159 intact).</t>
  </si>
  <si>
    <t>North Building COMPLETE - zero blank column-D cells remain in the NB block. KEY FINDING: the 53 corrections are not random - whole blocks were shifted by one position (e.g. GF lab block VAV5180-5270A: registry had Analyt Core-1/Org Chem/Furnace/MBE-Evap where the schedule reads Analytical Core Lab 2 N-0140A, Furnace N-0140B, Prep Lab N-0140C, Sputter N-0140D, ALD N-0140F, Support N-0140H, PLD N-0140J, Organic Chem N-0140K; also VAV4210-4212 CSP Lab -&gt; Desalination Lab N-0240D; VAV7195 Conference N-0440 -&gt; Office 04 N-0436). Note there is no MBE Room anywhere in the A2.2 schedule. DISCREPANCY: FCU-5993/5994 are listed on the LEVEL 0 schedule (p9, Part A2.2, Conference Room) but are tagged NB_1F in the register. UNRESOLVED: VAV5054 (schedule jumps 5053 to 5055) and FCU2004 (not in any NB schedule - likely a South Building unit). STILL TO DO: South Building (55 blank + 33 yellow) from Level 0 p1-p5/p11, Level 1 p16-p20/p26, Level 2 p27-p30, and rooms on p59-p60. Utility Building schedules are NOT in this PDF.</t>
  </si>
  <si>
    <t>After verifying and trimming my North Building edits, asked me to do the South Building and the Utility Building if any, using the same rules (fill blanks where found; verify yellows; blue + page ref in D when the schedule has no room name/number; note where to look in column E when a yellow cannot be verified).</t>
  </si>
  <si>
    <t>UTILITY BUILDING: nothing to do - all 38 UB rows already filled with no yellow flags, and this PDF contains no UB equipment schedule (UB appears only as airflow diagrams p56/p58 and one section sheet p45). SOUTH BUILDING: processed all 88 targets - 47 blanks filled, 23 verified (yellow cleared), 3 verified by room number but the schedule uses a different name, 2 corrected, 4 blanks blue-flagged, 9 not found (notes in column E).</t>
  </si>
  <si>
    <t>KEY: every South sheet carries an AIR TERMINAL UNIT NUMBERING legend that decodes the tags - digit 1 = drawing part (0 = A1.3 and B1.1, 1 = B1.2, 2 = A1.2, 3 = A1.1), digit 2 = level (0 = Level 0, 5 = Level 1, 2 = Level 2). So AT-3511 is A1.1/Level 1 and AT-0509 is B1.1/Level 1. Sources read at native 200 DPI: A1.1 L0 p1, B1.1 L0 p4, A1.1 plus a short A1.2 table L1 p16, A1.2 L1 p17, B1.1 L1 p19, B1.2 L1 p20. FCU tags were deliberately excluded from the air-terminal lookup so that e.g. FCU2502 is not matched to AT-2502. Saved with openpyxl only (no LibreOffice recalc); 159/159 TRANSPOSE(FILTER) array formulas verified intact. The North Building block was not touched this turn.</t>
  </si>
  <si>
    <t>South corrections: VAV3511 Dressing Room S-1286 -&gt; Corridor S-1280; VAV3514 Office S-1294 -&gt; Office S-1284. VAV3519 filled as Open Plan S-1293. NOT RESOLVABLE FROM THIS PDF: (1) the A1.2 and B1.2 Level 0 schedules on p2 and p5 have NO room name/number columns at all - only airflow and duct dimensions - so VAV1003/1004/1008 and VAV2005 are blue-flagged; (2) there is NO South Building fan-coil schedule anywhere in the document, so FCU2004, FCU2502, FCU2503 and FCU2205 stay unverified; (3) VAV0001 and VAV0002 - the B1.1 schedule starts at AT-0003; (4) AT-0122 - its second digit does not fit the level legend. DATA-ENTRY ISSUE: rows 1629 and 1782 have tags RDC_SB_1F_VAV and RDC_SB_GF_VAV with no unit number at all, so they can never be matched - complete or remove them at source. Remaining across the whole RDC block: 4 blank cells (rows 1629, 1782, 1783, 1784) and 5 SB plus 2 NB yellows.</t>
  </si>
  <si>
    <t>Pointed out that the AIR FLOW DIAGRAM sheets carry schedules I had dismissed, and that they may show the VAV locations I had inferred to be AT. Asked me to (1) use the exhaust/return diagrams for the EV/VEV rows, (2) resolve the rows still unresolved, and (3) cross-check everything already written.</t>
  </si>
  <si>
    <t>Opened the airflow diagrams (previously excluded at the indexing stage - my error). Item 2 COMPLETE: resolved 6 rows that the plan-sheet schedules could not - VAV0001, VAV0002, VAV1003, VAV1004, VAV1008, VAV2005. Item 3 STARTED: spot-verified North and South rows against the diagrams; every row checked so far confirms. Item 1 NOT STARTED: the return/exhaust diagrams (p51-p55, p64-p65 South) have not been read yet.</t>
  </si>
  <si>
    <t>AT vs VAV QUESTION SETTLED. The diagrams tag each terminal AT-xxxx with a vertical label beside it giving the valve type (VAV-01, VAV-02, VAV-05, CAV-01, CAV-03). The p36/p46 EQUIPMENT legend reads: AT = Air Terminal Device (Supply), VAV = Variable Air Valve (Supply Venturi), CAV = Constant Air Valve (Supply Venturi); and the SCHEMATIC LEGEND gives AT, VAV and CAV a single shared symbol. So AT-xxxx is the device number and VAV-nn is the valve fitted to it - there is no separate parallel VAV numbering series. Registry VAVxxxx = drawing AT-xxxx is therefore correct. IMPORTANT CORRECTION to an earlier note of mine: supply-side (AT/VAV/CAV) and exhaust-side (VEV/CEV/FEV/EV) are SEPARATELY NUMBERED. AT-1002 on the supply diagram is NOT VEV-1002. Any EV/VEV/FEV/CEV room I previously inferred from a paired VAV row needs checking against the exhaust diagrams.</t>
  </si>
  <si>
    <t>VERIFIED AGAINST THE DIAGRAMS (all matched what was already written): South p48 - AT-0017 S-0119 COMP.LAB, AT-0012 S-0114, AT-0011 S-0113 CONF, AT-0009/0010 S-0111/S-0112 PHONE, AT-0007 S-0109 CONF, AT-0004 S-0104, AT-0005 S-0105, AT-0006 S-0107/S-0106, AT-0008 S-0110, AT-0020 S-0120/0120A/0120B, AT-0018/0019 S-0123 RESTAURANT. North p35 - VAV-4190/4191 + FEV-4193/4194 CSP LAB N-0240B, AT-4200/VEV-4201 TEST RM 1 N-0240C, AT-4290 OFFICE N-0261. North p36 - VAV-5250/VEV-5251 SUP RM N-0140H, VAV-5260/VEV-5261 PLD N-0140J, CAV-5240/CEV-5241 A/L N-0140G, VAV-5220/VEV-5221 EVAP N-0140E, CAV-5170 SERVICE CORR N-0136, AT-5140 N-0123, AT-5135 N-0122. These independently confirm the Level 0 lab-block corrections made from the plan schedules. STILL OPEN: VAV5054 (not yet located on p36); the full exhaust-side pass (item 1); and the remaining bulk cross-check of ~300 rows (item 3). Airflow-diagram sheet map: North p35 A2.1 L0, p36 A2.2 L0, p37 B2.1 L0, p38 B2.2 L0, p39-p43 Level 1; South supply p46 (A1.1/A1.2/A1.3 L0), p47 (A1.x L1), p48 (B1.1/B1.2 L0), p49-p50; South return p51-p55; South exhaust p64-p65; Utility p56/p58.</t>
  </si>
  <si>
    <t>Told me to go ahead using all the document's information without limiting myself to specified pages, and asked what about the FEV, VEV and EV rows.</t>
  </si>
  <si>
    <t>Ran a full cross-check of EVERY RDC row against the extracted schedules, not just the blank/yellow ones. EXHAUST SIDE (202 rows: 73 FEV, 62 EV, 51 VEV, 12 CEV, 1 CAV, 3 SB EV): 152 already correct, 39 CORRECTED, 9 flagged unverifiable. SUPPLY SIDE (AT/VAV/CAV, 1383 rows with data): 1171 already correct, 47 CORRECTED, 17 held back by guards, 155 with no schedule source.</t>
  </si>
  <si>
    <t>The air terminal schedules list EV, VEV, FEV, CEV and CAV refs in the same AT-REF column as the supply tags, so the exhaust rows could be verified from the schedules already extracted - no new drawing reading was needed for them. THREE GUARDS stopped false corrections: (1) multi-node sensors AT-7090-N1/N2, AT-7105-N1/N2 and AT-7120-N1..N9 serve several rooms each and the schedule lists only the parent tag once, so all 13 were left as-is; (2) VAV5930P and VAV5940P carry a P suffix meaning penthouse/Level 2 and are distinct devices from the Level 1 5930/5940, so they were left as-is; (3) VAV4312 and AT-4312 map to a schedule row (Breakout) that has no room number, so they were noted rather than changed. Diagram evidence used: p35 and p36 North airflow diagrams independently confirmed the Level 0 lab-block corrections (VAV-5250/VEV-5251 SUP RM N-0140H, VAV-5260/VEV-5261 PLD N-0140J, CAV-5240/CEV-5241 A/L N-0140G, VAV-5220/VEV-5221 EVAP N-0140E).</t>
  </si>
  <si>
    <t>EXHAUST PATTERN FOUND - same lazy-fill as the supply side: EV-4236/4261/4286 all read Corridor N-0246 but belong to N-0250/N-0255/N-0260; EV-6356/6381/6401 all read Corridor N-0365 but belong to N-0372/N-0378/N-0381; EV-7396/7426/7461/7486 all read Corridor N-0451 but belong to N-0446/N-0452/N-0457/N-0462; EV-4661/4686/4711/4736 all read Corridor N-1223 but belong to N-1227/N-1232/N-1237/N-1242; EV-5891/5921/5941 all read Corridor N-1150 but belong to N-1160/N-1168/N-1165. Also corrected the pre-existing AT-0003 row (was Corridor S-0117, which duplicated AT-0015; the p4 schedule gives Entrance Lobby S-0102). Supply/exhaust numbering is SEPARATE: AT-1002 feeds S-0139 Comp Lab while EV-1002 serves NOC S-0140A. RUNNING TOTAL of corrections across the whole RDC block: 53 (North supply) + 2 (South supply) + 39 (exhaust) + 47 (full supply sweep) = 141. STILL OPEN: 155 supply and 9 exhaust rows with no schedule source (mostly multi-node sensors, Level 2 units and South AT rows on parts whose schedules carry no room columns) - these need the return/exhaust airflow diagrams p51-p55 and p64-p65, plus North p37-p43, which have not been read yet. VAV5054 still not located.</t>
  </si>
  <si>
    <t>Asked me to close out the 22 rows I had held back - the 13 multi-node sensors and the 9 unverified exhaust rows.</t>
  </si>
  <si>
    <t>Read p38 (Air Flow Diagram B2.2 Level 0) and re-used p36/p48. Outcome on the 22: 6 VERIFIED as already correct, 3 corrected or normalised, 13 multi-node rows deliberately left as-is with an explanatory note, and 3 marked NOT CONFIRMED as provisional.</t>
  </si>
  <si>
    <t>MULTI-NODE FINDING: p38 shows AT-7090, AT-7105 and AT-7120 each as a SINGLE air terminal (serving N-0412, WKS N-0415 and WKS N-0418 respectively). The diagrams depict air terminals, not BMS sensor points, so they can neither confirm nor refute the -N1..-N9 sub-node rooms (N-0412A, N-0415A, N-0418A, N-0430A..N-0430F) that an earlier session read off the plan drawings. Both can be true at once: one terminal serving a zone, with several sensor nodes distributed through it. Each of the 13 rows now carries a note saying explicitly NOT to overwrite them with the parent terminal's room - this is the trap an automated sweep would fall into. OTHER VERIFICATIONS: p38 confirmed VAV-7070/7071 SURF ANALYSIS N-0404F with VEV-7072/7073 and FEV-7074 on the exhaust branch (so FEV-7075 is consistent); CAV-7220/CEV-7221/EV-7126 SERVICE CORR N-0441 and NORMAL ELEC N-0420; EV-7122 IDF N-0419, confirming an earlier correction. p48 confirmed the South exhaust series runs one behind the supply series (AT-1002 supply = S-0139, EV-1001 exhaust = S-0139), which validates EV-1001/1002/1003.</t>
  </si>
  <si>
    <t>CHANGED: FEV-7232 corrected to Inter Lab N-0442A (the p10 schedule puts the 7230 series in N-0442A and the 7240 series in Optical Lab N-0442B); FEV-5222 and FEV-5223 normalised to Evap Room N-0140E, confirmed on the p36 EVAP branch alongside VAV-5220/VEV-5221. STILL PROVISIONAL (3 rows, flagged in column E): VEV-6053, EV-4920 and EV-6981 - VEV-6053 is absent from the p9 B2.1 schedule, and the two Level 2 units cannot be resolved because the p32 Level 2 FCU schedule carries no room numbers at all. RDC block final state: 2 blank cells (rows 1629 and 1782, tags with no unit number), 142 total corrections applied across all passes.</t>
  </si>
  <si>
    <t>Approved the room corrections, then asked me to delete all of column C and redo the Included / Not Included assessment across ALL sections (not just RDC), since the inclusion status may not have been updated after the room names were corrected. Rules: HQ excludes executive, technical AND public rooms; SSC, QNL and RDC exclude executive and technical only.</t>
  </si>
  <si>
    <t>Cleared all 2,942 existing column C values across HQ, QNL, SSC and RDC, then reclassified every row from the room name in column D. Result: HQ 404 Included / 368 Not Included; QNL 368 / 81; SSC 101 / 22; RDC 1,226 / 533. 5 rows could not be classified and were left blank and highlighted yellow. Column D and all other columns were left untouched.</t>
  </si>
  <si>
    <t>Classification is keyword-based on the column D room name. EXECUTIVE: executive, exec, director, dir., manager, sheikh(a), VP, president, chairman, CEO, head of, majlis, VIP, board room. TECHNICAL: electrical, mechanical, plant, IDF, MDF, UPS, BMS, FPC, sprinkler, pump, AHU, riser, shaft, telecom, MCC, server, control room/centre, switchgear, generator, chiller, vent plant, battery, penthouse, transformer, GSM, fire command, gas suppression, misting, Q-tel, AV room, calorifier, MEP, duct, air lock, service equipment, pipe chase, security, panel, boiler. PUBLIC (HQ ONLY): lobby, corridor, toilet/WC, prayer, ablution, vestibule, foyer, atrium, stair, lift, cafe, restaurant, reception, waiting, visitor, exhibition, gallery, auditorium, entrance, walkway, bridge, mens/womens, spa, salon, fitness, treatment, relaxation, changing, nursery, lounge, terrace, dining. THREE JUDGEMENT CALLS were put to the user before applying and answered as follows: (1) LABORATORIES count as technical -&gt; Not Included (bio-med chem, NMR, nano, gene therapy, analytical core, tissue culture, clean room, high bay, desal, CSP, photovoltaic, etc.); (2) EXECUTIVE SUPPORT rooms (VP secretary, exec. assistant, director's staff, officers, members, workstations) are Included, because the occupant is staff rather than the executive; (3) CEILING VOIDS and plenums are classified by the room they serve, so Bridge Ceiling Void and Auditorium high-level void are Included.</t>
  </si>
  <si>
    <t>5 rows left BLANK and highlighted YELLOW because column D holds no usable room name: HQ r126 'NOT FOUND ON THE DRAWING OR SCHEDULE', HQ r718 (blank), QNL r931 (blank), QNL r1134 (blank), SSC r1309 '(NOT FOUND ON DRAWING LEVEL 3)'. NOTE the classification is only as good as the room name in column D - rows whose column D holds a page reference (the blue-flagged RDC rows) or a Key Plan zone name rather than a real room were classified on that text and should be re-checked once the real room name is known. Borderline calls worth a spot-check: 'Service Corridor', 'Service Dock' and 'Shop' in RDC were left Included as circulation/back-of-house rather than plant; 'Technical Open Plan S-0211' and 'Situation Room' were left Included as occupied workspaces.</t>
  </si>
  <si>
    <t>EQUIPMENT ASSET REGISTER</t>
  </si>
  <si>
    <t>Description</t>
  </si>
  <si>
    <t>Remarks</t>
  </si>
  <si>
    <t xml:space="preserve">Air Handling Unit </t>
  </si>
  <si>
    <t>EQUIPMENT COUNT SUMMARY</t>
  </si>
  <si>
    <t>CHW Pump</t>
  </si>
  <si>
    <t>Variable Air Volume</t>
  </si>
  <si>
    <t>DX Unit</t>
  </si>
  <si>
    <t>Heat Exchanger</t>
  </si>
  <si>
    <t>CCU</t>
  </si>
  <si>
    <t>EF</t>
  </si>
  <si>
    <t>GEF</t>
  </si>
  <si>
    <t>TEF</t>
  </si>
  <si>
    <t>CEF</t>
  </si>
  <si>
    <t>SF</t>
  </si>
  <si>
    <t>Generator</t>
  </si>
  <si>
    <t>TOTAL</t>
  </si>
  <si>
    <t>#</t>
  </si>
  <si>
    <t>Equipment type</t>
  </si>
  <si>
    <t>Tag(s) in IO list</t>
  </si>
  <si>
    <t>Assumption</t>
  </si>
  <si>
    <t>These two tags refer to the same physical unit</t>
  </si>
  <si>
    <t>DX_B0001</t>
  </si>
  <si>
    <t>DX Unit - Interior</t>
  </si>
  <si>
    <t>AHU12_10</t>
  </si>
  <si>
    <t>DX_B0002</t>
  </si>
  <si>
    <t>AHUB01_02</t>
  </si>
  <si>
    <t>DX_B0003</t>
  </si>
  <si>
    <t>DX_B0004</t>
  </si>
  <si>
    <t>AHUB03_04</t>
  </si>
  <si>
    <t>DX_B0005</t>
  </si>
  <si>
    <t>DX_B0006</t>
  </si>
  <si>
    <t>AHUB05_06</t>
  </si>
  <si>
    <t>DX_B0007</t>
  </si>
  <si>
    <t>DX_B0008</t>
  </si>
  <si>
    <t>AHUB07</t>
  </si>
  <si>
    <t>DX_B0009</t>
  </si>
  <si>
    <t>DX_B0010</t>
  </si>
  <si>
    <t>AHUB08</t>
  </si>
  <si>
    <t>DX_B0011</t>
  </si>
  <si>
    <t>DX_B0012</t>
  </si>
  <si>
    <t>AHUB10</t>
  </si>
  <si>
    <t>DX_B0013</t>
  </si>
  <si>
    <t>DX_B0014</t>
  </si>
  <si>
    <t>AHUB11</t>
  </si>
  <si>
    <t>DX_B0015</t>
  </si>
  <si>
    <t>DX_B0016</t>
  </si>
  <si>
    <t>DX_ODSB0101</t>
  </si>
  <si>
    <t>This DX unit was added later and not reflected in the HVAC Drawing</t>
  </si>
  <si>
    <t>DX_CP_0001</t>
  </si>
  <si>
    <t>DX_ODSB0102</t>
  </si>
  <si>
    <t>DX_G0001</t>
  </si>
  <si>
    <t>DX_ODSB0201</t>
  </si>
  <si>
    <t>DX_G0002</t>
  </si>
  <si>
    <t>DX_ODSB0202</t>
  </si>
  <si>
    <t>DX_G0003</t>
  </si>
  <si>
    <t>DX Unit - Exterior</t>
  </si>
  <si>
    <t>Fan Coil Unit</t>
  </si>
  <si>
    <t>FCU00133</t>
  </si>
  <si>
    <t>HEX01</t>
  </si>
  <si>
    <t>HEX</t>
  </si>
  <si>
    <t>HEX02</t>
  </si>
  <si>
    <t>HEX03</t>
  </si>
  <si>
    <t>HEX04</t>
  </si>
  <si>
    <t>HEX05</t>
  </si>
  <si>
    <t>CCU_B0001</t>
  </si>
  <si>
    <t>CCU_B0002</t>
  </si>
  <si>
    <t>CCU_B0003A</t>
  </si>
  <si>
    <t>CCU_B0003B</t>
  </si>
  <si>
    <t>CCU_B0004A</t>
  </si>
  <si>
    <t>CCU_B0004B</t>
  </si>
  <si>
    <t>CCU_B0005</t>
  </si>
  <si>
    <t>CCU_B0006</t>
  </si>
  <si>
    <t>CCU_B0007</t>
  </si>
  <si>
    <t>CCU_B0008</t>
  </si>
  <si>
    <t>CCU_B0009</t>
  </si>
  <si>
    <t>GEF_BF</t>
  </si>
  <si>
    <t>GEF12</t>
  </si>
  <si>
    <t>GEF12_0005</t>
  </si>
  <si>
    <t>GEF12_0006</t>
  </si>
  <si>
    <t>GEF12_0008</t>
  </si>
  <si>
    <t>GEF12_0009</t>
  </si>
  <si>
    <t>GEFB_0007</t>
  </si>
  <si>
    <t>GEFB_0010</t>
  </si>
  <si>
    <t>GEFB_0011</t>
  </si>
  <si>
    <t>GEFB_0012</t>
  </si>
  <si>
    <t>GEFB_0013</t>
  </si>
  <si>
    <t>GEFB_CP0001</t>
  </si>
  <si>
    <t>GEFB_CP0002</t>
  </si>
  <si>
    <t>EF_CommonFireAlm</t>
  </si>
  <si>
    <t>Exhaust Fan</t>
  </si>
  <si>
    <t>EF_CommonFireAlm_1</t>
  </si>
  <si>
    <t>EF_CommonFireAlm_2</t>
  </si>
  <si>
    <t>EF_CPZ1</t>
  </si>
  <si>
    <t>EF_CPZ2</t>
  </si>
  <si>
    <t>EF_CPZ3</t>
  </si>
  <si>
    <t>EF_CPZ4</t>
  </si>
  <si>
    <t>EF_CPZ5</t>
  </si>
  <si>
    <t>EF_CPZ6</t>
  </si>
  <si>
    <t>EF_CPZ7</t>
  </si>
  <si>
    <t>EF_CPZ8</t>
  </si>
  <si>
    <t>EF_CPZ9</t>
  </si>
  <si>
    <t>TEF12_0001</t>
  </si>
  <si>
    <t>TEF12_0002</t>
  </si>
  <si>
    <t>TEF12_0003</t>
  </si>
  <si>
    <t>TEF12_0004</t>
  </si>
  <si>
    <t>CEF_CPZ1_B01</t>
  </si>
  <si>
    <t>CEF_CPZ1_B02</t>
  </si>
  <si>
    <t>CEF_CPZ1_B03</t>
  </si>
  <si>
    <t>CEF_CPZ1_B04</t>
  </si>
  <si>
    <t>CEF_CPZ1_B05</t>
  </si>
  <si>
    <t>CEF_CPZ2_B06</t>
  </si>
  <si>
    <t>CEF_CPZ2_B07</t>
  </si>
  <si>
    <t>CEF_CPZ2_B08</t>
  </si>
  <si>
    <t>CEF_CPZ2_B09</t>
  </si>
  <si>
    <t>CEF_CPZ2_B10</t>
  </si>
  <si>
    <t>CEF_CPZ3_B13</t>
  </si>
  <si>
    <t>CEF_CPZ3_B14</t>
  </si>
  <si>
    <t>CEF_CPZ3_B15</t>
  </si>
  <si>
    <t>CEF_CPZ3_B19</t>
  </si>
  <si>
    <t>CEF_CPZ4_B20</t>
  </si>
  <si>
    <t>CEF_CPZ4_B22</t>
  </si>
  <si>
    <t>CEF_CPZ4_B23</t>
  </si>
  <si>
    <t>CEF_CPZ4_B24</t>
  </si>
  <si>
    <t>CEF_CPZ5_B21</t>
  </si>
  <si>
    <t>CEF_CPZ5_B25</t>
  </si>
  <si>
    <t>CEF_CPZ5_B26</t>
  </si>
  <si>
    <t>CEF_CPZ5_B27</t>
  </si>
  <si>
    <t>CEF_CPZ7_B16</t>
  </si>
  <si>
    <t>CEF_CPZ7_B17</t>
  </si>
  <si>
    <t>CEF_CPZ7_B18</t>
  </si>
  <si>
    <t>CEF_CPZ8_B11</t>
  </si>
  <si>
    <t>CEF_CPZ8_B12</t>
  </si>
  <si>
    <t>CEF_Zone1</t>
  </si>
  <si>
    <t>CEF_Zone2</t>
  </si>
  <si>
    <t>CEF_Zone3</t>
  </si>
  <si>
    <t>CEF_Zone4</t>
  </si>
  <si>
    <t>CEF_Zone5</t>
  </si>
  <si>
    <t>CEF_Zone6_9</t>
  </si>
  <si>
    <t>CPNL09_CEF_B06</t>
  </si>
  <si>
    <t>CPNL09_CEF_B07</t>
  </si>
  <si>
    <t>CPNL09_CEF_B08</t>
  </si>
  <si>
    <t>CPNL09_CEF_B09</t>
  </si>
  <si>
    <t>CPNL09_CEF_B10</t>
  </si>
  <si>
    <t>CPNL09_CEF_B11</t>
  </si>
  <si>
    <t>CPNL09_CEF_B12</t>
  </si>
  <si>
    <t>CPNL09_CEF_B13</t>
  </si>
  <si>
    <t>CPNL09_CEF_B14</t>
  </si>
  <si>
    <t>CPNL09_CEF_B15</t>
  </si>
  <si>
    <t>CPNL09_CEF_B16</t>
  </si>
  <si>
    <t>CPNL09_CEF_B17</t>
  </si>
  <si>
    <t>CPNL09_CEF_B18</t>
  </si>
  <si>
    <t>CPNL09_CEF_B19</t>
  </si>
  <si>
    <t>CSRR10_CEF_B01_INV</t>
  </si>
  <si>
    <t>CSRR10_CEF_B02_INV</t>
  </si>
  <si>
    <t>CSRR10_CEF_B03_INV</t>
  </si>
  <si>
    <t>CSRR10_CEF_B04_INV</t>
  </si>
  <si>
    <t>CSRR10_CEF_B05_INV</t>
  </si>
  <si>
    <t>CSRR9_CEF_B20_INV</t>
  </si>
  <si>
    <t>CSRR9_CEF_B21_INV</t>
  </si>
  <si>
    <t>CSRR9_CEF_B22_INV</t>
  </si>
  <si>
    <t>CSRR9_CEF_B23_INV</t>
  </si>
  <si>
    <t>CSRR9_CEF_B24_INV</t>
  </si>
  <si>
    <t>CSRR9_CEF_B25_INV</t>
  </si>
  <si>
    <t>CSRR9_CEF_B26_INV</t>
  </si>
  <si>
    <t>CSRR9_CEF_B27_INV</t>
  </si>
  <si>
    <t>CHW_CHWP01</t>
  </si>
  <si>
    <t>Chilled Water Pump</t>
  </si>
  <si>
    <t>CHW_CHWP02</t>
  </si>
  <si>
    <t>CHW_CHWP03</t>
  </si>
  <si>
    <t>CHW_CHWP04</t>
  </si>
  <si>
    <t>SF05_0001A</t>
  </si>
  <si>
    <t>Fan</t>
  </si>
  <si>
    <t>SF05_0001B</t>
  </si>
  <si>
    <t>SF05_0002A</t>
  </si>
  <si>
    <t>SF05_0002B</t>
  </si>
  <si>
    <t>SF12_0001A</t>
  </si>
  <si>
    <t>SF12_0001B</t>
  </si>
  <si>
    <t>SF12_0002A</t>
  </si>
  <si>
    <t>SF12_0002B</t>
  </si>
  <si>
    <t>SF12_0003A</t>
  </si>
  <si>
    <t>SF12_0003B</t>
  </si>
  <si>
    <t>SF12_0004A</t>
  </si>
  <si>
    <t>SF12_0004B</t>
  </si>
  <si>
    <t>SF12_0005A</t>
  </si>
  <si>
    <t>SF12_0005B</t>
  </si>
  <si>
    <t>SF12_0006A</t>
  </si>
  <si>
    <t>SF12_0006B</t>
  </si>
  <si>
    <t>ELEC_Gen2</t>
  </si>
  <si>
    <t>ELEC_Gen3</t>
  </si>
  <si>
    <t>Constant Air Volume</t>
  </si>
  <si>
    <t>SEF</t>
  </si>
  <si>
    <t>DX_B01</t>
  </si>
  <si>
    <t>KEF</t>
  </si>
  <si>
    <t>DX_B02</t>
  </si>
  <si>
    <t>DX_B03</t>
  </si>
  <si>
    <t>DX_B04</t>
  </si>
  <si>
    <t>DX_B05</t>
  </si>
  <si>
    <t>DX_B06</t>
  </si>
  <si>
    <t>DX_B07</t>
  </si>
  <si>
    <t>DX_B08</t>
  </si>
  <si>
    <t>EF_RP001</t>
  </si>
  <si>
    <t>This is the same asset as : EF_RP01</t>
  </si>
  <si>
    <t>DX_B09</t>
  </si>
  <si>
    <t>EF_RP002</t>
  </si>
  <si>
    <t>This is the same asset as : EF_RP02</t>
  </si>
  <si>
    <t>DX_B10</t>
  </si>
  <si>
    <t>EF_RP003</t>
  </si>
  <si>
    <t>This is the same asset as : EF_RP03</t>
  </si>
  <si>
    <t>DX_B11</t>
  </si>
  <si>
    <t>EF_B009</t>
  </si>
  <si>
    <t>This is the same asset as : EF_B09</t>
  </si>
  <si>
    <t>DX_B12</t>
  </si>
  <si>
    <t>EF_B011</t>
  </si>
  <si>
    <t>This is the same asset as : EF_B11</t>
  </si>
  <si>
    <t>DX_B13</t>
  </si>
  <si>
    <t>This is the same asset as : DX_B10</t>
  </si>
  <si>
    <t>DX_B14</t>
  </si>
  <si>
    <t>This is the same asset as : DX_B11</t>
  </si>
  <si>
    <t>DX_B15</t>
  </si>
  <si>
    <t>This is the same asset as : DX_B12</t>
  </si>
  <si>
    <t>DX_B16</t>
  </si>
  <si>
    <t>DX_B0020</t>
  </si>
  <si>
    <t>This is the same asset as : DX_B20</t>
  </si>
  <si>
    <t>DX_B17</t>
  </si>
  <si>
    <t>DX_B022</t>
  </si>
  <si>
    <t>This is the same asset as : DX_B21</t>
  </si>
  <si>
    <t>DX_B18</t>
  </si>
  <si>
    <t>DX_B023</t>
  </si>
  <si>
    <t>This is the same asset as : DX_B22</t>
  </si>
  <si>
    <t>DX_B19</t>
  </si>
  <si>
    <t>DX_B22</t>
  </si>
  <si>
    <t>DX_B20</t>
  </si>
  <si>
    <t>DX_B23</t>
  </si>
  <si>
    <t>DX_B21</t>
  </si>
  <si>
    <t>DX_B24</t>
  </si>
  <si>
    <t>This asset is available in the Local and SWS SCADA but not in the HVAC Drawings</t>
  </si>
  <si>
    <t>This Heat Exchanger was added later and not reflecteed in the HVAC Drawing</t>
  </si>
  <si>
    <t>CCU_AVServer_Rm</t>
  </si>
  <si>
    <t xml:space="preserve">This CCU is available in the Local SCADA but not configures in the SWS </t>
  </si>
  <si>
    <t>CAV_1F_S15_001</t>
  </si>
  <si>
    <t>EF_201</t>
  </si>
  <si>
    <t>EF_B05</t>
  </si>
  <si>
    <t>EF_B06</t>
  </si>
  <si>
    <t>EF_B07</t>
  </si>
  <si>
    <t>EF_B08</t>
  </si>
  <si>
    <t>EF_B09</t>
  </si>
  <si>
    <t>EF_B10</t>
  </si>
  <si>
    <t>EF_B11</t>
  </si>
  <si>
    <t>EF_B12</t>
  </si>
  <si>
    <t>EF_B13</t>
  </si>
  <si>
    <t>EF_B14</t>
  </si>
  <si>
    <t>EF_B15</t>
  </si>
  <si>
    <t>EF_B16</t>
  </si>
  <si>
    <t>EF_BBV01</t>
  </si>
  <si>
    <t>EF_BBV02</t>
  </si>
  <si>
    <t>EF_RP01</t>
  </si>
  <si>
    <t>EF_RP02</t>
  </si>
  <si>
    <t>EF_RP03</t>
  </si>
  <si>
    <t>KEF_101</t>
  </si>
  <si>
    <t>KEF_B019</t>
  </si>
  <si>
    <t>KEF_B020</t>
  </si>
  <si>
    <t>KEF_B04</t>
  </si>
  <si>
    <t>SEF_RP04</t>
  </si>
  <si>
    <t>SEF_RP05</t>
  </si>
  <si>
    <t>SEF_RP06</t>
  </si>
  <si>
    <t>SEF_RP07</t>
  </si>
  <si>
    <t>SEF_RP08</t>
  </si>
  <si>
    <t>SEF_RP09</t>
  </si>
  <si>
    <t>SEF_RP10</t>
  </si>
  <si>
    <t>SEF_RP11</t>
  </si>
  <si>
    <t>SEF_RP12</t>
  </si>
  <si>
    <t>SEF_ZoneA</t>
  </si>
  <si>
    <t>SEF_ZoneB</t>
  </si>
  <si>
    <t>SEF_ZoneC</t>
  </si>
  <si>
    <t>TEF_101C</t>
  </si>
  <si>
    <t>TEF_102C</t>
  </si>
  <si>
    <t>TEF_B01A</t>
  </si>
  <si>
    <t>TEF_B01B</t>
  </si>
  <si>
    <t>TEF_B02A</t>
  </si>
  <si>
    <t>TEF_B02B</t>
  </si>
  <si>
    <t>TEF_B03A</t>
  </si>
  <si>
    <t>TEF_B03B</t>
  </si>
  <si>
    <t>CCU_B01</t>
  </si>
  <si>
    <t>CCU_B02</t>
  </si>
  <si>
    <t>CCU_B03</t>
  </si>
  <si>
    <t>CCU_B04</t>
  </si>
  <si>
    <t>CCU_B05</t>
  </si>
  <si>
    <t>CCU_B06</t>
  </si>
  <si>
    <t>CCU_B07</t>
  </si>
  <si>
    <t>CCU_B08</t>
  </si>
  <si>
    <t>CCU_B09</t>
  </si>
  <si>
    <t>CCU_B10</t>
  </si>
  <si>
    <t>CCU_B11</t>
  </si>
  <si>
    <t>CCU_8081</t>
  </si>
  <si>
    <t>CCU_8082</t>
  </si>
  <si>
    <t>CCU_8083</t>
  </si>
  <si>
    <t>CCU_8084</t>
  </si>
  <si>
    <t>CCU_8085</t>
  </si>
  <si>
    <t>CCU_8086</t>
  </si>
  <si>
    <t>CCU_MDFRm</t>
  </si>
  <si>
    <t>CCU_Qtel</t>
  </si>
  <si>
    <t>CCU_Server_Rm</t>
  </si>
  <si>
    <t>This Asset is available in Local SCADA but not in SWS (Historian)</t>
  </si>
  <si>
    <t>CCU_HeritageVault</t>
  </si>
  <si>
    <t>CHW_P01</t>
  </si>
  <si>
    <t>Primary CHW Pumps</t>
  </si>
  <si>
    <t>CHW_P02</t>
  </si>
  <si>
    <t>CHW_P03</t>
  </si>
  <si>
    <t>CHW_P04</t>
  </si>
  <si>
    <t>CHWPU_P01</t>
  </si>
  <si>
    <t xml:space="preserve">Chilled Water Pressurization Unit Pump </t>
  </si>
  <si>
    <t>CHWPU_P02</t>
  </si>
  <si>
    <t>ELEC_Gen</t>
  </si>
  <si>
    <t>DX/B/11</t>
  </si>
  <si>
    <t>This DX unit is not available in I/O (Local and SWS) but available in the drawings</t>
  </si>
  <si>
    <t>DX/B/12</t>
  </si>
  <si>
    <t>DX/B/13</t>
  </si>
  <si>
    <t>DX/B/14</t>
  </si>
  <si>
    <t>DX/B/15</t>
  </si>
  <si>
    <t>DX/B/16</t>
  </si>
  <si>
    <t>DX/1/01</t>
  </si>
  <si>
    <t>DX/1/02</t>
  </si>
  <si>
    <t>DX/1/03</t>
  </si>
  <si>
    <t>CCU3F0301</t>
  </si>
  <si>
    <t>CCU3F0302</t>
  </si>
  <si>
    <t>CCUB0001A</t>
  </si>
  <si>
    <t>CCUB0001B</t>
  </si>
  <si>
    <t>CCUB0002A</t>
  </si>
  <si>
    <t>CCUB0002B</t>
  </si>
  <si>
    <t>CCUB0003</t>
  </si>
  <si>
    <t>CCUB0004</t>
  </si>
  <si>
    <t>CCUB0005A</t>
  </si>
  <si>
    <t>CCUB0005B</t>
  </si>
  <si>
    <t>CCUB0006A</t>
  </si>
  <si>
    <t>CCUB0006B</t>
  </si>
  <si>
    <t>CCUB0007</t>
  </si>
  <si>
    <t>CCUB0008</t>
  </si>
  <si>
    <t>TEF0101</t>
  </si>
  <si>
    <t>TEF0102</t>
  </si>
  <si>
    <t>TEF0301</t>
  </si>
  <si>
    <t>TEF0302</t>
  </si>
  <si>
    <t>CHW_HE01</t>
  </si>
  <si>
    <t>CHW_HE02</t>
  </si>
  <si>
    <t>CHW_HE03</t>
  </si>
  <si>
    <t>CHW_HE04</t>
  </si>
  <si>
    <t>CHW_HE05</t>
  </si>
  <si>
    <t>DXB0001</t>
  </si>
  <si>
    <t>DX Unit - Ducted Split</t>
  </si>
  <si>
    <t>DXB0002</t>
  </si>
  <si>
    <t>DXB0003</t>
  </si>
  <si>
    <t>DXB0004</t>
  </si>
  <si>
    <t>DXB0005</t>
  </si>
  <si>
    <t>DXB0006</t>
  </si>
  <si>
    <t>DX Unit - Floor Standing Units</t>
  </si>
  <si>
    <t>DXB0007</t>
  </si>
  <si>
    <t>DXB0008</t>
  </si>
  <si>
    <t>DXB0009</t>
  </si>
  <si>
    <t>DXB0010</t>
  </si>
  <si>
    <t>MV_Generator</t>
  </si>
  <si>
    <t>KEF0103</t>
  </si>
  <si>
    <t>KEF0303</t>
  </si>
  <si>
    <t>CHWP_B01</t>
  </si>
  <si>
    <t>CHWP_B02</t>
  </si>
  <si>
    <t>CHWP_B03</t>
  </si>
  <si>
    <t>CHWP_B04</t>
  </si>
  <si>
    <t>CHWP01</t>
  </si>
  <si>
    <t>CHWP02</t>
  </si>
  <si>
    <t>CHWP03</t>
  </si>
  <si>
    <t>CHWP04</t>
  </si>
  <si>
    <t>GEFB0001</t>
  </si>
  <si>
    <t>General Extract Fan</t>
  </si>
  <si>
    <t>REF0001</t>
  </si>
  <si>
    <t>Extract Fan</t>
  </si>
  <si>
    <t>NB_AHU8511</t>
  </si>
  <si>
    <t>NB_AHU8512</t>
  </si>
  <si>
    <t>NB_AHU8513</t>
  </si>
  <si>
    <t>NB_AHU8514</t>
  </si>
  <si>
    <t>NB_AHU8515</t>
  </si>
  <si>
    <t>NB_AHU8516</t>
  </si>
  <si>
    <t>ERU</t>
  </si>
  <si>
    <t>NB_AHU8517</t>
  </si>
  <si>
    <t>NB_AHU8518</t>
  </si>
  <si>
    <t>NB_AHU8519</t>
  </si>
  <si>
    <t>NB_AHU8520</t>
  </si>
  <si>
    <t>NB_AHU8521</t>
  </si>
  <si>
    <t>RDC_NB_ERU8531</t>
  </si>
  <si>
    <t>RDC_NB_ERU8532</t>
  </si>
  <si>
    <t>EAV</t>
  </si>
  <si>
    <t>RDC_NB_ERU8533</t>
  </si>
  <si>
    <t>RDC_NB_ERU8534</t>
  </si>
  <si>
    <t>RDC_NB_ERU8535</t>
  </si>
  <si>
    <t>RDC_NB_ERU8536</t>
  </si>
  <si>
    <t>RDC_NB_ERU8537</t>
  </si>
  <si>
    <t>RDC_NB_ERU8538</t>
  </si>
  <si>
    <t>RDC_NB_ERU8539</t>
  </si>
  <si>
    <t>RDC_NB_ERU8540</t>
  </si>
  <si>
    <t>RDC_NB_ERU8541</t>
  </si>
  <si>
    <t>RDC_SB_AHU8011</t>
  </si>
  <si>
    <t>RDC_SB_AHU8012</t>
  </si>
  <si>
    <t>RDC_SB_AHU8021</t>
  </si>
  <si>
    <t>RDC_SB_AHU8022</t>
  </si>
  <si>
    <t>RDC_SB_AHU8023</t>
  </si>
  <si>
    <t>RDC_SB_AHU8024</t>
  </si>
  <si>
    <t>RDC_UB_AHU8603_DXUnit</t>
  </si>
  <si>
    <t>This is the DX coil/compressor of AHU8603</t>
  </si>
  <si>
    <t>RDC_SB_AHU8025</t>
  </si>
  <si>
    <t>RDC_UB_AHU8604_DXUnit</t>
  </si>
  <si>
    <t>This is the DX coil/compressor of AHU8604</t>
  </si>
  <si>
    <t>RDC_SB_AHU8026</t>
  </si>
  <si>
    <t>RDC_UB_AHU8605_DXUnit</t>
  </si>
  <si>
    <t>This is the DX coil/compressor of AHU8605</t>
  </si>
  <si>
    <t>RDC_SB_AHU8031</t>
  </si>
  <si>
    <t>RDC_UB_AHU8606_DXUnit</t>
  </si>
  <si>
    <t>This is the DX coil/compressor of AHU8606</t>
  </si>
  <si>
    <t>RDC_SB_AHU8032</t>
  </si>
  <si>
    <t>RDC_UB_AHU8607_DXUnit</t>
  </si>
  <si>
    <t>This is the DX coil/compressor of AHU8607</t>
  </si>
  <si>
    <t>RDC_SB_AHU8033</t>
  </si>
  <si>
    <t>RDC_UB_AHU8608_DXUnit</t>
  </si>
  <si>
    <t>This is the DX coil/compressor of AHU8608</t>
  </si>
  <si>
    <t>RDC_SB_AHU8034</t>
  </si>
  <si>
    <t>RDC_UB_AHU8609_DXUnit</t>
  </si>
  <si>
    <t>This is the DX coil/compressor of AHU8609</t>
  </si>
  <si>
    <t>RDC_SB_AHU8035</t>
  </si>
  <si>
    <t>RDC_SB_BUS_EFA1</t>
  </si>
  <si>
    <t>Extract fans serving the bus station</t>
  </si>
  <si>
    <t>RDC_SB_AHU8036</t>
  </si>
  <si>
    <t>RDC_SB_BUS_EFA2</t>
  </si>
  <si>
    <t>RDC_SB_AHU8037</t>
  </si>
  <si>
    <t>RDC_SB_BUS_EFA3</t>
  </si>
  <si>
    <t>RDC_SB_AHU8041</t>
  </si>
  <si>
    <t>RDC_SB_BUS_EFA4</t>
  </si>
  <si>
    <t>RDC_SB_AHU8042</t>
  </si>
  <si>
    <t>RDC_SB_BUS_EFA5</t>
  </si>
  <si>
    <t>RDC_SB_BUS_EFA6</t>
  </si>
  <si>
    <t>RDC_SB_BUS_EFA7</t>
  </si>
  <si>
    <t>RDC_SB_BUS_EFA8</t>
  </si>
  <si>
    <t>RDC_SB_BUS_EFB1</t>
  </si>
  <si>
    <t>RDC_SB_BUS_EFB2</t>
  </si>
  <si>
    <t>RDC_SB_BUS_EFB3</t>
  </si>
  <si>
    <t>RDC_SB_BUS_EFB4</t>
  </si>
  <si>
    <t>RDC_SB_BUS_EFB5</t>
  </si>
  <si>
    <t>RDC_SB_BUS_EFB6</t>
  </si>
  <si>
    <t>RDC_NB_EF8511</t>
  </si>
  <si>
    <t>RDC_SB_BUS_EFB7</t>
  </si>
  <si>
    <t>RDC_NB_EF8512</t>
  </si>
  <si>
    <t>RDC_SB_BUS_EFB8</t>
  </si>
  <si>
    <t>RDC_NB_EF8513</t>
  </si>
  <si>
    <t>RDC_SB_BUS_EFC1</t>
  </si>
  <si>
    <t>RDC_NB_EF8514</t>
  </si>
  <si>
    <t>RDC_SB_BUS_EFC2</t>
  </si>
  <si>
    <t>RDC_NB_EF8551</t>
  </si>
  <si>
    <t>RDC_SB_BUS_EFD1</t>
  </si>
  <si>
    <t>RDC_NB_EF8552</t>
  </si>
  <si>
    <t>RDC_SB_BUS_EFD2</t>
  </si>
  <si>
    <t>RDC_NB_EF8553</t>
  </si>
  <si>
    <t>RDC_NB_EF8554</t>
  </si>
  <si>
    <t>RDC_SB_EF8041</t>
  </si>
  <si>
    <t>RDC_SB_EF8042</t>
  </si>
  <si>
    <t>RDC_SB_EF8043</t>
  </si>
  <si>
    <t>RDC_SB_EF8044</t>
  </si>
  <si>
    <t>RDC_UB_EF8641</t>
  </si>
  <si>
    <t>RDC_UB_EF8642</t>
  </si>
  <si>
    <t>RDC_UB_EF8643</t>
  </si>
  <si>
    <t>RDC_UB_EF8644</t>
  </si>
  <si>
    <t>RDC_UB_EF8645</t>
  </si>
  <si>
    <t>RDC_UB_EF8646</t>
  </si>
  <si>
    <t>RDC_SB_1F_VAV</t>
  </si>
  <si>
    <t>RDC_SB_GF_VAV</t>
  </si>
  <si>
    <t>RDC_NB_1F_VAV7830_7831</t>
  </si>
  <si>
    <t>RDC_NB_1F_CAV4501</t>
  </si>
  <si>
    <t>RDC_NB_1F_CAV4581A</t>
  </si>
  <si>
    <t>RDC_NB_1F_CAV4581B</t>
  </si>
  <si>
    <t>RDC_NB_1F_CAV4582</t>
  </si>
  <si>
    <t>RDC_NB_1F_CAV4640_EV4641</t>
  </si>
  <si>
    <t>RDC_NB_1F_CAV5530</t>
  </si>
  <si>
    <t>RDC_NB_1F_CAV5640_EV5641</t>
  </si>
  <si>
    <t>RDC_NB_1F_CAV5720_EV5721</t>
  </si>
  <si>
    <t>RDC_NB_1F_CAV5750</t>
  </si>
  <si>
    <t>RDC_NB_1F_CAV5755</t>
  </si>
  <si>
    <t>RDC_NB_1F_CAV5818</t>
  </si>
  <si>
    <t>RDC_NB_1F_CAV6500</t>
  </si>
  <si>
    <t>RDC_NB_1F_CAV6515_EV6516</t>
  </si>
  <si>
    <t>RDC_NB_1F_CAV6520</t>
  </si>
  <si>
    <t>RDC_NB_1F_CAV6580</t>
  </si>
  <si>
    <t>RDC_NB_1F_CAV6730</t>
  </si>
  <si>
    <t>RDC_NB_1F_CAV6740_EV6741</t>
  </si>
  <si>
    <t>RDC_NB_1F_CAV6790_CEV6791</t>
  </si>
  <si>
    <t>RDC_NB_1F_CAV7500_EV7501</t>
  </si>
  <si>
    <t>RDC_NB_1F_CAV7520_CEV7521</t>
  </si>
  <si>
    <t>RDC_NB_1F_CAV7590_CEV7591</t>
  </si>
  <si>
    <t>RDC_NB_1F_CAV7610_CEV7611</t>
  </si>
  <si>
    <t>RDC_NB_1F_CAV7720</t>
  </si>
  <si>
    <t>RDC_NB_1F_CAV7760_CEV7761</t>
  </si>
  <si>
    <t>RDC_NB_1F_CAV7790_CEV7791</t>
  </si>
  <si>
    <t>RDC_NB_GF_CAV4030</t>
  </si>
  <si>
    <t>RDC_NB_GF_CAV4035</t>
  </si>
  <si>
    <t>RDC_NB_GF_CAV4170</t>
  </si>
  <si>
    <t>RDC_NB_GF_CAV4315_EV4316</t>
  </si>
  <si>
    <t>RDC_NB_GF_CAV5005</t>
  </si>
  <si>
    <t>RDC_NB_GF_CAV5020_EV5021</t>
  </si>
  <si>
    <t>RDC_NB_GF_CAV5160_EV5161</t>
  </si>
  <si>
    <t>RDC_NB_GF_CAV5170</t>
  </si>
  <si>
    <t>RDC_NB_GF_CAV5240_CEV5241</t>
  </si>
  <si>
    <t>RDC_NB_GF_CAV5280</t>
  </si>
  <si>
    <t>RDC_NB_GF_CAV5290_EV5291</t>
  </si>
  <si>
    <t>RDC_NB_GF_CAV5320</t>
  </si>
  <si>
    <t>RDC_NB_GF_CAV5350</t>
  </si>
  <si>
    <t>RDC_NB_GF_CAV5375</t>
  </si>
  <si>
    <t>RDC_NB_GF_CAV6005</t>
  </si>
  <si>
    <t>RDC_NB_GF_CAV6015_EV6016</t>
  </si>
  <si>
    <t>RDC_NB_GF_CAV6020</t>
  </si>
  <si>
    <t>RDC_NB_GF_CAV6280_EV6281</t>
  </si>
  <si>
    <t>RDC_NB_GF_CAV7005_EV7006</t>
  </si>
  <si>
    <t>RDC_NB_GF_CAV7380_EV7381</t>
  </si>
  <si>
    <t>RDC_SB_1F_CAV0501</t>
  </si>
  <si>
    <t>RDC_SB_1F_CAV0502</t>
  </si>
  <si>
    <t>RDC_SB_1F_CAV0503</t>
  </si>
  <si>
    <t>RDC_SB_1F_CAV0504</t>
  </si>
  <si>
    <t>RDC_SB_1F_CAV0505</t>
  </si>
  <si>
    <t>RDC_SB_1F_CAV0515</t>
  </si>
  <si>
    <t>RDC_SB_1F_CAV0516</t>
  </si>
  <si>
    <t>RDC_SB_1F_CAV0517</t>
  </si>
  <si>
    <t>RDC_SB_1F_CAV0524</t>
  </si>
  <si>
    <t>RDC_SB_1F_CAV0525</t>
  </si>
  <si>
    <t>RDC_SB_1F_CAV0534</t>
  </si>
  <si>
    <t>RDC_SB_1F_CAV0535</t>
  </si>
  <si>
    <t>RDC_SB_1F_CAV1504</t>
  </si>
  <si>
    <t>RDC_SB_1F_CAV1535</t>
  </si>
  <si>
    <t>RDC_SB_1F_CAV1537</t>
  </si>
  <si>
    <t>RDC_SB_1F_CAV1541</t>
  </si>
  <si>
    <t>RDC_SB_1F_CAV2507</t>
  </si>
  <si>
    <t>RDC_SB_GF_CAV0004</t>
  </si>
  <si>
    <t>RDC_SB_GF_CAV0005</t>
  </si>
  <si>
    <t>RDC_SB_GF_CAV0006</t>
  </si>
  <si>
    <t>RDC_SB_GF_CAV0015</t>
  </si>
  <si>
    <t>RDC_SB_GF_CAV0020</t>
  </si>
  <si>
    <t>RDC_SB_GF_CAV0021</t>
  </si>
  <si>
    <t>RDC_SB_GF_CAV0022</t>
  </si>
  <si>
    <t>RDC_SB_GF_CAV0023</t>
  </si>
  <si>
    <t>RDC_SB_GF_CAV0024</t>
  </si>
  <si>
    <t>RDC_SB_GF_CAV1001</t>
  </si>
  <si>
    <t>RDC_SB_GF_CAV1002</t>
  </si>
  <si>
    <t>RDC_SB_GF_CAV1005</t>
  </si>
  <si>
    <t>RDC_SB_GF_CAV1006</t>
  </si>
  <si>
    <t>RDC_SB_GF_CAV1007</t>
  </si>
  <si>
    <t>RDC_SB_GF_CAV1009</t>
  </si>
  <si>
    <t>RDC_SB_GF_CAV2001</t>
  </si>
  <si>
    <t>RDC_NB_CHW_HEX01</t>
  </si>
  <si>
    <t>RDC_NB_CHW_HEX02</t>
  </si>
  <si>
    <t>RDC_SB_CHW_Hex01</t>
  </si>
  <si>
    <t>RDC_SB_CHW_Hex02</t>
  </si>
  <si>
    <t>RDC_UB_CHW_HEX01</t>
  </si>
  <si>
    <t>RDC_UB_CHW_HEX02</t>
  </si>
  <si>
    <t>RDC_UB_CHW_HEX03</t>
  </si>
  <si>
    <t>RDC_NB_CHW_P01</t>
  </si>
  <si>
    <t>RDC_NB_CHW_P02</t>
  </si>
  <si>
    <t>RDC_NB_CHW_P03</t>
  </si>
  <si>
    <t>RDC_SB_CH_Pmp01</t>
  </si>
  <si>
    <t>RDC_SB_CH_Pmp02</t>
  </si>
  <si>
    <t>RDC_SB_CHW_Pmp01</t>
  </si>
  <si>
    <t>RDC_UB_CHW_Pmp01</t>
  </si>
  <si>
    <t>RDC_UB_CHW_Pmp02</t>
  </si>
  <si>
    <t>RDC_UB_CHW_Pmp03</t>
  </si>
  <si>
    <t>UB_GEN1</t>
  </si>
  <si>
    <t>UB_GEN2</t>
  </si>
  <si>
    <t>UB_GEN3</t>
  </si>
  <si>
    <t>RDC_NB_1F_VEV5791</t>
  </si>
  <si>
    <t>RDC_NB_GF_VEV4041</t>
  </si>
  <si>
    <t>RDC_NB_1F_VEV5811A</t>
  </si>
  <si>
    <t>RDC_NB_GF_VEV4213A</t>
  </si>
  <si>
    <t>RDC_NB_1F_VEV5821</t>
  </si>
  <si>
    <t>RDC_NB_GF_VEV5052A</t>
  </si>
  <si>
    <t>RDC_NB_1F_VEV6553</t>
  </si>
  <si>
    <t>RDC_NB_GF_VEV7073</t>
  </si>
  <si>
    <t>RDC_NB_GF_VEV5071</t>
  </si>
  <si>
    <t>RDC_NB_GF_VEV7023A</t>
  </si>
  <si>
    <t>RDC_NB_GF_VEV5092</t>
  </si>
  <si>
    <t>RDC_NB_1F_VEV6751</t>
  </si>
  <si>
    <t>RDC_NB_GF_VEV7301</t>
  </si>
  <si>
    <t>RDC_NB_1F_VEV6763</t>
  </si>
  <si>
    <t>RDC_NB_1F_VEV4586A</t>
  </si>
  <si>
    <t>RDC_NB_GF_VEV5231</t>
  </si>
  <si>
    <t>RDC_NB_1F_VEV4602</t>
  </si>
  <si>
    <t>RDC_NB_GF_VEV5182A</t>
  </si>
  <si>
    <t>RDC_NB_1F_VEV5572</t>
  </si>
  <si>
    <t>RDC_NB_1F_VEV5591</t>
  </si>
  <si>
    <t>RDC_NB_1F_VEV4585A</t>
  </si>
  <si>
    <t>RDC_NB_1F_VEV4585B</t>
  </si>
  <si>
    <t>RDC_NB_1F_VEV4586B</t>
  </si>
  <si>
    <t>RDC_NB_1F_VEV5573A</t>
  </si>
  <si>
    <t>RDC_NB_1F_VEV5573B</t>
  </si>
  <si>
    <t>RDC_NB_1F_VEV5811B</t>
  </si>
  <si>
    <t>RDC_NB_1F_VEV5795B</t>
  </si>
  <si>
    <t>RDC_NB_1F_VEV6552</t>
  </si>
  <si>
    <t>RDC_NB_1F_VEV6541</t>
  </si>
  <si>
    <t>RDC_NB_1F_VEV6762</t>
  </si>
  <si>
    <t>RDC_NB_GF_VEV4213B</t>
  </si>
  <si>
    <t>RDC_NB_GF_VEV5055</t>
  </si>
  <si>
    <t>RDC_NB_GF_VEV5052B</t>
  </si>
  <si>
    <t>RDC_NB_GF_VEV5182B</t>
  </si>
  <si>
    <t>RDC_NB_GF_VEV5221</t>
  </si>
  <si>
    <t>RDC_NB_GF_VEV5211</t>
  </si>
  <si>
    <t>RDC_NB_GF_VEV7022B</t>
  </si>
  <si>
    <t>RDC_NB_GF_VEV7022A</t>
  </si>
  <si>
    <t>RDC_NB_GF_VEV7024B</t>
  </si>
  <si>
    <t>RDC_NB_GF_VEV7024A</t>
  </si>
  <si>
    <t>RDC_NB_GF_VEV7023B</t>
  </si>
  <si>
    <t>RDC_NB_GF_VEV7072B</t>
  </si>
  <si>
    <t>RDC_NB_GF_VEV7072A</t>
  </si>
  <si>
    <t>RDC_NB_GF_VEV7241B</t>
  </si>
  <si>
    <t>RDC_NB_GF_EAV4261</t>
  </si>
  <si>
    <t>RDC_NB_1F_EAV4500</t>
  </si>
  <si>
    <t>RDC_NB_1F_EAV6661</t>
  </si>
  <si>
    <t>RDC_NB_GF_EAV4286</t>
  </si>
  <si>
    <t>RDC_NB_1F_EAV4661</t>
  </si>
  <si>
    <t>RDC_NB_GF_EAV4311</t>
  </si>
  <si>
    <t>RDC_NB_1F_EAV6676</t>
  </si>
  <si>
    <t>RDC_NB_1F_EAV4686</t>
  </si>
  <si>
    <t>RDC_NB_1F_EAV6691</t>
  </si>
  <si>
    <t>RDC_NB_GF_EAV5026</t>
  </si>
  <si>
    <t>RDC_NB_1F_EAV4711</t>
  </si>
  <si>
    <t>RDC_NB_GF_EAV5163</t>
  </si>
  <si>
    <t>RDC_NB_1F_EAV6936</t>
  </si>
  <si>
    <t>RDC_NB_1F_EAV4736</t>
  </si>
  <si>
    <t>RDC_NB_GF_EAV6127</t>
  </si>
  <si>
    <t>RDC_NB_1F_EAV6961</t>
  </si>
  <si>
    <t>RDC_NB_1F_EAV5502</t>
  </si>
  <si>
    <t>RDC_NB_GF_EAV6141</t>
  </si>
  <si>
    <t>RDC_NB_1F_EAV6969</t>
  </si>
  <si>
    <t>RDC_NB_1F_EAV5503</t>
  </si>
  <si>
    <t>RDC_NB_GF_EAV6156</t>
  </si>
  <si>
    <t>RDC_NB_1F_EAV7631</t>
  </si>
  <si>
    <t>RDC_NB_1F_EAV5686</t>
  </si>
  <si>
    <t>RDC_NB_GF_EAV6176</t>
  </si>
  <si>
    <t>RDC_NB_1F_EAV7646</t>
  </si>
  <si>
    <t>RDC_NB_1F_EAV5747</t>
  </si>
  <si>
    <t>RDC_NB_GF_EAV6356</t>
  </si>
  <si>
    <t>RDC_NB_1F_EAV7661</t>
  </si>
  <si>
    <t>RDC_NB_1F_EAV5891</t>
  </si>
  <si>
    <t>RDC_NB_GF_EAV6381</t>
  </si>
  <si>
    <t>RDC_NB_1F_EAV7663</t>
  </si>
  <si>
    <t>RDC_NB_1F_EAV5921</t>
  </si>
  <si>
    <t>RDC_NB_GF_EAV6401</t>
  </si>
  <si>
    <t>RDC_NB_1F_EAV7711</t>
  </si>
  <si>
    <t>RDC_NB_1F_EAV5941</t>
  </si>
  <si>
    <t>RDC_NB_GF_EAV7091</t>
  </si>
  <si>
    <t>RDC_NB_1F_EAV7712</t>
  </si>
  <si>
    <t>RDC_NB_1F_EAV6528</t>
  </si>
  <si>
    <t>RDC_NB_1F_EAV7861</t>
  </si>
  <si>
    <t>RDC_NB_GF_EAV7106</t>
  </si>
  <si>
    <t>RDC_NB_1F_EAV7916</t>
  </si>
  <si>
    <t>RDC_NB_GF_EAV7121</t>
  </si>
  <si>
    <t>RDC_NB_2F_EAV4920</t>
  </si>
  <si>
    <t>RDC_NB_GF_EAV7122</t>
  </si>
  <si>
    <t>RDC_NB_2F_EAV6981</t>
  </si>
  <si>
    <t>RDC_NB_GF_EAV7396</t>
  </si>
  <si>
    <t>RDC_NB_GF_EAV4028</t>
  </si>
  <si>
    <t>RDC_NB_GF_EAV7426</t>
  </si>
  <si>
    <t>RDC_NB_GF_EAV4236</t>
  </si>
  <si>
    <t>RDC_NB_GF_EAV7461</t>
  </si>
  <si>
    <t>RDC_NB_GF_EAV7486</t>
  </si>
  <si>
    <t>RDC_NB_1F_FEV5772</t>
  </si>
  <si>
    <t>RDC_NB_1F_FEV4587</t>
  </si>
  <si>
    <t>RDC_NB_1F_FEV6731</t>
  </si>
  <si>
    <t>RDC_NB_1F_FEV5796</t>
  </si>
  <si>
    <t>RDC_NB_1F_FEV4588</t>
  </si>
  <si>
    <t>RDC_NB_1F_FEV5812</t>
  </si>
  <si>
    <t>RDC_NB_1F_FEV6764</t>
  </si>
  <si>
    <t>RDC_NB_1F_FEV4603</t>
  </si>
  <si>
    <t>RDC_NB_1F_FEV5813</t>
  </si>
  <si>
    <t>RDC_NB_1F_FEV6765</t>
  </si>
  <si>
    <t>RDC_NB_1F_FEV4604</t>
  </si>
  <si>
    <t>RDC_NB_1F_FEV6554</t>
  </si>
  <si>
    <t>RDC_NB_1F_FEV6766</t>
  </si>
  <si>
    <t>RDC_NB_1F_FEV4605</t>
  </si>
  <si>
    <t>RDC_NB_1F_FEV6555</t>
  </si>
  <si>
    <t>RDC_NB_1F_FEV6852</t>
  </si>
  <si>
    <t>RDC_NB_1F_FEV4606</t>
  </si>
  <si>
    <t>RDC_NB_1F_FEV6853</t>
  </si>
  <si>
    <t>RDC_NB_1F_FEV4622</t>
  </si>
  <si>
    <t>RDC_NB_1F_FEV6602</t>
  </si>
  <si>
    <t>RDC_NB_1F_FEV6854</t>
  </si>
  <si>
    <t>RDC_NB_1F_FEV5574</t>
  </si>
  <si>
    <t>RDC_NB_1F_FEV6632</t>
  </si>
  <si>
    <t>RDC_NB_1F_FEV6855</t>
  </si>
  <si>
    <t>RDC_NB_1F_FEV5575</t>
  </si>
  <si>
    <t>RDC_NB_1F_FEV6633</t>
  </si>
  <si>
    <t>RDC_NB_1F_FEV5624</t>
  </si>
  <si>
    <t>RDC_NB_1F_FEV6634</t>
  </si>
  <si>
    <t>RDC_NB_1F_FEV6856</t>
  </si>
  <si>
    <t>RDC_NB_1F_FEV6635</t>
  </si>
  <si>
    <t>RDC_NB_1F_FEV6857</t>
  </si>
  <si>
    <t>RDC_NB_1F_FEV6636</t>
  </si>
  <si>
    <t>RDC_NB_1F_FEV6858</t>
  </si>
  <si>
    <t>RDC_NB_1F_FEV6637</t>
  </si>
  <si>
    <t>RDC_NB_1F_FEV6859</t>
  </si>
  <si>
    <t>RDC_NB_1F_FEV6638</t>
  </si>
  <si>
    <t>RDC_NB_1F_FEV7522</t>
  </si>
  <si>
    <t>RDC_NB_1F_FEV6639</t>
  </si>
  <si>
    <t>RDC_NB_1F_FEV7602</t>
  </si>
  <si>
    <t>RDC_NB_1F_FEV7824</t>
  </si>
  <si>
    <t>RDC_NB_GF_FEV4193</t>
  </si>
  <si>
    <t>RDC_NB_GF_FEV5223</t>
  </si>
  <si>
    <t>RDC_NB_GF_FEV5073</t>
  </si>
  <si>
    <t>RDC_NB_GF_FEV4194</t>
  </si>
  <si>
    <t>RDC_NB_GF_FEV5271</t>
  </si>
  <si>
    <t>RDC_NB_GF_FEV5074</t>
  </si>
  <si>
    <t>RDC_NB_GF_FEV4214</t>
  </si>
  <si>
    <t>RDC_NB_GF_FEV5272</t>
  </si>
  <si>
    <t>RDC_NB_GF_FEV5082</t>
  </si>
  <si>
    <t>RDC_NB_GF_FEV4215</t>
  </si>
  <si>
    <t>RDC_NB_GF_FEV5273</t>
  </si>
  <si>
    <t>RDC_NB_GF_FEV5083</t>
  </si>
  <si>
    <t>RDC_NB_GF_FEV4216</t>
  </si>
  <si>
    <t>RDC_NB_GF_FEV5274</t>
  </si>
  <si>
    <t>RDC_NB_GF_FEV5093</t>
  </si>
  <si>
    <t>RDC_NB_GF_FEV5053</t>
  </si>
  <si>
    <t>RDC_NB_GF_FEV5275</t>
  </si>
  <si>
    <t>RDC_NB_GF_FEV5094</t>
  </si>
  <si>
    <t>RDC_NB_GF_FEV5062</t>
  </si>
  <si>
    <t>RDC_NB_GF_FEV5276</t>
  </si>
  <si>
    <t>RDC_NB_GF_FEV5072</t>
  </si>
  <si>
    <t>RDC_NB_GF_FEV5095A</t>
  </si>
  <si>
    <t>RDC_NB_GF_FEV5277</t>
  </si>
  <si>
    <t>RDC_NB_GF_FEV5095B</t>
  </si>
  <si>
    <t>RDC_NB_GF_FEV7052</t>
  </si>
  <si>
    <t>RDC_NB_GF_FEV5183</t>
  </si>
  <si>
    <t>RDC_NB_GF_FEV7053</t>
  </si>
  <si>
    <t>RDC_NB_GF_FEV5192A</t>
  </si>
  <si>
    <t>RDC_NB_GF_FEV7062</t>
  </si>
  <si>
    <t>RDC_NB_GF_FEV5192B</t>
  </si>
  <si>
    <t>RDC_NB_GF_FEV7074</t>
  </si>
  <si>
    <t>RDC_NB_GF_FEV5203</t>
  </si>
  <si>
    <t>RDC_NB_GF_FEV7075</t>
  </si>
  <si>
    <t>RDC_NB_GF_FEV5222</t>
  </si>
  <si>
    <t>RDC_NB_GF_FEV7232</t>
  </si>
  <si>
    <t>RDC_NB_GF_FEV7262</t>
  </si>
  <si>
    <t>Name</t>
  </si>
  <si>
    <t>Number</t>
  </si>
  <si>
    <t xml:space="preserve">entity to use in Ontology </t>
  </si>
  <si>
    <t>Equipment located in Entity</t>
  </si>
  <si>
    <t>VENT PLANT</t>
  </si>
  <si>
    <t>B1.014</t>
  </si>
  <si>
    <t>CHILLED WATER</t>
  </si>
  <si>
    <t>B1.013</t>
  </si>
  <si>
    <t>GENERATOR</t>
  </si>
  <si>
    <t>B1.012</t>
  </si>
  <si>
    <t>entity:SSC_B1_012_GENERATOR</t>
  </si>
  <si>
    <t>STAIR-1</t>
  </si>
  <si>
    <t>B1.ST-1</t>
  </si>
  <si>
    <t>entity:SSC_B1_ST-1_STAIR-1</t>
  </si>
  <si>
    <t>ENTRANCE</t>
  </si>
  <si>
    <t>B1.015</t>
  </si>
  <si>
    <t>LIFT</t>
  </si>
  <si>
    <t>B1.P-1</t>
  </si>
  <si>
    <t>entity:SSC_B1_P-1_P1</t>
  </si>
  <si>
    <t>B1.P-2</t>
  </si>
  <si>
    <t>entity:SSC_B1_P-2_P2</t>
  </si>
  <si>
    <t>SPRINKLER &amp; WATER</t>
  </si>
  <si>
    <t>B1.016</t>
  </si>
  <si>
    <t>SER-2</t>
  </si>
  <si>
    <t>B1.038</t>
  </si>
  <si>
    <t>entity:SSC_B1_038_SER-2</t>
  </si>
  <si>
    <t>MDF-2</t>
  </si>
  <si>
    <t>B1.017</t>
  </si>
  <si>
    <t>entity:SSC_B1_017_MDF-2</t>
  </si>
  <si>
    <t>FM STORAGE</t>
  </si>
  <si>
    <t>B1.019</t>
  </si>
  <si>
    <t>entity:SSC_B1_019_FM_STORAGE</t>
  </si>
  <si>
    <t>CONDENSER ROOM</t>
  </si>
  <si>
    <t>B1.018</t>
  </si>
  <si>
    <t>entity:SSC_B1_018_CONDENSER_ROOM</t>
  </si>
  <si>
    <t>FILE STORAGE</t>
  </si>
  <si>
    <t>B1.028</t>
  </si>
  <si>
    <t>entity:SSC_B1_028_FILE_STORAGE</t>
  </si>
  <si>
    <t>CORRIDOR</t>
  </si>
  <si>
    <t>B1.030</t>
  </si>
  <si>
    <t>entity:SSC_B1_030_CORRIDOR</t>
  </si>
  <si>
    <t>B1.031</t>
  </si>
  <si>
    <t>entity:SSC_B1_031_CORRIDOR</t>
  </si>
  <si>
    <t>B1.029</t>
  </si>
  <si>
    <t>entity:SSC_B1_029_CORRIDOR</t>
  </si>
  <si>
    <t>B1.027</t>
  </si>
  <si>
    <t>entity:SSC_B1_027_CORRIDOR</t>
  </si>
  <si>
    <t>B1.034</t>
  </si>
  <si>
    <t>entity:SSC_B1_034_CORRIDOR</t>
  </si>
  <si>
    <t>B1.035</t>
  </si>
  <si>
    <t>entity:SSC_B1_035_CORRIDOR</t>
  </si>
  <si>
    <t>B1.008</t>
  </si>
  <si>
    <t>STAIR-2</t>
  </si>
  <si>
    <t>B1.ST-2</t>
  </si>
  <si>
    <t>entity:SSC_B1_ST-2_STAIR-2</t>
  </si>
  <si>
    <t>STORAGE</t>
  </si>
  <si>
    <t>B1.036</t>
  </si>
  <si>
    <t>entity:SSC_B1_036_STORAGE</t>
  </si>
  <si>
    <t>JANITORS CLOSET</t>
  </si>
  <si>
    <t>B1.011</t>
  </si>
  <si>
    <t>entity:SSC_B1_011_JANITORS_CLOSET</t>
  </si>
  <si>
    <t>VESTIBULE</t>
  </si>
  <si>
    <t>B1.010</t>
  </si>
  <si>
    <t>entity:SSC_B1_010_VESTIBULE</t>
  </si>
  <si>
    <t>TOILET</t>
  </si>
  <si>
    <t>B1.009</t>
  </si>
  <si>
    <t>entity:SSC_B1_009_TOILET</t>
  </si>
  <si>
    <t>SERVICE DOCK</t>
  </si>
  <si>
    <t>B1.007</t>
  </si>
  <si>
    <t>entity:SSC_B1_007_SERVICE_DOCK</t>
  </si>
  <si>
    <t>UPS</t>
  </si>
  <si>
    <t>B1.005</t>
  </si>
  <si>
    <t>entity:SSC_B1_005_UPS</t>
  </si>
  <si>
    <t>SERVICE AREA</t>
  </si>
  <si>
    <t>B1.006</t>
  </si>
  <si>
    <t>entity:SSC_B1_006_SERVICE_AREA</t>
  </si>
  <si>
    <t>MAIN SEC.  CONTROL ROOM</t>
  </si>
  <si>
    <t>B1.025</t>
  </si>
  <si>
    <t>entity:SSC_B1_025_MAIN_SEC_CONTROL_ROOM</t>
  </si>
  <si>
    <t>SSP</t>
  </si>
  <si>
    <t>B1.022</t>
  </si>
  <si>
    <t>entity:SSC_B1_022_SSP</t>
  </si>
  <si>
    <t>QTEL</t>
  </si>
  <si>
    <t>B1.023</t>
  </si>
  <si>
    <t>entity:SSC_B1_023_Q_TEL</t>
  </si>
  <si>
    <t>MDF/SER-1</t>
  </si>
  <si>
    <t>B1.026</t>
  </si>
  <si>
    <t>entity:SSC_B1_026_MDF_SER-1</t>
  </si>
  <si>
    <t>BIN STORAGE</t>
  </si>
  <si>
    <t>B1.024</t>
  </si>
  <si>
    <t>entity:SSC_B1_024_BIN_STORAGE</t>
  </si>
  <si>
    <t>BMS</t>
  </si>
  <si>
    <t>B1.039</t>
  </si>
  <si>
    <t>B1.021</t>
  </si>
  <si>
    <t>entity:SSC_B1_021_FM_STORAGE</t>
  </si>
  <si>
    <t>B1.032</t>
  </si>
  <si>
    <t>entity:SSC_B1_032_CORRIDOR</t>
  </si>
  <si>
    <t>B1.020</t>
  </si>
  <si>
    <t>entity:SSC_B1_020_FM_STORAGE</t>
  </si>
  <si>
    <t>B1.001</t>
  </si>
  <si>
    <t>entity:SSC_B1_001_FM_STORAGE</t>
  </si>
  <si>
    <t>HV</t>
  </si>
  <si>
    <t>B1.002</t>
  </si>
  <si>
    <t>entity:SSC_B1_002_HV_ROOM</t>
  </si>
  <si>
    <t>TRANSFORMER</t>
  </si>
  <si>
    <t>B1.003</t>
  </si>
  <si>
    <t>entity:SSC_B1_003_TRANSFORMER</t>
  </si>
  <si>
    <t>MV SWITCH ROOM</t>
  </si>
  <si>
    <t>B1.004</t>
  </si>
  <si>
    <t>entity:SSC_B1_004_MV_SWITCH_ROOM</t>
  </si>
  <si>
    <t>STAIR-9</t>
  </si>
  <si>
    <t>01.ST-9</t>
  </si>
  <si>
    <t>entity:SSC_01_ST-9_STAIR-9</t>
  </si>
  <si>
    <t>OUTDOOR AREA</t>
  </si>
  <si>
    <t>entity:SSC_01_037_OUTDOOR_AREA</t>
  </si>
  <si>
    <t>SHELL SPACE</t>
  </si>
  <si>
    <t>STAIR-3</t>
  </si>
  <si>
    <t>01.ST-3</t>
  </si>
  <si>
    <t>entity:SSC_01_ST-3_STAIR-3</t>
  </si>
  <si>
    <t>STAIR-8</t>
  </si>
  <si>
    <t>01.ST-8</t>
  </si>
  <si>
    <t>entity:SSC_01_ST-8_STAIR-8</t>
  </si>
  <si>
    <t>entity:SSC_01_041_STORAGE_ROOM</t>
  </si>
  <si>
    <t>FEMALE TOILET</t>
  </si>
  <si>
    <t>entity:SSC_01_017_FEMALE_TOILET</t>
  </si>
  <si>
    <t>ABLUTION ROOM</t>
  </si>
  <si>
    <t>entity:SSC_01_021_ABLUTION_ROOM</t>
  </si>
  <si>
    <t>entity:SSC_01_023_CORRIDOR</t>
  </si>
  <si>
    <t>entity:SSC_01_020_CORRIDOR</t>
  </si>
  <si>
    <t>IDF - 2</t>
  </si>
  <si>
    <t>IDF - 1</t>
  </si>
  <si>
    <t>FURNITURE STORAGE</t>
  </si>
  <si>
    <t>entity:SSC_01_026_STORAGE_ROOM</t>
  </si>
  <si>
    <t>MALE TOILET</t>
  </si>
  <si>
    <t>entity:SSC_01_025_MALE_TOILET</t>
  </si>
  <si>
    <t>PRAYER ROOM</t>
  </si>
  <si>
    <t>OPEN SPACE</t>
  </si>
  <si>
    <t>entity:SSC_01_012_STORAGE</t>
  </si>
  <si>
    <t>01.P-2</t>
  </si>
  <si>
    <t>entity:SSC_01_P-2_P-2</t>
  </si>
  <si>
    <t>01.P-1</t>
  </si>
  <si>
    <t>entity:SSC_01_P-1_P-1</t>
  </si>
  <si>
    <t>01.ST-1</t>
  </si>
  <si>
    <t>entity:SSC_01_ST-1_STAIR-1</t>
  </si>
  <si>
    <t>AUDITORIUM MEETING ROOM</t>
  </si>
  <si>
    <t>entity:SSC_01_009_AUDITORIUM</t>
  </si>
  <si>
    <t>STORAGE AREA</t>
  </si>
  <si>
    <t>entity:SSC_01_038_STORAGE_AREA</t>
  </si>
  <si>
    <t>A / V ROOM</t>
  </si>
  <si>
    <t>entity:SSC_01_007_FEMALE_TOILET</t>
  </si>
  <si>
    <t>entity:SSC_01_006_MALE_TOILET</t>
  </si>
  <si>
    <t>KITCHEN</t>
  </si>
  <si>
    <t>entity:SSC_01_005_KITCHEN</t>
  </si>
  <si>
    <t>entity:SSC_01_004_CORRIDOR</t>
  </si>
  <si>
    <t>STAIR-4</t>
  </si>
  <si>
    <t>01.ST-4</t>
  </si>
  <si>
    <t>AIR LOCK</t>
  </si>
  <si>
    <t>entity:SSC_01_011_AIR_LOCK</t>
  </si>
  <si>
    <t>STAIR-5</t>
  </si>
  <si>
    <t>01.ST-5</t>
  </si>
  <si>
    <t>entity:SSC_01_ST-5_STAIR-5</t>
  </si>
  <si>
    <t>entity:SSC_01_030_STORAGE</t>
  </si>
  <si>
    <t>entity:SSC_01_031_TOILET</t>
  </si>
  <si>
    <t>entity:SSC_01_032_VESTIBULE</t>
  </si>
  <si>
    <t>entity:SSC_01_033_JANITORS_CLOSET</t>
  </si>
  <si>
    <t>entity:SSC_01_035_CORRIDOR</t>
  </si>
  <si>
    <t>entity:SSC_01_034_AIR_LOCK</t>
  </si>
  <si>
    <t>STAIR-10</t>
  </si>
  <si>
    <t>ST-10</t>
  </si>
  <si>
    <t>entity:SSC_ST-10_STAIR-10</t>
  </si>
  <si>
    <t>entity:SSC_01_036_OUTDOOR_AREA</t>
  </si>
  <si>
    <t>01.ST-2</t>
  </si>
  <si>
    <t>entity:SSC_01_ST-2_STAIR-2</t>
  </si>
  <si>
    <t>RESEARCHER'S OFFICE</t>
  </si>
  <si>
    <t>VISITOR'S CUBICLE</t>
  </si>
  <si>
    <t>OPERATIONS MANAGER</t>
  </si>
  <si>
    <t>MEETING ROOM</t>
  </si>
  <si>
    <t>DIRECTOR'S MEETING ROOM</t>
  </si>
  <si>
    <t>DIRECTOR'S OFFICE</t>
  </si>
  <si>
    <t>IT MANAGER'S OFFICE</t>
  </si>
  <si>
    <t>SECRETARIAL AREA</t>
  </si>
  <si>
    <t>ASSOC. DIRECTOR'S MEETING ROOM</t>
  </si>
  <si>
    <t>entity:SSC_03_030_ASSOC_DIRECTORS_MEETING_ROOM</t>
  </si>
  <si>
    <t>ASSOC. DIRECTOR'S OFFICE</t>
  </si>
  <si>
    <t>entity:SSC_03_031_ASSOC_DIRECTORS_OFFICE</t>
  </si>
  <si>
    <t>GENERAL OFFICE AREA</t>
  </si>
  <si>
    <t>entity:SSC_03_032_GENERAL_OFFICE_AREA</t>
  </si>
  <si>
    <t>PRINTING</t>
  </si>
  <si>
    <t>03.ST-2</t>
  </si>
  <si>
    <t>entity:SSC_03_ST-2_STAIR-2</t>
  </si>
  <si>
    <t>entity:SSC_03_046_STORAGE</t>
  </si>
  <si>
    <t>JANITOR'S CLOSET</t>
  </si>
  <si>
    <t>entity:SSC_03_045_JANITORS_CLOSET</t>
  </si>
  <si>
    <t>BALCONY</t>
  </si>
  <si>
    <t>entity:SSC_03_047_BALCONY</t>
  </si>
  <si>
    <t>LOUNGE</t>
  </si>
  <si>
    <t>IT SERVER ROOM</t>
  </si>
  <si>
    <t>entity:SSC_03_038_SERVER_ROOM</t>
  </si>
  <si>
    <t>IT OFFICE</t>
  </si>
  <si>
    <t>entity:SSC_03_039_FEMALE_TOILET</t>
  </si>
  <si>
    <t>entity:SSC_03_037_MALE_TOILET</t>
  </si>
  <si>
    <t>entity:SSC_03_036_KITCHEN</t>
  </si>
  <si>
    <t>03.ST-1</t>
  </si>
  <si>
    <t>entity:SSC_03_ST-1_STAIR-1</t>
  </si>
  <si>
    <t>03.P-2</t>
  </si>
  <si>
    <t>entity:SSC_03_P-2_LIFT</t>
  </si>
  <si>
    <t>03.P-1</t>
  </si>
  <si>
    <t>entity:SSC_03_P-1_LIFT</t>
  </si>
  <si>
    <t>entity:SSC_03_040_CORRIDOR</t>
  </si>
  <si>
    <t>STUDY LIBRARY AREA</t>
  </si>
  <si>
    <t>entity:SSC_03_035_STUDY_LIBRARY_AREA</t>
  </si>
  <si>
    <t>EXTERIOR COURTYARD</t>
  </si>
  <si>
    <t>entity:SSC_03_043_EXTERIOR_COURTYARD</t>
  </si>
  <si>
    <t>entity:SSC_03_048_BALCONY</t>
  </si>
  <si>
    <t>PODIUM</t>
  </si>
  <si>
    <t>03.F7.1</t>
  </si>
  <si>
    <t>entity:SSC_03_F7_1_PODIUM</t>
  </si>
  <si>
    <t>EXECUTIVE CONFERENCE ROOM</t>
  </si>
  <si>
    <t>CONFERENCE ROOM</t>
  </si>
  <si>
    <t>02.P-1</t>
  </si>
  <si>
    <t>entity:SSC_02_P-1_LIFT</t>
  </si>
  <si>
    <t>02.P-2</t>
  </si>
  <si>
    <t>entity:SSC_02_P-2_LIFT</t>
  </si>
  <si>
    <t>MEZZANINE</t>
  </si>
  <si>
    <t>entity:SSC_02_007_MEZZANINE</t>
  </si>
  <si>
    <t>entity:SSC_02_008_TOILET</t>
  </si>
  <si>
    <t>entity:SSC_02_010_VESTIBULE</t>
  </si>
  <si>
    <t>02.ST-2</t>
  </si>
  <si>
    <t>entity:SSC_02_ST-2_STAIR-2</t>
  </si>
  <si>
    <t>LOBBY</t>
  </si>
  <si>
    <t>FOYER</t>
  </si>
  <si>
    <t>02.ST-1</t>
  </si>
  <si>
    <t>entity:SSC_02_ST-1_STAIR-1</t>
  </si>
  <si>
    <t>02.ST-8</t>
  </si>
  <si>
    <t>entity:SSC_02_ST-8_STAIR-8</t>
  </si>
  <si>
    <t>In the RDC section of Controllable Asset Registry, column A tags like RDC_SB_GF_VAV1003_VEV1002 were typed as VAV in column B when the trailing token shows the real device type (VEV). Asked me to review all such tags in the RDC section and correct them.</t>
  </si>
  <si>
    <t>Scanned A1356:B3114 (RDC section = rows 1356-3114) for tags containing more than one type token, compared column B against the trailing token's letters, and rewrote column B where they disagreed. 153 rows corrected.</t>
  </si>
  <si>
    <t>Rule applied: the LAST type token in the tag wins (e.g. ..._VAV1003_VEV1002 -&gt; VEV). Verified the target types already exist as valid values elsewhere in the RDC block (EV 65, VEV 51, CEV 12, FEV 73), so no new type vocabulary was introduced. Corrections by type: EV 80, VEV 71, CEV 2. Affected rows span 1394-2105. Tag strings in column A were left unchanged - only the Equipment Type in column B was corrected, since renaming tags would break the links to the RDC Asset Register and the appended AT/valve rows.</t>
  </si>
  <si>
    <t>Complete and verified: re-scanned A1356:B3114 after the write and found 0 remaining mismatches; spot-checked row 1797 (RDC_SB_GF_VAV1003_VEV1002 = VEV) and row 1394 (RDC_NB_GF_VAV4005_EV4006 = EV). Open item if wanted: whether the composite tag names in column A should also be shortened to the single correct type.</t>
  </si>
  <si>
    <t>VP ADM TERRACE 04.701</t>
  </si>
  <si>
    <t>HQ RF</t>
  </si>
  <si>
    <t>S-TOWER CORRIDOR 4.601</t>
  </si>
  <si>
    <t>E-TOWER CORRIDOR 4.603</t>
  </si>
  <si>
    <t>S-TOWER CORRIDOR 5.601</t>
  </si>
  <si>
    <t>S-TOWER CORRIDOR 6.601</t>
  </si>
  <si>
    <t>E-TOWER CORRIDOR 6.603</t>
  </si>
  <si>
    <t>S-TOWER CORRIDOR 7.601</t>
  </si>
  <si>
    <t>HH-WING CORRIDOR 9.601</t>
  </si>
  <si>
    <t>HH-WING CORRIDOR 10.601</t>
  </si>
  <si>
    <t>SHEIKHA WING CORRIDOR 11.601</t>
  </si>
  <si>
    <t>entity:HQ_2.302_SPA_PLANTROOM</t>
  </si>
  <si>
    <t>entity:HQ_5.301_PLANT_ROOM</t>
  </si>
  <si>
    <t>entity:HQ_9.111_PLANT_ROOM</t>
  </si>
  <si>
    <t>entity:HQ_9.109_AHU_ROOM</t>
  </si>
  <si>
    <t>entity:HQ_B1.001_AHU_4</t>
  </si>
  <si>
    <t>entity:HQ_B1.006_AHU_1</t>
  </si>
  <si>
    <t>entity:HQ_B1.016_AHU_2</t>
  </si>
  <si>
    <t>entity:HQ_B1.022_AHU_3</t>
  </si>
  <si>
    <t>entity:HQ_B1.019_AHU</t>
  </si>
  <si>
    <t>entity:HQ_B1.512_IDF_ROOM</t>
  </si>
  <si>
    <t>entity:HQ_B1.003_CONTROL_ROOM</t>
  </si>
  <si>
    <t>entity:HQ_B1.107_DOCK_MASTER_OFFICE</t>
  </si>
  <si>
    <t>entity:HQ_B1.113_SHEIKHA_LOBBY_SECURITY_ROOM</t>
  </si>
  <si>
    <t>entity:HQ_B1.401_MALE_TOILET</t>
  </si>
  <si>
    <t>entity:HQ_B1.122_SUPPORT_SPACE_FOOD_STORAGE</t>
  </si>
  <si>
    <t>entity:HQ_B1.123_SUPPORT_SPACE_FOOD_STORAGE</t>
  </si>
  <si>
    <t>entity:HQ_B1.014_SUPPORT_SPACE_DRY_WASTE_STORAGE</t>
  </si>
  <si>
    <t>entity:HQ_B1.015_SUPPORT_SPACE_LOADING</t>
  </si>
  <si>
    <t>entity:HQ_B1.117_CHAUFFEUR_ROOM</t>
  </si>
  <si>
    <t>entity:HQ_G.531_IDF_ROOM</t>
  </si>
  <si>
    <t>entity:HQ_G.512_IDF_ROOM</t>
  </si>
  <si>
    <t>entity:HQ_G.031_PR_&amp;_MARKET_STAFF</t>
  </si>
  <si>
    <t>entity:HQ_G.017_COPY_PRINT</t>
  </si>
  <si>
    <t>entity:HQ_G.005_EMERGENCY_CONTROL_CENTER</t>
  </si>
  <si>
    <t>entity:HQ_G.511_VESTIBULE</t>
  </si>
  <si>
    <t>entity:HQ_1.531_IDF_ROOM</t>
  </si>
  <si>
    <t>entity:HQ_1.512_IDF_ROOM</t>
  </si>
  <si>
    <t>entity:HQ_1.112_PRINT_COPY</t>
  </si>
  <si>
    <t>entity:HQ_2.531_IDF_ROOM</t>
  </si>
  <si>
    <t>entity:HQ_2.701_TERRACE</t>
  </si>
  <si>
    <t>entity:HQ_2.103_PRINT_COPY</t>
  </si>
  <si>
    <t>entity:HQ_2.207_SPA_LOUNGE_BAR</t>
  </si>
  <si>
    <t>entity:HQ_2.208_SPA_FITNESS_DTUDIO</t>
  </si>
  <si>
    <t>entity:HQ_2.209_SPA_OFFICE</t>
  </si>
  <si>
    <t>entity:HQ_2.21_SPA_STAFF_WAITING_AREA</t>
  </si>
  <si>
    <t>entity:HQ_2.211_SPA_FEMALE_BEAUTY_SALON</t>
  </si>
  <si>
    <t>entity:HQ_2.212_SPA_FM_TREATMENT_1</t>
  </si>
  <si>
    <t>entity:HQ_2.213_SPA_CHANGING_ROOM</t>
  </si>
  <si>
    <t>entity:HQ_2.214_SPA_FM_TREATMENT_2</t>
  </si>
  <si>
    <t>entity:HQ_2.215_SPA_FM_TREATMENT_3</t>
  </si>
  <si>
    <t>entity:HQ_2.216_SPA_FM_RELAXATION</t>
  </si>
  <si>
    <t>entity:HQ_2.201_SPA_MALE_RELAXATION</t>
  </si>
  <si>
    <t>entity:HQ_2.202_SPA_MALE_TREATMENT_3</t>
  </si>
  <si>
    <t>entity:HQ_2.203_SPA_MALE_TREATMENT_2</t>
  </si>
  <si>
    <t>entity:HQ_2.204_SPA_MALE_TREATMENT_1</t>
  </si>
  <si>
    <t>entity:HQ_2.205_SPA_MALE_CHANGING_ROOM</t>
  </si>
  <si>
    <t>entity:HQ_2.206_SPA_ENTRANCE</t>
  </si>
  <si>
    <t>entity:HQ_2.603_SPA_LOBBY</t>
  </si>
  <si>
    <t>entity:HQ_2.512_MECHANICAL_ROOM</t>
  </si>
  <si>
    <t>entity:HQ_3.531_IDF_ROOM</t>
  </si>
  <si>
    <t>entity:HQ_3.512_IDF_ROOM</t>
  </si>
  <si>
    <t>entity:HQ_3.203_COPYPRINT</t>
  </si>
  <si>
    <t>entity:HQ_3.103_PRINT_COPY</t>
  </si>
  <si>
    <t>entity:HQ_3.603_CORRIDOR_BRIDGE</t>
  </si>
  <si>
    <t>entity:HQ_5.602_BRIDGE</t>
  </si>
  <si>
    <t>entity:HQ_4.531_IDF_ROOM</t>
  </si>
  <si>
    <t>entity:HQ_4.512_IDF_ROOM</t>
  </si>
  <si>
    <t>entity:HQ_5.202_VP_EDU_MEMBERS_OF_EDU</t>
  </si>
  <si>
    <t>entity:HQ_4.701_VP_ADM_TERRACE</t>
  </si>
  <si>
    <t>entity:HQ_4.702_TERRACE</t>
  </si>
  <si>
    <t>entity:HQ_4.703_TERRACE</t>
  </si>
  <si>
    <t>entity:HQ_5.531_IDF_ROOM</t>
  </si>
  <si>
    <t>entity:HQ_5.512_IDF_ROOM</t>
  </si>
  <si>
    <t>entity:HQ_5.103_PRINT_COPY</t>
  </si>
  <si>
    <t>entity:HQ_6.604_BRIDGE_CORRIDOR</t>
  </si>
  <si>
    <t>entity:HQ_6.531_IDF_ROOM</t>
  </si>
  <si>
    <t>entity:HQ_6.512_IDF_ROOM</t>
  </si>
  <si>
    <t>entity:HQ_7.602_BRIDGE</t>
  </si>
  <si>
    <t>entity:HQ_6.104_PRINT_COPY</t>
  </si>
  <si>
    <t>entity:HQ_6.208_PRINT_COPY</t>
  </si>
  <si>
    <t>entity:HQ_7.531_IDF_ROOM</t>
  </si>
  <si>
    <t>entity:HQ_7.512_IDF_ROOM</t>
  </si>
  <si>
    <t>entity:HQ_7.101_PRINT_COPY</t>
  </si>
  <si>
    <t>entity:HQ_7.104_PRINT_COPY</t>
  </si>
  <si>
    <t>entity:HQ_8.512_IDF_ROOM</t>
  </si>
  <si>
    <t>entity:HQ_9.531_IDF_ROOM</t>
  </si>
  <si>
    <t>entity:HQ_9.512_IDF_ROOM</t>
  </si>
  <si>
    <t>entity:HQ_10.531_IDF_ROOM</t>
  </si>
  <si>
    <t>entity:HQ_1.114_STAFF_LOUNGE_STORAGE</t>
  </si>
  <si>
    <t>entity:HQ_10.512_IDF_ROOM</t>
  </si>
  <si>
    <t>entity:HQ_10.038_PRINT_COPY</t>
  </si>
  <si>
    <t>entity:HQ_10.014_PRINT_COPY</t>
  </si>
  <si>
    <t>entity:HQ_10.111_AV_ROOM</t>
  </si>
  <si>
    <t>entity:HQ_11.531_IDF_ROOM</t>
  </si>
  <si>
    <t>entity:HQ_11.11_ELECTRICAL_CABINET</t>
  </si>
  <si>
    <t>entity:HQ_11.106_ELECTRICAL_ROOM</t>
  </si>
  <si>
    <t>entity:HQ_11.108_PRINT_COPY</t>
  </si>
  <si>
    <t>entity:HQ_11.107_AV_IT</t>
  </si>
  <si>
    <t>entity:HQ_11.512_IDF_ROOM</t>
  </si>
  <si>
    <t>entity:HQ_12.002_MCC_CLOSET</t>
  </si>
  <si>
    <t>entity:HQ_12.003_MCC_CLOSET</t>
  </si>
  <si>
    <t>entity:HQ_12.004_MCC_CLOSET</t>
  </si>
  <si>
    <t>entity:HQ_9.101_VISITORS_CENTER</t>
  </si>
  <si>
    <t>entity:HQ_B1.004_STAFF_ENTRANCE</t>
  </si>
  <si>
    <t>entity:HQ_B1.103_STAFF_LOBBY</t>
  </si>
  <si>
    <t>entity:HQ_B1.110_SUPPORT_SPACE_MAIL_ROOM</t>
  </si>
  <si>
    <t>entity:HQ_B1.116_SHEIKHA_LOBBY</t>
  </si>
  <si>
    <t>entity:HQ_G.008_CONTROL_ROOM</t>
  </si>
  <si>
    <t>entity:HQ_G.009_PR_&amp;_MARKET_MANAGER</t>
  </si>
  <si>
    <t>entity:HQ_G.010_PR_&amp;_MARKET_STAFF</t>
  </si>
  <si>
    <t>entity:HQ_G.011_PR_&amp;_MARKET_MANAGER</t>
  </si>
  <si>
    <t>entity:HQ_G.012_PR_&amp;_MARKET_STAFF</t>
  </si>
  <si>
    <t>entity:HQ_G.014_VISITOR_CENT_OFFICE</t>
  </si>
  <si>
    <t>entity:HQ_G.015_PR_&amp;_MARKET_STAFF</t>
  </si>
  <si>
    <t>entity:HQ_G.018_PR_&amp;_MARKET_STAFF</t>
  </si>
  <si>
    <t>entity:HQ_G.019_PR_&amp;_MARKET_STAFF</t>
  </si>
  <si>
    <t>entity:HQ_G.020_PR_&amp;_MARKET_STAFF</t>
  </si>
  <si>
    <t>entity:HQ_G.021_PR_&amp;_MARKET_STAFF</t>
  </si>
  <si>
    <t>entity:HQ_G.022_PR_&amp;_MARKET!_SECRETARY</t>
  </si>
  <si>
    <t>entity:HQ_G.023_PR_&amp;_MARKET_STAFF</t>
  </si>
  <si>
    <t>entity:HQ_G.601_CORRIDOR</t>
  </si>
  <si>
    <t>entity:HQ_G.105_SHOP</t>
  </si>
  <si>
    <t>entity:HQ_G.104_LOBBY</t>
  </si>
  <si>
    <t>entity:HQ_G.103_BMS</t>
  </si>
  <si>
    <t>entity:HQ_G.004_PR_&amp;_MARKET_MANAGER</t>
  </si>
  <si>
    <t>entity:HQ_G.003_PR_&amp;_MARKET_MANAGER</t>
  </si>
  <si>
    <t>entity:HQ_G.002_PR_&amp;_MARKET_MANAGER</t>
  </si>
  <si>
    <t>entity:HQ_G.001_PR_&amp;_MARKET_STAFF</t>
  </si>
  <si>
    <t>entity:HQ_G.038_PR_&amp;_MARKET_STAFF</t>
  </si>
  <si>
    <t>entity:HQ_G.037_PR_&amp;_MARKET_STAFF</t>
  </si>
  <si>
    <t>entity:HQ_G.036_PR_&amp;_MARKET_STAFF</t>
  </si>
  <si>
    <t>entity:HQ_G.035_PR_&amp;_MARKET_STAFF</t>
  </si>
  <si>
    <t>entity:HQ_G.034_PR_&amp;_MARKET_STAFF</t>
  </si>
  <si>
    <t>entity:HQ_G.033_PR_&amp;_MARKET_STAFF</t>
  </si>
  <si>
    <t>entity:HQ_G.032_PR_&amp;_MARKET_STAFF</t>
  </si>
  <si>
    <t>entity:HQ_G.030_STAFF</t>
  </si>
  <si>
    <t>entity:HQ_G.029_PR_&amp;_MARKET_STAFF</t>
  </si>
  <si>
    <t>entity:HQ_G.028_PR_&amp;_MARKET_DIRECTOR_ENSUIT</t>
  </si>
  <si>
    <t>entity:HQ_G.026_FINANCE_CASHIER</t>
  </si>
  <si>
    <t>entity:HQ_G.025_VIP_LOUNGE</t>
  </si>
  <si>
    <t>entity:HQ_G.107_E-TOWER_LOBBY</t>
  </si>
  <si>
    <t>entity:HQ_G.602_CORRIDOR_(SOUTH_EAST)</t>
  </si>
  <si>
    <t>entity:HQ_G.603_CORRIDOR_(SOUTH_EAST)</t>
  </si>
  <si>
    <t>entity:HQ_G.101_CONFERENCE_ROOM</t>
  </si>
  <si>
    <t>entity:HQ_G.108_CONSULTANT_SPACE_TRAINEES</t>
  </si>
  <si>
    <t>entity:HQ_1.011_FINANCE_MANAGER</t>
  </si>
  <si>
    <t>entity:HQ_1.012_FINANCE_MANAGER</t>
  </si>
  <si>
    <t>entity:HQ_1.013_FINANCE_MANAGER</t>
  </si>
  <si>
    <t>entity:HQ_1.014_FINANCE_PROFSTAFF</t>
  </si>
  <si>
    <t>entity:HQ_1.015_FINANCE_PROFSTAFF</t>
  </si>
  <si>
    <t>entity:HQ_1.016_FINANCE_SECRETARY</t>
  </si>
  <si>
    <t>entity:HQ_1.017_FINANCE_DIRECTOR_ENSUIT</t>
  </si>
  <si>
    <t>entity:HQ_1.018_FINANCE_MANAGER</t>
  </si>
  <si>
    <t>entity:HQ_1.019_FINANCE_MANAGER</t>
  </si>
  <si>
    <t>entity:HQ_1.02_FINANCE_MANAGER</t>
  </si>
  <si>
    <t>entity:HQ_1.021_FINANCE_SECRETARY</t>
  </si>
  <si>
    <t>entity:HQ_1.022_FINANCE_SECRETARY</t>
  </si>
  <si>
    <t>entity:HQ_1.023_FINANCE_AUDITOR</t>
  </si>
  <si>
    <t>entity:HQ_1.024_FINANCE_AUDITOR</t>
  </si>
  <si>
    <t>entity:HQ_1.025_FINANCE_PROFSTAFF</t>
  </si>
  <si>
    <t>entity:HQ_1.026_FINANCE_PROFSTAFF</t>
  </si>
  <si>
    <t>entity:HQ_1.027_FINANCE_AUDITOR</t>
  </si>
  <si>
    <t>entity:HQ_1.028_FINANCE_MANAGER</t>
  </si>
  <si>
    <t>entity:HQ_1.029_FINANCE_MANAGER</t>
  </si>
  <si>
    <t>entity:HQ_1.001_FINANCE_CLERICAL_SECRETARIES</t>
  </si>
  <si>
    <t>entity:HQ_1.002_FINANCE_MANAGERS</t>
  </si>
  <si>
    <t>entity:HQ_1.003_FINANCE_MANAGER</t>
  </si>
  <si>
    <t>entity:HQ_1.004_FINANCE_MANAGER</t>
  </si>
  <si>
    <t>entity:HQ_1.005_FINANCE_SECRETARY</t>
  </si>
  <si>
    <t>entity:HQ_1.006_FINANCE_PROFSTAFF</t>
  </si>
  <si>
    <t>entity:HQ_1.007_FINANCE_CLERICAL_PROFSTAFF</t>
  </si>
  <si>
    <t>entity:HQ_1.401_GROUND_FLOOR_VIP_ENTRANCE</t>
  </si>
  <si>
    <t>entity:HQ_1.101_STAFF_LOUNGE</t>
  </si>
  <si>
    <t>entity:HQ_1.108_FINANCE_MEETING_ROOM</t>
  </si>
  <si>
    <t>entity:HQ_1.109_CONSULTANT_SPACE_TRAINEES</t>
  </si>
  <si>
    <t>entity:HQ_1.11_CONFERENCE_ROOM</t>
  </si>
  <si>
    <t>entity:HQ_1.105_PRAYER_ROOM</t>
  </si>
  <si>
    <t>entity:HQ_1.106_FINANCE_CASHIER</t>
  </si>
  <si>
    <t>entity:HQ_1.116_FINANCE_SECURE_ROOM</t>
  </si>
  <si>
    <t>entity:HQ_1.117_FINANCE_AUDITOR</t>
  </si>
  <si>
    <t>entity:HQ_1.115_FINANCE_AUDITOR</t>
  </si>
  <si>
    <t>entity:HQ_1.602_CORRIDOR</t>
  </si>
  <si>
    <t>entity:HQ_1.601_CORRIDOR</t>
  </si>
  <si>
    <t>entity:HQ_1.111_FINANCE_RECORD_STORAGE</t>
  </si>
  <si>
    <t>entity:HQ_1.702_FOOD_HEAT_UP</t>
  </si>
  <si>
    <t>entity:HQ_1.706_WASHING_AREA</t>
  </si>
  <si>
    <t>entity:HQ_1.701_STAFF_CAFETERIA</t>
  </si>
  <si>
    <t>entity:HQ_2.018_SUPPSERVDIRECTOR_ENSUIT</t>
  </si>
  <si>
    <t>entity:HQ_2.019_SUPPSERVADMINIST</t>
  </si>
  <si>
    <t>entity:HQ_2.02_SUPPSERVADMINIST</t>
  </si>
  <si>
    <t>entity:HQ_2.021_SUPPSERVADMINIST</t>
  </si>
  <si>
    <t>entity:HQ_2.022_SUPPSERVSECRETARY</t>
  </si>
  <si>
    <t>entity:HQ_2.023_SUPPSERVADMINIST</t>
  </si>
  <si>
    <t>entity:HQ_2.024_SUPPSERVADMINIST</t>
  </si>
  <si>
    <t>entity:HQ_2.025_SUPPSERVADMINIST</t>
  </si>
  <si>
    <t>entity:HQ_2.026_SUPPSERVSECRETARY</t>
  </si>
  <si>
    <t>entity:HQ_2.027_SUPPSERVADMINIST</t>
  </si>
  <si>
    <t>entity:HQ_2.028_SUPPSERVADMINIST</t>
  </si>
  <si>
    <t>entity:HQ_2.029_SUPPSERVADMINIST</t>
  </si>
  <si>
    <t>entity:HQ_2.03_SUPPSERVSECRETARY</t>
  </si>
  <si>
    <t>entity:HQ_2.031_SUPPSERVADMINIST</t>
  </si>
  <si>
    <t>entity:HQ_2.032_SUPPSERVADMINIST</t>
  </si>
  <si>
    <t>entity:HQ_2.033_SUPPSERVADMINIST</t>
  </si>
  <si>
    <t>entity:HQ_2.034_SUPPSERVSECRETARY</t>
  </si>
  <si>
    <t>entity:HQ_2.035_SUPPSERVADMINIST</t>
  </si>
  <si>
    <t>entity:HQ_2.036_SUPPSERVADMINIST</t>
  </si>
  <si>
    <t>entity:HQ_2.110A_OFFICE_SPACE</t>
  </si>
  <si>
    <t>entity:HQ_2.601_S-TOWER_CORRIDOR</t>
  </si>
  <si>
    <t>entity:HQ_2.109_SHELL_SPACE</t>
  </si>
  <si>
    <t>entity:HQ_2.108_SUPPSERVMEETING_ROOM</t>
  </si>
  <si>
    <t>entity:HQ_2.105_LOUNGE</t>
  </si>
  <si>
    <t>entity:HQ_2.104_CONSULTANTS_SPACE-OTHERS</t>
  </si>
  <si>
    <t>entity:HQ_2.102_CONSULTANTS_SPACE-OTHERS</t>
  </si>
  <si>
    <t>entity:HQ_2.017_SUPPSERVSECRETARY</t>
  </si>
  <si>
    <t>entity:HQ_2.016_SUPPSERVADMINIST</t>
  </si>
  <si>
    <t>entity:HQ_2.015_SUPPSERVADMINIST</t>
  </si>
  <si>
    <t>entity:HQ_2.014_SUPPSERVADMINIST</t>
  </si>
  <si>
    <t>entity:HQ_2.013_SUPPSERVSECRETARY</t>
  </si>
  <si>
    <t>entity:HQ_2.012_SUPPSERVADMINIST</t>
  </si>
  <si>
    <t>entity:HQ_2.011_SUPPSERVADMINIST</t>
  </si>
  <si>
    <t>entity:HQ_2.01_SUPPSERVADMINIST</t>
  </si>
  <si>
    <t>entity:HQ_2.009_SUPPSERVSECRETARY</t>
  </si>
  <si>
    <t>entity:HQ_2.008_DOHA_DEBATE_EXECUTIVE</t>
  </si>
  <si>
    <t>entity:HQ_2.007_DOHA_DEBATE_EXECUTIVE</t>
  </si>
  <si>
    <t>entity:HQ_2.006_DOHA_DEBATE_EXECUTIVE</t>
  </si>
  <si>
    <t>entity:HQ_2.005_DOHA_DEBATE_EXECUTIVE</t>
  </si>
  <si>
    <t>entity:HQ_2.004_DOHA_DEBATE_SECRETARY</t>
  </si>
  <si>
    <t>entity:HQ_2.003_DOHA_DEBATE_EXECUTIVE</t>
  </si>
  <si>
    <t>entity:HQ_2.002_DOHA_DEBATE_EXECUTIVE</t>
  </si>
  <si>
    <t>entity:HQ_2.001_STORAGE_ROOM</t>
  </si>
  <si>
    <t>entity:HQ_2.101A_OFFICE_SPACE</t>
  </si>
  <si>
    <t>entity:HQ_3.017_HR_IMMIG_STAFF</t>
  </si>
  <si>
    <t>entity:HQ_3.018_HR_IMMIG_STAFF</t>
  </si>
  <si>
    <t>entity:HQ_3.019_HR_IMMIG_STAFF</t>
  </si>
  <si>
    <t>entity:HQ_3.02_HR_IMMIG_STAFF</t>
  </si>
  <si>
    <t>entity:HQ_3.021_HR_IMMIG_STAFF</t>
  </si>
  <si>
    <t>entity:HQ_3.022_HR_IMMIG_SECRETARY</t>
  </si>
  <si>
    <t>entity:HQ_3.023_HR_IMMIG_STAFF</t>
  </si>
  <si>
    <t>entity:HQ_3.024_HR_IMMIG_STAFF</t>
  </si>
  <si>
    <t>entity:HQ_3.025_HR_IMMIG_STAFF</t>
  </si>
  <si>
    <t>entity:HQ_3.026_HR_IMMIG_STAFF</t>
  </si>
  <si>
    <t>entity:HQ_3.027_HR_IMMIG_STAFF</t>
  </si>
  <si>
    <t>entity:HQ_3.028_HR_IMMIG_STAFF</t>
  </si>
  <si>
    <t>entity:HQ_3.029_HR_IMMIG_STAFF</t>
  </si>
  <si>
    <t>entity:HQ_3.03_HR_IMMIG_STAFF</t>
  </si>
  <si>
    <t>entity:HQ_3.031_HR_IMMIG_STAFF</t>
  </si>
  <si>
    <t>entity:HQ_3.032_HR_IMMIG_SECRETARY</t>
  </si>
  <si>
    <t>entity:HQ_3.033_MEETING_ROOM</t>
  </si>
  <si>
    <t>entity:HQ_3.105B_OFFICE_SPACE</t>
  </si>
  <si>
    <t>entity:HQ_3.601_S-TOWER_CORRIDOR</t>
  </si>
  <si>
    <t>entity:HQ_3.36_ABLUTION_ROOM</t>
  </si>
  <si>
    <t>entity:HQ_3.105A_FEMALE_PRAYER_ROOM</t>
  </si>
  <si>
    <t>entity:HQ_3.001_LOUNGE</t>
  </si>
  <si>
    <t>entity:HQ_3.102_CONSULTANT_SPACE_TRAINEES</t>
  </si>
  <si>
    <t>entity:HQ_3.104_HR_IMMIG_SECRETARY</t>
  </si>
  <si>
    <t>entity:HQ_3.012_HR_IMMIG_STAFF</t>
  </si>
  <si>
    <t>entity:HQ_3.013_HR_IMMIG_STAFF</t>
  </si>
  <si>
    <t>entity:HQ_3.014_HR_IMMIG_STAFF</t>
  </si>
  <si>
    <t>entity:HQ_3.015_HR_IMMIG_STAFF</t>
  </si>
  <si>
    <t>entity:HQ_3.016_HR_IMMIG_STAFF</t>
  </si>
  <si>
    <t>entity:HQ_3.003_HR_IMMIG_STAFF</t>
  </si>
  <si>
    <t>entity:HQ_3.004_HR_IMMIG_STAFF</t>
  </si>
  <si>
    <t>entity:HQ_3.005_HR_IMMIG_STAFF</t>
  </si>
  <si>
    <t>entity:HQ_3.006_HR_IMMIG_STAFF</t>
  </si>
  <si>
    <t>entity:HQ_3.007_HR_IMMIG_STAFF</t>
  </si>
  <si>
    <t>entity:HQ_3.008_HR_IMMIG_STAFF</t>
  </si>
  <si>
    <t>entity:HQ_3.009_HR_IMMIG_STORAGE</t>
  </si>
  <si>
    <t>entity:HQ_3.01_HR_IMMIG_STAFF</t>
  </si>
  <si>
    <t>entity:HQ_3.011_HR_IMMIG_STAFF</t>
  </si>
  <si>
    <t>entity:HQ_3.101_SHELL_SPACE</t>
  </si>
  <si>
    <t>entity:HQ_3.002_HR_IMMIG_STAFF</t>
  </si>
  <si>
    <t>entity:HQ_3.202A_OFFICE_SPACE</t>
  </si>
  <si>
    <t>entity:HQ_3.202B_OFFICE_SPACE</t>
  </si>
  <si>
    <t>entity:HQ_3.205_HR_IMMIG_IMMIGRATION</t>
  </si>
  <si>
    <t>entity:HQ_3.206_HR_IMMIG_MANAGER</t>
  </si>
  <si>
    <t>entity:HQ_3.207_HR_IMMIG_MANAGER</t>
  </si>
  <si>
    <t>entity:HQ_3.208_HR_IMMIG_MANAGER</t>
  </si>
  <si>
    <t>entity:HQ_3.209_HR_IMMIG_MANAGER</t>
  </si>
  <si>
    <t>entity:HQ_3.21_HR_IMMIG_OFFICERS</t>
  </si>
  <si>
    <t>entity:HQ_3.211_HR_IMMIG_MANAGER</t>
  </si>
  <si>
    <t>entity:HQ_3.212_HR_IMMIG_SECRETARIES</t>
  </si>
  <si>
    <t>entity:HQ_3.213_HR_IMMIG_DIRENSUIT</t>
  </si>
  <si>
    <t>entity:HQ_3.214_IT_SECRETARY</t>
  </si>
  <si>
    <t>entity:HQ_3.215_IT_DIRENSUIT</t>
  </si>
  <si>
    <t>entity:HQ_3.216_PROC&amp;CONTRSECRETARY</t>
  </si>
  <si>
    <t>entity:HQ_3.201_PROC&amp;CONTRDIRENSUIT</t>
  </si>
  <si>
    <t>entity:HQ_3.301_PROC&amp;CONTRMEETING_ROOM</t>
  </si>
  <si>
    <t>entity:HQ_3.302_HR_IMMIG_MEETING_ROOM</t>
  </si>
  <si>
    <t>entity:HQ_3.602_E-TOWER_CORRIDOR</t>
  </si>
  <si>
    <t>entity:HQ_4.005_STRPLDIRMEETING_ROOM</t>
  </si>
  <si>
    <t>entity:HQ_4.006_STRPLDIRMANAGER</t>
  </si>
  <si>
    <t>entity:HQ_4.007_STRPLDIRMANAGER</t>
  </si>
  <si>
    <t>entity:HQ_4.008_STRPLDIRMANAGER</t>
  </si>
  <si>
    <t>entity:HQ_4.009_STRPLDIRHEAD_OF_PL</t>
  </si>
  <si>
    <t>entity:HQ_4.01_STRPLDIRHEAD_OF_PL</t>
  </si>
  <si>
    <t>entity:HQ_4.011_STRPLDIRHEAD_OF_PL</t>
  </si>
  <si>
    <t>entity:HQ_4.012_STRPLDIRHEAD_OF_PL</t>
  </si>
  <si>
    <t>entity:HQ_4.013_STRPLDIRHEAD_OF_PL</t>
  </si>
  <si>
    <t>entity:HQ_4.014_STRPLDIRMANAGER</t>
  </si>
  <si>
    <t>entity:HQ_4.601_S-TOWER_CORRIDOR</t>
  </si>
  <si>
    <t>entity:HQ_4.109_VP_EDU_STORAGE</t>
  </si>
  <si>
    <t>entity:HQ_4.108_STRPLDIRARCHIVE_ROOM</t>
  </si>
  <si>
    <t>entity:HQ_4.107_STRPLDIRTECHNSTAFF</t>
  </si>
  <si>
    <t>entity:HQ_4.104_WAITING_LOUNGE</t>
  </si>
  <si>
    <t>entity:HQ_4.002_STRPLDIRMANAGER</t>
  </si>
  <si>
    <t>entity:HQ_4.102_SHELL_SPACE</t>
  </si>
  <si>
    <t>entity:HQ_4.101_SHELL_SPACE</t>
  </si>
  <si>
    <t>entity:HQ_4.201_SHELL_SPACE</t>
  </si>
  <si>
    <t>entity:HQ_4.204_SHELL_SPACE</t>
  </si>
  <si>
    <t>entity:HQ_4.205_VP_ADM_MANAGER</t>
  </si>
  <si>
    <t>entity:HQ_4.206_VP_ADM_MANAGER</t>
  </si>
  <si>
    <t>entity:HQ_4.208_VP_ADM_EXECSECRET</t>
  </si>
  <si>
    <t>entity:HQ_4.209_VP_ADM_MANAGER</t>
  </si>
  <si>
    <t>entity:HQ_4.21_VP_ADM_MANAGER</t>
  </si>
  <si>
    <t>entity:HQ_4.211_VP_ADM_MANAGER</t>
  </si>
  <si>
    <t>entity:HQ_4.212_VP_ADM_PERSASSIST</t>
  </si>
  <si>
    <t>entity:HQ_4.213_VP_ADM_ENSUIT</t>
  </si>
  <si>
    <t>entity:HQ_4.301_VP_ADM_MEETING_ROOM</t>
  </si>
  <si>
    <t>entity:HQ_4.603_E-TOWER_CORRIDOR</t>
  </si>
  <si>
    <t>entity:HQ_5.012_VP_EDU_OFFICE_DIRECTOR_ENSUIT</t>
  </si>
  <si>
    <t>entity:HQ_5.013_VP_EDU_SECRETARY</t>
  </si>
  <si>
    <t>entity:HQ_5.014_VP_EDU_ASSISTANT</t>
  </si>
  <si>
    <t>entity:HQ_5.015_VP_EDU_ASSISTANT</t>
  </si>
  <si>
    <t>entity:HQ_5.016_VP_EDU_ASSISTANT</t>
  </si>
  <si>
    <t>entity:HQ_5.017_VP_EDU_ASSISTANT</t>
  </si>
  <si>
    <t>entity:HQ_5.018_VP_EDU_OFFICERS</t>
  </si>
  <si>
    <t>entity:HQ_5.019_VP_EDU_OFFICERS</t>
  </si>
  <si>
    <t>entity:HQ_5.021_VP_EDU_OFFICERS</t>
  </si>
  <si>
    <t>entity:HQ_5.022_VP_EDU_OFFICERS</t>
  </si>
  <si>
    <t>entity:HQ_5.023_VP_EDU_OFFICERS</t>
  </si>
  <si>
    <t>entity:HQ_5.024_VP_EDU_SECRETARY</t>
  </si>
  <si>
    <t>entity:HQ_5.025_VP_EDU_OFFICE_DIRECTOR_ENSUIT</t>
  </si>
  <si>
    <t>entity:HQ_5.026_VP_EDU_ASSISTANT</t>
  </si>
  <si>
    <t>entity:HQ_5.601_S-TOWER_CORRIDOR</t>
  </si>
  <si>
    <t>entity:HQ_5.110_VP_EDU_OFFICERS</t>
  </si>
  <si>
    <t>entity:HQ_5.109_ELECTRICAL_CABINET</t>
  </si>
  <si>
    <t>entity:HQ_5.108_VP_EDU_ASSISTANT</t>
  </si>
  <si>
    <t>entity:HQ_5.107_VP_EDUCATION_SUPPSECRET</t>
  </si>
  <si>
    <t>entity:HQ_5.104_VP_EDU_LOUNGE_WAITING</t>
  </si>
  <si>
    <t>entity:HQ_5.011_VP_EDU_ASSISTANT</t>
  </si>
  <si>
    <t>entity:HQ_5.002_VP_EDU_OFFDIRENSUIT</t>
  </si>
  <si>
    <t>entity:HQ_5.003_VP_EDU_SECRETARY</t>
  </si>
  <si>
    <t>entity:HQ_5.004_VP_EDU_ASSISTANT</t>
  </si>
  <si>
    <t>entity:HQ_5.005_VP_EDU_OFFICERS</t>
  </si>
  <si>
    <t>entity:HQ_5.006_VP_EDU_OFFICERS</t>
  </si>
  <si>
    <t>entity:HQ_5.007_VP_EDU_OFFICERS</t>
  </si>
  <si>
    <t>entity:HQ_5.008_VP_EDU_ASSISTANT</t>
  </si>
  <si>
    <t>entity:HQ_5.102_MEETING_ROOM</t>
  </si>
  <si>
    <t>entity:HQ_5.101_VP_EDU_SECRET</t>
  </si>
  <si>
    <t>entity:HQ_5.001_VP_EDU_ASSISTANT</t>
  </si>
  <si>
    <t>entity:HQ_5.201_VP_EDU_MEMBERS_OF_EDU</t>
  </si>
  <si>
    <t>entity:HQ_5.203_VP_EDU_MEMBERS_OF_EDU</t>
  </si>
  <si>
    <t>entity:HQ_5.205_VP_EDU_MEETING_ROOM</t>
  </si>
  <si>
    <t>entity:HQ_5.206_VP_EDU_MEMBERS_OF_EDU</t>
  </si>
  <si>
    <t>entity:HQ_5.207_VP_EDU_MEMBERS_OF_EDU</t>
  </si>
  <si>
    <t>entity:HQ_5.208_VP_EDU_MEMBERS_OF_EDU</t>
  </si>
  <si>
    <t>entity:HQ_5.209_VP_EDU_MEMBERS_OF_EDU</t>
  </si>
  <si>
    <t>entity:HQ_5.211_VP_EDU_CHPEXECSECRET</t>
  </si>
  <si>
    <t>entity:HQ_5.212_VP_EDU_MEMBERS_OF_EDU</t>
  </si>
  <si>
    <t>entity:HQ_5.213_VP_EDU_OFFICE_DIRECTOR_ENSUIT</t>
  </si>
  <si>
    <t>entity:HQ_5.027_VP_EDU_OFFICERS</t>
  </si>
  <si>
    <t>entity:HQ_6.012_INTAUDIT_SEN_JNTAUD</t>
  </si>
  <si>
    <t>entity:HQ_6.013_INTAUDIT_SECRETARY</t>
  </si>
  <si>
    <t>entity:HQ_6.014_ACAAUDIT_SUPPAUDIT</t>
  </si>
  <si>
    <t>entity:HQ_6.015_ACAAUDIT_SUPPAUDIT</t>
  </si>
  <si>
    <t>entity:HQ_6.016_ACAAUDIT_SUPPAUDIT</t>
  </si>
  <si>
    <t>entity:HQ_6.017_ACAAUDIT_SUPPAUDIT</t>
  </si>
  <si>
    <t>entity:HQ_6.018_ACAAUDIT_SUPPAUDIT</t>
  </si>
  <si>
    <t>entity:HQ_6.019_ACAAUDIT_SUPPAUDIT</t>
  </si>
  <si>
    <t>entity:HQ_6.02_ACAAUDIT_SUPPAUDIT</t>
  </si>
  <si>
    <t>entity:HQ_6.021_ACAAUDIT_SECRETARY</t>
  </si>
  <si>
    <t>entity:HQ_6.022_ACAAUDIT_SECRETARY</t>
  </si>
  <si>
    <t>entity:HQ_6.023_ACAAUDIT_ACASENAUD</t>
  </si>
  <si>
    <t>entity:HQ_6.024_ACAAUDIT_ACASENAUD</t>
  </si>
  <si>
    <t>entity:HQ_6.025_FACILITY_MANAGSECRETARY</t>
  </si>
  <si>
    <t>entity:HQ_6.026_VACILITY_MANAGDIRENSUIT</t>
  </si>
  <si>
    <t>entity:HQ_6.027_VP_CAPITAL_CONSULTANT</t>
  </si>
  <si>
    <t>entity:HQ_6.028_VP_CAPITAL_CONSULTANT</t>
  </si>
  <si>
    <t>entity:HQ_6.601_S-TOWER_CORRIDOR</t>
  </si>
  <si>
    <t>entity:HQ_6.109_VP_CAPITAL_WORK_ASSIST</t>
  </si>
  <si>
    <t>entity:HQ_6.108_VP_CAPITAL_PROJCOORD</t>
  </si>
  <si>
    <t>entity:HQ_6.105_LOUNGE</t>
  </si>
  <si>
    <t>entity:HQ_6.009_INTAUDIT_SUPPAUDIT</t>
  </si>
  <si>
    <t>entity:HQ_6.01_INTAUDIT_SECRETARY</t>
  </si>
  <si>
    <t>entity:HQ_6.011_INTAUDIT_SEN_JNTAUD</t>
  </si>
  <si>
    <t>entity:HQ_6.002_INTAUDIT_ARCHIVE_ROOM</t>
  </si>
  <si>
    <t>entity:HQ_6.003_INTAUDIT_SUPPAUDIT</t>
  </si>
  <si>
    <t>entity:HQ_6.004_INTAUDIT_SUPPAUDIT</t>
  </si>
  <si>
    <t>entity:HQ_6.005_INTAUDIT_SUPPAUDIT</t>
  </si>
  <si>
    <t>entity:HQ_6.006_INTAUDIT_SUPPAUDIT</t>
  </si>
  <si>
    <t>entity:HQ_6.007_INTAUDIT_SUPPAUDIT</t>
  </si>
  <si>
    <t>entity:HQ_6.008_INTAUDIT_SUPPAUDIT</t>
  </si>
  <si>
    <t>entity:HQ_6.103_SHELL_SPACE</t>
  </si>
  <si>
    <t>entity:HQ_6.102_SHELL_SPACE</t>
  </si>
  <si>
    <t>entity:HQ_6.101_SHELL_SPACE</t>
  </si>
  <si>
    <t>entity:HQ_6.001_ACA_AUDIT_ARCHIVE</t>
  </si>
  <si>
    <t>entity:HQ_6.201_VP_CAPITAL_PROJMANAGER</t>
  </si>
  <si>
    <t>entity:HQ_6.202_VP_CAPITAL_PROJMANAGER</t>
  </si>
  <si>
    <t>entity:HQ_6.204_VP_CAPITAL_PROJMANAGER</t>
  </si>
  <si>
    <t>entity:HQ_6.205_VP_CAPITAL_CONSULTANT</t>
  </si>
  <si>
    <t>entity:HQ_6.206_VP_CAPITAL_STORAGE</t>
  </si>
  <si>
    <t>entity:HQ_6.207_VP_CAPITAL_SECRETARIES</t>
  </si>
  <si>
    <t>entity:HQ_6.209_VP_CAPITAL_ENSUIT</t>
  </si>
  <si>
    <t>entity:HQ_6.21_VP_CAPITAL_SECRETARIES</t>
  </si>
  <si>
    <t>entity:HQ_6.211_VP_CAPITAL_SECRETARIES</t>
  </si>
  <si>
    <t>entity:HQ_6.212_VP_CAPITAL_DIRECTOR_ENSUIT</t>
  </si>
  <si>
    <t>entity:HQ_6.603_E-TOWER_CORRIDOR</t>
  </si>
  <si>
    <t>entity:HQ_7.017_CA_ENSUIT</t>
  </si>
  <si>
    <t>entity:HQ_7.018_CA_SECRETARY</t>
  </si>
  <si>
    <t>entity:HQ_7.019_BD_UNIT_SECRETARY</t>
  </si>
  <si>
    <t>entity:HQ_7.02_BD_UNIT_EXECUTIVE</t>
  </si>
  <si>
    <t>entity:HQ_7.021_BD_UNIT_EXECUTIVE</t>
  </si>
  <si>
    <t>entity:HQ_7.022_BD_UNIT_EXECUTIVE</t>
  </si>
  <si>
    <t>entity:HQ_7.023_BD_UNIT_EXECUTIVE</t>
  </si>
  <si>
    <t>entity:HQ_7.024_BD_UNIT_EXECUTIVE</t>
  </si>
  <si>
    <t>entity:HQ_7.025_BD_UNIT_EXECUTIVE</t>
  </si>
  <si>
    <t>entity:HQ_7.026_BD_UNIT_EXECUTIVE</t>
  </si>
  <si>
    <t>entity:HQ_7.027_BD_UNIT_EXECUTIVE</t>
  </si>
  <si>
    <t>entity:HQ_7.028_BD_UNIT_EXECUTIVE</t>
  </si>
  <si>
    <t>entity:HQ_7.029_MEETING_ROOM</t>
  </si>
  <si>
    <t>entity:HQ_7.03_SHELL_SPACE</t>
  </si>
  <si>
    <t>entity:HQ_7.031A_OFFICE_SPACE</t>
  </si>
  <si>
    <t>entity:HQ_7.601_S-TOWER_CORRIDOR</t>
  </si>
  <si>
    <t>entity:HQ_7.032_SHELL_SPACE</t>
  </si>
  <si>
    <t>entity:HQ_7.106_LOUNGE</t>
  </si>
  <si>
    <t>entity:HQ_7.105_CA_SECRETARY</t>
  </si>
  <si>
    <t>entity:HQ_7.103_CA_SECRETARY</t>
  </si>
  <si>
    <t>entity:HQ_7.102_CA_SECRETARY</t>
  </si>
  <si>
    <t>entity:HQ_7.001_DOCUNIT_EMPLOYEE</t>
  </si>
  <si>
    <t>entity:HQ_7.002_DOCUNIT_MULTIMEDIA_STUDIO</t>
  </si>
  <si>
    <t>entity:HQ_7.003_DOCUNIT_EMPLOYEE</t>
  </si>
  <si>
    <t>entity:HQ_7.004_DOCUNIT_EMPLOYEE</t>
  </si>
  <si>
    <t>entity:HQ_7.005_DOCUNIT_EMPLOYEE</t>
  </si>
  <si>
    <t>entity:HQ_7.006_DOCUNIT_EMPLOYEE</t>
  </si>
  <si>
    <t>entity:HQ_7.007_CA_COORD</t>
  </si>
  <si>
    <t>entity:HQ_7.008_CA_COORD</t>
  </si>
  <si>
    <t>entity:HQ_7.009_CA_COORD</t>
  </si>
  <si>
    <t>entity:HQ_7.01_CA_COORD</t>
  </si>
  <si>
    <t>entity:HQ_7.011_CA_COORD</t>
  </si>
  <si>
    <t>entity:HQ_7.012_CA_COORD</t>
  </si>
  <si>
    <t>entity:HQ_7.013_CA_COORD</t>
  </si>
  <si>
    <t>entity:HQ_7.014_CA_COORD</t>
  </si>
  <si>
    <t>entity:HQ_7.015_CA_COORD</t>
  </si>
  <si>
    <t>entity:HQ_7.016_CA_COORD</t>
  </si>
  <si>
    <t>entity:HQ_7.201_CONSULTANTS_SPACE</t>
  </si>
  <si>
    <t>entity:HQ_7.202_PRESIDENT_EXECOFFICE</t>
  </si>
  <si>
    <t>entity:HQ_7.204_PRESIDENT_EXECOFFICE</t>
  </si>
  <si>
    <t>entity:HQ_7.205_PRESIDENT_EXECOFFICE</t>
  </si>
  <si>
    <t>entity:HQ_7.208_PRESIDENT_SUPPORT_SECRET</t>
  </si>
  <si>
    <t>entity:HQ_7.603_E-TOWER_CORRIDOR</t>
  </si>
  <si>
    <t>entity:HQ_7.209_PRESIDENT_EXECSECRET</t>
  </si>
  <si>
    <t>entity:HQ_7.21_PRESIDENT_EXECSECRET</t>
  </si>
  <si>
    <t>entity:HQ_7.211_PRESIDENT_ENSUIT</t>
  </si>
  <si>
    <t>entity:HQ_7.212_PRESIDENT_MEETING_ROOM</t>
  </si>
  <si>
    <t>entity:HQ_7.213_VICE_CHAIRPERSON_ENSUIT</t>
  </si>
  <si>
    <t>entity:HQ_7.214_VICE_CHAIRSECRETARY</t>
  </si>
  <si>
    <t>entity:HQ_7.215_VICE_CHAIRPERSON_MEETING_ROOM</t>
  </si>
  <si>
    <t>entity:HQ_7.301_MEETING_ROOM</t>
  </si>
  <si>
    <t>entity:HQ_8.001_OBSERVATION_SPACE</t>
  </si>
  <si>
    <t>entity:HQ_8.002_VISITORS_CENTER_OFFICE</t>
  </si>
  <si>
    <t>entity:HQ_8.602_VISITORS_CENTER_CORRIDOR</t>
  </si>
  <si>
    <t>entity:HQ_9.011_BMO_EXECASSIST</t>
  </si>
  <si>
    <t>entity:HQ_9.012_BMO_EXECASSIST</t>
  </si>
  <si>
    <t>entity:HQ_9.013_BMO_EXECASSIST</t>
  </si>
  <si>
    <t>entity:HQ_9.014_BMO_EXECASSIST</t>
  </si>
  <si>
    <t>entity:HQ_9.015_BMO_EXECASSIST</t>
  </si>
  <si>
    <t>entity:HQ_9.016_BMO_EXECASSIST</t>
  </si>
  <si>
    <t>entity:HQ_9.017_BMO_EXECASSIST</t>
  </si>
  <si>
    <t>entity:HQ_9.018_BMO_EXECSECRET</t>
  </si>
  <si>
    <t>entity:HQ_9.019_BMO_EXECSECRET</t>
  </si>
  <si>
    <t>entity:HQ_9.02_BMO_EXECSECRET</t>
  </si>
  <si>
    <t>entity:HQ_9.021_BMO_OPERDIRENSUIT</t>
  </si>
  <si>
    <t>entity:HQ_9.022_BMO_EXECASSIST</t>
  </si>
  <si>
    <t>entity:HQ_9.023_BMO_EXECSECRET</t>
  </si>
  <si>
    <t>entity:HQ_9.024_BMO_EXECSECRET</t>
  </si>
  <si>
    <t>entity:HQ_9.025_BMO_EXECSECRET</t>
  </si>
  <si>
    <t>entity:HQ_9.026_BMO_SUPPSECRET</t>
  </si>
  <si>
    <t>entity:HQ_9.027_BMO_SUPPSECRET</t>
  </si>
  <si>
    <t>entity:HQ_9.028_BMO_SUPPSECRET</t>
  </si>
  <si>
    <t>entity:HQ_9.029_BMO_SUPPSECRET</t>
  </si>
  <si>
    <t>entity:HQ_9.03_BMO_SUPPSECRET</t>
  </si>
  <si>
    <t>entity:HQ_9.031_BMO_PRINT_COPY</t>
  </si>
  <si>
    <t>entity:HQ_9.032_BMO_STORAGE</t>
  </si>
  <si>
    <t>entity:HQ_9.033_HR_EDUADVADVISOR_ENSUIT</t>
  </si>
  <si>
    <t>entity:HQ_9.034_HR_EDUADVADVISOR_ENSUIT</t>
  </si>
  <si>
    <t>entity:HQ_9.035_HR_EDUADVADVISOR_ENSUIT</t>
  </si>
  <si>
    <t>entity:HQ_9.036_BOD_EXECUTIVE</t>
  </si>
  <si>
    <t>entity:HQ_9.037_BOD_SECRETARY</t>
  </si>
  <si>
    <t>entity:HQ_9.038_BOD_EXECUTIVE</t>
  </si>
  <si>
    <t>entity:HQ_9.601_HH-WING_CORRIDOR</t>
  </si>
  <si>
    <t>entity:HQ_9.039_MEETING_ROOM</t>
  </si>
  <si>
    <t>entity:HQ_9.04_BMO_SAFE_ROOM</t>
  </si>
  <si>
    <t>entity:HQ_9.041_BMO_ARCHIVE_ROOM</t>
  </si>
  <si>
    <t>entity:HQ_9.001_LEGAL_ARCHIVE</t>
  </si>
  <si>
    <t>entity:HQ_9.002_LEGAL_CONSULE</t>
  </si>
  <si>
    <t>entity:HQ_9.003_LEGAL_LEGAL_CONSULE</t>
  </si>
  <si>
    <t>entity:HQ_9.004_LEGAL_LEGAL_CONSULE</t>
  </si>
  <si>
    <t>entity:HQ_9.005_LEGAL_LEGAL_CONSULE</t>
  </si>
  <si>
    <t>entity:HQ_9.006_LEGAL_LEGAL_CONSULE</t>
  </si>
  <si>
    <t>entity:HQ_9.007_LEGAL_LEGAL_CONSULE</t>
  </si>
  <si>
    <t>entity:HQ_9.008_LEGAL_LEGSUPSEC</t>
  </si>
  <si>
    <t>entity:HQ_9.009_LEGAL_LEGSUPSEC</t>
  </si>
  <si>
    <t>entity:HQ_9.01_LEGAL_LEGADVENSUIT</t>
  </si>
  <si>
    <t>entity:HQ_9.105_LOUNGE</t>
  </si>
  <si>
    <t>entity:HQ_9.104_BMO_WAITING_AREA</t>
  </si>
  <si>
    <t>entity:HQ_9.403_MALE_TOILET</t>
  </si>
  <si>
    <t>entity:HQ_9.11_SHEIKA_WING_DINING_AREA</t>
  </si>
  <si>
    <t>entity:HQ_9.108_SUPPORT_SPACE_PREPKITCHEN</t>
  </si>
  <si>
    <t>entity:HQ_10.005_SHEIKHA_WING_ARCHIVE</t>
  </si>
  <si>
    <t>entity:HQ_10.006_EXECDIRARCHCOORD</t>
  </si>
  <si>
    <t>entity:HQ_10.007_EXECDIR_PROTASSIST</t>
  </si>
  <si>
    <t>entity:HQ_10.008_PROTOCOL_DIR_SCHED_OFFICER</t>
  </si>
  <si>
    <t>entity:HQ_10.009_PROTOCOL_DIR_CEREMOFF</t>
  </si>
  <si>
    <t>entity:HQ_10.01_PROTOCOL_DIR_CEREMOFF</t>
  </si>
  <si>
    <t>entity:HQ_10.011_PROTOCOL_DIR_CEREMOFF</t>
  </si>
  <si>
    <t>entity:HQ_10.012_PROTOCOL_DIR_TR_&amp;_VIS_OFF</t>
  </si>
  <si>
    <t>entity:HQ_10.013_PROTOCOL_DIR_TR_&amp;_VIS_OFF</t>
  </si>
  <si>
    <t>entity:HQ_10.015_PROTOCOL_DIRSCHED_OFFICER</t>
  </si>
  <si>
    <t>entity:HQ_10.016_PLANNING_DIRPLANNING_ANALYST</t>
  </si>
  <si>
    <t>entity:HQ_10.017_PLANNING_DIRSTRATPLANNER</t>
  </si>
  <si>
    <t>entity:HQ_10.018_PLANNING_DIR_EXTCOORD</t>
  </si>
  <si>
    <t>entity:HQ_10.019_POLICY_DIRSENPOLANALYST</t>
  </si>
  <si>
    <t>entity:HQ_10.02_POLICY_DIR_SENRESEARCH_ANALYST</t>
  </si>
  <si>
    <t>entity:HQ_10.021_POLICY_DIRRESANALYST</t>
  </si>
  <si>
    <t>entity:HQ_10.022_POLICY_DIRRESANALYST</t>
  </si>
  <si>
    <t>entity:HQ_10.023_SHSERVDIR_HR_OFFICER</t>
  </si>
  <si>
    <t>entity:HQ_10.024_SHSERVDIRHR_ASSISTANT</t>
  </si>
  <si>
    <t>entity:HQ_10.025_SHSERVDIRPROCURREPRESENT</t>
  </si>
  <si>
    <t>entity:HQ_10.026_SHSERVDIRSERVICE_COORD</t>
  </si>
  <si>
    <t>entity:HQ_10.027_SHSERVDIRGENSERVSUPERV</t>
  </si>
  <si>
    <t>entity:HQ_10.028_SHSERVDIRFINANCCONTROL</t>
  </si>
  <si>
    <t>entity:HQ_10.029_SHSERVDIRTR&amp;_GUSERV</t>
  </si>
  <si>
    <t>entity:HQ_10.601_HH-WING_CORRIDOR</t>
  </si>
  <si>
    <t>entity:HQ_10.031_COMMUNICDIRCOMMDESIGNER</t>
  </si>
  <si>
    <t>entity:HQ_10.032_COMMUNICDIRSPEECH_EDITOR</t>
  </si>
  <si>
    <t>entity:HQ_10.033_COMMUNICDIR_TRANSLATOR</t>
  </si>
  <si>
    <t>entity:HQ_10.034_COMMUNICDIRPUBCOMMCOORD</t>
  </si>
  <si>
    <t>entity:HQ_10.035_SHSERVDIR_IT_SUPPORT_OFFICER</t>
  </si>
  <si>
    <t>entity:HQ_10.036_SHSERVDIR_ACCOUNT</t>
  </si>
  <si>
    <t>entity:HQ_10.037_SHSERVDIRSENACCOUNTANT</t>
  </si>
  <si>
    <t>entity:HQ_10.001_SHEIKHA_WING_STORAGE</t>
  </si>
  <si>
    <t>entity:HQ_10.003_BOARD_ROOM_WAITING_AREA</t>
  </si>
  <si>
    <t>entity:HQ_10.004_EXECDIRARCHCOORD</t>
  </si>
  <si>
    <t>entity:HQ_10.106_LOUNGE</t>
  </si>
  <si>
    <t>entity:HQ_10.109_BOARD_PREPROOM</t>
  </si>
  <si>
    <t>entity:HQ_10.101_CONSULTANTS_SPACE</t>
  </si>
  <si>
    <t>entity:HQ_10.112_TRANSLATOR_ROOM</t>
  </si>
  <si>
    <t>entity:HQ_10.102_SHEIKHA_WING_MULTIPURPOSE_ROOM</t>
  </si>
  <si>
    <t>entity:HQ_10.002E_OFFICE_SPACE</t>
  </si>
  <si>
    <t>entity:HQ_10.002D_OFFICE_SPACE</t>
  </si>
  <si>
    <t>entity:HQ_10.002C_OFFICE_SPACE</t>
  </si>
  <si>
    <t>entity:HQ_10.002A_OFFICE_SPACE</t>
  </si>
  <si>
    <t>entity:HQ_11.012_PLANNING_DIRDIRPLANNING</t>
  </si>
  <si>
    <t>entity:HQ_11.013_EXECDIRCORRF-UP</t>
  </si>
  <si>
    <t>entity:HQ_11.014_EXECDIRCORRMANAGER</t>
  </si>
  <si>
    <t>entity:HQ_11.015_EXECDIRCORRF-UP</t>
  </si>
  <si>
    <t>entity:HQ_11.016_EXECDIRLEGAL_ASSIST</t>
  </si>
  <si>
    <t>entity:HQ_11.017_EXECDIRLEGAL_ADVISOR</t>
  </si>
  <si>
    <t>entity:HQ_11.018_EXECDIREXECASSIST</t>
  </si>
  <si>
    <t>entity:HQ_11.019_EXECDIR_DEPEXECDIRECTOR</t>
  </si>
  <si>
    <t>entity:HQ_11.02_EXECDIREXECASSIST</t>
  </si>
  <si>
    <t>entity:HQ_11.021_EXECDIREXECDIRECTOR</t>
  </si>
  <si>
    <t>entity:HQ_11.022_SHEIKHA_WING_WAITING_ROOM</t>
  </si>
  <si>
    <t>entity:HQ_11.023_SHEIKHA_WING_SECURITY_ROOM</t>
  </si>
  <si>
    <t>entity:HQ_11.001_COMMUNICDIR_COMMUNICATION_DIRECTOR</t>
  </si>
  <si>
    <t>entity:HQ_11.002_COMMUNICDIRMEDRELOFFICER</t>
  </si>
  <si>
    <t>entity:HQ_11.003_SHSERVDIR_DIRSHARED_SERVICES</t>
  </si>
  <si>
    <t>entity:HQ_11.004_EXECDIRECTOR_ADMASSIST</t>
  </si>
  <si>
    <t>entity:HQ_11.005_PROTOCOL_DIRPROTOCOL_DIRECTOR</t>
  </si>
  <si>
    <t>entity:HQ_11.006_PROTOCOL_DIRGIFTS_DIRECTOR</t>
  </si>
  <si>
    <t>entity:HQ_11.008_EXECDIRCONSULTANT</t>
  </si>
  <si>
    <t>entity:HQ_11.009_SECRETARY</t>
  </si>
  <si>
    <t>entity:HQ_11.01_POLICY_DIRDIROF_POL&amp;_RES</t>
  </si>
  <si>
    <t>entity:HQ_11.011_SECRETARY</t>
  </si>
  <si>
    <t>entity:HQ_11.103_SHEIKHA_WING_BUSINESS_LOUNGE</t>
  </si>
  <si>
    <t>entity:HQ_11.201_SHEIKHA_WING_LOBBY</t>
  </si>
  <si>
    <t>entity:HQ_11.202_SHEIKHA_WING_SHEIKHA_ENSUIT</t>
  </si>
  <si>
    <t>entity:HQ_11.203_SHEIKHA_WING_RELAX_AREA</t>
  </si>
  <si>
    <t>entity:HQ_11.204_SHEIKHA_WING_MEETING_ROOM</t>
  </si>
  <si>
    <t>entity:HQ_B1.109_ROOM</t>
  </si>
  <si>
    <t>entity:HQ_10.002B_OFFICE_SPACE</t>
  </si>
  <si>
    <t>entity:HQ_11.007_EXECDIRCONSULTANT</t>
  </si>
  <si>
    <t>entity:HQ_11.601_SHEIKHA_WING_CORRIDOR</t>
  </si>
  <si>
    <t>entity:HQ_11.102_HH_WING_BUSINESS_LOUNGE</t>
  </si>
  <si>
    <t>entity:HQ_G.013_PR_&amp;_MARKET_STAFF</t>
  </si>
  <si>
    <t>entity:HQ_G.405_TOILET</t>
  </si>
  <si>
    <t>entity:HQ_12.201_SHEIKHA_WING_SHEIKHA_ENSUIT</t>
  </si>
  <si>
    <t>entity:HQ_12.202_SHEIKHA_WING_SHEIKHA_ENSUIT</t>
  </si>
  <si>
    <t>entity:HQ_12.203_SHEIKHA_WING_RELAX_AREA</t>
  </si>
  <si>
    <t>entity:HQ_12.204_SHEIKHA_WING_RELAX_AREA</t>
  </si>
  <si>
    <t>entity:HQ_12.001_COMMUNIC_DIR_COMMUNICATION_DIRECTOR</t>
  </si>
  <si>
    <t>entity:HQ_12.405_TOILET</t>
  </si>
  <si>
    <t>Room Entity Name</t>
  </si>
  <si>
    <t>Room Number Used</t>
  </si>
  <si>
    <t>Room Space (cleaned)</t>
  </si>
  <si>
    <t>entity:HQ_B1.606_SECURE_STORAGE</t>
  </si>
  <si>
    <t>B1.606</t>
  </si>
  <si>
    <t>SECURE_STORAGE</t>
  </si>
  <si>
    <t>AHU_4</t>
  </si>
  <si>
    <t>entity:HQ_B1.002_SECURITY_UPS_ROOM</t>
  </si>
  <si>
    <t>SECURITY_UPS_ROOM</t>
  </si>
  <si>
    <t>CONTROL_ROOM</t>
  </si>
  <si>
    <t>entity:HQ_B1.005_MDF_1_ROOM</t>
  </si>
  <si>
    <t>MDF_1_ROOM</t>
  </si>
  <si>
    <t>AHU_1</t>
  </si>
  <si>
    <t>entity:HQ_B1.007_COOLING_EQUIPMENT</t>
  </si>
  <si>
    <t>COOLING_EQUIPMENT</t>
  </si>
  <si>
    <t>entity:HQ_B1.008_FM_STORAGE</t>
  </si>
  <si>
    <t>FM_STORAGE</t>
  </si>
  <si>
    <t>entity:HQ_B1.009_MV_SWITCH_ROOM</t>
  </si>
  <si>
    <t>MV_SWITCH_ROOM</t>
  </si>
  <si>
    <t>entity:HQ_B1.010_TRANSFORMER_SUBSTATION</t>
  </si>
  <si>
    <t>TRANSFORMER_SUBSTATION</t>
  </si>
  <si>
    <t>entity:HQ_B1.011_HV_INTAKE</t>
  </si>
  <si>
    <t>HV_INTAKE</t>
  </si>
  <si>
    <t>entity:HQ_B1.012_GENERATOR</t>
  </si>
  <si>
    <t>entity:HQ_B1.013_Q-TEL_INCOMING</t>
  </si>
  <si>
    <t>Q-TEL_INCOMING</t>
  </si>
  <si>
    <t>SUPPORT_SPACE_DRY_WASTE_STORAGE</t>
  </si>
  <si>
    <t>SUPPORT_SPACE_LOADING</t>
  </si>
  <si>
    <t>AHU_2</t>
  </si>
  <si>
    <t>entity:HQ_B1.017_WATER_SERVICES</t>
  </si>
  <si>
    <t>WATER_SERVICES</t>
  </si>
  <si>
    <t>entity:HQ_B1.018_PA_ROOM</t>
  </si>
  <si>
    <t>PA_ROOM</t>
  </si>
  <si>
    <t>entity:HQ_B1.020_CHILLED_WATER</t>
  </si>
  <si>
    <t>CHILLED_WATER</t>
  </si>
  <si>
    <t>entity:HQ_B1.021_FILING_STORAGE</t>
  </si>
  <si>
    <t>FILING_STORAGE</t>
  </si>
  <si>
    <t>AHU_3</t>
  </si>
  <si>
    <t>entity:HQ_B1.023_CBS_ROOM</t>
  </si>
  <si>
    <t>CBS_ROOM</t>
  </si>
  <si>
    <t>entity:HQ_B1.024_SUPPORT_SPACE_WASTE_BIN_WASH_UP_AREA</t>
  </si>
  <si>
    <t>SUPPORT_SPACE_WASTE_BIN_WASH_UP_AREA</t>
  </si>
  <si>
    <t>entity:HQ_B1.025_COOLING_EQUIPMENT_ROOM</t>
  </si>
  <si>
    <t>COOLING_EQUIPMENT_ROOM</t>
  </si>
  <si>
    <t>entity:HQ_B1.026_UPS_ROOM</t>
  </si>
  <si>
    <t>UPS_ROOM</t>
  </si>
  <si>
    <t>entity:HQ_B1.101_AUDITORIUM_BACKSTAGE</t>
  </si>
  <si>
    <t>B1.101</t>
  </si>
  <si>
    <t>AUDITORIUM_BACKSTAGE</t>
  </si>
  <si>
    <t>entity:HQ_B1.102_SERVER_ROOM</t>
  </si>
  <si>
    <t>B1.102</t>
  </si>
  <si>
    <t>SERVER_ROOM</t>
  </si>
  <si>
    <t>B1.103</t>
  </si>
  <si>
    <t>STAFF_LOBBY</t>
  </si>
  <si>
    <t>entity:HQ_B1.106_VVIP_PARKING_6_CAR_SPOTS</t>
  </si>
  <si>
    <t>B1.106</t>
  </si>
  <si>
    <t>VVIP_PARKING_6_CAR_SPOTS</t>
  </si>
  <si>
    <t>B1.107</t>
  </si>
  <si>
    <t>DOCK_MASTER_OFFICE</t>
  </si>
  <si>
    <t>entity:HQ_B1.108_SUPPORT_SPACE_WET_WASTE_STORAGE</t>
  </si>
  <si>
    <t>B1.108</t>
  </si>
  <si>
    <t>SUPPORT_SPACE_WET_WASTE_STORAGE</t>
  </si>
  <si>
    <t>B1.110</t>
  </si>
  <si>
    <t>SUPPORT_SPACE_MAIL_ROOM</t>
  </si>
  <si>
    <t>entity:HQ_B1.111_CHANGING_ROOM</t>
  </si>
  <si>
    <t>B1.111</t>
  </si>
  <si>
    <t>CHANGING_ROOM</t>
  </si>
  <si>
    <t>entity:HQ_B1.112_CHANGING_ROOM</t>
  </si>
  <si>
    <t>B1.112</t>
  </si>
  <si>
    <t>B1.113</t>
  </si>
  <si>
    <t>SHEIKHA_LOBBY_SECURITY_ROOM</t>
  </si>
  <si>
    <t>entity:HQ_B1.114_FILING_STORAGE</t>
  </si>
  <si>
    <t>B1.114</t>
  </si>
  <si>
    <t>entity:HQ_B1.115_VVIP_PARKING_4_CAR_SPOTS</t>
  </si>
  <si>
    <t>B1.115</t>
  </si>
  <si>
    <t>VVIP_PARKING_4_CAR_SPOTS</t>
  </si>
  <si>
    <t>B1.116</t>
  </si>
  <si>
    <t>SHEIKHA_LOBBY</t>
  </si>
  <si>
    <t>B1.117</t>
  </si>
  <si>
    <t>CHAUFFEUR_ROOM</t>
  </si>
  <si>
    <t>entity:HQ_B1.118_SHEIKHA_LOBBY_PANTRYRG_LOUNGE</t>
  </si>
  <si>
    <t>B1.118</t>
  </si>
  <si>
    <t>SHEIKHA_LOBBY_PANTRYRG_LOUNGE</t>
  </si>
  <si>
    <t>entity:HQ_B1.119_ELECTRICAL_CABINET</t>
  </si>
  <si>
    <t>B1.119</t>
  </si>
  <si>
    <t>ELECTRICAL_CABINET</t>
  </si>
  <si>
    <t>entity:HQ_B1.120_MDF_2_ROOM</t>
  </si>
  <si>
    <t>B1.120</t>
  </si>
  <si>
    <t>MDF_2_ROOM</t>
  </si>
  <si>
    <t>entity:HQ_B1.121_MAINTENANCE_ROOM</t>
  </si>
  <si>
    <t>B1.121</t>
  </si>
  <si>
    <t>MAINTENANCE_ROOM</t>
  </si>
  <si>
    <t>B1.122</t>
  </si>
  <si>
    <t>SUPPORT_SPACE_FOOD_STORAGE</t>
  </si>
  <si>
    <t>B1.123</t>
  </si>
  <si>
    <t>B1.401</t>
  </si>
  <si>
    <t>MALE_TOILET</t>
  </si>
  <si>
    <t>entity:HQ_B1.402_FEMALE_TOILET</t>
  </si>
  <si>
    <t>B1.402</t>
  </si>
  <si>
    <t>FEMALE_TOILET</t>
  </si>
  <si>
    <t>entity:HQ_B1.403_TOILET</t>
  </si>
  <si>
    <t>B1.403</t>
  </si>
  <si>
    <t>entity:HQ_B1.511_VESTIBULE</t>
  </si>
  <si>
    <t>B1.511</t>
  </si>
  <si>
    <t>B1.512</t>
  </si>
  <si>
    <t>IDF_ROOM</t>
  </si>
  <si>
    <t>entity:HQ_B1.541_VESTIBULE</t>
  </si>
  <si>
    <t>B1.541</t>
  </si>
  <si>
    <t>entity:HQ_B1.542_VESTIBULE</t>
  </si>
  <si>
    <t>B1.542</t>
  </si>
  <si>
    <t>entity:HQ_B1.543_VESTIBULE</t>
  </si>
  <si>
    <t>B1.543</t>
  </si>
  <si>
    <t>entity:HQ_B1.544_SUPPORT_SPACE_STORAGE</t>
  </si>
  <si>
    <t>B1.544</t>
  </si>
  <si>
    <t>SUPPORT_SPACE_STORAGE</t>
  </si>
  <si>
    <t>entity:HQ_B1.602_CORRIDOR</t>
  </si>
  <si>
    <t>B1.602</t>
  </si>
  <si>
    <t>entity:HQ_B1.603_CORRIDOR</t>
  </si>
  <si>
    <t>B1.603</t>
  </si>
  <si>
    <t>entity:HQ_B1.604_CORRIDOR</t>
  </si>
  <si>
    <t>B1.604</t>
  </si>
  <si>
    <t>entity:HQ_B1.605_CORRIDOR</t>
  </si>
  <si>
    <t>B1.605</t>
  </si>
  <si>
    <t>entity:HQ_B1.P 1_P_1</t>
  </si>
  <si>
    <t>B1.P 1</t>
  </si>
  <si>
    <t>P_1</t>
  </si>
  <si>
    <t>entity:HQ_B1.P 2_P_2</t>
  </si>
  <si>
    <t>B1.P 2</t>
  </si>
  <si>
    <t>P_2</t>
  </si>
  <si>
    <t>entity:HQ_B1.P 3_P_3</t>
  </si>
  <si>
    <t>B1.P 3</t>
  </si>
  <si>
    <t>P_3</t>
  </si>
  <si>
    <t>entity:HQ_B1.P-4_P-4</t>
  </si>
  <si>
    <t>B1.P-4</t>
  </si>
  <si>
    <t>P-4</t>
  </si>
  <si>
    <t>entity:HQ_B1.P-5_P-5</t>
  </si>
  <si>
    <t>B1.P-5</t>
  </si>
  <si>
    <t>P-5</t>
  </si>
  <si>
    <t>entity:HQ_B1.P-6_P-6</t>
  </si>
  <si>
    <t>B1.P-6</t>
  </si>
  <si>
    <t>P-6</t>
  </si>
  <si>
    <t>entity:HQ_B1.S 1_S_1</t>
  </si>
  <si>
    <t>B1.S 1</t>
  </si>
  <si>
    <t>S_1</t>
  </si>
  <si>
    <t>entity:HQ_B1.ST-1_ST-1</t>
  </si>
  <si>
    <t>ST-1</t>
  </si>
  <si>
    <t>entity:HQ_B1.ST-2_ST-2</t>
  </si>
  <si>
    <t>ST-2</t>
  </si>
  <si>
    <t>entity:HQ_B1.ST-4_ST-4</t>
  </si>
  <si>
    <t>B1.ST-4</t>
  </si>
  <si>
    <t>ST-4</t>
  </si>
  <si>
    <t>entity:HQ_B1.ST-L6_ST-L6</t>
  </si>
  <si>
    <t>B1.ST-L6</t>
  </si>
  <si>
    <t>ST-L6</t>
  </si>
  <si>
    <t>G.002</t>
  </si>
  <si>
    <t>PR_&amp;_MARKET_MANAGER</t>
  </si>
  <si>
    <t>G.003</t>
  </si>
  <si>
    <t>G.004</t>
  </si>
  <si>
    <t>G.005</t>
  </si>
  <si>
    <t>EMERGENCY_CONTROL_CENTER</t>
  </si>
  <si>
    <t>entity:HQ_G.006_AUDITORIUM_STAIRS_LOBBY</t>
  </si>
  <si>
    <t>G.006</t>
  </si>
  <si>
    <t>AUDITORIUM_STAIRS_LOBBY</t>
  </si>
  <si>
    <t>entity:HQ_G.007_VIP_DROP_OFF_ENTRANCE</t>
  </si>
  <si>
    <t>G.007</t>
  </si>
  <si>
    <t>VIP_DROP_OFF_ENTRANCE</t>
  </si>
  <si>
    <t>G.008</t>
  </si>
  <si>
    <t>G.009</t>
  </si>
  <si>
    <t>G.010</t>
  </si>
  <si>
    <t>PR_&amp;_MARKET_STAFF</t>
  </si>
  <si>
    <t>G.011</t>
  </si>
  <si>
    <t>G.012</t>
  </si>
  <si>
    <t>G.013</t>
  </si>
  <si>
    <t>G.014</t>
  </si>
  <si>
    <t>VISITOR_CENT_OFFICE</t>
  </si>
  <si>
    <t>G.015</t>
  </si>
  <si>
    <t>entity:HQ_G.016_PANTRY</t>
  </si>
  <si>
    <t>G.016</t>
  </si>
  <si>
    <t>PANTRY</t>
  </si>
  <si>
    <t>G.017</t>
  </si>
  <si>
    <t>COPY_PRINT</t>
  </si>
  <si>
    <t>G.018</t>
  </si>
  <si>
    <t>G.019</t>
  </si>
  <si>
    <t>G.020</t>
  </si>
  <si>
    <t>G.021</t>
  </si>
  <si>
    <t>G.022</t>
  </si>
  <si>
    <t>PR_&amp;_MARKET!_SECRETARY</t>
  </si>
  <si>
    <t>G.023</t>
  </si>
  <si>
    <t>entity:HQ_G.024_PEDESTRIAN_ENTRANCE</t>
  </si>
  <si>
    <t>G.024</t>
  </si>
  <si>
    <t>PEDESTRIAN_ENTRANCE</t>
  </si>
  <si>
    <t>G.025</t>
  </si>
  <si>
    <t>VIP_LOUNGE</t>
  </si>
  <si>
    <t>G.026</t>
  </si>
  <si>
    <t>FINANCE_CASHIER</t>
  </si>
  <si>
    <t>entity:HQ_G.027_PANTRY</t>
  </si>
  <si>
    <t>G.027</t>
  </si>
  <si>
    <t>G.028</t>
  </si>
  <si>
    <t>PR_&amp;_MARKET_DIRECTOR_ENSUIT</t>
  </si>
  <si>
    <t>G.029</t>
  </si>
  <si>
    <t>entity:HQ_G.03_PR_&amp;_MARKET_STAFF</t>
  </si>
  <si>
    <t>G.03</t>
  </si>
  <si>
    <t>G.031</t>
  </si>
  <si>
    <t>G.032</t>
  </si>
  <si>
    <t>G.033</t>
  </si>
  <si>
    <t>G.034</t>
  </si>
  <si>
    <t>G.035</t>
  </si>
  <si>
    <t>G.036</t>
  </si>
  <si>
    <t>G.037</t>
  </si>
  <si>
    <t>G.038</t>
  </si>
  <si>
    <t>entity:HQ_G.039_PR_&amp;_MARKET_STAFF</t>
  </si>
  <si>
    <t>G.039</t>
  </si>
  <si>
    <t>G.101</t>
  </si>
  <si>
    <t>CONFERENCE_ROOM</t>
  </si>
  <si>
    <t>entity:HQ_G.102_AUDITORIUM</t>
  </si>
  <si>
    <t>G.102</t>
  </si>
  <si>
    <t>AUDITORIUM</t>
  </si>
  <si>
    <t>G.103</t>
  </si>
  <si>
    <t>G.104</t>
  </si>
  <si>
    <t>G.105</t>
  </si>
  <si>
    <t>SHOP</t>
  </si>
  <si>
    <t>entity:HQ_G.106_STORAGE_ROOM</t>
  </si>
  <si>
    <t>G.106</t>
  </si>
  <si>
    <t>STORAGE_ROOM</t>
  </si>
  <si>
    <t>G.107</t>
  </si>
  <si>
    <t>E-TOWER_LOBBY</t>
  </si>
  <si>
    <t>G.108</t>
  </si>
  <si>
    <t>CONSULTANT_SPACE_TRAINEES</t>
  </si>
  <si>
    <t>entity:HQ_G.11_STORAGE_ROOM</t>
  </si>
  <si>
    <t>G.11</t>
  </si>
  <si>
    <t>entity:HQ_G.401_FEMALE_TOILET</t>
  </si>
  <si>
    <t>G.401</t>
  </si>
  <si>
    <t>entity:HQ_G.402_MALE_TOILET</t>
  </si>
  <si>
    <t>G.402</t>
  </si>
  <si>
    <t>entity:HQ_G.403_FEM_FEMALE_TOILET</t>
  </si>
  <si>
    <t>G.403_FEM</t>
  </si>
  <si>
    <t>entity:HQ_G.403_MAL_MALE_TOILET</t>
  </si>
  <si>
    <t>G.403_MAL</t>
  </si>
  <si>
    <t>G.405</t>
  </si>
  <si>
    <t>G.511</t>
  </si>
  <si>
    <t>G.512</t>
  </si>
  <si>
    <t>entity:HQ_G.521_STAIR_VESTIBULE</t>
  </si>
  <si>
    <t>G.521</t>
  </si>
  <si>
    <t>STAIR_VESTIBULE</t>
  </si>
  <si>
    <t>G.531</t>
  </si>
  <si>
    <t>entity:HQ_G.532_ELECTRICAL_CLOSET_1</t>
  </si>
  <si>
    <t>G.532</t>
  </si>
  <si>
    <t>ELECTRICAL_CLOSET_1</t>
  </si>
  <si>
    <t>entity:HQ_G.533_ELECTRICAL_CLOSET_2</t>
  </si>
  <si>
    <t>G.533</t>
  </si>
  <si>
    <t>ELECTRICAL_CLOSET_2</t>
  </si>
  <si>
    <t>entity:HQ_G.541_STAIR_VESTIBULES</t>
  </si>
  <si>
    <t>G.541</t>
  </si>
  <si>
    <t>STAIR_VESTIBULES</t>
  </si>
  <si>
    <t>entity:HQ_G.542_STAIR_VESTIBULE</t>
  </si>
  <si>
    <t>G.542</t>
  </si>
  <si>
    <t>entity:HQ_G.544_VESTIBULE</t>
  </si>
  <si>
    <t>G.544</t>
  </si>
  <si>
    <t>G.601</t>
  </si>
  <si>
    <t>entity:HQ_G.FF-1_FF-1</t>
  </si>
  <si>
    <t>G.FF-1</t>
  </si>
  <si>
    <t>FF-1</t>
  </si>
  <si>
    <t>entity:HQ_G.P-1_P-1</t>
  </si>
  <si>
    <t>G.P-1</t>
  </si>
  <si>
    <t>P-1</t>
  </si>
  <si>
    <t>entity:HQ_G.P-2_P-2</t>
  </si>
  <si>
    <t>G.P-2</t>
  </si>
  <si>
    <t>P-2</t>
  </si>
  <si>
    <t>entity:HQ_G.P-3_P-3</t>
  </si>
  <si>
    <t>G.P-3</t>
  </si>
  <si>
    <t>P-3</t>
  </si>
  <si>
    <t>entity:HQ_G.P-4_P-4</t>
  </si>
  <si>
    <t>G.P-4</t>
  </si>
  <si>
    <t>entity:HQ_G.P-5_P-5</t>
  </si>
  <si>
    <t>G.P-5</t>
  </si>
  <si>
    <t>entity:HQ_G.P-6_P-6</t>
  </si>
  <si>
    <t>G.P-6</t>
  </si>
  <si>
    <t>entity:HQ_G.S-1_S-1</t>
  </si>
  <si>
    <t>G.S-1</t>
  </si>
  <si>
    <t>S-1</t>
  </si>
  <si>
    <t>entity:HQ_G.ST-1_ST-1</t>
  </si>
  <si>
    <t>G.ST-1</t>
  </si>
  <si>
    <t>entity:HQ_G.ST-2_ST-2</t>
  </si>
  <si>
    <t>G.ST-2</t>
  </si>
  <si>
    <t>entity:HQ_G.ST-3_ST-3</t>
  </si>
  <si>
    <t>G.ST-3</t>
  </si>
  <si>
    <t>ST-3</t>
  </si>
  <si>
    <t>entity:HQ_G.ST-4_ST-4</t>
  </si>
  <si>
    <t>G.ST-4</t>
  </si>
  <si>
    <t>FINANCE_CLERICAL_SECRETARIES</t>
  </si>
  <si>
    <t>FINANCE_MANAGERS</t>
  </si>
  <si>
    <t>FINANCE_MANAGER</t>
  </si>
  <si>
    <t>FINANCE_SECRETARY</t>
  </si>
  <si>
    <t>FINANCE_PROFSTAFF</t>
  </si>
  <si>
    <t>FINANCE_CLERICAL_PROFSTAFF</t>
  </si>
  <si>
    <t>entity:HQ_1.009_FINANCE_MANAGER</t>
  </si>
  <si>
    <t>FINANCE_DIRECTOR_ENSUIT</t>
  </si>
  <si>
    <t>FINANCE_AUDITOR</t>
  </si>
  <si>
    <t>STAFF_LOUNGE</t>
  </si>
  <si>
    <t>entity:HQ_1.102_PRAYER_ROOM_VESTIBULE</t>
  </si>
  <si>
    <t>PRAYER_ROOM_VESTIBULE</t>
  </si>
  <si>
    <t>entity:HQ_1.103_ABLUTION_ROOM</t>
  </si>
  <si>
    <t>ABLUTION_ROOM</t>
  </si>
  <si>
    <t>entity:HQ_1.104_ABLUTION_ROOM</t>
  </si>
  <si>
    <t>PRAYER_ROOM</t>
  </si>
  <si>
    <t>FINANCE_MEETING_ROOM</t>
  </si>
  <si>
    <t>FINANCE_RECORD_STORAGE</t>
  </si>
  <si>
    <t>PRINT_COPY</t>
  </si>
  <si>
    <t>entity:HQ_1.113_PANTRY</t>
  </si>
  <si>
    <t>STAFF_LOUNGE_STORAGE</t>
  </si>
  <si>
    <t>FINANCE_SECURE_ROOM</t>
  </si>
  <si>
    <t>entity:HQ_1.403_MALE_TOILET</t>
  </si>
  <si>
    <t>entity:HQ_1.404_FEMALE_TOILET</t>
  </si>
  <si>
    <t>entity:HQ_1.405_TOILET</t>
  </si>
  <si>
    <t>entity:HQ_1.521_VESTIBULE</t>
  </si>
  <si>
    <t>entity:HQ_1.532_ELECTRICAL_CLOSET_1</t>
  </si>
  <si>
    <t>entity:HQ_1.533_ELECTRICAL_CLOSET_2</t>
  </si>
  <si>
    <t>entity:HQ_1.541_VESTIBULE</t>
  </si>
  <si>
    <t>entity:HQ_1.603_CORRIDOR</t>
  </si>
  <si>
    <t>STAFF_CAFETERIA</t>
  </si>
  <si>
    <t>FOOD_HEAT_UP</t>
  </si>
  <si>
    <t>entity:HQ_1.703_COSHSTORE</t>
  </si>
  <si>
    <t>COSHSTORE</t>
  </si>
  <si>
    <t>entity:HQ_1.704_REFUSE_HOLDING_A</t>
  </si>
  <si>
    <t>REFUSE_HOLDING_A</t>
  </si>
  <si>
    <t>entity:HQ_1.705_PREP</t>
  </si>
  <si>
    <t>PREP</t>
  </si>
  <si>
    <t>WASHING_AREA</t>
  </si>
  <si>
    <t>DOHA_DEBATE_EXECUTIVE</t>
  </si>
  <si>
    <t>DOHA_DEBATE_SECRETARY</t>
  </si>
  <si>
    <t>SUPPSERVSECRETARY</t>
  </si>
  <si>
    <t>SUPPSERVADMINIST</t>
  </si>
  <si>
    <t>SUPPSERVDIRECTOR_ENSUIT</t>
  </si>
  <si>
    <t>CONSULTANTS_SPACE-OTHERS</t>
  </si>
  <si>
    <t>entity:HQ_2.106_PANTRY</t>
  </si>
  <si>
    <t>entity:HQ_2.107_JANITORS_CLOSET</t>
  </si>
  <si>
    <t>JANITORS_CLOSET</t>
  </si>
  <si>
    <t>SUPPSERVMEETING_ROOM</t>
  </si>
  <si>
    <t>SHELL_SPACE</t>
  </si>
  <si>
    <t>entity:HQ_2.11_SHELL_SPACE</t>
  </si>
  <si>
    <t>entity:HQ_2.111_ELECTRICAL_CABINET</t>
  </si>
  <si>
    <t>SPA_MALE_RELAXATION</t>
  </si>
  <si>
    <t>SPA_MALE_TREATMENT_3</t>
  </si>
  <si>
    <t>SPA_MALE_TREATMENT_2</t>
  </si>
  <si>
    <t>SPA_MALE_TREATMENT_1</t>
  </si>
  <si>
    <t>SPA_MALE_CHANGING_ROOM</t>
  </si>
  <si>
    <t>SPA_ENTRANCE</t>
  </si>
  <si>
    <t>SPA_LOUNGE_BAR</t>
  </si>
  <si>
    <t>SPA_FITNESS_DTUDIO</t>
  </si>
  <si>
    <t>SPA_OFFICE</t>
  </si>
  <si>
    <t>SPA_STAFF_WAITING_AREA</t>
  </si>
  <si>
    <t>SPA_FEMALE_BEAUTY_SALON</t>
  </si>
  <si>
    <t>SPA_FM_TREATMENT_1</t>
  </si>
  <si>
    <t>SPA_CHANGING_ROOM</t>
  </si>
  <si>
    <t>SPA_FM_TREATMENT_2</t>
  </si>
  <si>
    <t>SPA_FM_TREATMENT_3</t>
  </si>
  <si>
    <t>SPA_FM_RELAXATION</t>
  </si>
  <si>
    <t>entity:HQ_2.217_SPA_STORAGE</t>
  </si>
  <si>
    <t>SPA_STORAGE</t>
  </si>
  <si>
    <t>entity:HQ_2.218_SPA_STORAGE</t>
  </si>
  <si>
    <t>entity:HQ_2.219_SPA_STORAGE</t>
  </si>
  <si>
    <t>entity:HQ_2.22_SPA_STERILIZATION_ROOM</t>
  </si>
  <si>
    <t>SPA_STERILIZATION_ROOM</t>
  </si>
  <si>
    <t>entity:HQ_2.301_SPA_LAUNDRY</t>
  </si>
  <si>
    <t>SPA_LAUNDRY</t>
  </si>
  <si>
    <t>SPA_PLANTROOM</t>
  </si>
  <si>
    <t>entity:HQ_2.303_SPA_LAUNDRY</t>
  </si>
  <si>
    <t>entity:HQ_2.304_SPA_MALE_HEAT_EXP</t>
  </si>
  <si>
    <t>SPA_MALE_HEAT_EXP</t>
  </si>
  <si>
    <t>entity:HQ_2.305_SPA_JACUZZI</t>
  </si>
  <si>
    <t>SPA_JACUZZI</t>
  </si>
  <si>
    <t>entity:HQ_2.306_SPA_HAMMAM</t>
  </si>
  <si>
    <t>SPA_HAMMAM</t>
  </si>
  <si>
    <t>entity:HQ_2.307_SPA_SHOWER</t>
  </si>
  <si>
    <t>SPA_SHOWER</t>
  </si>
  <si>
    <t>entity:HQ_2.308_SPA_SCRUB</t>
  </si>
  <si>
    <t>SPA_SCRUB</t>
  </si>
  <si>
    <t>entity:HQ_2.309_SPA_SAUNA</t>
  </si>
  <si>
    <t>SPA_SAUNA</t>
  </si>
  <si>
    <t>entity:HQ_2.31_SPA_TECHNIC</t>
  </si>
  <si>
    <t>SPA_TECHNIC</t>
  </si>
  <si>
    <t>entity:HQ_2.311_SPA_FM_HEAT_EXP</t>
  </si>
  <si>
    <t>SPA_FM_HEAT_EXP</t>
  </si>
  <si>
    <t>entity:HQ_2.312_SPA_SAUNA</t>
  </si>
  <si>
    <t>entity:HQ_2.313_SPA_SCRUB</t>
  </si>
  <si>
    <t>entity:HQ_2.314_SPA_SHOWER</t>
  </si>
  <si>
    <t>entity:HQ_2.315_SPA_HAMMAM</t>
  </si>
  <si>
    <t>entity:HQ_2.316_SPA_JACUZZI</t>
  </si>
  <si>
    <t>entity:HQ_2.317_SPA_TECHNIC</t>
  </si>
  <si>
    <t>entity:HQ_2.318_SPA_TECHNIC</t>
  </si>
  <si>
    <t>entity:HQ_2.401_MALE_TOILET</t>
  </si>
  <si>
    <t>entity:HQ_2.402_FEMALE_TOILET</t>
  </si>
  <si>
    <t>entity:HQ_2.403_MALE_TOILET</t>
  </si>
  <si>
    <t>entity:HQ_2.404_FEMALE_TOILET</t>
  </si>
  <si>
    <t>entity:HQ_2.405_TOILET</t>
  </si>
  <si>
    <t>entity:HQ_2.406_SPA_STAFF_FEMALE_WC</t>
  </si>
  <si>
    <t>SPA_STAFF_FEMALE_WC</t>
  </si>
  <si>
    <t>entity:HQ_2.407_SPA_STAFF_MALE_WC</t>
  </si>
  <si>
    <t>SPA_STAFF_MALE_WC</t>
  </si>
  <si>
    <t>MECHANICAL_ROOM</t>
  </si>
  <si>
    <t>entity:HQ_2.521_VESTIBULE</t>
  </si>
  <si>
    <t>entity:HQ_2.532_ELECTRICAL_CLOSET_1</t>
  </si>
  <si>
    <t>entity:HQ_2.533_ELECTRICAL_CLOSET_2</t>
  </si>
  <si>
    <t>entity:HQ_2.541_VESTIBULE</t>
  </si>
  <si>
    <t>S-TOWER_CORRIDOR</t>
  </si>
  <si>
    <t>entity:HQ_2.602_SPA_CORRIDOR</t>
  </si>
  <si>
    <t>SPA_CORRIDOR</t>
  </si>
  <si>
    <t>SPA_LOBBY</t>
  </si>
  <si>
    <t>entity:HQ_2.604_SPA_CORRIDOR</t>
  </si>
  <si>
    <t>HR_IMMIG_STAFF</t>
  </si>
  <si>
    <t>HR_IMMIG_STORAGE</t>
  </si>
  <si>
    <t>HR_IMMIG_SECRETARY</t>
  </si>
  <si>
    <t>MEETING_ROOM</t>
  </si>
  <si>
    <t>entity:HQ_3.106_PANTRY</t>
  </si>
  <si>
    <t>entity:HQ_3.107_JANITORS_CLOSET</t>
  </si>
  <si>
    <t>entity:HQ_3.108_SHELL_SPACE</t>
  </si>
  <si>
    <t>entity:HQ_3.109_ELECTRICAL_CABINET</t>
  </si>
  <si>
    <t>PROC&amp;CONTRDIRENSUIT</t>
  </si>
  <si>
    <t>COPYPRINT</t>
  </si>
  <si>
    <t>entity:HQ_3.204_PANTRY</t>
  </si>
  <si>
    <t>HR_IMMIG_IMMIGRATION</t>
  </si>
  <si>
    <t>HR_IMMIG_MANAGER</t>
  </si>
  <si>
    <t>HR_IMMIG_OFFICERS</t>
  </si>
  <si>
    <t>HR_IMMIG_SECRETARIES</t>
  </si>
  <si>
    <t>HR_IMMIG_DIRENSUIT</t>
  </si>
  <si>
    <t>IT_SECRETARY</t>
  </si>
  <si>
    <t>IT_DIRENSUIT</t>
  </si>
  <si>
    <t>PROC&amp;CONTRSECRETARY</t>
  </si>
  <si>
    <t>PROC&amp;CONTRMEETING_ROOM</t>
  </si>
  <si>
    <t>HR_IMMIG_MEETING_ROOM</t>
  </si>
  <si>
    <t>entity:HQ_3.401_MALE_TOILET</t>
  </si>
  <si>
    <t>entity:HQ_3.402_FEMALE_TOILET</t>
  </si>
  <si>
    <t>entity:HQ_3.403_MALE_TOILET</t>
  </si>
  <si>
    <t>entity:HQ_3.404_FEMALE_TOILET</t>
  </si>
  <si>
    <t>entity:HQ_3.405_MALE_TOILET</t>
  </si>
  <si>
    <t>entity:HQ_3.406_FEMALE_TOILET</t>
  </si>
  <si>
    <t>entity:HQ_3.407_TOILET</t>
  </si>
  <si>
    <t>entity:HQ_3.408_TOILET</t>
  </si>
  <si>
    <t>entity:HQ_3.409_TOILET</t>
  </si>
  <si>
    <t>entity:HQ_3.511_VESTIBULE</t>
  </si>
  <si>
    <t>entity:HQ_3.521_VESTIBULE</t>
  </si>
  <si>
    <t>entity:HQ_3.532_ELECTRICAL_CLOSET_1</t>
  </si>
  <si>
    <t>entity:HQ_3.533_ELECTRICAL_CLOSET_12</t>
  </si>
  <si>
    <t>ELECTRICAL_CLOSET_12</t>
  </si>
  <si>
    <t>entity:HQ_3.541_VESTIBULE</t>
  </si>
  <si>
    <t>E-TOWER_CORRIDOR</t>
  </si>
  <si>
    <t>CORRIDOR_BRIDGE</t>
  </si>
  <si>
    <t>STRPLDIRMANAGER</t>
  </si>
  <si>
    <t>entity:HQ_04.004_ENS_STRPLDIRENSUIT</t>
  </si>
  <si>
    <t>04.004_ENS</t>
  </si>
  <si>
    <t>STRPLDIRENSUIT</t>
  </si>
  <si>
    <t>entity:HQ_04.004_EXE_STRPLDIREXECSECRETARY</t>
  </si>
  <si>
    <t>04.004_EXE</t>
  </si>
  <si>
    <t>STRPLDIREXECSECRETARY</t>
  </si>
  <si>
    <t>STRPLDIRMEETING_ROOM</t>
  </si>
  <si>
    <t>STRPLDIRHEAD_OF_PL</t>
  </si>
  <si>
    <t>entity:HQ_04.103_ELE_ELECTRICAL_CABINET</t>
  </si>
  <si>
    <t>04.103_ELE</t>
  </si>
  <si>
    <t>entity:HQ_04.103_STO_STORAGE_SPACE</t>
  </si>
  <si>
    <t>04.103_STO</t>
  </si>
  <si>
    <t>STORAGE_SPACE</t>
  </si>
  <si>
    <t>WAITING_LOUNGE</t>
  </si>
  <si>
    <t>entity:HQ_04.105_JAN_JANITORS_CLOSET</t>
  </si>
  <si>
    <t>04.105_JAN</t>
  </si>
  <si>
    <t>entity:HQ_04.105_PAN_PANTRY</t>
  </si>
  <si>
    <t>04.105_PAN</t>
  </si>
  <si>
    <t>STRPLDIRTECHNSTAFF</t>
  </si>
  <si>
    <t>STRPLDIRARCHIVE_ROOM</t>
  </si>
  <si>
    <t>VP_EDU_STORAGE</t>
  </si>
  <si>
    <t>entity:HQ_4.202_PRINT_COPY</t>
  </si>
  <si>
    <t>entity:HQ_4.203_PANTRY</t>
  </si>
  <si>
    <t>VP_ADM_MANAGER</t>
  </si>
  <si>
    <t>entity:HQ_4.207_VP_ADM_SUPPSECRET</t>
  </si>
  <si>
    <t>VP_ADM_SUPPSECRET</t>
  </si>
  <si>
    <t>VP_ADM_EXECSECRET</t>
  </si>
  <si>
    <t>VP_ADM_PERSASSIST</t>
  </si>
  <si>
    <t>VP_ADM_ENSUIT</t>
  </si>
  <si>
    <t>entity:HQ_4.214_GSM_ROOM</t>
  </si>
  <si>
    <t>GSM_ROOM</t>
  </si>
  <si>
    <t>VP_ADM_MEETING_ROOM</t>
  </si>
  <si>
    <t>entity:HQ_4.401_MALE_TOILET</t>
  </si>
  <si>
    <t>entity:HQ_4.402_FEMALE_TOILET</t>
  </si>
  <si>
    <t>entity:HQ_4.403_MALE_TOILET</t>
  </si>
  <si>
    <t>entity:HQ_4.404_FEMALE_TOILET</t>
  </si>
  <si>
    <t>entity:HQ_4.405_TOILET</t>
  </si>
  <si>
    <t>entity:HQ_4.406_TOILET</t>
  </si>
  <si>
    <t>entity:HQ_4.511_VESTIBULE</t>
  </si>
  <si>
    <t>entity:HQ_4.514_VESTIBULE</t>
  </si>
  <si>
    <t>entity:HQ_4.521_VESTIBULE</t>
  </si>
  <si>
    <t>entity:HQ_4.532_ELECTRICAL_CLOSET</t>
  </si>
  <si>
    <t>ELECTRICAL_CLOSET</t>
  </si>
  <si>
    <t>entity:HQ_4.533_ELECTRICAL_CLOSET_2</t>
  </si>
  <si>
    <t>entity:HQ_4.602_BRIDGE</t>
  </si>
  <si>
    <t>BRIDGE</t>
  </si>
  <si>
    <t>entity:HQ_4.604_PRINT_COPY</t>
  </si>
  <si>
    <t>VP_ADM_TERRACE</t>
  </si>
  <si>
    <t>TERRACE</t>
  </si>
  <si>
    <t>VP_EDU_ASSISTANT</t>
  </si>
  <si>
    <t>VP_EDU_OFFDIRENSUIT</t>
  </si>
  <si>
    <t>VP_EDU_SECRETARY</t>
  </si>
  <si>
    <t>VP_EDU_OFFICERS</t>
  </si>
  <si>
    <t>VP_EDU_OFFICE_DIRECTOR_ENSUIT</t>
  </si>
  <si>
    <t>VP_EDU_SECRET</t>
  </si>
  <si>
    <t>VP_EDU_LOUNGE_WAITING</t>
  </si>
  <si>
    <t>entity:HQ_5.105_PANTRY</t>
  </si>
  <si>
    <t>entity:HQ_5.106_JANITORS_CLOSET</t>
  </si>
  <si>
    <t>VP_EDUCATION_SUPPSECRET</t>
  </si>
  <si>
    <t>VP_EDU_MEMBERS_OF_EDU</t>
  </si>
  <si>
    <t>entity:HQ_5.204_PANTRY</t>
  </si>
  <si>
    <t>VP_EDU_MEETING_ROOM</t>
  </si>
  <si>
    <t>VP_EDU_ENSUIT</t>
  </si>
  <si>
    <t>VP_EDU_CHPEXECSECRET</t>
  </si>
  <si>
    <t>PLANT_ROOM</t>
  </si>
  <si>
    <t>entity:HQ_5.401_MALE_TOILET</t>
  </si>
  <si>
    <t>entity:HQ_5.402_FEMALE_TOILET</t>
  </si>
  <si>
    <t>entity:HQ_5.403_MALE_TOILET</t>
  </si>
  <si>
    <t>entity:HQ_5.404_FEMALE_TOILET</t>
  </si>
  <si>
    <t>entity:HQ_5.405_TOILET</t>
  </si>
  <si>
    <t>entity:HQ_5.406_TOILET</t>
  </si>
  <si>
    <t>entity:HQ_5.407_TOILET</t>
  </si>
  <si>
    <t>entity:HQ_5.408_TOILET</t>
  </si>
  <si>
    <t>entity:HQ_5.409_TOILET</t>
  </si>
  <si>
    <t>entity:HQ_5.511_VESTIBULE</t>
  </si>
  <si>
    <t>entity:HQ_5.521_VESTIBULE</t>
  </si>
  <si>
    <t>entity:HQ_5.532_ELECTRICAL_CLOSET_1</t>
  </si>
  <si>
    <t>entity:HQ_5.533_ELECTRICAL_CLOSET_2</t>
  </si>
  <si>
    <t>entity:HQ_5.541_VESTIBULE</t>
  </si>
  <si>
    <t>entity:HQ_5.604_BRIDGE</t>
  </si>
  <si>
    <t>entity:HQ_5.701_TERRACE</t>
  </si>
  <si>
    <t>ACA_AUDIT_ARCHIVE</t>
  </si>
  <si>
    <t>INTAUDIT_ARCHIVE_ROOM</t>
  </si>
  <si>
    <t>INTAUDIT_SUPPAUDIT</t>
  </si>
  <si>
    <t>INTAUDIT_SECRETARY</t>
  </si>
  <si>
    <t>INTAUDIT_SEN_JNTAUD</t>
  </si>
  <si>
    <t>ACAAUDIT_SUPPAUDIT</t>
  </si>
  <si>
    <t>ACAAUDIT_SECRETARY</t>
  </si>
  <si>
    <t>ACAAUDIT_ACASENAUD</t>
  </si>
  <si>
    <t>FACILITY_MANAGSECRETARY</t>
  </si>
  <si>
    <t>VACILITY_MANAGDIRENSUIT</t>
  </si>
  <si>
    <t>VP_CAPITAL_CONSULTANT</t>
  </si>
  <si>
    <t>entity:HQ_6.106_PANTRY</t>
  </si>
  <si>
    <t>entity:HQ_6.107_JANITORS_CLOSET</t>
  </si>
  <si>
    <t>VP_CAPITAL_PROJCOORD</t>
  </si>
  <si>
    <t>VP_CAPITAL_WORK_ASSIST</t>
  </si>
  <si>
    <t>entity:HQ_6.11_ELECTRICAL_CABINET</t>
  </si>
  <si>
    <t>VP_CAPITAL_PROJMANAGER</t>
  </si>
  <si>
    <t>entity:HQ_6.203_PANTRY</t>
  </si>
  <si>
    <t>VP_CAPITAL_STORAGE</t>
  </si>
  <si>
    <t>VP_CAPITAL_SECRETARIES</t>
  </si>
  <si>
    <t>VP_CAPITAL_ENSUIT</t>
  </si>
  <si>
    <t>VP_CAPITAL_DIRECTOR_ENSUIT</t>
  </si>
  <si>
    <t>entity:HQ_6.301_VP_CAPITAL_MEETING_ROOM</t>
  </si>
  <si>
    <t>VP_CAPITAL_MEETING_ROOM</t>
  </si>
  <si>
    <t>entity:HQ_6.401_MALE_TOILET</t>
  </si>
  <si>
    <t>entity:HQ_6.402_FEMALE_TOILET</t>
  </si>
  <si>
    <t>entity:HQ_6.403_MALE_TOILET</t>
  </si>
  <si>
    <t>entity:HQ_6.404_FEMALE_TOILET</t>
  </si>
  <si>
    <t>entity:HQ_6.405_TOILET</t>
  </si>
  <si>
    <t>entity:HQ_6.406_TOILET</t>
  </si>
  <si>
    <t>entity:HQ_6.407_TOILET</t>
  </si>
  <si>
    <t>entity:HQ_6.511_VESTIBULE</t>
  </si>
  <si>
    <t>entity:HQ_6.521_VESTIBULE</t>
  </si>
  <si>
    <t>entity:HQ_6.532_ELECTRICAL_CLOSET</t>
  </si>
  <si>
    <t>entity:HQ_6.533_ELECTRICAL_CLOSET_2</t>
  </si>
  <si>
    <t>entity:HQ_6.541_VESTIBULE</t>
  </si>
  <si>
    <t>entity:HQ_6.602_BRIDGE_CORRIDOR</t>
  </si>
  <si>
    <t>BRIDGE_CORRIDOR</t>
  </si>
  <si>
    <t>DOCUNIT_EMPLOYEE</t>
  </si>
  <si>
    <t>DOCUNIT_MULTIMEDIA_STUDIO</t>
  </si>
  <si>
    <t>CA_COORD</t>
  </si>
  <si>
    <t>CA_ENSUIT</t>
  </si>
  <si>
    <t>CA_SECRETARY</t>
  </si>
  <si>
    <t>BD_UNIT_SECRETARY</t>
  </si>
  <si>
    <t>BD_UNIT_EXECUTIVE</t>
  </si>
  <si>
    <t>entity:HQ_7.107_PANTRY</t>
  </si>
  <si>
    <t>entity:HQ_7.108_JANITORS_CLOSET</t>
  </si>
  <si>
    <t>entity:HQ_7.109_ELECTRICAL_CABINET</t>
  </si>
  <si>
    <t>entity:HQ_7.11_VESTIBULE</t>
  </si>
  <si>
    <t>CONSULTANTS_SPACE</t>
  </si>
  <si>
    <t>PRESIDENT_EXECOFFICE</t>
  </si>
  <si>
    <t>entity:HQ_7.203_PANTRY</t>
  </si>
  <si>
    <t>entity:HQ_7.206_PRESIDENT_EXECOFFICE</t>
  </si>
  <si>
    <t>entity:HQ_7.207_PRESIDENT_EXECOFFICE</t>
  </si>
  <si>
    <t>PRESIDENT_SUPPORT_SECRET</t>
  </si>
  <si>
    <t>PRESIDENT_EXECSECRET</t>
  </si>
  <si>
    <t>PRESIDENT_ENSUIT</t>
  </si>
  <si>
    <t>PRESIDENT_MEETING_ROOM</t>
  </si>
  <si>
    <t>VICE_CHAIRPERSON_ENSUIT</t>
  </si>
  <si>
    <t>VICE_CHAIRSECRETARY</t>
  </si>
  <si>
    <t>VICE_CHAIRPERSON_MEETING_ROOM</t>
  </si>
  <si>
    <t>entity:HQ_7.401_FEMALE_TOILET</t>
  </si>
  <si>
    <t>entity:HQ_7.402_MALE_TOILET</t>
  </si>
  <si>
    <t>entity:HQ_7.403_MALE_TOILET</t>
  </si>
  <si>
    <t>entity:HQ_7.404_FEMALE_TOILET</t>
  </si>
  <si>
    <t>entity:HQ_7.405_MALE_TOILET</t>
  </si>
  <si>
    <t>entity:HQ_7.406_FEMALE_TOILET</t>
  </si>
  <si>
    <t>entity:HQ_7.407_TOILET</t>
  </si>
  <si>
    <t>entity:HQ_7.408_TOILET</t>
  </si>
  <si>
    <t>entity:HQ_7.409_TOILET</t>
  </si>
  <si>
    <t>entity:HQ_7.511_VESTIBULE</t>
  </si>
  <si>
    <t>entity:HQ_7.532_ELECTRICAL_CLOSET</t>
  </si>
  <si>
    <t>entity:HQ_7.533_ELECTRICAL_CLOSET_2</t>
  </si>
  <si>
    <t>entity:HQ_7.541_VESTIBULE</t>
  </si>
  <si>
    <t>OBSERVATION_SPACE</t>
  </si>
  <si>
    <t>VISITORS_CENTER_OFFICE</t>
  </si>
  <si>
    <t>entity:HQ_8.101_PANTRY</t>
  </si>
  <si>
    <t>entity:HQ_8.102_MAINTENANCE_STORAGE</t>
  </si>
  <si>
    <t>MAINTENANCE_STORAGE</t>
  </si>
  <si>
    <t>entity:HQ_8.103_ELECTRICAL_CABINET</t>
  </si>
  <si>
    <t>entity:HQ_8.511_VESTIBULE</t>
  </si>
  <si>
    <t>entity:HQ_8.521_VESTIBULE</t>
  </si>
  <si>
    <t>entity:HQ_8.531_ELECTRICAL_CLOSET_1</t>
  </si>
  <si>
    <t>entity:HQ_8.532_ELECTRICAL_CLOSET_2</t>
  </si>
  <si>
    <t>entity:HQ_8.541_VESTIBULE</t>
  </si>
  <si>
    <t>entity:HQ_8.601_BRIDGE</t>
  </si>
  <si>
    <t>VISITORS_CENTER_CORRIDOR</t>
  </si>
  <si>
    <t>LEGAL_ARCHIVE</t>
  </si>
  <si>
    <t>LEGAL_CONSULE</t>
  </si>
  <si>
    <t>LEGAL_LEGAL_CONSULE</t>
  </si>
  <si>
    <t>LEGAL_LEGSUPSEC</t>
  </si>
  <si>
    <t>LEGAL_LEGADVENSUIT</t>
  </si>
  <si>
    <t>BMO_EXECASSIST</t>
  </si>
  <si>
    <t>BMO_EXECSECRET</t>
  </si>
  <si>
    <t>BMO_OPERDIRENSUIT</t>
  </si>
  <si>
    <t>BMO_SUPPSECRET</t>
  </si>
  <si>
    <t>BMO_PRINT_COPY</t>
  </si>
  <si>
    <t>BMO_STORAGE</t>
  </si>
  <si>
    <t>HR_EDUADVADVISOR_ENSUIT</t>
  </si>
  <si>
    <t>BOD_EXECUTIVE</t>
  </si>
  <si>
    <t>BOD_SECRETARY</t>
  </si>
  <si>
    <t>BMO_SAFE_ROOM</t>
  </si>
  <si>
    <t>BMO_ARCHIVE_ROOM</t>
  </si>
  <si>
    <t>VISITORS_CENTER</t>
  </si>
  <si>
    <t>entity:HQ_9.102_BMO_STORAGE_TEA_GIRLS_ROOM</t>
  </si>
  <si>
    <t>BMO_STORAGE_TEA_GIRLS_ROOM</t>
  </si>
  <si>
    <t>entity:HQ_9.103_BMO_PANTRY</t>
  </si>
  <si>
    <t>BMO_PANTRY</t>
  </si>
  <si>
    <t>BMO_WAITING_AREA</t>
  </si>
  <si>
    <t>entity:HQ_9.106_STORAGE</t>
  </si>
  <si>
    <t>entity:HQ_9.107_JANITORS_CLOSET</t>
  </si>
  <si>
    <t>SUPPORT_SPACE_PREPKITCHEN</t>
  </si>
  <si>
    <t>AHU_ROOM</t>
  </si>
  <si>
    <t>SHEIKA_WING_DINING_AREA</t>
  </si>
  <si>
    <t>entity:HQ_9.112_STORAGE</t>
  </si>
  <si>
    <t>entity:HQ_9.114_SUPPORT_SPACE_WASTE_REFUGE</t>
  </si>
  <si>
    <t>SUPPORT_SPACE_WASTE_REFUGE</t>
  </si>
  <si>
    <t>entity:HQ_9.115_ELECTRICAL_CABINET</t>
  </si>
  <si>
    <t>entity:HQ_9.401_MALE_TOILET</t>
  </si>
  <si>
    <t>entity:HQ_9.402_FEMALE_TOILET</t>
  </si>
  <si>
    <t>entity:HQ_9.404_FEMALE_TOILET</t>
  </si>
  <si>
    <t>entity:HQ_9.405_TOILET</t>
  </si>
  <si>
    <t>entity:HQ_9.406_TOILET</t>
  </si>
  <si>
    <t>entity:HQ_9.407_TOILET</t>
  </si>
  <si>
    <t>entity:HQ_9.408_TOILET</t>
  </si>
  <si>
    <t>entity:HQ_9.409_TOILET</t>
  </si>
  <si>
    <t>entity:HQ_9.521_VESTIBULE</t>
  </si>
  <si>
    <t>entity:HQ_9.532_ELECTRICAL_CLOSET</t>
  </si>
  <si>
    <t>entity:HQ_9.533_ELECTRICAL_CLOSET_2</t>
  </si>
  <si>
    <t>entity:HQ_9.541_VESTIBULE</t>
  </si>
  <si>
    <t>ST-01</t>
  </si>
  <si>
    <t>ST-04</t>
  </si>
  <si>
    <t>entity:HQ_9.542_SUPPLY_AND_RETURN_AIR</t>
  </si>
  <si>
    <t>SUPPLY_AND_RETURN_AIR</t>
  </si>
  <si>
    <t>entity:HQ_9.543_RETURN-AIR</t>
  </si>
  <si>
    <t>RETURN-AIR</t>
  </si>
  <si>
    <t>entity:HQ_9.544_SUPPLY-AIR</t>
  </si>
  <si>
    <t>SUPPLY-AIR</t>
  </si>
  <si>
    <t>SHEIKHA_WING_STORAGE</t>
  </si>
  <si>
    <t>BOARD_ROOM_WAITING_AREA</t>
  </si>
  <si>
    <t>EXECDIRARCHCOORD</t>
  </si>
  <si>
    <t>SHEIKHA_WING_ARCHIVE</t>
  </si>
  <si>
    <t>EXECDIR_PROTASSIST</t>
  </si>
  <si>
    <t>PROTOCOL_DIR_SCHED_OFFICER</t>
  </si>
  <si>
    <t>PROTOCOL_DIR_CEREMOFF</t>
  </si>
  <si>
    <t>PROTOCOL_DIR_TR_&amp;_VIS_OFF</t>
  </si>
  <si>
    <t>PROTOCOL_DIRSCHED_OFFICER</t>
  </si>
  <si>
    <t>PLANNING_DIRPLANNING_ANALYST</t>
  </si>
  <si>
    <t>PLANNING_DIRSTRATPLANNER</t>
  </si>
  <si>
    <t>PLANNING_DIR_EXTCOORD</t>
  </si>
  <si>
    <t>POLICY_DIRSENPOLANALYST</t>
  </si>
  <si>
    <t>POLICY_DIR_SENRESEARCH_ANALYST</t>
  </si>
  <si>
    <t>POLICY_DIRRESANALYST</t>
  </si>
  <si>
    <t>SHSERVDIR_HR_OFFICER</t>
  </si>
  <si>
    <t>SHSERVDIRHR_ASSISTANT</t>
  </si>
  <si>
    <t>SHSERVDIRPROCURREPRESENT</t>
  </si>
  <si>
    <t>SHSERVDIRSERVICE_COORD</t>
  </si>
  <si>
    <t>SHSERVDIRGENSERVSUPERV</t>
  </si>
  <si>
    <t>SHSERVDIRFINANCCONTROL</t>
  </si>
  <si>
    <t>SHSERVDIRTR&amp;_GUSERV</t>
  </si>
  <si>
    <t>entity:HQ_10.03_PANTRY</t>
  </si>
  <si>
    <t>COMMUNICDIRCOMMDESIGNER</t>
  </si>
  <si>
    <t>COMMUNICDIRSPEECH_EDITOR</t>
  </si>
  <si>
    <t>COMMUNICDIR_TRANSLATOR</t>
  </si>
  <si>
    <t>COMMUNICDIRPUBCOMMCOORD</t>
  </si>
  <si>
    <t>SHSERVDIR_IT_SUPPORT_OFFICER</t>
  </si>
  <si>
    <t>SHSERVDIR_ACCOUNT</t>
  </si>
  <si>
    <t>SHSERVDIRSENACCOUNTANT</t>
  </si>
  <si>
    <t>SHEIKHA_WING_MULTIPURPOSE_ROOM</t>
  </si>
  <si>
    <t>entity:HQ_10.103_HH_WING_PANTRY</t>
  </si>
  <si>
    <t>HH_WING_PANTRY</t>
  </si>
  <si>
    <t>entity:HQ_10.104_HH_WING_STORAGE</t>
  </si>
  <si>
    <t>HH_WING_STORAGE</t>
  </si>
  <si>
    <t>entity:HQ_10.105_HH_WING_STORAGE</t>
  </si>
  <si>
    <t>entity:HQ_10.107_STORAGE</t>
  </si>
  <si>
    <t>entity:HQ_10.108_JANITORS_CLOSET</t>
  </si>
  <si>
    <t>BOARD_PREPROOM</t>
  </si>
  <si>
    <t>entity:HQ_10.11_SHEIKHA_WING_BOARD_ROOM</t>
  </si>
  <si>
    <t>SHEIKHA_WING_BOARD_ROOM</t>
  </si>
  <si>
    <t>AV_ROOM</t>
  </si>
  <si>
    <t>TRANSLATOR_ROOM</t>
  </si>
  <si>
    <t>entity:HQ_10.401_FEMALE_TOILET</t>
  </si>
  <si>
    <t>entity:HQ_10.402_MALE_TOILET</t>
  </si>
  <si>
    <t>entity:HQ_10.403_MALE_TOILET</t>
  </si>
  <si>
    <t>entity:HQ_10.404_FEMALE_TOILET</t>
  </si>
  <si>
    <t>entity:HQ_10.405_MALE_TOILET</t>
  </si>
  <si>
    <t>entity:HQ_10.406_FEMALE_TOILET</t>
  </si>
  <si>
    <t>entity:HQ_10.511_VESTIBULE</t>
  </si>
  <si>
    <t>entity:HQ_10.521_VESTIBULE</t>
  </si>
  <si>
    <t>entity:HQ_10.532_ELECTRICAL_CLOSET_1</t>
  </si>
  <si>
    <t>entity:HQ_10.533_ELECTRICAL_CLOSET_2</t>
  </si>
  <si>
    <t>entity:HQ_10.541_VESTIBULE</t>
  </si>
  <si>
    <t>HH-WING_CORRIDOR</t>
  </si>
  <si>
    <t>entity:HQ_10.701_TERRACE</t>
  </si>
  <si>
    <t>entity:HQ_10.P-1_P-1</t>
  </si>
  <si>
    <t>10.P-1</t>
  </si>
  <si>
    <t>entity:HQ_10.P-2_P-2</t>
  </si>
  <si>
    <t>10.P-2</t>
  </si>
  <si>
    <t>entity:HQ_10.P-3_P-3</t>
  </si>
  <si>
    <t>10.P-3</t>
  </si>
  <si>
    <t>entity:HQ_10.P-4_P-4</t>
  </si>
  <si>
    <t>10.P-4</t>
  </si>
  <si>
    <t>entity:HQ_10.P-5_P-5</t>
  </si>
  <si>
    <t>10.P-5</t>
  </si>
  <si>
    <t>entity:HQ_10.P-6_P-6</t>
  </si>
  <si>
    <t>10.P-6</t>
  </si>
  <si>
    <t>entity:HQ_10.S-1_S-1</t>
  </si>
  <si>
    <t>10.S-1</t>
  </si>
  <si>
    <t>entity:HQ_10.ST-1_ST-1</t>
  </si>
  <si>
    <t>10.ST-1</t>
  </si>
  <si>
    <t>entity:HQ_10.ST-2_ST-2</t>
  </si>
  <si>
    <t>10.ST-2</t>
  </si>
  <si>
    <t>entity:HQ_10.ST-3_ST-3</t>
  </si>
  <si>
    <t>10.ST-3</t>
  </si>
  <si>
    <t>entity:HQ_10.ST-4_ST-4</t>
  </si>
  <si>
    <t>10.ST-4</t>
  </si>
  <si>
    <t>COMMUNICDIR_COMMUNICATION_DIRECTOR</t>
  </si>
  <si>
    <t>COMMUNICDIRMEDRELOFFICER</t>
  </si>
  <si>
    <t>SHSERVDIR_DIRSHARED_SERVICES</t>
  </si>
  <si>
    <t>EXECDIRECTOR_ADMASSIST</t>
  </si>
  <si>
    <t>PROTOCOL_DIRPROTOCOL_DIRECTOR</t>
  </si>
  <si>
    <t>PROTOCOL_DIRGIFTS_DIRECTOR</t>
  </si>
  <si>
    <t>EXECDIRCONSULTANT</t>
  </si>
  <si>
    <t>SECRETARY</t>
  </si>
  <si>
    <t>POLICY_DIRDIROF_POL&amp;_RES</t>
  </si>
  <si>
    <t>PLANNING_DIRDIRPLANNING</t>
  </si>
  <si>
    <t>EXECDIRCORRF-UP</t>
  </si>
  <si>
    <t>EXECDIRCORRMANAGER</t>
  </si>
  <si>
    <t>EXECDIRLEGAL_ASSIST</t>
  </si>
  <si>
    <t>EXECDIRLEGAL_ADVISOR</t>
  </si>
  <si>
    <t>EXECDIREXECASSIST</t>
  </si>
  <si>
    <t>EXECDIR_DEPEXECDIRECTOR</t>
  </si>
  <si>
    <t>EXECDIREXECDIRECTOR</t>
  </si>
  <si>
    <t>SHEIKHA_WING_WAITING_ROOM</t>
  </si>
  <si>
    <t>SHEIKHA_WING_SECURITY_ROOM</t>
  </si>
  <si>
    <t>entity:HQ_11.101_AV_ROOM</t>
  </si>
  <si>
    <t>HH_WING_BUSINESS_LOUNGE</t>
  </si>
  <si>
    <t>entity:HQ_11.104_PANTRY</t>
  </si>
  <si>
    <t>entity:HQ_11.105_JANITORS_CLOSET</t>
  </si>
  <si>
    <t>ELECTRICAL_ROOM</t>
  </si>
  <si>
    <t>AV_IT</t>
  </si>
  <si>
    <t>SHEIKHA_WING_LOBBY</t>
  </si>
  <si>
    <t>SHEIKHA_WING_SHEIKHA_ENSUIT</t>
  </si>
  <si>
    <t>SHEIKHA_WING_RELAX_AREA</t>
  </si>
  <si>
    <t>SHEIKHA_WING_MEETING_ROOM</t>
  </si>
  <si>
    <t>entity:HQ_11.401_MALE_TOILET</t>
  </si>
  <si>
    <t>entity:HQ_11.402_FEMALE_TOILET</t>
  </si>
  <si>
    <t>entity:HQ_11.403_SHEIKHA_WING_BATHROOM</t>
  </si>
  <si>
    <t>SHEIKHA_WING_BATHROOM</t>
  </si>
  <si>
    <t>entity:HQ_11.404_TOILET</t>
  </si>
  <si>
    <t>entity:HQ_11.405_TOILET</t>
  </si>
  <si>
    <t>entity:HQ_11.406_TOILET</t>
  </si>
  <si>
    <t>entity:HQ_11.407_TOILET</t>
  </si>
  <si>
    <t>entity:HQ_11.408_TOILET</t>
  </si>
  <si>
    <t>entity:HQ_11.409_TOILET</t>
  </si>
  <si>
    <t>entity:HQ_11.41_TOILET</t>
  </si>
  <si>
    <t>entity:HQ_11.411_TOILET</t>
  </si>
  <si>
    <t>entity:HQ_11.412_TOILET</t>
  </si>
  <si>
    <t>entity:HQ_11.511_VESTIBULE</t>
  </si>
  <si>
    <t>entity:HQ_11.521_VESTIBULE</t>
  </si>
  <si>
    <t>entity:HQ_11.532_ELECTRICAL_CLOSET</t>
  </si>
  <si>
    <t>entity:HQ_11.533_ELECTRICAL_CLOSET_2</t>
  </si>
  <si>
    <t>entity:HQ_11.541_VESTIBULE</t>
  </si>
  <si>
    <t>entity:HQ_11.701_SHEIKHA_WING_TERRACE</t>
  </si>
  <si>
    <t>SHEIKHA_WING_TERRACE</t>
  </si>
  <si>
    <t>entity:HQ_11.702_TERRACE</t>
  </si>
  <si>
    <t>entity:HQ_11.709_SHEIKHA_WING_CONFERENCE_ROOM</t>
  </si>
  <si>
    <t>SHEIKHA_WING_CONFERENCE_ROOM</t>
  </si>
  <si>
    <t>entity:HQ_11.P-1_P-1</t>
  </si>
  <si>
    <t>11.P-1</t>
  </si>
  <si>
    <t>entity:HQ_11.P-2_P-2</t>
  </si>
  <si>
    <t>11.P-2</t>
  </si>
  <si>
    <t>entity:HQ_11.P-3_P-3</t>
  </si>
  <si>
    <t>11.P-3</t>
  </si>
  <si>
    <t>entity:HQ_11.P-4_P-4</t>
  </si>
  <si>
    <t>11.P-4</t>
  </si>
  <si>
    <t>entity:HQ_11.P-5_P-5</t>
  </si>
  <si>
    <t>11.P-5</t>
  </si>
  <si>
    <t>entity:HQ_11.P-6_P-6</t>
  </si>
  <si>
    <t>11.P-6</t>
  </si>
  <si>
    <t>entity:HQ_11.ST-2_ST-2</t>
  </si>
  <si>
    <t>11.ST-2</t>
  </si>
  <si>
    <t>entity:HQ_11.ST-3_ST-3</t>
  </si>
  <si>
    <t>11.ST-3</t>
  </si>
  <si>
    <t>entity:HQ_11.ST-4_ST-4</t>
  </si>
  <si>
    <t>11.ST-4</t>
  </si>
  <si>
    <t>ROOF</t>
  </si>
  <si>
    <t>MCC_CLOSET</t>
  </si>
  <si>
    <t>STAFF_ENTRANCE</t>
  </si>
  <si>
    <t>G.001</t>
  </si>
  <si>
    <t>G.030</t>
  </si>
  <si>
    <t>STAFF</t>
  </si>
  <si>
    <t>G.602</t>
  </si>
  <si>
    <t>CORRIDOR_(SOUTH_EAST)</t>
  </si>
  <si>
    <t>G.603</t>
  </si>
  <si>
    <t>GROUND_FLOOR_VIP_ENTRANCE</t>
  </si>
  <si>
    <t>2.110A</t>
  </si>
  <si>
    <t>OFFICE_SPACE</t>
  </si>
  <si>
    <t>2.101A</t>
  </si>
  <si>
    <t>3.105B</t>
  </si>
  <si>
    <t>3.105A</t>
  </si>
  <si>
    <t>FEMALE_PRAYER_ROOM</t>
  </si>
  <si>
    <t>3.202A</t>
  </si>
  <si>
    <t>3.202B</t>
  </si>
  <si>
    <t>STR_PL_DIR_ENSUIT</t>
  </si>
  <si>
    <t>STR_PL_DIR_EXEC_SECRE</t>
  </si>
  <si>
    <t>7.031A</t>
  </si>
  <si>
    <t>10.002E</t>
  </si>
  <si>
    <t>10.002D</t>
  </si>
  <si>
    <t>10.002C</t>
  </si>
  <si>
    <t>10.002A</t>
  </si>
  <si>
    <t>SHEIKHA_WING_BUSINESS_LOUNGE</t>
  </si>
  <si>
    <t>B1.109</t>
  </si>
  <si>
    <t>ROOM</t>
  </si>
  <si>
    <t>10.002B</t>
  </si>
  <si>
    <t>SHEIKHA_WING_CORRIDOR</t>
  </si>
  <si>
    <t>COMMUNIC_DIR_COMMUNICATION_DIRECTOR</t>
  </si>
  <si>
    <t>ROOF_PLANT_WALKWAY</t>
  </si>
  <si>
    <t>Equipment Match Audit</t>
  </si>
  <si>
    <t>Rooms listed (col A)</t>
  </si>
  <si>
    <t>Equipment names returned</t>
  </si>
  <si>
    <t>Rooms with no equipment</t>
  </si>
  <si>
    <t>Equipment in source register</t>
  </si>
  <si>
    <t>Asked me to read and explain the column D formula on 'HQ Room Names with Equip.' and confirm whether 771 equipment names are returned (cells not equal to 'No Equipment in entity').</t>
  </si>
  <si>
    <t>Explained the spilling FILTER/TRANSPOSE formula, then counted equipment names across the full spill region D2:L1042 and reconciled against the source register A4:A777. Added a live audit block at N1:O6.</t>
  </si>
  <si>
    <t>Key point: the formula TRANSPOSE(FILTER('Controllable Asset Registry'!A4:A777, E4:E777=A2, "No Equipment in entity")) spills HORIZONTALLY, so a room with multiple assets fills D, E, F ... up to column L. Counting column D alone undercounts. Audit formulas used: O3 =COUNTA(D2:L1042)-COUNTIF(D2:L1042,"No Equipment in entity"); O4 =COUNTIF(...); O5 =COUNTA(source); O6 =O5-O3. Also checked for duplicate returns (0) and error cells (0).</t>
  </si>
  <si>
    <t>Count is 772, not 771. 1041 rooms, 434 with no equipment, 774 equipment rows in source, 2 unplaced: FCU0097 (row 126, col D says NOT FOUND ON THE DRAWING OR SCHEDULE) and VAV0558 (row 718) - both have a blank column E room entity so they can never match. Open item: user to decide whether to assign room entities to those 2 assets.</t>
  </si>
  <si>
    <t>Acknowledged the equipment count findings - no further work requested.</t>
  </si>
  <si>
    <t>No changes made to the workbook.</t>
  </si>
  <si>
    <t>Confirmed count stands at 772 equipment names returned (not 771), with 2 unplaced assets due to blank room entities.</t>
  </si>
  <si>
    <t>Closed. Open item carried forward from turn 47: FCU0097 (row 126) and VAV0558 (row 718) still have no room entity in Controllable Asset Registry column E and remain unmatched.</t>
  </si>
  <si>
    <t>1.001</t>
  </si>
  <si>
    <t>1.002</t>
  </si>
  <si>
    <t>1.003</t>
  </si>
  <si>
    <t>1.004</t>
  </si>
  <si>
    <t>1.005</t>
  </si>
  <si>
    <t>1.006</t>
  </si>
  <si>
    <t>1.007</t>
  </si>
  <si>
    <t>1.009</t>
  </si>
  <si>
    <t>1.011</t>
  </si>
  <si>
    <t>1.012</t>
  </si>
  <si>
    <t>1.013</t>
  </si>
  <si>
    <t>1.014</t>
  </si>
  <si>
    <t>1.015</t>
  </si>
  <si>
    <t>1.016</t>
  </si>
  <si>
    <t>1.017</t>
  </si>
  <si>
    <t>1.018</t>
  </si>
  <si>
    <t>1.019</t>
  </si>
  <si>
    <t>1.02</t>
  </si>
  <si>
    <t>1.021</t>
  </si>
  <si>
    <t>1.022</t>
  </si>
  <si>
    <t>1.023</t>
  </si>
  <si>
    <t>1.024</t>
  </si>
  <si>
    <t>1.025</t>
  </si>
  <si>
    <t>1.026</t>
  </si>
  <si>
    <t>1.027</t>
  </si>
  <si>
    <t>1.028</t>
  </si>
  <si>
    <t>1.101</t>
  </si>
  <si>
    <t>1.102</t>
  </si>
  <si>
    <t>1.103</t>
  </si>
  <si>
    <t>1.104</t>
  </si>
  <si>
    <t>1.105</t>
  </si>
  <si>
    <t>1.106</t>
  </si>
  <si>
    <t>1.108</t>
  </si>
  <si>
    <t>1.109</t>
  </si>
  <si>
    <t>1.11</t>
  </si>
  <si>
    <t>1.111</t>
  </si>
  <si>
    <t>1.112</t>
  </si>
  <si>
    <t>1.113</t>
  </si>
  <si>
    <t>1.114</t>
  </si>
  <si>
    <t>1.115</t>
  </si>
  <si>
    <t>1.116</t>
  </si>
  <si>
    <t>1.117</t>
  </si>
  <si>
    <t>1.403</t>
  </si>
  <si>
    <t>1.404</t>
  </si>
  <si>
    <t>1.405</t>
  </si>
  <si>
    <t>1.512</t>
  </si>
  <si>
    <t>1.521</t>
  </si>
  <si>
    <t>1.531</t>
  </si>
  <si>
    <t>1.532</t>
  </si>
  <si>
    <t>1.533</t>
  </si>
  <si>
    <t>1.541</t>
  </si>
  <si>
    <t>1.601</t>
  </si>
  <si>
    <t>1.602</t>
  </si>
  <si>
    <t>1.603</t>
  </si>
  <si>
    <t>1.701</t>
  </si>
  <si>
    <t>1.702</t>
  </si>
  <si>
    <t>1.703</t>
  </si>
  <si>
    <t>1.704</t>
  </si>
  <si>
    <t>1.705</t>
  </si>
  <si>
    <t>1.706</t>
  </si>
  <si>
    <t>2.001</t>
  </si>
  <si>
    <t>2.002</t>
  </si>
  <si>
    <t>2.003</t>
  </si>
  <si>
    <t>2.004</t>
  </si>
  <si>
    <t>2.005</t>
  </si>
  <si>
    <t>2.006</t>
  </si>
  <si>
    <t>2.007</t>
  </si>
  <si>
    <t>2.008</t>
  </si>
  <si>
    <t>2.009</t>
  </si>
  <si>
    <t>2.01</t>
  </si>
  <si>
    <t>2.011</t>
  </si>
  <si>
    <t>2.012</t>
  </si>
  <si>
    <t>2.013</t>
  </si>
  <si>
    <t>2.014</t>
  </si>
  <si>
    <t>2.015</t>
  </si>
  <si>
    <t>2.016</t>
  </si>
  <si>
    <t>2.017</t>
  </si>
  <si>
    <t>2.018</t>
  </si>
  <si>
    <t>2.019</t>
  </si>
  <si>
    <t>2.02</t>
  </si>
  <si>
    <t>2.021</t>
  </si>
  <si>
    <t>2.022</t>
  </si>
  <si>
    <t>2.023</t>
  </si>
  <si>
    <t>2.024</t>
  </si>
  <si>
    <t>2.025</t>
  </si>
  <si>
    <t>2.026</t>
  </si>
  <si>
    <t>2.027</t>
  </si>
  <si>
    <t>2.028</t>
  </si>
  <si>
    <t>2.029</t>
  </si>
  <si>
    <t>2.03</t>
  </si>
  <si>
    <t>2.031</t>
  </si>
  <si>
    <t>2.032</t>
  </si>
  <si>
    <t>2.033</t>
  </si>
  <si>
    <t>2.034</t>
  </si>
  <si>
    <t>2.035</t>
  </si>
  <si>
    <t>2.036</t>
  </si>
  <si>
    <t>2.102</t>
  </si>
  <si>
    <t>2.103</t>
  </si>
  <si>
    <t>2.104</t>
  </si>
  <si>
    <t>2.105</t>
  </si>
  <si>
    <t>2.106</t>
  </si>
  <si>
    <t>2.107</t>
  </si>
  <si>
    <t>2.108</t>
  </si>
  <si>
    <t>2.109</t>
  </si>
  <si>
    <t>2.11</t>
  </si>
  <si>
    <t>2.111</t>
  </si>
  <si>
    <t>2.201</t>
  </si>
  <si>
    <t>2.202</t>
  </si>
  <si>
    <t>2.203</t>
  </si>
  <si>
    <t>2.204</t>
  </si>
  <si>
    <t>2.205</t>
  </si>
  <si>
    <t>2.206</t>
  </si>
  <si>
    <t>2.207</t>
  </si>
  <si>
    <t>2.208</t>
  </si>
  <si>
    <t>2.209</t>
  </si>
  <si>
    <t>2.21</t>
  </si>
  <si>
    <t>2.211</t>
  </si>
  <si>
    <t>2.212</t>
  </si>
  <si>
    <t>2.213</t>
  </si>
  <si>
    <t>2.214</t>
  </si>
  <si>
    <t>2.215</t>
  </si>
  <si>
    <t>2.216</t>
  </si>
  <si>
    <t>2.217</t>
  </si>
  <si>
    <t>2.218</t>
  </si>
  <si>
    <t>2.219</t>
  </si>
  <si>
    <t>2.22</t>
  </si>
  <si>
    <t>2.301</t>
  </si>
  <si>
    <t>2.302</t>
  </si>
  <si>
    <t>2.303</t>
  </si>
  <si>
    <t>2.304</t>
  </si>
  <si>
    <t>2.305</t>
  </si>
  <si>
    <t>2.306</t>
  </si>
  <si>
    <t>2.307</t>
  </si>
  <si>
    <t>2.308</t>
  </si>
  <si>
    <t>2.309</t>
  </si>
  <si>
    <t>2.31</t>
  </si>
  <si>
    <t>2.311</t>
  </si>
  <si>
    <t>2.312</t>
  </si>
  <si>
    <t>2.313</t>
  </si>
  <si>
    <t>2.314</t>
  </si>
  <si>
    <t>2.315</t>
  </si>
  <si>
    <t>2.316</t>
  </si>
  <si>
    <t>2.317</t>
  </si>
  <si>
    <t>2.318</t>
  </si>
  <si>
    <t>2.401</t>
  </si>
  <si>
    <t>2.402</t>
  </si>
  <si>
    <t>2.403</t>
  </si>
  <si>
    <t>2.404</t>
  </si>
  <si>
    <t>2.405</t>
  </si>
  <si>
    <t>2.406</t>
  </si>
  <si>
    <t>2.407</t>
  </si>
  <si>
    <t>2.512</t>
  </si>
  <si>
    <t>2.521</t>
  </si>
  <si>
    <t>2.531</t>
  </si>
  <si>
    <t>2.532</t>
  </si>
  <si>
    <t>2.533</t>
  </si>
  <si>
    <t>2.541</t>
  </si>
  <si>
    <t>2.601</t>
  </si>
  <si>
    <t>2.602</t>
  </si>
  <si>
    <t>2.603</t>
  </si>
  <si>
    <t>2.604</t>
  </si>
  <si>
    <t>3.001</t>
  </si>
  <si>
    <t>3.002</t>
  </si>
  <si>
    <t>3.003</t>
  </si>
  <si>
    <t>3.004</t>
  </si>
  <si>
    <t>3.005</t>
  </si>
  <si>
    <t>3.006</t>
  </si>
  <si>
    <t>3.007</t>
  </si>
  <si>
    <t>3.008</t>
  </si>
  <si>
    <t>3.009</t>
  </si>
  <si>
    <t>3.01</t>
  </si>
  <si>
    <t>3.011</t>
  </si>
  <si>
    <t>3.012</t>
  </si>
  <si>
    <t>3.013</t>
  </si>
  <si>
    <t>3.014</t>
  </si>
  <si>
    <t>3.015</t>
  </si>
  <si>
    <t>3.016</t>
  </si>
  <si>
    <t>3.017</t>
  </si>
  <si>
    <t>3.018</t>
  </si>
  <si>
    <t>3.019</t>
  </si>
  <si>
    <t>3.02</t>
  </si>
  <si>
    <t>3.021</t>
  </si>
  <si>
    <t>3.022</t>
  </si>
  <si>
    <t>3.023</t>
  </si>
  <si>
    <t>3.024</t>
  </si>
  <si>
    <t>3.025</t>
  </si>
  <si>
    <t>3.026</t>
  </si>
  <si>
    <t>3.027</t>
  </si>
  <si>
    <t>3.028</t>
  </si>
  <si>
    <t>3.029</t>
  </si>
  <si>
    <t>3.03</t>
  </si>
  <si>
    <t>3.031</t>
  </si>
  <si>
    <t>3.032</t>
  </si>
  <si>
    <t>3.033</t>
  </si>
  <si>
    <t>3.101</t>
  </si>
  <si>
    <t>3.102</t>
  </si>
  <si>
    <t>3.103</t>
  </si>
  <si>
    <t>3.104</t>
  </si>
  <si>
    <t>3.106</t>
  </si>
  <si>
    <t>3.107</t>
  </si>
  <si>
    <t>3.108</t>
  </si>
  <si>
    <t>3.109</t>
  </si>
  <si>
    <t>3.201</t>
  </si>
  <si>
    <t>3.203</t>
  </si>
  <si>
    <t>3.204</t>
  </si>
  <si>
    <t>3.205</t>
  </si>
  <si>
    <t>3.206</t>
  </si>
  <si>
    <t>3.207</t>
  </si>
  <si>
    <t>3.208</t>
  </si>
  <si>
    <t>3.209</t>
  </si>
  <si>
    <t>3.21</t>
  </si>
  <si>
    <t>3.211</t>
  </si>
  <si>
    <t>3.212</t>
  </si>
  <si>
    <t>3.213</t>
  </si>
  <si>
    <t>3.214</t>
  </si>
  <si>
    <t>3.215</t>
  </si>
  <si>
    <t>3.216</t>
  </si>
  <si>
    <t>3.301</t>
  </si>
  <si>
    <t>3.302</t>
  </si>
  <si>
    <t>3.401</t>
  </si>
  <si>
    <t>3.402</t>
  </si>
  <si>
    <t>3.403</t>
  </si>
  <si>
    <t>3.404</t>
  </si>
  <si>
    <t>3.405</t>
  </si>
  <si>
    <t>3.406</t>
  </si>
  <si>
    <t>3.407</t>
  </si>
  <si>
    <t>3.408</t>
  </si>
  <si>
    <t>3.409</t>
  </si>
  <si>
    <t>3.511</t>
  </si>
  <si>
    <t>3.512</t>
  </si>
  <si>
    <t>3.521</t>
  </si>
  <si>
    <t>3.531</t>
  </si>
  <si>
    <t>3.532</t>
  </si>
  <si>
    <t>3.533</t>
  </si>
  <si>
    <t>3.541</t>
  </si>
  <si>
    <t>3.601</t>
  </si>
  <si>
    <t>3.602</t>
  </si>
  <si>
    <t>3.603</t>
  </si>
  <si>
    <t>4.002</t>
  </si>
  <si>
    <t>4.005</t>
  </si>
  <si>
    <t>4.006</t>
  </si>
  <si>
    <t>4.007</t>
  </si>
  <si>
    <t>4.008</t>
  </si>
  <si>
    <t>4.009</t>
  </si>
  <si>
    <t>4.01</t>
  </si>
  <si>
    <t>4.011</t>
  </si>
  <si>
    <t>4.012</t>
  </si>
  <si>
    <t>4.013</t>
  </si>
  <si>
    <t>4.014</t>
  </si>
  <si>
    <t>4.101</t>
  </si>
  <si>
    <t>4.102</t>
  </si>
  <si>
    <t>4.104</t>
  </si>
  <si>
    <t>4.107</t>
  </si>
  <si>
    <t>4.108</t>
  </si>
  <si>
    <t>4.109</t>
  </si>
  <si>
    <t>4.201</t>
  </si>
  <si>
    <t>4.202</t>
  </si>
  <si>
    <t>4.203</t>
  </si>
  <si>
    <t>4.204</t>
  </si>
  <si>
    <t>4.205</t>
  </si>
  <si>
    <t>4.206</t>
  </si>
  <si>
    <t>4.207</t>
  </si>
  <si>
    <t>4.208</t>
  </si>
  <si>
    <t>4.209</t>
  </si>
  <si>
    <t>4.21</t>
  </si>
  <si>
    <t>4.211</t>
  </si>
  <si>
    <t>4.212</t>
  </si>
  <si>
    <t>4.213</t>
  </si>
  <si>
    <t>4.214</t>
  </si>
  <si>
    <t>4.301</t>
  </si>
  <si>
    <t>4.401</t>
  </si>
  <si>
    <t>4.402</t>
  </si>
  <si>
    <t>4.403</t>
  </si>
  <si>
    <t>4.404</t>
  </si>
  <si>
    <t>4.405</t>
  </si>
  <si>
    <t>4.406</t>
  </si>
  <si>
    <t>4.511</t>
  </si>
  <si>
    <t>4.512</t>
  </si>
  <si>
    <t>4.514</t>
  </si>
  <si>
    <t>4.521</t>
  </si>
  <si>
    <t>4.531</t>
  </si>
  <si>
    <t>4.532</t>
  </si>
  <si>
    <t>4.533</t>
  </si>
  <si>
    <t>4.601</t>
  </si>
  <si>
    <t>4.602</t>
  </si>
  <si>
    <t>4.603</t>
  </si>
  <si>
    <t>4.604</t>
  </si>
  <si>
    <t>4.701</t>
  </si>
  <si>
    <t>4.702</t>
  </si>
  <si>
    <t>4.703</t>
  </si>
  <si>
    <t>5.001</t>
  </si>
  <si>
    <t>5.002</t>
  </si>
  <si>
    <t>5.003</t>
  </si>
  <si>
    <t>5.004</t>
  </si>
  <si>
    <t>5.005</t>
  </si>
  <si>
    <t>5.006</t>
  </si>
  <si>
    <t>5.007</t>
  </si>
  <si>
    <t>5.008</t>
  </si>
  <si>
    <t>5.011</t>
  </si>
  <si>
    <t>5.012</t>
  </si>
  <si>
    <t>5.013</t>
  </si>
  <si>
    <t>5.014</t>
  </si>
  <si>
    <t>5.015</t>
  </si>
  <si>
    <t>5.016</t>
  </si>
  <si>
    <t>5.017</t>
  </si>
  <si>
    <t>5.018</t>
  </si>
  <si>
    <t>5.019</t>
  </si>
  <si>
    <t>5.021</t>
  </si>
  <si>
    <t>5.022</t>
  </si>
  <si>
    <t>5.023</t>
  </si>
  <si>
    <t>5.024</t>
  </si>
  <si>
    <t>5.025</t>
  </si>
  <si>
    <t>5.026</t>
  </si>
  <si>
    <t>5.027</t>
  </si>
  <si>
    <t>5.101</t>
  </si>
  <si>
    <t>5.102</t>
  </si>
  <si>
    <t>5.103</t>
  </si>
  <si>
    <t>5.104</t>
  </si>
  <si>
    <t>5.105</t>
  </si>
  <si>
    <t>5.106</t>
  </si>
  <si>
    <t>5.107</t>
  </si>
  <si>
    <t>5.108</t>
  </si>
  <si>
    <t>5.109</t>
  </si>
  <si>
    <t>5.201</t>
  </si>
  <si>
    <t>5.202</t>
  </si>
  <si>
    <t>5.203</t>
  </si>
  <si>
    <t>5.204</t>
  </si>
  <si>
    <t>5.205</t>
  </si>
  <si>
    <t>5.206</t>
  </si>
  <si>
    <t>5.207</t>
  </si>
  <si>
    <t>5.208</t>
  </si>
  <si>
    <t>5.209</t>
  </si>
  <si>
    <t>5.211</t>
  </si>
  <si>
    <t>5.212</t>
  </si>
  <si>
    <t>5.213</t>
  </si>
  <si>
    <t>5.301</t>
  </si>
  <si>
    <t>5.401</t>
  </si>
  <si>
    <t>5.402</t>
  </si>
  <si>
    <t>5.403</t>
  </si>
  <si>
    <t>5.404</t>
  </si>
  <si>
    <t>5.405</t>
  </si>
  <si>
    <t>5.406</t>
  </si>
  <si>
    <t>5.407</t>
  </si>
  <si>
    <t>5.408</t>
  </si>
  <si>
    <t>5.409</t>
  </si>
  <si>
    <t>5.511</t>
  </si>
  <si>
    <t>5.512</t>
  </si>
  <si>
    <t>5.521</t>
  </si>
  <si>
    <t>5.531</t>
  </si>
  <si>
    <t>5.532</t>
  </si>
  <si>
    <t>5.533</t>
  </si>
  <si>
    <t>5.541</t>
  </si>
  <si>
    <t>5.601</t>
  </si>
  <si>
    <t>5.602</t>
  </si>
  <si>
    <t>5.604</t>
  </si>
  <si>
    <t>5.701</t>
  </si>
  <si>
    <t>6.001</t>
  </si>
  <si>
    <t>6.002</t>
  </si>
  <si>
    <t>6.003</t>
  </si>
  <si>
    <t>6.004</t>
  </si>
  <si>
    <t>6.005</t>
  </si>
  <si>
    <t>6.006</t>
  </si>
  <si>
    <t>6.007</t>
  </si>
  <si>
    <t>6.008</t>
  </si>
  <si>
    <t>6.009</t>
  </si>
  <si>
    <t>6.01</t>
  </si>
  <si>
    <t>6.011</t>
  </si>
  <si>
    <t>6.012</t>
  </si>
  <si>
    <t>6.013</t>
  </si>
  <si>
    <t>6.014</t>
  </si>
  <si>
    <t>6.015</t>
  </si>
  <si>
    <t>6.016</t>
  </si>
  <si>
    <t>6.017</t>
  </si>
  <si>
    <t>6.018</t>
  </si>
  <si>
    <t>6.019</t>
  </si>
  <si>
    <t>6.02</t>
  </si>
  <si>
    <t>6.021</t>
  </si>
  <si>
    <t>6.022</t>
  </si>
  <si>
    <t>6.023</t>
  </si>
  <si>
    <t>6.024</t>
  </si>
  <si>
    <t>6.025</t>
  </si>
  <si>
    <t>6.026</t>
  </si>
  <si>
    <t>6.027</t>
  </si>
  <si>
    <t>6.028</t>
  </si>
  <si>
    <t>6.101</t>
  </si>
  <si>
    <t>6.102</t>
  </si>
  <si>
    <t>6.103</t>
  </si>
  <si>
    <t>6.104</t>
  </si>
  <si>
    <t>6.105</t>
  </si>
  <si>
    <t>6.106</t>
  </si>
  <si>
    <t>6.107</t>
  </si>
  <si>
    <t>6.108</t>
  </si>
  <si>
    <t>6.109</t>
  </si>
  <si>
    <t>6.11</t>
  </si>
  <si>
    <t>6.201</t>
  </si>
  <si>
    <t>6.202</t>
  </si>
  <si>
    <t>6.203</t>
  </si>
  <si>
    <t>6.204</t>
  </si>
  <si>
    <t>6.205</t>
  </si>
  <si>
    <t>6.206</t>
  </si>
  <si>
    <t>6.207</t>
  </si>
  <si>
    <t>6.208</t>
  </si>
  <si>
    <t>6.209</t>
  </si>
  <si>
    <t>6.21</t>
  </si>
  <si>
    <t>6.211</t>
  </si>
  <si>
    <t>6.212</t>
  </si>
  <si>
    <t>6.301</t>
  </si>
  <si>
    <t>6.401</t>
  </si>
  <si>
    <t>6.402</t>
  </si>
  <si>
    <t>6.403</t>
  </si>
  <si>
    <t>6.404</t>
  </si>
  <si>
    <t>6.405</t>
  </si>
  <si>
    <t>6.406</t>
  </si>
  <si>
    <t>6.407</t>
  </si>
  <si>
    <t>6.511</t>
  </si>
  <si>
    <t>6.512</t>
  </si>
  <si>
    <t>6.521</t>
  </si>
  <si>
    <t>6.531</t>
  </si>
  <si>
    <t>6.532</t>
  </si>
  <si>
    <t>6.533</t>
  </si>
  <si>
    <t>6.541</t>
  </si>
  <si>
    <t>6.601</t>
  </si>
  <si>
    <t>6.602</t>
  </si>
  <si>
    <t>6.603</t>
  </si>
  <si>
    <t>6.604</t>
  </si>
  <si>
    <t>7.001</t>
  </si>
  <si>
    <t>7.002</t>
  </si>
  <si>
    <t>7.003</t>
  </si>
  <si>
    <t>7.004</t>
  </si>
  <si>
    <t>7.005</t>
  </si>
  <si>
    <t>7.006</t>
  </si>
  <si>
    <t>7.007</t>
  </si>
  <si>
    <t>7.008</t>
  </si>
  <si>
    <t>7.009</t>
  </si>
  <si>
    <t>7.01</t>
  </si>
  <si>
    <t>7.011</t>
  </si>
  <si>
    <t>7.012</t>
  </si>
  <si>
    <t>7.013</t>
  </si>
  <si>
    <t>7.014</t>
  </si>
  <si>
    <t>7.015</t>
  </si>
  <si>
    <t>7.016</t>
  </si>
  <si>
    <t>7.017</t>
  </si>
  <si>
    <t>7.018</t>
  </si>
  <si>
    <t>7.019</t>
  </si>
  <si>
    <t>7.02</t>
  </si>
  <si>
    <t>7.021</t>
  </si>
  <si>
    <t>7.022</t>
  </si>
  <si>
    <t>7.023</t>
  </si>
  <si>
    <t>7.024</t>
  </si>
  <si>
    <t>7.025</t>
  </si>
  <si>
    <t>7.026</t>
  </si>
  <si>
    <t>7.027</t>
  </si>
  <si>
    <t>7.028</t>
  </si>
  <si>
    <t>7.029</t>
  </si>
  <si>
    <t>7.03</t>
  </si>
  <si>
    <t>7.032</t>
  </si>
  <si>
    <t>7.101</t>
  </si>
  <si>
    <t>7.102</t>
  </si>
  <si>
    <t>7.103</t>
  </si>
  <si>
    <t>7.104</t>
  </si>
  <si>
    <t>7.105</t>
  </si>
  <si>
    <t>7.106</t>
  </si>
  <si>
    <t>7.107</t>
  </si>
  <si>
    <t>7.108</t>
  </si>
  <si>
    <t>7.109</t>
  </si>
  <si>
    <t>7.11</t>
  </si>
  <si>
    <t>7.201</t>
  </si>
  <si>
    <t>7.202</t>
  </si>
  <si>
    <t>7.203</t>
  </si>
  <si>
    <t>7.204</t>
  </si>
  <si>
    <t>7.205</t>
  </si>
  <si>
    <t>7.206</t>
  </si>
  <si>
    <t>7.207</t>
  </si>
  <si>
    <t>7.208</t>
  </si>
  <si>
    <t>7.209</t>
  </si>
  <si>
    <t>7.21</t>
  </si>
  <si>
    <t>7.211</t>
  </si>
  <si>
    <t>7.212</t>
  </si>
  <si>
    <t>7.213</t>
  </si>
  <si>
    <t>7.214</t>
  </si>
  <si>
    <t>7.215</t>
  </si>
  <si>
    <t>7.401</t>
  </si>
  <si>
    <t>7.402</t>
  </si>
  <si>
    <t>7.403</t>
  </si>
  <si>
    <t>7.404</t>
  </si>
  <si>
    <t>7.405</t>
  </si>
  <si>
    <t>7.406</t>
  </si>
  <si>
    <t>7.407</t>
  </si>
  <si>
    <t>7.408</t>
  </si>
  <si>
    <t>7.409</t>
  </si>
  <si>
    <t>7.511</t>
  </si>
  <si>
    <t>7.512</t>
  </si>
  <si>
    <t>7.531</t>
  </si>
  <si>
    <t>7.532</t>
  </si>
  <si>
    <t>7.533</t>
  </si>
  <si>
    <t>7.541</t>
  </si>
  <si>
    <t>7.601</t>
  </si>
  <si>
    <t>7.602</t>
  </si>
  <si>
    <t>7.603</t>
  </si>
  <si>
    <t>8.001</t>
  </si>
  <si>
    <t>8.002</t>
  </si>
  <si>
    <t>8.101</t>
  </si>
  <si>
    <t>8.102</t>
  </si>
  <si>
    <t>8.103</t>
  </si>
  <si>
    <t>8.511</t>
  </si>
  <si>
    <t>8.512</t>
  </si>
  <si>
    <t>8.521</t>
  </si>
  <si>
    <t>8.531</t>
  </si>
  <si>
    <t>8.532</t>
  </si>
  <si>
    <t>8.541</t>
  </si>
  <si>
    <t>8.601</t>
  </si>
  <si>
    <t>8.602</t>
  </si>
  <si>
    <t>9.001</t>
  </si>
  <si>
    <t>9.002</t>
  </si>
  <si>
    <t>9.003</t>
  </si>
  <si>
    <t>9.004</t>
  </si>
  <si>
    <t>9.005</t>
  </si>
  <si>
    <t>9.006</t>
  </si>
  <si>
    <t>9.007</t>
  </si>
  <si>
    <t>9.008</t>
  </si>
  <si>
    <t>9.009</t>
  </si>
  <si>
    <t>9.01</t>
  </si>
  <si>
    <t>9.011</t>
  </si>
  <si>
    <t>9.012</t>
  </si>
  <si>
    <t>9.013</t>
  </si>
  <si>
    <t>9.014</t>
  </si>
  <si>
    <t>9.015</t>
  </si>
  <si>
    <t>9.016</t>
  </si>
  <si>
    <t>9.017</t>
  </si>
  <si>
    <t>9.018</t>
  </si>
  <si>
    <t>9.019</t>
  </si>
  <si>
    <t>9.02</t>
  </si>
  <si>
    <t>9.021</t>
  </si>
  <si>
    <t>9.022</t>
  </si>
  <si>
    <t>9.023</t>
  </si>
  <si>
    <t>9.024</t>
  </si>
  <si>
    <t>9.025</t>
  </si>
  <si>
    <t>9.026</t>
  </si>
  <si>
    <t>9.027</t>
  </si>
  <si>
    <t>9.028</t>
  </si>
  <si>
    <t>9.029</t>
  </si>
  <si>
    <t>9.03</t>
  </si>
  <si>
    <t>9.031</t>
  </si>
  <si>
    <t>9.032</t>
  </si>
  <si>
    <t>9.033</t>
  </si>
  <si>
    <t>9.034</t>
  </si>
  <si>
    <t>9.035</t>
  </si>
  <si>
    <t>9.036</t>
  </si>
  <si>
    <t>9.037</t>
  </si>
  <si>
    <t>9.038</t>
  </si>
  <si>
    <t>9.039</t>
  </si>
  <si>
    <t>9.04</t>
  </si>
  <si>
    <t>9.041</t>
  </si>
  <si>
    <t>9.101</t>
  </si>
  <si>
    <t>9.102</t>
  </si>
  <si>
    <t>9.103</t>
  </si>
  <si>
    <t>9.104</t>
  </si>
  <si>
    <t>9.105</t>
  </si>
  <si>
    <t>9.106</t>
  </si>
  <si>
    <t>9.107</t>
  </si>
  <si>
    <t>9.108</t>
  </si>
  <si>
    <t>9.109</t>
  </si>
  <si>
    <t>9.11</t>
  </si>
  <si>
    <t>9.111</t>
  </si>
  <si>
    <t>9.112</t>
  </si>
  <si>
    <t>9.114</t>
  </si>
  <si>
    <t>9.115</t>
  </si>
  <si>
    <t>9.401</t>
  </si>
  <si>
    <t>9.402</t>
  </si>
  <si>
    <t>9.403</t>
  </si>
  <si>
    <t>9.404</t>
  </si>
  <si>
    <t>9.405</t>
  </si>
  <si>
    <t>9.406</t>
  </si>
  <si>
    <t>9.407</t>
  </si>
  <si>
    <t>9.408</t>
  </si>
  <si>
    <t>9.409</t>
  </si>
  <si>
    <t>9.512</t>
  </si>
  <si>
    <t>9.521</t>
  </si>
  <si>
    <t>9.531</t>
  </si>
  <si>
    <t>9.532</t>
  </si>
  <si>
    <t>9.533</t>
  </si>
  <si>
    <t>9.541</t>
  </si>
  <si>
    <t>9.542</t>
  </si>
  <si>
    <t>9.543</t>
  </si>
  <si>
    <t>9.544</t>
  </si>
  <si>
    <t>10.001</t>
  </si>
  <si>
    <t>10.003</t>
  </si>
  <si>
    <t>10.004</t>
  </si>
  <si>
    <t>10.005</t>
  </si>
  <si>
    <t>10.006</t>
  </si>
  <si>
    <t>10.007</t>
  </si>
  <si>
    <t>10.008</t>
  </si>
  <si>
    <t>10.009</t>
  </si>
  <si>
    <t>10.01</t>
  </si>
  <si>
    <t>10.011</t>
  </si>
  <si>
    <t>10.012</t>
  </si>
  <si>
    <t>10.013</t>
  </si>
  <si>
    <t>10.014</t>
  </si>
  <si>
    <t>10.015</t>
  </si>
  <si>
    <t>10.016</t>
  </si>
  <si>
    <t>10.017</t>
  </si>
  <si>
    <t>10.018</t>
  </si>
  <si>
    <t>10.019</t>
  </si>
  <si>
    <t>10.02</t>
  </si>
  <si>
    <t>10.021</t>
  </si>
  <si>
    <t>10.022</t>
  </si>
  <si>
    <t>10.023</t>
  </si>
  <si>
    <t>10.024</t>
  </si>
  <si>
    <t>10.025</t>
  </si>
  <si>
    <t>10.026</t>
  </si>
  <si>
    <t>10.027</t>
  </si>
  <si>
    <t>10.028</t>
  </si>
  <si>
    <t>10.029</t>
  </si>
  <si>
    <t>10.03</t>
  </si>
  <si>
    <t>10.031</t>
  </si>
  <si>
    <t>10.032</t>
  </si>
  <si>
    <t>10.033</t>
  </si>
  <si>
    <t>10.034</t>
  </si>
  <si>
    <t>10.035</t>
  </si>
  <si>
    <t>10.036</t>
  </si>
  <si>
    <t>10.037</t>
  </si>
  <si>
    <t>10.038</t>
  </si>
  <si>
    <t>10.101</t>
  </si>
  <si>
    <t>10.102</t>
  </si>
  <si>
    <t>10.103</t>
  </si>
  <si>
    <t>10.104</t>
  </si>
  <si>
    <t>10.105</t>
  </si>
  <si>
    <t>10.106</t>
  </si>
  <si>
    <t>10.107</t>
  </si>
  <si>
    <t>10.108</t>
  </si>
  <si>
    <t>10.109</t>
  </si>
  <si>
    <t>10.11</t>
  </si>
  <si>
    <t>10.111</t>
  </si>
  <si>
    <t>10.112</t>
  </si>
  <si>
    <t>10.401</t>
  </si>
  <si>
    <t>10.402</t>
  </si>
  <si>
    <t>10.403</t>
  </si>
  <si>
    <t>10.404</t>
  </si>
  <si>
    <t>10.405</t>
  </si>
  <si>
    <t>10.406</t>
  </si>
  <si>
    <t>10.511</t>
  </si>
  <si>
    <t>10.512</t>
  </si>
  <si>
    <t>10.521</t>
  </si>
  <si>
    <t>10.531</t>
  </si>
  <si>
    <t>10.532</t>
  </si>
  <si>
    <t>10.533</t>
  </si>
  <si>
    <t>10.541</t>
  </si>
  <si>
    <t>10.601</t>
  </si>
  <si>
    <t>10.701</t>
  </si>
  <si>
    <t>11.001</t>
  </si>
  <si>
    <t>11.002</t>
  </si>
  <si>
    <t>11.003</t>
  </si>
  <si>
    <t>11.004</t>
  </si>
  <si>
    <t>11.005</t>
  </si>
  <si>
    <t>11.006</t>
  </si>
  <si>
    <t>11.007</t>
  </si>
  <si>
    <t>11.008</t>
  </si>
  <si>
    <t>11.009</t>
  </si>
  <si>
    <t>11.01</t>
  </si>
  <si>
    <t>11.011</t>
  </si>
  <si>
    <t>11.012</t>
  </si>
  <si>
    <t>11.013</t>
  </si>
  <si>
    <t>11.014</t>
  </si>
  <si>
    <t>11.015</t>
  </si>
  <si>
    <t>11.016</t>
  </si>
  <si>
    <t>11.017</t>
  </si>
  <si>
    <t>11.018</t>
  </si>
  <si>
    <t>11.019</t>
  </si>
  <si>
    <t>11.02</t>
  </si>
  <si>
    <t>11.021</t>
  </si>
  <si>
    <t>11.022</t>
  </si>
  <si>
    <t>11.023</t>
  </si>
  <si>
    <t>11.101</t>
  </si>
  <si>
    <t>11.102</t>
  </si>
  <si>
    <t>11.104</t>
  </si>
  <si>
    <t>11.105</t>
  </si>
  <si>
    <t>11.106</t>
  </si>
  <si>
    <t>11.107</t>
  </si>
  <si>
    <t>11.108</t>
  </si>
  <si>
    <t>11.11</t>
  </si>
  <si>
    <t>11.201</t>
  </si>
  <si>
    <t>11.202</t>
  </si>
  <si>
    <t>11.203</t>
  </si>
  <si>
    <t>11.204</t>
  </si>
  <si>
    <t>11.401</t>
  </si>
  <si>
    <t>11.402</t>
  </si>
  <si>
    <t>11.403</t>
  </si>
  <si>
    <t>11.404</t>
  </si>
  <si>
    <t>11.405</t>
  </si>
  <si>
    <t>11.406</t>
  </si>
  <si>
    <t>11.407</t>
  </si>
  <si>
    <t>11.408</t>
  </si>
  <si>
    <t>11.409</t>
  </si>
  <si>
    <t>11.41</t>
  </si>
  <si>
    <t>11.411</t>
  </si>
  <si>
    <t>11.412</t>
  </si>
  <si>
    <t>11.511</t>
  </si>
  <si>
    <t>11.512</t>
  </si>
  <si>
    <t>11.521</t>
  </si>
  <si>
    <t>11.531</t>
  </si>
  <si>
    <t>11.532</t>
  </si>
  <si>
    <t>11.533</t>
  </si>
  <si>
    <t>11.541</t>
  </si>
  <si>
    <t>11.701</t>
  </si>
  <si>
    <t>11.702</t>
  </si>
  <si>
    <t>11.709</t>
  </si>
  <si>
    <t>2.701</t>
  </si>
  <si>
    <t>12.002</t>
  </si>
  <si>
    <t>12.003</t>
  </si>
  <si>
    <t>12.004</t>
  </si>
  <si>
    <t>1.029</t>
  </si>
  <si>
    <t>1.401</t>
  </si>
  <si>
    <t>3.36</t>
  </si>
  <si>
    <t>5.110</t>
  </si>
  <si>
    <t>7.301</t>
  </si>
  <si>
    <t>9.601</t>
  </si>
  <si>
    <t>11.103</t>
  </si>
  <si>
    <t>11.601</t>
  </si>
  <si>
    <t>12.201</t>
  </si>
  <si>
    <t>12.202</t>
  </si>
  <si>
    <t>12.203</t>
  </si>
  <si>
    <t>12.204</t>
  </si>
  <si>
    <t>12.001</t>
  </si>
  <si>
    <t>12.405</t>
  </si>
  <si>
    <t>entity:HQ_RF.001_ROOF</t>
  </si>
  <si>
    <t>entity:HQ_5.214_GSM_ROOM</t>
  </si>
  <si>
    <t>entity:HQ_4.11_PRINT_COPY</t>
  </si>
  <si>
    <t>entity:HQ_RF.002_ROOF_PLANT_WALKWAY</t>
  </si>
  <si>
    <t>entity:HQ_G.400_CORRIDOR</t>
  </si>
  <si>
    <t>entity:HQ_4.004_STR_PL_DIR_ENSUIT</t>
  </si>
  <si>
    <t>entity:HQ_4.015C_OFFICE_SPACE</t>
  </si>
  <si>
    <t>entity:HQ_4.015A_OFFICE_SPACE</t>
  </si>
  <si>
    <t>entity:HQ_4.003_STR_PL_DIR_EXEC_SECRE</t>
  </si>
  <si>
    <t>entity:HQ_4.001B_OFFICE_SPACE</t>
  </si>
  <si>
    <t>entity:HQ_4.001D_OFFICE_SPACE</t>
  </si>
  <si>
    <t>entity:HQ_4.001F_OFFICE_SPACE</t>
  </si>
  <si>
    <t>entity:HQ_4.001G_OFFICE_SPACE</t>
  </si>
  <si>
    <t>entity:HQ_4.103_STORAGE_SPACE</t>
  </si>
  <si>
    <t>entity:HQ_5.020_VP_EDU_OFFICERS</t>
  </si>
  <si>
    <t>entity:HQ_5.009_VP1_VP_EDU_OFFICERS</t>
  </si>
  <si>
    <t>entity:HQ_5.010_VP_EDU_OFFICERS</t>
  </si>
  <si>
    <t>entity:HQ_5.210_VP_EDU_ENSUIT</t>
  </si>
  <si>
    <t>entity:HQ_5.350_CORRIDOR</t>
  </si>
  <si>
    <t>entity:HQ_8.400_VISITORS_CENTER</t>
  </si>
  <si>
    <t>entity:HQ_4.015B_OFFICE_SPACE</t>
  </si>
  <si>
    <t>entity:HQ_4.001A_OFFICE_SPACE</t>
  </si>
  <si>
    <t>entity:HQ_4.001E_OFFICE_SPACE</t>
  </si>
  <si>
    <t>entity:HQ_4.001C_OFFICE_SPACE</t>
  </si>
  <si>
    <t>entity:HQ_4.001H_OFFICE_SPACE</t>
  </si>
  <si>
    <t>entity:HQ_1.FF-1_FF-1</t>
  </si>
  <si>
    <t>1.FF-1</t>
  </si>
  <si>
    <t>entity:HQ_1.P-1_P-1</t>
  </si>
  <si>
    <t>1.P-1</t>
  </si>
  <si>
    <t>entity:HQ_1.P-2_P-2</t>
  </si>
  <si>
    <t>1.P-2</t>
  </si>
  <si>
    <t>entity:HQ_1.P-3_P-3</t>
  </si>
  <si>
    <t>1.P-3</t>
  </si>
  <si>
    <t>entity:HQ_1.P-4_P-4</t>
  </si>
  <si>
    <t>1.P-4</t>
  </si>
  <si>
    <t>entity:HQ_1.P-5_P-5</t>
  </si>
  <si>
    <t>1.P-5</t>
  </si>
  <si>
    <t>entity:HQ_1.P-6_P-6</t>
  </si>
  <si>
    <t>1.P-6</t>
  </si>
  <si>
    <t>entity:HQ_1.S-1_S-1</t>
  </si>
  <si>
    <t>1.S-1</t>
  </si>
  <si>
    <t>entity:HQ_1.ST-1_ST-1</t>
  </si>
  <si>
    <t>1.ST-1</t>
  </si>
  <si>
    <t>entity:HQ_1.ST-2_ST-2</t>
  </si>
  <si>
    <t>1.ST-2</t>
  </si>
  <si>
    <t>entity:HQ_1.ST-3_ST-3</t>
  </si>
  <si>
    <t>1.ST-3</t>
  </si>
  <si>
    <t>entity:HQ_1.ST-4_ST-4</t>
  </si>
  <si>
    <t>1.ST-4</t>
  </si>
  <si>
    <t>entity:HQ_2.FF-1_FF-1</t>
  </si>
  <si>
    <t>2.FF-1</t>
  </si>
  <si>
    <t>entity:HQ_2.P-1_P-1</t>
  </si>
  <si>
    <t>2.P-1</t>
  </si>
  <si>
    <t>entity:HQ_2.P-2_P-2</t>
  </si>
  <si>
    <t>2.P-2</t>
  </si>
  <si>
    <t>entity:HQ_2.P-3_P-3</t>
  </si>
  <si>
    <t>2.P-3</t>
  </si>
  <si>
    <t>entity:HQ_2.P-4_P-4</t>
  </si>
  <si>
    <t>2.P-4</t>
  </si>
  <si>
    <t>entity:HQ_2.P-5_P-5</t>
  </si>
  <si>
    <t>2.P-5</t>
  </si>
  <si>
    <t>entity:HQ_2.P-6_P-6</t>
  </si>
  <si>
    <t>2.P-6</t>
  </si>
  <si>
    <t>entity:HQ_2.S-1_S-1</t>
  </si>
  <si>
    <t>2.S-1</t>
  </si>
  <si>
    <t>entity:HQ_2.ST-1_ST-1</t>
  </si>
  <si>
    <t>2.ST-1</t>
  </si>
  <si>
    <t>entity:HQ_2.ST-2_ST-2</t>
  </si>
  <si>
    <t>2.ST-2</t>
  </si>
  <si>
    <t>entity:HQ_2.ST-3_ST-3</t>
  </si>
  <si>
    <t>2.ST-3</t>
  </si>
  <si>
    <t>entity:HQ_2.ST-4_ST-4</t>
  </si>
  <si>
    <t>2.ST-4</t>
  </si>
  <si>
    <t>entity:HQ_3.FF-1_FF-1</t>
  </si>
  <si>
    <t>3.FF-1</t>
  </si>
  <si>
    <t>entity:HQ_3.P-1_P-1</t>
  </si>
  <si>
    <t>3.P-1</t>
  </si>
  <si>
    <t>entity:HQ_3.P-2_P-2</t>
  </si>
  <si>
    <t>3.P-2</t>
  </si>
  <si>
    <t>entity:HQ_3.P-3_P-3</t>
  </si>
  <si>
    <t>3.P-3</t>
  </si>
  <si>
    <t>entity:HQ_3.P-4_P-4</t>
  </si>
  <si>
    <t>3.P-4</t>
  </si>
  <si>
    <t>entity:HQ_3.P-5_P-5</t>
  </si>
  <si>
    <t>3.P-5</t>
  </si>
  <si>
    <t>entity:HQ_3.P-6_P-6</t>
  </si>
  <si>
    <t>3.P-6</t>
  </si>
  <si>
    <t>entity:HQ_3.S-1_S-1</t>
  </si>
  <si>
    <t>3.S-1</t>
  </si>
  <si>
    <t>entity:HQ_3.ST-1_ST-1</t>
  </si>
  <si>
    <t>3.ST-1</t>
  </si>
  <si>
    <t>entity:HQ_3.ST-2_ST-2</t>
  </si>
  <si>
    <t>3.ST-2</t>
  </si>
  <si>
    <t>entity:HQ_3.ST-3_ST-3</t>
  </si>
  <si>
    <t>3.ST-3</t>
  </si>
  <si>
    <t>entity:HQ_3.ST-4_ST-4</t>
  </si>
  <si>
    <t>3.ST-4</t>
  </si>
  <si>
    <t>entity:HQ_4.P-1_P-1</t>
  </si>
  <si>
    <t>4.P-1</t>
  </si>
  <si>
    <t>entity:HQ_4.P-2_P-2</t>
  </si>
  <si>
    <t>4.P-2</t>
  </si>
  <si>
    <t>entity:HQ_4.P-3_P-3</t>
  </si>
  <si>
    <t>4.P-3</t>
  </si>
  <si>
    <t>entity:HQ_4.P-4_P-4</t>
  </si>
  <si>
    <t>4.P-4</t>
  </si>
  <si>
    <t>entity:HQ_4.P-5_P-5</t>
  </si>
  <si>
    <t>4.P-5</t>
  </si>
  <si>
    <t>entity:HQ_4.P-6_P-6</t>
  </si>
  <si>
    <t>4.P-6</t>
  </si>
  <si>
    <t>entity:HQ_4.S-1_S-1</t>
  </si>
  <si>
    <t>4.S-1</t>
  </si>
  <si>
    <t>entity:HQ_4.ST-1_ST-1</t>
  </si>
  <si>
    <t>4.ST-1</t>
  </si>
  <si>
    <t>entity:HQ_4.ST-2_ST-2</t>
  </si>
  <si>
    <t>4.ST-2</t>
  </si>
  <si>
    <t>entity:HQ_4.ST-3_ST-3</t>
  </si>
  <si>
    <t>4.ST-3</t>
  </si>
  <si>
    <t>entity:HQ_4.ST-4_ST-4</t>
  </si>
  <si>
    <t>4.ST-4</t>
  </si>
  <si>
    <t>5.009_VP1</t>
  </si>
  <si>
    <t>entity:HQ_5.009_VP1_VP_EDU_ASSISTANT</t>
  </si>
  <si>
    <t>5.010</t>
  </si>
  <si>
    <t>5.020</t>
  </si>
  <si>
    <t>5.210</t>
  </si>
  <si>
    <t>entity:HQ_5.P-1_P-1</t>
  </si>
  <si>
    <t>5.P-1</t>
  </si>
  <si>
    <t>entity:HQ_5.P-2_P-2</t>
  </si>
  <si>
    <t>5.P-2</t>
  </si>
  <si>
    <t>entity:HQ_5.P-3_P-3</t>
  </si>
  <si>
    <t>5.P-3</t>
  </si>
  <si>
    <t>entity:HQ_5.P-4_P-4</t>
  </si>
  <si>
    <t>5.P-4</t>
  </si>
  <si>
    <t>entity:HQ_5.P-5_P-5</t>
  </si>
  <si>
    <t>5.P-5</t>
  </si>
  <si>
    <t>entity:HQ_5.P-6_P-6</t>
  </si>
  <si>
    <t>5.P-6</t>
  </si>
  <si>
    <t>entity:HQ_5.S-1_S-1</t>
  </si>
  <si>
    <t>5.S-1</t>
  </si>
  <si>
    <t>entity:HQ_5.ST-1_ST-1</t>
  </si>
  <si>
    <t>5.ST-1</t>
  </si>
  <si>
    <t>entity:HQ_5.ST-2_ST-2</t>
  </si>
  <si>
    <t>5.ST-2</t>
  </si>
  <si>
    <t>entity:HQ_5.ST-3_ST-3</t>
  </si>
  <si>
    <t>5.ST-3</t>
  </si>
  <si>
    <t>entity:HQ_5.ST-4_ST-4</t>
  </si>
  <si>
    <t>5.ST-4</t>
  </si>
  <si>
    <t>entity:HQ_6.P-1_P-1</t>
  </si>
  <si>
    <t>6.P-1</t>
  </si>
  <si>
    <t>entity:HQ_6.P-2_P-2</t>
  </si>
  <si>
    <t>6.P-2</t>
  </si>
  <si>
    <t>entity:HQ_6.P-3_P-3</t>
  </si>
  <si>
    <t>6.P-3</t>
  </si>
  <si>
    <t>entity:HQ_6.P-4_P-4</t>
  </si>
  <si>
    <t>6.P-4</t>
  </si>
  <si>
    <t>entity:HQ_6.P-5_P-5</t>
  </si>
  <si>
    <t>6.P-5</t>
  </si>
  <si>
    <t>entity:HQ_6.P-6_P-6</t>
  </si>
  <si>
    <t>6.P-6</t>
  </si>
  <si>
    <t>entity:HQ_6.S-1_S-1</t>
  </si>
  <si>
    <t>6.S-1</t>
  </si>
  <si>
    <t>entity:HQ_6.ST-1_ST-1</t>
  </si>
  <si>
    <t>6.ST-1</t>
  </si>
  <si>
    <t>entity:HQ_6.ST-2_ST-2</t>
  </si>
  <si>
    <t>6.ST-2</t>
  </si>
  <si>
    <t>entity:HQ_6.ST-3_ST-3</t>
  </si>
  <si>
    <t>6.ST-3</t>
  </si>
  <si>
    <t>entity:HQ_6.ST-4_ST-4</t>
  </si>
  <si>
    <t>6.ST-4</t>
  </si>
  <si>
    <t>entity:HQ_7.P-1_P-1</t>
  </si>
  <si>
    <t>7.P-1</t>
  </si>
  <si>
    <t>entity:HQ_7.P-2_P-2</t>
  </si>
  <si>
    <t>7.P-2</t>
  </si>
  <si>
    <t>entity:HQ_7.P-3_P-3</t>
  </si>
  <si>
    <t>7.P-3</t>
  </si>
  <si>
    <t>entity:HQ_7.P-4_P-4</t>
  </si>
  <si>
    <t>7.P-4</t>
  </si>
  <si>
    <t>entity:HQ_7.P-5_P-5</t>
  </si>
  <si>
    <t>7.P-5</t>
  </si>
  <si>
    <t>entity:HQ_7.P-6_P-6</t>
  </si>
  <si>
    <t>7.P-6</t>
  </si>
  <si>
    <t>entity:HQ_7.S-1_S-1</t>
  </si>
  <si>
    <t>7.S-1</t>
  </si>
  <si>
    <t>entity:HQ_7.ST-1_ST-1</t>
  </si>
  <si>
    <t>7.ST-1</t>
  </si>
  <si>
    <t>entity:HQ_7.ST-2_ST-2</t>
  </si>
  <si>
    <t>7.ST-2</t>
  </si>
  <si>
    <t>entity:HQ_7.ST-3_ST-3</t>
  </si>
  <si>
    <t>7.ST-3</t>
  </si>
  <si>
    <t>entity:HQ_7.ST-4_ST-4</t>
  </si>
  <si>
    <t>7.ST-4</t>
  </si>
  <si>
    <t>entity:HQ_8.P-1_P-1</t>
  </si>
  <si>
    <t>8.P-1</t>
  </si>
  <si>
    <t>entity:HQ_8.P-2_P-2</t>
  </si>
  <si>
    <t>8.P-2</t>
  </si>
  <si>
    <t>entity:HQ_8.P-3_P-3</t>
  </si>
  <si>
    <t>8.P-3</t>
  </si>
  <si>
    <t>entity:HQ_8.P-4_P-4</t>
  </si>
  <si>
    <t>8.P-4</t>
  </si>
  <si>
    <t>entity:HQ_8.P-5_P-5</t>
  </si>
  <si>
    <t>8.P-5</t>
  </si>
  <si>
    <t>entity:HQ_8.P-6_P-6</t>
  </si>
  <si>
    <t>8.P-6</t>
  </si>
  <si>
    <t>entity:HQ_8.S-1_S-1</t>
  </si>
  <si>
    <t>8.S-1</t>
  </si>
  <si>
    <t>entity:HQ_8.ST-1_ST-1</t>
  </si>
  <si>
    <t>8.ST-1</t>
  </si>
  <si>
    <t>entity:HQ_8.ST-2_ST-2</t>
  </si>
  <si>
    <t>8.ST-2</t>
  </si>
  <si>
    <t>entity:HQ_8.ST-3_ST-3</t>
  </si>
  <si>
    <t>8.ST-3</t>
  </si>
  <si>
    <t>entity:HQ_8.ST-4_ST-4</t>
  </si>
  <si>
    <t>8.ST-4</t>
  </si>
  <si>
    <t>entity:HQ_9.P-1_P-1</t>
  </si>
  <si>
    <t>9.P-1</t>
  </si>
  <si>
    <t>entity:HQ_9.P-2_P-2</t>
  </si>
  <si>
    <t>9.P-2</t>
  </si>
  <si>
    <t>entity:HQ_9.P-3_P-3</t>
  </si>
  <si>
    <t>9.P-3</t>
  </si>
  <si>
    <t>entity:HQ_9.P-4_P-4</t>
  </si>
  <si>
    <t>9.P-4</t>
  </si>
  <si>
    <t>entity:HQ_9.P-5_P-5</t>
  </si>
  <si>
    <t>9.P-5</t>
  </si>
  <si>
    <t>entity:HQ_9.P-6_P-6</t>
  </si>
  <si>
    <t>9.P-6</t>
  </si>
  <si>
    <t>entity:HQ_9.S-1_S-1</t>
  </si>
  <si>
    <t>9.S-1</t>
  </si>
  <si>
    <t>entity:HQ_9.ST-01_ST-01</t>
  </si>
  <si>
    <t>9.ST-01</t>
  </si>
  <si>
    <t>entity:HQ_9.ST-04_ST-04</t>
  </si>
  <si>
    <t>9.ST-04</t>
  </si>
  <si>
    <t>entity:HQ_9.ST-2_ST-2</t>
  </si>
  <si>
    <t>9.ST-2</t>
  </si>
  <si>
    <t>entity:HQ_9.ST-3_ST-3</t>
  </si>
  <si>
    <t>9.ST-3</t>
  </si>
  <si>
    <t>RF.001</t>
  </si>
  <si>
    <t>G.400</t>
  </si>
  <si>
    <t>4.015C</t>
  </si>
  <si>
    <t>4.015A</t>
  </si>
  <si>
    <t>4.001B</t>
  </si>
  <si>
    <t>4.001D</t>
  </si>
  <si>
    <t>4.001F</t>
  </si>
  <si>
    <t>4.001G</t>
  </si>
  <si>
    <t>5.350</t>
  </si>
  <si>
    <t>8.400</t>
  </si>
  <si>
    <t>4.015B</t>
  </si>
  <si>
    <t>4.001A</t>
  </si>
  <si>
    <t>4.001E</t>
  </si>
  <si>
    <t>4.001C</t>
  </si>
  <si>
    <t>4.001H</t>
  </si>
  <si>
    <t>RF.002</t>
  </si>
  <si>
    <t>Duplicate room entries (col A)</t>
  </si>
  <si>
    <t>Duplicated equipment returns (D:L)</t>
  </si>
  <si>
    <t>Distinct equipment returned</t>
  </si>
  <si>
    <t>Unplaced (in register, not on a room)</t>
  </si>
  <si>
    <t>After editing some room numbers, the equipment count in column D jumped from 772 to 773 while the 2 blank-entity assets were still blank. Asked whether there is a duplicate somewhere.</t>
  </si>
  <si>
    <t>Scanned column A for duplicate room entities and the whole D2:L1042 spill region for repeated asset tags. Found the duplicate, then hardened the audit block at N1:O9 with duplicate detection and a duplicate-proof unplaced count.</t>
  </si>
  <si>
    <t>Root cause: room entity 'entity:HQ_5.110_VP_EDU_OFFICERS' now appears TWICE in column A - row 526 and row 1017. VAV0283 exists only once in the register (row 443) but each duplicate room row runs its own FILTER, so the tag is returned twice, inflating the raw count to 773. Rooms with no equipment also fell 434 to 433 because row 1017 previously matched nothing. New audit formulas: O6 distinct returned =SUM(--(UNIQUE(TOCOL(D2:L1042,3))&lt;&gt;"No Equipment in entity")); O7 duplicate room rows; O8 duplicated equipment returns; O9 unplaced =O5-O6. Replaced the old O6 (=O5-O3) because subtracting the raw count made unplaced read 1 instead of 2 whenever a duplicate existed.</t>
  </si>
  <si>
    <t>Diagnosed, not yet fixed. Distinct equipment is still 772 and unplaced still 2 (FCU0097, VAV0558), so no data was lost - only row 1017 is a spurious duplicate of row 526. Awaiting user decision on whether to delete row 1017 or correct its room number to the intended one; I did not guess the intended value.</t>
  </si>
  <si>
    <t>B_228</t>
  </si>
  <si>
    <t>M1_HVAC_SHAFT</t>
  </si>
  <si>
    <t>B_229</t>
  </si>
  <si>
    <t>E1_ELEC_SHAFT</t>
  </si>
  <si>
    <t>B_230</t>
  </si>
  <si>
    <t>REFR_STORE</t>
  </si>
  <si>
    <t>B_231</t>
  </si>
  <si>
    <t>DISH_WASING</t>
  </si>
  <si>
    <t>B_232</t>
  </si>
  <si>
    <t>DRY_STORE</t>
  </si>
  <si>
    <t>B_233</t>
  </si>
  <si>
    <t>WC5_RISER</t>
  </si>
  <si>
    <t>B_234</t>
  </si>
  <si>
    <t>E3_ELEC_SHAFT</t>
  </si>
  <si>
    <t>B_235</t>
  </si>
  <si>
    <t>M2_HVAC_SHAFT_ABOVE</t>
  </si>
  <si>
    <t>B_236</t>
  </si>
  <si>
    <t>WC1_RISER</t>
  </si>
  <si>
    <t>B_237</t>
  </si>
  <si>
    <t>B_238</t>
  </si>
  <si>
    <t>M3_HVAC_SHAFT</t>
  </si>
  <si>
    <t>entity:QNL_B_002_KITCHEN</t>
  </si>
  <si>
    <t>B_002</t>
  </si>
  <si>
    <t>entity:QNL_B_003_FINANCE_COORDINATOR_&amp;_BUSINESS_SUPPORT_OFCR</t>
  </si>
  <si>
    <t>B_003</t>
  </si>
  <si>
    <t>FINANCE_COORDINATOR_&amp;_BUSINESS_SUPPORT_OFCR</t>
  </si>
  <si>
    <t>entity:QNL_B_004_ANALOG_RESOURCES</t>
  </si>
  <si>
    <t>B_004</t>
  </si>
  <si>
    <t>ANALOG_RESOURCES</t>
  </si>
  <si>
    <t>entity:QNL_B_005_DIGITAL_RESOURCES</t>
  </si>
  <si>
    <t>B_005</t>
  </si>
  <si>
    <t>DIGITAL_RESOURCES</t>
  </si>
  <si>
    <t>entity:QNL_B_006_BUDGET_&amp;_PAYMENT_1</t>
  </si>
  <si>
    <t>B_006</t>
  </si>
  <si>
    <t>BUDGET_&amp;_PAYMENT_1</t>
  </si>
  <si>
    <t>entity:QNL_B_007_BUDGET_&amp;_PAYMENT_2</t>
  </si>
  <si>
    <t>B_007</t>
  </si>
  <si>
    <t>BUDGET_&amp;_PAYMENT_2</t>
  </si>
  <si>
    <t>entity:QNL_B_008_RECEIVING_AREA</t>
  </si>
  <si>
    <t>B_008</t>
  </si>
  <si>
    <t>RECEIVING_AREA</t>
  </si>
  <si>
    <t>entity:QNL_B_009_RECEPTION_&amp;_LOUNGE</t>
  </si>
  <si>
    <t>B_009</t>
  </si>
  <si>
    <t>RECEPTION_&amp;_LOUNGE</t>
  </si>
  <si>
    <t>B_010</t>
  </si>
  <si>
    <t>PATIO_GARDEN</t>
  </si>
  <si>
    <t>entity:QNL_B_020_ENGINEERING</t>
  </si>
  <si>
    <t>B_020</t>
  </si>
  <si>
    <t>ENGINEERING</t>
  </si>
  <si>
    <t>entity:QNL_B_021_ARABIC_STUDIES</t>
  </si>
  <si>
    <t>B_021</t>
  </si>
  <si>
    <t>ARABIC_STUDIES</t>
  </si>
  <si>
    <t>entity:QNL_B_022_LICENSING_EXPERT</t>
  </si>
  <si>
    <t>B_022</t>
  </si>
  <si>
    <t>LICENSING_EXPERT</t>
  </si>
  <si>
    <t>entity:QNL_B_023_ARTS_&amp;_HUMANITIES</t>
  </si>
  <si>
    <t>B_023</t>
  </si>
  <si>
    <t>ARTS_&amp;_HUMANITIES</t>
  </si>
  <si>
    <t>entity:QNL_B_024_AD_COLLECTIONS</t>
  </si>
  <si>
    <t>B_024</t>
  </si>
  <si>
    <t>AD_COLLECTIONS</t>
  </si>
  <si>
    <t>entity:QNL_B_025_SOCIAL_SCIENCES</t>
  </si>
  <si>
    <t>B_025</t>
  </si>
  <si>
    <t>SOCIAL_SCIENCES</t>
  </si>
  <si>
    <t>entity:QNL_B_026_BUSINESS_&amp;_COMPUTING</t>
  </si>
  <si>
    <t>B_026</t>
  </si>
  <si>
    <t>BUSINESS_&amp;_COMPUTING</t>
  </si>
  <si>
    <t>entity:QNL_B_027_PROCUREMENT_SPC_PROCUREMENT_OFCR</t>
  </si>
  <si>
    <t>B_027</t>
  </si>
  <si>
    <t>PROCUREMENT_SPC_PROCUREMENT_OFCR</t>
  </si>
  <si>
    <t>entity:QNL_B_028_STORAGE</t>
  </si>
  <si>
    <t>B_028</t>
  </si>
  <si>
    <t>entity:QNL_B_029_LITERATURE_&amp;_ANGUAGE</t>
  </si>
  <si>
    <t>B_029</t>
  </si>
  <si>
    <t>LITERATURE_&amp;_ANGUAGE</t>
  </si>
  <si>
    <t>entity:QNL_B_030_SNR_P_COORDINATOR_&amp;_P_COORDINATOR</t>
  </si>
  <si>
    <t>B_030</t>
  </si>
  <si>
    <t>SNR_P_COORDINATOR_&amp;_P_COORDINATOR</t>
  </si>
  <si>
    <t>B_031</t>
  </si>
  <si>
    <t>JANITORS_ROOM</t>
  </si>
  <si>
    <t>B_032</t>
  </si>
  <si>
    <t>REST_ROOM_MEN</t>
  </si>
  <si>
    <t>entity:QNL_B_034_MEETING_ROOM</t>
  </si>
  <si>
    <t>B_034</t>
  </si>
  <si>
    <t>B036_REST</t>
  </si>
  <si>
    <t>REST_ROOM_WOMEN</t>
  </si>
  <si>
    <t>B036_COR</t>
  </si>
  <si>
    <t>CORRIDOR_4A</t>
  </si>
  <si>
    <t>entity:QNL_B_040_OFFICE</t>
  </si>
  <si>
    <t>B_040</t>
  </si>
  <si>
    <t>OFFICE</t>
  </si>
  <si>
    <t>entity:QNL_B_041_DIGITIZATION_ROOM</t>
  </si>
  <si>
    <t>B_041</t>
  </si>
  <si>
    <t>DIGITIZATION_ROOM</t>
  </si>
  <si>
    <t>B_042</t>
  </si>
  <si>
    <t>entity:QNL_B_043_BINDING_&amp;_PRESERVATION_SPACE</t>
  </si>
  <si>
    <t>B_043</t>
  </si>
  <si>
    <t>BINDING_&amp;_PRESERVATION_SPACE</t>
  </si>
  <si>
    <t>B044_BOH</t>
  </si>
  <si>
    <t>B_O_H_KITCHEN</t>
  </si>
  <si>
    <t>B044_FIN</t>
  </si>
  <si>
    <t>FINE_BINDING</t>
  </si>
  <si>
    <t>B046_RES</t>
  </si>
  <si>
    <t>entity:QNL_B046_ITT_ITTIGATION_CONTROL_ROOM</t>
  </si>
  <si>
    <t>B046_ITT</t>
  </si>
  <si>
    <t>ITTIGATION_CONTROL_ROOM</t>
  </si>
  <si>
    <t>B_047</t>
  </si>
  <si>
    <t>entity:QNL_B_048_QTEL_ROOM</t>
  </si>
  <si>
    <t>B_048</t>
  </si>
  <si>
    <t>QTEL_ROOM</t>
  </si>
  <si>
    <t>entity:QNL_B_049_MEP_KITCHEN</t>
  </si>
  <si>
    <t>B_049</t>
  </si>
  <si>
    <t>MEP_KITCHEN</t>
  </si>
  <si>
    <t>B-04B</t>
  </si>
  <si>
    <t>ST-04B</t>
  </si>
  <si>
    <t>entity:QNL_B_050_TELECOM_ROOM</t>
  </si>
  <si>
    <t>B_050</t>
  </si>
  <si>
    <t>TELECOM_ROOM</t>
  </si>
  <si>
    <t>entity:QNL_B_051_STORAGE</t>
  </si>
  <si>
    <t>B_051</t>
  </si>
  <si>
    <t>B_053</t>
  </si>
  <si>
    <t>CORRIDORS</t>
  </si>
  <si>
    <t>B_054</t>
  </si>
  <si>
    <t>B057_DIG</t>
  </si>
  <si>
    <t>OFFICE_DIG_INIT</t>
  </si>
  <si>
    <t>B057_AD</t>
  </si>
  <si>
    <t>OFFICE_AD_FOR_LIT</t>
  </si>
  <si>
    <t>entity:QNL_B_058_SHELL_SPACE</t>
  </si>
  <si>
    <t>B_058</t>
  </si>
  <si>
    <t>B_060</t>
  </si>
  <si>
    <t>MAINTENANCE</t>
  </si>
  <si>
    <t>entity:QNL_B_062_IDF_CORRIDOR</t>
  </si>
  <si>
    <t>B_062</t>
  </si>
  <si>
    <t>IDF_CORRIDOR</t>
  </si>
  <si>
    <t>entity:QNL_B_063_PLANT_ROOM_01</t>
  </si>
  <si>
    <t>B_063</t>
  </si>
  <si>
    <t>PLANT_ROOM_01</t>
  </si>
  <si>
    <t>B_065</t>
  </si>
  <si>
    <t>VENTLATON</t>
  </si>
  <si>
    <t>B_066</t>
  </si>
  <si>
    <t>B_067</t>
  </si>
  <si>
    <t>B_068</t>
  </si>
  <si>
    <t>entity:QNL_B_070_PLANT_ROOM_02</t>
  </si>
  <si>
    <t>B_070</t>
  </si>
  <si>
    <t>PLANT_ROOM_02</t>
  </si>
  <si>
    <t>entity:QNL_B_071_FIRE_COMMAND_ROOM</t>
  </si>
  <si>
    <t>B_071</t>
  </si>
  <si>
    <t>FIRE_COMMAND_ROOM</t>
  </si>
  <si>
    <t>entity:QNL_B_072_SPRIMKLERS_PUMPS_&amp;_ZONES_VALVES</t>
  </si>
  <si>
    <t>B_072</t>
  </si>
  <si>
    <t>SPRIMKLERS_PUMPS_&amp;_ZONES_VALVES</t>
  </si>
  <si>
    <t>entity:QNL_B_080_GENERATOR</t>
  </si>
  <si>
    <t>B_080</t>
  </si>
  <si>
    <t>entity:QNL_B_081_MV_ROOM</t>
  </si>
  <si>
    <t>B_081</t>
  </si>
  <si>
    <t>MV_ROOM</t>
  </si>
  <si>
    <t>entity:QNL_B_082_TRANSFORMER_ROOM</t>
  </si>
  <si>
    <t>B_082</t>
  </si>
  <si>
    <t>TRANSFORMER_ROOM</t>
  </si>
  <si>
    <t>entity:QNL_B_084_UPS_BATTERY_ROOM</t>
  </si>
  <si>
    <t>B_084</t>
  </si>
  <si>
    <t>UPS_BATTERY_ROOM</t>
  </si>
  <si>
    <t>entity:QNL_B_085_FUMIGATION_ROOM</t>
  </si>
  <si>
    <t>B_085</t>
  </si>
  <si>
    <t>FUMIGATION_ROOM</t>
  </si>
  <si>
    <t>B_086</t>
  </si>
  <si>
    <t>FREEZE_AREA</t>
  </si>
  <si>
    <t>entity:QNL_B_087_GAS_SUPPRESSION_ROOM</t>
  </si>
  <si>
    <t>B_087</t>
  </si>
  <si>
    <t>GAS_SUPPRESSION_ROOM</t>
  </si>
  <si>
    <t>entity:QNL_B_088_PEOPLE_MOVER_PLANT</t>
  </si>
  <si>
    <t>B_088</t>
  </si>
  <si>
    <t>PEOPLE_MOVER_PLANT</t>
  </si>
  <si>
    <t>entity:QNL_B_089_SERVER_ROOM</t>
  </si>
  <si>
    <t>B_089</t>
  </si>
  <si>
    <t>entity:QNL_B_091_FUEL_ROOM</t>
  </si>
  <si>
    <t>B_091</t>
  </si>
  <si>
    <t>FUEL_ROOM</t>
  </si>
  <si>
    <t>entity:QNL_B_092_STORAGE</t>
  </si>
  <si>
    <t>B_092</t>
  </si>
  <si>
    <t>B_0924</t>
  </si>
  <si>
    <t>FUEL_TANK_CHERRY_PICKER_PANKING</t>
  </si>
  <si>
    <t>entity:QNL_B_093_TRANSH_CHAMBER</t>
  </si>
  <si>
    <t>B_093</t>
  </si>
  <si>
    <t>TRANSH_CHAMBER</t>
  </si>
  <si>
    <t>entity:QNL_B_095_EMERGENCY_LIGHTING_BATTERY_ROOM</t>
  </si>
  <si>
    <t>B_095</t>
  </si>
  <si>
    <t>EMERGENCY_LIGHTING_BATTERY_ROOM</t>
  </si>
  <si>
    <t>B_100</t>
  </si>
  <si>
    <t>LOADING_DOCK</t>
  </si>
  <si>
    <t>entity:QNL_B_101_SHIPPING_CLERK</t>
  </si>
  <si>
    <t>B_101</t>
  </si>
  <si>
    <t>SHIPPING_CLERK</t>
  </si>
  <si>
    <t>entity:QNL_B_102_SECURITY_&amp;_BMS</t>
  </si>
  <si>
    <t>B_102</t>
  </si>
  <si>
    <t>SECURITY_&amp;_BMS</t>
  </si>
  <si>
    <t>entity:QNL_B_103_PROCESSING_ROOM</t>
  </si>
  <si>
    <t>B_103</t>
  </si>
  <si>
    <t>PROCESSING_ROOM</t>
  </si>
  <si>
    <t>entity:QNL_B_104_STORAGE</t>
  </si>
  <si>
    <t>B_104</t>
  </si>
  <si>
    <t>entity:QNL_B106_RES_REST_ROOM_SECURITY</t>
  </si>
  <si>
    <t>B106_RES</t>
  </si>
  <si>
    <t>REST_ROOM_SECURITY</t>
  </si>
  <si>
    <t>B106_SEC</t>
  </si>
  <si>
    <t>SECURITY_STORES_SECURITY_UPS</t>
  </si>
  <si>
    <t>entity:QNL_B_107_SECURITY_EQUIPMENT_ROOM</t>
  </si>
  <si>
    <t>B_107</t>
  </si>
  <si>
    <t>SECURITY_EQUIPMENT_ROOM</t>
  </si>
  <si>
    <t>B_108</t>
  </si>
  <si>
    <t>entity:QNL_B_109_LOADING_AREA</t>
  </si>
  <si>
    <t>B_109</t>
  </si>
  <si>
    <t>LOADING_AREA</t>
  </si>
  <si>
    <t>entity:QNL_B_110_PLANT_ROOM_03</t>
  </si>
  <si>
    <t>B_110</t>
  </si>
  <si>
    <t>PLANT_ROOM_03</t>
  </si>
  <si>
    <t>B_111</t>
  </si>
  <si>
    <t>B_112</t>
  </si>
  <si>
    <t>B_113</t>
  </si>
  <si>
    <t>B_114</t>
  </si>
  <si>
    <t>B_115</t>
  </si>
  <si>
    <t>B_116</t>
  </si>
  <si>
    <t>entity:QNL_B_120_COMPACT_SHELVING_-MAIN_COLLECTION</t>
  </si>
  <si>
    <t>B_120</t>
  </si>
  <si>
    <t>COMPACT_SHELVING_-MAIN_COLLECTION</t>
  </si>
  <si>
    <t>entity:QNL_B_121_SORTING_SHELVING_ROOM</t>
  </si>
  <si>
    <t>B_121</t>
  </si>
  <si>
    <t>SORTING_SHELVING_ROOM</t>
  </si>
  <si>
    <t>entity:QNL_B_122_IT_OFFICE</t>
  </si>
  <si>
    <t>B_122</t>
  </si>
  <si>
    <t>IT_OFFICE</t>
  </si>
  <si>
    <t>entity:QNL_B_132_SHELL_SPACE-SPECIAL_COLLECTION</t>
  </si>
  <si>
    <t>B_132</t>
  </si>
  <si>
    <t>SHELL_SPACE-SPECIAL_COLLECTION</t>
  </si>
  <si>
    <t>B141_HLP</t>
  </si>
  <si>
    <t>HL_PLANT_ROOM</t>
  </si>
  <si>
    <t>entity:QNL_B141_VAU_VAULT</t>
  </si>
  <si>
    <t>B141_VAU</t>
  </si>
  <si>
    <t>VAULT</t>
  </si>
  <si>
    <t>B_142</t>
  </si>
  <si>
    <t>B_143</t>
  </si>
  <si>
    <t>HERITAGE_COLLECTION</t>
  </si>
  <si>
    <t>B_144</t>
  </si>
  <si>
    <t>entity:QNL_B_145_LOBY_&amp;_CSECURITY</t>
  </si>
  <si>
    <t>B_145</t>
  </si>
  <si>
    <t>LOBY_&amp;_CSECURITY</t>
  </si>
  <si>
    <t>B_146</t>
  </si>
  <si>
    <t>VIP_REST_ROOM</t>
  </si>
  <si>
    <t>B_147</t>
  </si>
  <si>
    <t>B_148</t>
  </si>
  <si>
    <t>VIP_MAJLIS</t>
  </si>
  <si>
    <t>entity:QNL_B_149_DIRECTOR_HEAD</t>
  </si>
  <si>
    <t>B_149</t>
  </si>
  <si>
    <t>DIRECTOR_HEAD</t>
  </si>
  <si>
    <t>B_150</t>
  </si>
  <si>
    <t>ASSISTANT_HEAD</t>
  </si>
  <si>
    <t>entity:QNL_B_151_RESEARCH_&amp;_DOC-RCRDS_MGMT</t>
  </si>
  <si>
    <t>B_151</t>
  </si>
  <si>
    <t>RESEARCH_&amp;_DOC-RCRDS_MGMT</t>
  </si>
  <si>
    <t>entity:QNL_B_152_SECURITY_ROOM</t>
  </si>
  <si>
    <t>B_152</t>
  </si>
  <si>
    <t>SECURITY_ROOM</t>
  </si>
  <si>
    <t>entity:QNL_B_153_PROF_LIBRARIAN</t>
  </si>
  <si>
    <t>B_153</t>
  </si>
  <si>
    <t>PROF_LIBRARIAN</t>
  </si>
  <si>
    <t>entity:QNL_B_155_FACULTY_CARRELS</t>
  </si>
  <si>
    <t>B_155</t>
  </si>
  <si>
    <t>FACULTY_CARRELS</t>
  </si>
  <si>
    <t>B_156</t>
  </si>
  <si>
    <t>B_157</t>
  </si>
  <si>
    <t>B_158</t>
  </si>
  <si>
    <t>B_159</t>
  </si>
  <si>
    <t>B_160</t>
  </si>
  <si>
    <t>B_161</t>
  </si>
  <si>
    <t>B_162</t>
  </si>
  <si>
    <t>B_163</t>
  </si>
  <si>
    <t>B_164</t>
  </si>
  <si>
    <t>B_165</t>
  </si>
  <si>
    <t>B_166</t>
  </si>
  <si>
    <t>B_167</t>
  </si>
  <si>
    <t>B_168</t>
  </si>
  <si>
    <t>B_169</t>
  </si>
  <si>
    <t>entity:QNL_B_200_DIGITIZATION</t>
  </si>
  <si>
    <t>B_200</t>
  </si>
  <si>
    <t>DIGITIZATION</t>
  </si>
  <si>
    <t>B_201</t>
  </si>
  <si>
    <t>B_202</t>
  </si>
  <si>
    <t>B_203</t>
  </si>
  <si>
    <t>entity:QNL_B_204_TECHNICAL_SERVICES</t>
  </si>
  <si>
    <t>B_204</t>
  </si>
  <si>
    <t>TECHNICAL_SERVICES</t>
  </si>
  <si>
    <t>entity:QNL_B_205_INSTRUCTION_PRESENTATION</t>
  </si>
  <si>
    <t>B_205</t>
  </si>
  <si>
    <t>INSTRUCTION_PRESENTATION</t>
  </si>
  <si>
    <t>entity:QNL_B_206_INSTRUCTION_OUTREACH</t>
  </si>
  <si>
    <t>B_206</t>
  </si>
  <si>
    <t>INSTRUCTION_OUTREACH</t>
  </si>
  <si>
    <t>entity:QNL_B_207_PRESEARCHERS_READING_AREA</t>
  </si>
  <si>
    <t>B_207</t>
  </si>
  <si>
    <t>PRESEARCHERS_READING_AREA</t>
  </si>
  <si>
    <t>entity:QNL_B_208_PROF_LIBRARIAN</t>
  </si>
  <si>
    <t>B_208</t>
  </si>
  <si>
    <t>entity:QNL_B_209_CONSERVATION_WORK_AREA</t>
  </si>
  <si>
    <t>B_209</t>
  </si>
  <si>
    <t>CONSERVATION_WORK_AREA</t>
  </si>
  <si>
    <t>entity:QNL_B_210_FM_STORAGE</t>
  </si>
  <si>
    <t>B_210</t>
  </si>
  <si>
    <t>entity:QNL_B_211_PH_PLANT_ROOM</t>
  </si>
  <si>
    <t>B_211</t>
  </si>
  <si>
    <t>PH_PLANT_ROOM</t>
  </si>
  <si>
    <t>B_213</t>
  </si>
  <si>
    <t>MISTING_SYSTEM</t>
  </si>
  <si>
    <t>B214_COR</t>
  </si>
  <si>
    <t>CORRIDOR6</t>
  </si>
  <si>
    <t>B214_IDF</t>
  </si>
  <si>
    <t>entity:QNL_B_215_IDF_FM_STORAGE</t>
  </si>
  <si>
    <t>B_215</t>
  </si>
  <si>
    <t>IDF_FM_STORAGE</t>
  </si>
  <si>
    <t>entity:QNL_B_215A_IDF</t>
  </si>
  <si>
    <t>B_215A</t>
  </si>
  <si>
    <t>IDF</t>
  </si>
  <si>
    <t>entity:QNL_B_220_PLANT_ROOM_04</t>
  </si>
  <si>
    <t>B_220</t>
  </si>
  <si>
    <t>PLANT_ROOM_04</t>
  </si>
  <si>
    <t>B_221</t>
  </si>
  <si>
    <t>entity:QNL_B_222_IDF</t>
  </si>
  <si>
    <t>B_222</t>
  </si>
  <si>
    <t>B_223</t>
  </si>
  <si>
    <t>VENTILATON</t>
  </si>
  <si>
    <t>B_224</t>
  </si>
  <si>
    <t>B_225</t>
  </si>
  <si>
    <t>entity:QNL_B_226_PUMP_ROOM</t>
  </si>
  <si>
    <t>B_226</t>
  </si>
  <si>
    <t>PUMP_ROOM</t>
  </si>
  <si>
    <t>B_227</t>
  </si>
  <si>
    <t>B-AT-04A</t>
  </si>
  <si>
    <t>ST-04A</t>
  </si>
  <si>
    <t>B-L-1</t>
  </si>
  <si>
    <t>L-1</t>
  </si>
  <si>
    <t>B-L-15</t>
  </si>
  <si>
    <t>L-15</t>
  </si>
  <si>
    <t>B-L-2</t>
  </si>
  <si>
    <t>L-2</t>
  </si>
  <si>
    <t>B-L-3</t>
  </si>
  <si>
    <t>L-3</t>
  </si>
  <si>
    <t>B-L-4</t>
  </si>
  <si>
    <t>L-4</t>
  </si>
  <si>
    <t>B-ST-01</t>
  </si>
  <si>
    <t>B-ST-02</t>
  </si>
  <si>
    <t>ST-02</t>
  </si>
  <si>
    <t>B-ST-03</t>
  </si>
  <si>
    <t>ST-03</t>
  </si>
  <si>
    <t>B-ST-05</t>
  </si>
  <si>
    <t>ST-05</t>
  </si>
  <si>
    <t>B-ST-11</t>
  </si>
  <si>
    <t>ST-11</t>
  </si>
  <si>
    <t>B-ST-12</t>
  </si>
  <si>
    <t>ST-12</t>
  </si>
  <si>
    <t>L1_154</t>
  </si>
  <si>
    <t>L1_155</t>
  </si>
  <si>
    <t>L1_156</t>
  </si>
  <si>
    <t>M2_HVAC_SHAFT</t>
  </si>
  <si>
    <t>L1_157</t>
  </si>
  <si>
    <t>E2_ELEC_SHAFT</t>
  </si>
  <si>
    <t>L1_158</t>
  </si>
  <si>
    <t>L1_159</t>
  </si>
  <si>
    <t>L1_160</t>
  </si>
  <si>
    <t>L1_161</t>
  </si>
  <si>
    <t>N2_PIPE_SHAFT</t>
  </si>
  <si>
    <t>L1_162</t>
  </si>
  <si>
    <t>STORE</t>
  </si>
  <si>
    <t>entity:QNL_L1_001_OPEN_READING_AREA</t>
  </si>
  <si>
    <t>L1_001</t>
  </si>
  <si>
    <t>OPEN_READING_AREA</t>
  </si>
  <si>
    <t>entity:QNL_L1_002_BRAILLE_READER</t>
  </si>
  <si>
    <t>L1_002</t>
  </si>
  <si>
    <t>BRAILLE_READER</t>
  </si>
  <si>
    <t>entity:QNL_L1_002A_GREEM_ROOM</t>
  </si>
  <si>
    <t>L1_002A</t>
  </si>
  <si>
    <t>GREEM_ROOM</t>
  </si>
  <si>
    <t>entity:QNL_L1_003_TUTORING_HEAD</t>
  </si>
  <si>
    <t>L1_003</t>
  </si>
  <si>
    <t>TUTORING_HEAD</t>
  </si>
  <si>
    <t>entity:QNL_L1_004_WRITING_ROOM1</t>
  </si>
  <si>
    <t>L1_004</t>
  </si>
  <si>
    <t>WRITING_ROOM1</t>
  </si>
  <si>
    <t>entity:QNL_L1_005_WRITING_ROOM2</t>
  </si>
  <si>
    <t>L1_005</t>
  </si>
  <si>
    <t>WRITING_ROOM2</t>
  </si>
  <si>
    <t>L1_006</t>
  </si>
  <si>
    <t>WRITING_HEAD</t>
  </si>
  <si>
    <t>entity:QNL_L1_007_STUDENT_CARRLES</t>
  </si>
  <si>
    <t>L1_007</t>
  </si>
  <si>
    <t>STUDENT_CARRLES</t>
  </si>
  <si>
    <t>entity:QNL_L1_020_INFO_LITERACY_INSTR1</t>
  </si>
  <si>
    <t>L1_020</t>
  </si>
  <si>
    <t>INFO_LITERACY_INSTR1</t>
  </si>
  <si>
    <t>entity:QNL_L1_021_INFO_LITERACY_INSTR2</t>
  </si>
  <si>
    <t>L1_021</t>
  </si>
  <si>
    <t>INFO_LITERACY_INSTR2</t>
  </si>
  <si>
    <t>entity:QNL_L1_022_COMPUTER_CLASSROOM</t>
  </si>
  <si>
    <t>L1_022</t>
  </si>
  <si>
    <t>COMPUTER_CLASSROOM</t>
  </si>
  <si>
    <t>L1023_1</t>
  </si>
  <si>
    <t>entity:QNL_L1023_2_CORRIDOR</t>
  </si>
  <si>
    <t>L1023_2</t>
  </si>
  <si>
    <t>L1023_3</t>
  </si>
  <si>
    <t>L1_024</t>
  </si>
  <si>
    <t>L1_025</t>
  </si>
  <si>
    <t>entity:QNL_L1_026_GROUP_STUDY_ROOM1</t>
  </si>
  <si>
    <t>L1_026</t>
  </si>
  <si>
    <t>GROUP_STUDY_ROOM1</t>
  </si>
  <si>
    <t>entity:QNL_L1_027_GROUP_STUDY_ROOM2</t>
  </si>
  <si>
    <t>L1_027</t>
  </si>
  <si>
    <t>GROUP_STUDY_ROOM2</t>
  </si>
  <si>
    <t>entity:QNL_L1_028_GROUP_STUDY_ROOM3</t>
  </si>
  <si>
    <t>L1_028</t>
  </si>
  <si>
    <t>GROUP_STUDY_ROOM3</t>
  </si>
  <si>
    <t>entity:QNL_L1_029_GROUP_STUDY_ROOM4</t>
  </si>
  <si>
    <t>L1_029</t>
  </si>
  <si>
    <t>GROUP_STUDY_ROOM4</t>
  </si>
  <si>
    <t>entity:QNL_L1_030_ICT_ROOM_02</t>
  </si>
  <si>
    <t>L1_030</t>
  </si>
  <si>
    <t>ICT_ROOM_02</t>
  </si>
  <si>
    <t>entity:QNL_L1_040_HEAD_LIBRARIAN_OFFICE</t>
  </si>
  <si>
    <t>L1_040</t>
  </si>
  <si>
    <t>HEAD_LIBRARIAN_OFFICE</t>
  </si>
  <si>
    <t>entity:QNL_L1_041_MULTPURPOSE_ROOM</t>
  </si>
  <si>
    <t>L1_041</t>
  </si>
  <si>
    <t>MULTPURPOSE_ROOM</t>
  </si>
  <si>
    <t>L1_042</t>
  </si>
  <si>
    <t>L1_043</t>
  </si>
  <si>
    <t>BABY_CHAN</t>
  </si>
  <si>
    <t>L1_044</t>
  </si>
  <si>
    <t>BREAST_FEEDING</t>
  </si>
  <si>
    <t>L1_045</t>
  </si>
  <si>
    <t>L1_046</t>
  </si>
  <si>
    <t>entity:QNL_L1_047_CHILDREN_LIBRARY_-_PRE_SCHOOL_READING_&amp;_PLAYING</t>
  </si>
  <si>
    <t>L1_047</t>
  </si>
  <si>
    <t>CHILDREN_LIBRARY_-_PRE_SCHOOL_READING_&amp;_PLAYING</t>
  </si>
  <si>
    <t>entity:QNL_L1_048_STAFF_OFFICE</t>
  </si>
  <si>
    <t>L1_048</t>
  </si>
  <si>
    <t>STAFF_OFFICE</t>
  </si>
  <si>
    <t>L1_049</t>
  </si>
  <si>
    <t>L1_050</t>
  </si>
  <si>
    <t>STROLLER_PARKING</t>
  </si>
  <si>
    <t>L1_061</t>
  </si>
  <si>
    <t>L1_062</t>
  </si>
  <si>
    <t>entity:QNL_L1_063_MEDIA_STUDIO_1</t>
  </si>
  <si>
    <t>L1_063</t>
  </si>
  <si>
    <t>MEDIA_STUDIO_1</t>
  </si>
  <si>
    <t>L1_064</t>
  </si>
  <si>
    <t>entity:QNL_L1_065_MEDIA_STUDIO_1</t>
  </si>
  <si>
    <t>L1_065</t>
  </si>
  <si>
    <t>L1067_FRO</t>
  </si>
  <si>
    <t>FRONT_KITCHEN</t>
  </si>
  <si>
    <t>L1067_RES</t>
  </si>
  <si>
    <t>RESTAURANT</t>
  </si>
  <si>
    <t>entity:QNL_L1_080_PUBLIC_SERVICE</t>
  </si>
  <si>
    <t>L1_080</t>
  </si>
  <si>
    <t>PUBLIC_SERVICE</t>
  </si>
  <si>
    <t>entity:QNL_L1_081_BIBLIOGRANHER1</t>
  </si>
  <si>
    <t>L1_081</t>
  </si>
  <si>
    <t>BIBLIOGRANHER1</t>
  </si>
  <si>
    <t>entity:QNL_L1_082_BIBLIOGRAPHER2</t>
  </si>
  <si>
    <t>L1_082</t>
  </si>
  <si>
    <t>BIBLIOGRAPHER2</t>
  </si>
  <si>
    <t>entity:QNL_L1_083_SPEC_COLL&amp;ARCH</t>
  </si>
  <si>
    <t>L1_083</t>
  </si>
  <si>
    <t>SPEC_COLL&amp;ARCH</t>
  </si>
  <si>
    <t>entity:QNL_L1_084_R&amp;L_SERVICES</t>
  </si>
  <si>
    <t>L1_084</t>
  </si>
  <si>
    <t>R&amp;L_SERVICES</t>
  </si>
  <si>
    <t>entity:QNL_L1_085_ADPUBLIC_SERVICE</t>
  </si>
  <si>
    <t>L1_085</t>
  </si>
  <si>
    <t>ADPUBLIC_SERVICE</t>
  </si>
  <si>
    <t>entity:QNL_L1_086_REF_LIBRARIAN_1</t>
  </si>
  <si>
    <t>L1_086</t>
  </si>
  <si>
    <t>REF_LIBRARIAN_1</t>
  </si>
  <si>
    <t>entity:QNL_L1_087_REF_LIBRARIAN_2</t>
  </si>
  <si>
    <t>L1_087</t>
  </si>
  <si>
    <t>REF_LIBRARIAN_2</t>
  </si>
  <si>
    <t>entity:QNL_L1_088_REF_LIBRARIAN_3</t>
  </si>
  <si>
    <t>L1_088</t>
  </si>
  <si>
    <t>REF_LIBRARIAN_3</t>
  </si>
  <si>
    <t>entity:QNL_L1_089_REF_LIBRARIAN_4</t>
  </si>
  <si>
    <t>L1_089</t>
  </si>
  <si>
    <t>REF_LIBRARIAN_4</t>
  </si>
  <si>
    <t>entity:QNL_L1_090_REF_LIBRARIAN_5</t>
  </si>
  <si>
    <t>L1_090</t>
  </si>
  <si>
    <t>REF_LIBRARIAN_5</t>
  </si>
  <si>
    <t>entity:QNL_L1_091_REF_LIBRARIAN_6</t>
  </si>
  <si>
    <t>L1_091</t>
  </si>
  <si>
    <t>REF_LIBRARIAN_6</t>
  </si>
  <si>
    <t>entity:QNL_L1_092_REF_LIBRARIAN_7</t>
  </si>
  <si>
    <t>L1_092</t>
  </si>
  <si>
    <t>REF_LIBRARIAN_7</t>
  </si>
  <si>
    <t>entity:QNL_L1_093_REF_LIBRARIAN_8</t>
  </si>
  <si>
    <t>L1_093</t>
  </si>
  <si>
    <t>REF_LIBRARIAN_8</t>
  </si>
  <si>
    <t>entity:QNL_L1_094_REF_LIBRARIAN_9</t>
  </si>
  <si>
    <t>L1_094</t>
  </si>
  <si>
    <t>REF_LIBRARIAN_9</t>
  </si>
  <si>
    <t>entity:QNL_L1_095_REF_LIBRARIAN_10</t>
  </si>
  <si>
    <t>L1_095</t>
  </si>
  <si>
    <t>REF_LIBRARIAN_10</t>
  </si>
  <si>
    <t>entity:QNL_L1_096_REF_LIBRARIAN_11</t>
  </si>
  <si>
    <t>L1_096</t>
  </si>
  <si>
    <t>REF_LIBRARIAN_11</t>
  </si>
  <si>
    <t>entity:QNL_L1_097_REF_LIBRARIAN_12</t>
  </si>
  <si>
    <t>L1_097</t>
  </si>
  <si>
    <t>REF_LIBRARIAN_12</t>
  </si>
  <si>
    <t>L1_098</t>
  </si>
  <si>
    <t>entity:QNL_L1_099_IDF_ROOM_02</t>
  </si>
  <si>
    <t>L1_099</t>
  </si>
  <si>
    <t>IDF_ROOM_02</t>
  </si>
  <si>
    <t>entity:QNL_L1_100_AERIAL_PLATFORM_PARKING</t>
  </si>
  <si>
    <t>L1_100</t>
  </si>
  <si>
    <t>AERIAL_PLATFORM_PARKING</t>
  </si>
  <si>
    <t>L1_101</t>
  </si>
  <si>
    <t>REST_ROOMMEN</t>
  </si>
  <si>
    <t>L1_102</t>
  </si>
  <si>
    <t>L1104_FEM</t>
  </si>
  <si>
    <t>PRAYER_ROOM_FEMALE</t>
  </si>
  <si>
    <t>L1104_MEL</t>
  </si>
  <si>
    <t>PRAYER_ROOM_MALE</t>
  </si>
  <si>
    <t>entity:QNL_L1_105_ABLUTIONMEN</t>
  </si>
  <si>
    <t>L1_105</t>
  </si>
  <si>
    <t>ABLUTIONMEN</t>
  </si>
  <si>
    <t>entity:QNL_L1_106_ABLUTIONWOMEN</t>
  </si>
  <si>
    <t>L1_106</t>
  </si>
  <si>
    <t>ABLUTIONWOMEN</t>
  </si>
  <si>
    <t>L1_130</t>
  </si>
  <si>
    <t>PUBLIS_SPACE</t>
  </si>
  <si>
    <t>L1_142</t>
  </si>
  <si>
    <t>LEARNING_COMMONS</t>
  </si>
  <si>
    <t>entity:QNL_L1_153_FURNITURE_STORAGE</t>
  </si>
  <si>
    <t>L1_153</t>
  </si>
  <si>
    <t>FURNITURE_STORAGE</t>
  </si>
  <si>
    <t>L1-L-1</t>
  </si>
  <si>
    <t>L1-L-2</t>
  </si>
  <si>
    <t>entity:QNL_L1-L-3_L-3</t>
  </si>
  <si>
    <t>L1-L-3</t>
  </si>
  <si>
    <t>L1-L-4</t>
  </si>
  <si>
    <t>L1-L-5</t>
  </si>
  <si>
    <t>L-5</t>
  </si>
  <si>
    <t>L1-RP-10</t>
  </si>
  <si>
    <t>RP-10</t>
  </si>
  <si>
    <t>L1-ST-01</t>
  </si>
  <si>
    <t>L1-ST-02</t>
  </si>
  <si>
    <t>L1-ST-03</t>
  </si>
  <si>
    <t>L1-ST-10</t>
  </si>
  <si>
    <t>L1_140</t>
  </si>
  <si>
    <t>SPECIAL_EVENTS</t>
  </si>
  <si>
    <t>L2_006</t>
  </si>
  <si>
    <t>L2_007</t>
  </si>
  <si>
    <t>L2_008</t>
  </si>
  <si>
    <t>entity:QNL_L2_009_KDF_ROOM</t>
  </si>
  <si>
    <t>L2_009</t>
  </si>
  <si>
    <t>KDF_ROOM</t>
  </si>
  <si>
    <t>entity:QNL_L2_010_BREAKOUT_SPACE</t>
  </si>
  <si>
    <t>L2_010</t>
  </si>
  <si>
    <t>BREAKOUT_SPACE</t>
  </si>
  <si>
    <t>entity:QNL_L2_011_CTRCULATION_OFFICE</t>
  </si>
  <si>
    <t>L2_011</t>
  </si>
  <si>
    <t>CTRCULATION_OFFICE</t>
  </si>
  <si>
    <t>entity:QNL_L2_012_OFFICE_SPEC_COL</t>
  </si>
  <si>
    <t>L2_012</t>
  </si>
  <si>
    <t>OFFICE_SPEC_COL</t>
  </si>
  <si>
    <t>entity:QNL_L2_013_OFFICE_SPEC_COL</t>
  </si>
  <si>
    <t>L2_013</t>
  </si>
  <si>
    <t>L2_014</t>
  </si>
  <si>
    <t>TRANSL_SPC_&amp;_EDI_PUBLICATIONS_SPC</t>
  </si>
  <si>
    <t>entity:QNL_L2_015_40_GROUP_STUDY_ROOM_5</t>
  </si>
  <si>
    <t>L2_015</t>
  </si>
  <si>
    <t>40_GROUP_STUDY_ROOM_5</t>
  </si>
  <si>
    <t>entity:QNL_L2_016_40_GROUP_STUDY_ROOM_6</t>
  </si>
  <si>
    <t>L2_016</t>
  </si>
  <si>
    <t>40_GROUP_STUDY_ROOM_6</t>
  </si>
  <si>
    <t>entity:QNL_L2_017_40_GROUP_STUDY_ROOM_7</t>
  </si>
  <si>
    <t>L2_017</t>
  </si>
  <si>
    <t>40_GROUP_STUDY_ROOM_7</t>
  </si>
  <si>
    <t>L2_018</t>
  </si>
  <si>
    <t>L2_021</t>
  </si>
  <si>
    <t>LIBR_COM_REO_&amp;_EVENTS_SPC</t>
  </si>
  <si>
    <t>entity:QNL_L2_022_ACADEMIC_PERS_LIBRARIA</t>
  </si>
  <si>
    <t>L2_022</t>
  </si>
  <si>
    <t>ACADEMIC_PERS_LIBRARIA</t>
  </si>
  <si>
    <t>entity:QNL_L2_023_AD_ADMIN_&amp;_PLANNING</t>
  </si>
  <si>
    <t>L2_023</t>
  </si>
  <si>
    <t>AD_ADMIN_&amp;_PLANNING</t>
  </si>
  <si>
    <t>entity:QNL_L2_024_OFFICE_COORD</t>
  </si>
  <si>
    <t>L2_024</t>
  </si>
  <si>
    <t>OFFICE_COORD</t>
  </si>
  <si>
    <t>entity:QNL_L2_025_OPEN_OFFICE</t>
  </si>
  <si>
    <t>L2_025</t>
  </si>
  <si>
    <t>OPEN_OFFICE</t>
  </si>
  <si>
    <t>L2_041</t>
  </si>
  <si>
    <t>L2_042</t>
  </si>
  <si>
    <t>REST_ROOM</t>
  </si>
  <si>
    <t>entity:QNL_L2_043_SERVICE_&amp;_LOUNGE</t>
  </si>
  <si>
    <t>L2_043</t>
  </si>
  <si>
    <t>SERVICE_&amp;_LOUNGE</t>
  </si>
  <si>
    <t>entity:QNL_L2_044_LIBDIRECTORS_ROOM</t>
  </si>
  <si>
    <t>L2_044</t>
  </si>
  <si>
    <t>LIBDIRECTORS_ROOM</t>
  </si>
  <si>
    <t>entity:QNL_L2_046_VIP_MEETING</t>
  </si>
  <si>
    <t>L2_046</t>
  </si>
  <si>
    <t>VIP_MEETING</t>
  </si>
  <si>
    <t>L2_047</t>
  </si>
  <si>
    <t>entity:QNL_L2_048_VIP_WATING</t>
  </si>
  <si>
    <t>L2_048</t>
  </si>
  <si>
    <t>VIP_WATING</t>
  </si>
  <si>
    <t>L2_049</t>
  </si>
  <si>
    <t>L2_050</t>
  </si>
  <si>
    <t>entity:QNL_L2_051_VIP_ROOM</t>
  </si>
  <si>
    <t>L2_051</t>
  </si>
  <si>
    <t>VIP_ROOM</t>
  </si>
  <si>
    <t>entity:QNL_L2_070_INDIVISTUDY_ROOM</t>
  </si>
  <si>
    <t>L2_070</t>
  </si>
  <si>
    <t>INDIVISTUDY_ROOM</t>
  </si>
  <si>
    <t>L2_071</t>
  </si>
  <si>
    <t>L2_072</t>
  </si>
  <si>
    <t>entity:QNL_L2_073_INDIVISTUDY_ROOM</t>
  </si>
  <si>
    <t>L2_073</t>
  </si>
  <si>
    <t>L2_074</t>
  </si>
  <si>
    <t>L2_075</t>
  </si>
  <si>
    <t>entity:QNL_L2_076_GROUP_STUDY_ROOM</t>
  </si>
  <si>
    <t>L2_076</t>
  </si>
  <si>
    <t>GROUP_STUDY_ROOM</t>
  </si>
  <si>
    <t>L2_077</t>
  </si>
  <si>
    <t>L2_079</t>
  </si>
  <si>
    <t>entity:QNL_L2_081_GROUP_STUDY_ROOM</t>
  </si>
  <si>
    <t>L2_081</t>
  </si>
  <si>
    <t>L2_085</t>
  </si>
  <si>
    <t>entity:QNL_L2_087_AUDITORIUM_HIGH_LEVLEL_IN_CEILING_VOID</t>
  </si>
  <si>
    <t>L2_087</t>
  </si>
  <si>
    <t>AUDITORIUM_HIGH_LEVLEL_IN_CEILING_VOID</t>
  </si>
  <si>
    <t>L2-L-1_1</t>
  </si>
  <si>
    <t>L2-L-1_2</t>
  </si>
  <si>
    <t>L2-L-3</t>
  </si>
  <si>
    <t>L2-L-4</t>
  </si>
  <si>
    <t>L2-ST-01</t>
  </si>
  <si>
    <t>L2-ST-02</t>
  </si>
  <si>
    <t>entity:QNL_T1_020_OPEN_LOUNGE_TERRACE</t>
  </si>
  <si>
    <t>T1_020</t>
  </si>
  <si>
    <t>OPEN_LOUNGE_TERRACE</t>
  </si>
  <si>
    <t>entity:QNL_T1_021_OPEN_STUDY_TERRACE</t>
  </si>
  <si>
    <t>T1_021</t>
  </si>
  <si>
    <t>OPEN_STUDY_TERRACE</t>
  </si>
  <si>
    <t>entity:QNL_T1_323_IDF_ROOM</t>
  </si>
  <si>
    <t>T1_323</t>
  </si>
  <si>
    <t>entity:QNL_L1_144_ILL_DIRECTOR</t>
  </si>
  <si>
    <t>L1_144</t>
  </si>
  <si>
    <t>ILL_DIRECTOR</t>
  </si>
  <si>
    <t>entity:QNL_L1_150_RESTAURANT</t>
  </si>
  <si>
    <t>L1_150</t>
  </si>
  <si>
    <t>entity:QNL_T1_275_IDF_ROOM</t>
  </si>
  <si>
    <t>T1_275</t>
  </si>
  <si>
    <t>entity:QNL_T1_276_IDF_ROOM</t>
  </si>
  <si>
    <t>T1_276</t>
  </si>
  <si>
    <t>entity:QNL_T1_171_IDF_ROOM</t>
  </si>
  <si>
    <t>T1_171</t>
  </si>
  <si>
    <t>entity:QNL_T1_1714_IDF_ROOM</t>
  </si>
  <si>
    <t>T1_1714</t>
  </si>
  <si>
    <t>entity:QNL_L2_088_BRIDGE_RAISED_FLOOR</t>
  </si>
  <si>
    <t>L2_088</t>
  </si>
  <si>
    <t>BRIDGE_RAISED_FLOOR</t>
  </si>
  <si>
    <t>entity:QNL_B_140_HL_PLANT_ROOM</t>
  </si>
  <si>
    <t>B_140</t>
  </si>
  <si>
    <t>entity:QNL_B_105_SECURITY_CONTOL_ROOM</t>
  </si>
  <si>
    <t>B_105</t>
  </si>
  <si>
    <t>SECURITY_CONTOL_ROOM</t>
  </si>
  <si>
    <t>entity:QNL_B_212_MISTING_PUMP_ROOM</t>
  </si>
  <si>
    <t>B_212</t>
  </si>
  <si>
    <t>MISTING_PUMP_ROOM</t>
  </si>
  <si>
    <t>entity:QNL_L1_104_PRAYER_ROOM_FEMALE</t>
  </si>
  <si>
    <t>L1_104</t>
  </si>
  <si>
    <t>entity:QNL_B_001A_BREAK_OUT_AREA</t>
  </si>
  <si>
    <t>B_001A</t>
  </si>
  <si>
    <t>BREAK_OUT_AREA</t>
  </si>
  <si>
    <t>B_001</t>
  </si>
  <si>
    <t>entity:QNL_B_056_OFFICE_DIG_INIT</t>
  </si>
  <si>
    <t>B_056</t>
  </si>
  <si>
    <t>entity:QNL_B_057_OFFICE_AD_FOR_LIT</t>
  </si>
  <si>
    <t>B_057</t>
  </si>
  <si>
    <t>entity:QNL_B_59_SHELL_SPACE</t>
  </si>
  <si>
    <t>B_59</t>
  </si>
  <si>
    <t>entity:QNL_B_044_BOH_KITCHEN</t>
  </si>
  <si>
    <t>B_044</t>
  </si>
  <si>
    <t>BOH_KITCHEN</t>
  </si>
  <si>
    <t>entity:QNL_L1_023_CORRIDOR</t>
  </si>
  <si>
    <t>L1_023</t>
  </si>
  <si>
    <t>entity:QNL_B_061_CORRIDOR</t>
  </si>
  <si>
    <t>B_061</t>
  </si>
  <si>
    <t>entity:QNL_B_064_CORRIDOR_2</t>
  </si>
  <si>
    <t>B_064</t>
  </si>
  <si>
    <t>CORRIDOR_2</t>
  </si>
  <si>
    <t>entity:QNL_B_035_CORRIDOR_4</t>
  </si>
  <si>
    <t>B_035</t>
  </si>
  <si>
    <t>CORRIDOR_4</t>
  </si>
  <si>
    <t>entity:QNL_B_104A_PLANT_ROOM</t>
  </si>
  <si>
    <t>B_104A</t>
  </si>
  <si>
    <t>entity:QNL_B_052_CORRIDOR_3</t>
  </si>
  <si>
    <t>B_052</t>
  </si>
  <si>
    <t>CORRIDOR_3</t>
  </si>
  <si>
    <t>entity:QNL_L1_990_VESTIBULE</t>
  </si>
  <si>
    <t>L1_990</t>
  </si>
  <si>
    <t>entity:QNL_L1_991_EXTERNAL_BOOK_DROP</t>
  </si>
  <si>
    <t>L1_991</t>
  </si>
  <si>
    <t>EXTERNAL_BOOK_DROP</t>
  </si>
  <si>
    <t>entity:QNL_L2_992_GULF_MATERIAL</t>
  </si>
  <si>
    <t>L2_992</t>
  </si>
  <si>
    <t>GULF_MATERIAL</t>
  </si>
  <si>
    <t>entity:QNL_L2_993_CORRIDOR</t>
  </si>
  <si>
    <t>L2_993</t>
  </si>
  <si>
    <t>entity:QNL_B_001_TECH_SERVICES_AND_COLLECTIONS_OFFICE</t>
  </si>
  <si>
    <t>IDF ROOM T1.323</t>
  </si>
  <si>
    <t>ILL DIRECTOR L1.144</t>
  </si>
  <si>
    <t>ILL DIRECTOR L1.145</t>
  </si>
  <si>
    <t>IDF ROOM T1.275</t>
  </si>
  <si>
    <t>IDF ROOM T1.276</t>
  </si>
  <si>
    <t>IDF ROOM T1.171</t>
  </si>
  <si>
    <t>IDF ROOM T1.1714</t>
  </si>
  <si>
    <t>GULF MATERIAL L2</t>
  </si>
  <si>
    <t>BIBLIOGRAPHER 1 L1.081</t>
  </si>
  <si>
    <t>BIBLIOGRAPHER 2 L1.082</t>
  </si>
  <si>
    <t>TECHNICAL SERVICES B.203</t>
  </si>
  <si>
    <t>Asked me to confirm that all equipment in Controllable Asset Registry column A rows 779-1229 (QNL block) has been filtered and transposed into column D of 'QNL Room Names with Equip.', matching CAR column E to QNL column A, excluding assets with no value in column E.</t>
  </si>
  <si>
    <t>Read-only audit. Built the set of 451 QNL tags (CAR A779:A1229) with their column E entity, read every spilled value in QNL D2:AK1041, and reconciled the two sets both ways.</t>
  </si>
  <si>
    <t>451 tags, no duplicates. 2 have blank column E (VAV0001 row 931, VAV_B_S13_005 row 1134) - correctly excluded by rule, but they spill into QNL rows 338-1041 where column A is blank, because the FILTER test compares blank E to blank A and returns TRUE. 16 tags (VAV_B_S11_003 to _020, CAR rows 1086-1103) are missing entirely: CAR E reads entity:QNL_B_001_TECH_SERVICES_AND_COLLECTIONS_OFFICE while QNL A323 reads entity:QNL_B_001_TECH_SERVICES_&amp;_COLLECTIONS_OFFICE (AND vs &amp;). Remaining 433 tags all placed. All 1040 rows of column D carry the formula.</t>
  </si>
  <si>
    <t>Not fully confirmed: 433 of 449 eligible tags transposed. Awaiting user decision on (a) which spelling to standardise for the B.001 Tech Services room and (b) whether to stop the formula spilling into blank-column-A rows.</t>
  </si>
  <si>
    <t>TECH_SERVICES_AND_COLLECTIONS_OFFICE</t>
  </si>
  <si>
    <t>After editing QNL room names in A2:C337 and clearing rows 338 down, asked me to re-run the confirmation check.</t>
  </si>
  <si>
    <t>Re-ran the full two-way reconciliation of CAR A779:A1229 against the column D spills in 'QNL Room Names with Equip.', then spot-checked row 323 and the cleared tail rows.</t>
  </si>
  <si>
    <t>451 tags total, 449 eligible (2 blank-entity: VAV0001 row 931, VAV_B_S13_005 row 1134). All 449 eligible tags now found in column D - 0 missing. The AND vs &amp; mismatch is resolved: A323 now reads entity:QNL_B_001_TECH_SERVICES_AND_COLLECTIONS_OFFICE and returns its 16 VAVs (VAV_B_S11_003 to _020). The blank-entity leak is gone - column D formulas now stop at row 337 (336 rooms), and A338:E345 verified empty of both values and formulas. 172 of 336 rooms legitimately show 'No Equipment in entity'.</t>
  </si>
  <si>
    <t>Confirmed. QNL block fully reconciled: 449 of 449 eligible assets transposed, 2 correctly excluded for having no column E value, no spurious spill.</t>
  </si>
  <si>
    <t>ahu-8601</t>
  </si>
  <si>
    <t>BRIDGE CEILING VOID L1.BR6</t>
  </si>
  <si>
    <t>BRIDGE CEILING VOID L1.BR5</t>
  </si>
  <si>
    <t>BRIDGE CEILING VOID L1.BR4</t>
  </si>
  <si>
    <t>BRIDGE CEILING</t>
  </si>
  <si>
    <t>VOID L1.BR4</t>
  </si>
  <si>
    <t>BRIDGE CEILING VOID L1.BR3</t>
  </si>
  <si>
    <t>BRIDGE CEILING VOID L1.BR2</t>
  </si>
  <si>
    <t>BRIDGE CEILING VOID L1.BR1</t>
  </si>
  <si>
    <t>VOID L1.BR5</t>
  </si>
  <si>
    <t>BRIDGE IDF L1.BI</t>
  </si>
  <si>
    <t>entity:QNL_L1_BR6_BRIDGE_CEILING_VOID</t>
  </si>
  <si>
    <t>entity:QNL_L1_BR5_BRIDGE_CEILING_VOID</t>
  </si>
  <si>
    <t>entity:QNL_L1_BR4_BRIDGE_CEILING_VOID</t>
  </si>
  <si>
    <t>entity:QNL_L1_BC1_BRIDGE_CEILING</t>
  </si>
  <si>
    <t>entity:QNL_L1_BR3_BRIDGE_CEILING_VOID</t>
  </si>
  <si>
    <t>entity:QNL_L1_BR2_BRIDGE_CEILING_VOID</t>
  </si>
  <si>
    <t>entity:QNL_L1_BR1_BRIDGE_CEILING_VOID</t>
  </si>
  <si>
    <t>entity:QNL_L1_BC2_BRIDGE_CEILING</t>
  </si>
  <si>
    <t>entity:QNL_L1_BI_BRIDGE_IDF</t>
  </si>
  <si>
    <t>entity:QNL_L2_018_GROUP_STUDY_ROOM_8</t>
  </si>
  <si>
    <t>Room Number</t>
  </si>
  <si>
    <t>Room Name</t>
  </si>
  <si>
    <t>GROUP_STUDY_ROOM_8</t>
  </si>
  <si>
    <t>L1_BR6</t>
  </si>
  <si>
    <t>BRIDGE_CEILING_VOID</t>
  </si>
  <si>
    <t>L1_BR5</t>
  </si>
  <si>
    <t>L1_BR4</t>
  </si>
  <si>
    <t>L1_BR3</t>
  </si>
  <si>
    <t>L1_BR2</t>
  </si>
  <si>
    <t>L1_BR1</t>
  </si>
  <si>
    <t>L1_BC1</t>
  </si>
  <si>
    <t>BRIDGE_CEILING</t>
  </si>
  <si>
    <t>L1_BC2</t>
  </si>
  <si>
    <t>L1_BI</t>
  </si>
  <si>
    <t>BRIDGE_IDF</t>
  </si>
  <si>
    <t>Asked me to redo the validation exercise on the QNL equipment mapping.</t>
  </si>
  <si>
    <t>Re-ran the two-way reconciliation, found 5 newly added rooms had no formula in column D, and filled D337 down to D338:D342.</t>
  </si>
  <si>
    <t>Initial re-run showed 16 eligible tags unplaced across 5 entities (L2_992_GULF_MATERIAL, L2_993_CORRIDOR, L1_BC1_BRIDGE_CEILING, L1_BC2_BRIDGE_CEILING, L1_BI_BRIDGE_IDF). Cause was structural, not a name mismatch: rooms were added at rows 338-342 in column A but the TRANSPOSE(FILTER(...)) formula still stopped at row 337. Copied D337 into D338:D342 (destination was empty, no overwrite). Also checked for duplicate CAR tags, duplicate placements, tags landing in the wrong room row, and spill errors - none found.</t>
  </si>
  <si>
    <t>Resolved. 449 of 449 eligible tags now placed, 0 missing, 0 misplaced, 0 errors. Formula rows in D now 341, matching the 341 rooms in column A. New rows returned 6, 7, 1, 1 and 1 asset respectively.</t>
  </si>
  <si>
    <t>Uploaded a photo of the QNL Honeywell DX Unit Summary HMI page and asked to copy the room numbers in for the equipment in column A, rows 1230-1253.</t>
  </si>
  <si>
    <t>Mapped the 24 DX units on the HMI screen to rows 1230-1253 and wrote room numbers into column D (not C - see details). Wrote D1234:D1252 (16 cells); left 3 cells blank with explanatory notes.</t>
  </si>
  <si>
    <t>User said column C, but C is the 'Included/Not Included' flag column and D is 'ROOM NAME AS PER DRAWINGS' - D1230:D1233 and D1243 already held B.081/B.082 matching the HMI, confirming D is the right target. Mapping: B01/B02=B.081; B03/B04/B14=B.082; B05/B06=B.083; B07/B16=B.095; B08/B09=B.084; B10=B.102; B12/B23=B.107; B13/B15=B.093; B17/B18/B19=B.045A; B20=B.092; B22=B.106. DX_B11 (Basement Zone 5) has no room number on the HMI; DX_B21 and DX_B24 are DX/RP roof units (Zone C) with no room number - notes added instead of values.</t>
  </si>
  <si>
    <t>Verified by re-reading A1230:D1253 - all 24 rows populated except D1240, D1250, D1253 which are intentionally blank with notes. Column C left untouched.</t>
  </si>
  <si>
    <t>MV ROOM B.081</t>
  </si>
  <si>
    <t>TRANSFORMER ROOM B.082</t>
  </si>
  <si>
    <t>EMERGENCY LIGHTING BATTERY ROOM B.095</t>
  </si>
  <si>
    <t>SECURITY &amp; BMS B.102</t>
  </si>
  <si>
    <t>SECURITY EQUIPMENT ROOM B.107</t>
  </si>
  <si>
    <t>TRASH CHAMBER B.093</t>
  </si>
  <si>
    <t>STORAGE B.092</t>
  </si>
  <si>
    <t>QTEL ROOM B.048</t>
  </si>
  <si>
    <t>TELECOM ROOM B.050</t>
  </si>
  <si>
    <t>SERVER ROOM B.089</t>
  </si>
  <si>
    <t>IDF B.222</t>
  </si>
  <si>
    <t>Supplied a full QNL basement room name/number list and asked to prefix the room names before every room number already in column D, from row 1230 to the end of the QNL section.</t>
  </si>
  <si>
    <t>Determined QNL section spans rows 1230-1329 (row 1330 = SSC header). Populated names on 24 cells: D1230:D1252 (DX units) and D1301:D1311 (CCU units). Left 8 cells with bare room numbers and added explanatory notes.</t>
  </si>
  <si>
    <t>Format used: NAME + existing room number, e.g. 'MV ROOM B.081'. Only rows 1230-1253 and 1301-1311 held room numbers within the QNL block; all other QNL rows (HEX, EF, KEF, SEF, TEF, CHW pumps, generator) have empty column D so nothing to prefix. Unresolved: B.083 (rows 1234-1235) and B.045A (rows 1246-1248) do not appear in the supplied list; B.106 (row 1251) and B.141 (rows 1308-1309) each have two candidate names in the list. 'TRANSH CHAMBER B093' interpreted as TRASH CHAMBER. Rows 1240/1250/1253 hold Basement Zone 5 and ROOF ZONE C - no room number, left as-is.</t>
  </si>
  <si>
    <t>Verified by re-reading A1230:D1253 and A1301:D1311 - 24 cells now carry name + number; 8 flagged with notes pending user confirmation.</t>
  </si>
  <si>
    <t>HV ROOM B.083</t>
  </si>
  <si>
    <t>REST ROOM SECURITY B.106_RES</t>
  </si>
  <si>
    <t>VAULT_B.141_VAU</t>
  </si>
  <si>
    <t>ITTIGATION CONTROL ROOM B.046_ITT</t>
  </si>
  <si>
    <t>REFRIGERATE STORE B.045A</t>
  </si>
  <si>
    <t>Generator B.080</t>
  </si>
  <si>
    <t>Loading Room B.109</t>
  </si>
  <si>
    <t>Sprinklers Pumps B.072</t>
  </si>
  <si>
    <t>Plant Zone P.002</t>
  </si>
  <si>
    <t>Plant Zone P.004</t>
  </si>
  <si>
    <t>Plant Zone P.006</t>
  </si>
  <si>
    <t>Plant Zone P.007</t>
  </si>
  <si>
    <t>ELEC SHAFT L1.E2</t>
  </si>
  <si>
    <t>ELEC SHAFT L1.E1</t>
  </si>
  <si>
    <t>PLANT ROOM 2 B.070</t>
  </si>
  <si>
    <t>COMPACT SHELVING-MAIN COLLECTION B.120</t>
  </si>
  <si>
    <t>BREAKOUT AREA B.001A</t>
  </si>
  <si>
    <t>DIGITIZATION CENTER B.055</t>
  </si>
  <si>
    <t>Trash room B.093</t>
  </si>
  <si>
    <t>Fuel pump room B.091</t>
  </si>
  <si>
    <t>IDF ROOM B.214</t>
  </si>
  <si>
    <t>L-3 L1.L-3</t>
  </si>
  <si>
    <t>RESTAURANT L1.067</t>
  </si>
  <si>
    <t>MEP KITCHEN B.049</t>
  </si>
  <si>
    <t>PH PLANT B.211</t>
  </si>
  <si>
    <t>IDF Roof RP.001</t>
  </si>
  <si>
    <t>entity:QNL_B_083_HV_ROOM</t>
  </si>
  <si>
    <t>entity:QNL_B_045A_REFRIGERATE_STORE</t>
  </si>
  <si>
    <t>entity:QNL_P_004_PLANT_ZONE</t>
  </si>
  <si>
    <t>entity:QNL_B_055_DIGITIZATION_CENTER</t>
  </si>
  <si>
    <t>entity:QNL_B_214_IDF_ROOM</t>
  </si>
  <si>
    <t>entity:QNL_P_002_PLANT_ZONE</t>
  </si>
  <si>
    <t>entity:QNL_P_007_PLANT_ZONE</t>
  </si>
  <si>
    <t>entity:QNL_L1_067_RESTAURANT</t>
  </si>
  <si>
    <t>entity:QNL_P_006_PLANT_ZONE</t>
  </si>
  <si>
    <t>entity:QNL_L1-E2_ELEC_SHAFT</t>
  </si>
  <si>
    <t>entity:QNL_L1-E1_ELEC_SHAFT</t>
  </si>
  <si>
    <t>B_083</t>
  </si>
  <si>
    <t>HV_ROOM</t>
  </si>
  <si>
    <t>B_045A</t>
  </si>
  <si>
    <t>REFRIGERATE_STORE</t>
  </si>
  <si>
    <t>P_004</t>
  </si>
  <si>
    <t>PLANT_ZONE</t>
  </si>
  <si>
    <t>B_055</t>
  </si>
  <si>
    <t>DIGITIZATION_CENTER</t>
  </si>
  <si>
    <t>B_214</t>
  </si>
  <si>
    <t>P_002</t>
  </si>
  <si>
    <t>P_007</t>
  </si>
  <si>
    <t>L1_067</t>
  </si>
  <si>
    <t>P_006</t>
  </si>
  <si>
    <t>L1-E2</t>
  </si>
  <si>
    <t>ELEC_SHAFT</t>
  </si>
  <si>
    <t>L1-E1</t>
  </si>
  <si>
    <t>User asked to re-run the validation of the QNL room/equipment mapping.</t>
  </si>
  <si>
    <t>Re-audited 'Controllable Asset Registry' A779:A1329 against column D of 'QNL Room Names with Equip.'. Read-only; no changes made.</t>
  </si>
  <si>
    <t>Source range in the column D TRANSPOSE(FILTER(...)) formulas has widened since the earlier audit, from A779:A1229 to A779:A1329, and now carries an if_empty argument returning "No Equipment in entity". Rooms in column A run to row 353 (352 entities) with matching formulas in D2:D353. Audited against the widened range: 551 asset tags, 537 with a non-blank column E entity. Also checked CAR rows below 1329 - 271 further assets exist but all carry SSC_ prefixed entities (different building), so ending the range at 1329 is correct and no QNL assets are excluded.</t>
  </si>
  <si>
    <t>Clean. 537 of 537 eligible assets placed in the correct room row; 0 unplaced, 0 misplaced, 0 orphans, 0 spill errors, no duplicate tags or duplicate room entities. 14 blank-entity assets correctly excluded with no leakage. 154 rooms legitimately show "No Equipment in entity".</t>
  </si>
  <si>
    <t>ROOM NAME PER VAV / FCU LIST (WHERE DIFFERENT)</t>
  </si>
  <si>
    <t>SECURITY CONTROL RM B.003</t>
  </si>
  <si>
    <t>DOCKMASTER B.107</t>
  </si>
  <si>
    <t>HH SECURITY ROOM B.113</t>
  </si>
  <si>
    <t>FOOD STORAGE B.122</t>
  </si>
  <si>
    <t>FOOD STORAGE B.123</t>
  </si>
  <si>
    <t>SUPPORT SPACE LOADING B.015</t>
  </si>
  <si>
    <t>DRY WASTE STORAGE B.014</t>
  </si>
  <si>
    <t>WASTE BIN WASH UP B.124</t>
  </si>
  <si>
    <t>PRINT COPY ROOM G.031</t>
  </si>
  <si>
    <t>PRINT COPY ROOM G.017</t>
  </si>
  <si>
    <t>ESCAPE VESTIBULE 0.544</t>
  </si>
  <si>
    <t>ESCAPE VESTIBULE G.511</t>
  </si>
  <si>
    <t>PRINT COPY ROOM 1.112</t>
  </si>
  <si>
    <t>BRIDGE BR-2 2.701</t>
  </si>
  <si>
    <t>PRINT COPY ROOM 2.103</t>
  </si>
  <si>
    <t>LOUNGE 2.207</t>
  </si>
  <si>
    <t>FITNESS STUDIO 2.208</t>
  </si>
  <si>
    <t>OFFICE 2.209</t>
  </si>
  <si>
    <t>STAFF WAFTING ROOM 2.210</t>
  </si>
  <si>
    <t>BEAUTY SALON 2.211</t>
  </si>
  <si>
    <t>TREATMENT ROOM 2.212</t>
  </si>
  <si>
    <t>CHANGING ROOM 2.213</t>
  </si>
  <si>
    <t>TREATMENT ROOM 2.214</t>
  </si>
  <si>
    <t>TREATMENT ROOM 2.215</t>
  </si>
  <si>
    <t>RELAXATION 2.216</t>
  </si>
  <si>
    <t>RELAXATION 2.201</t>
  </si>
  <si>
    <t>TREATMENT ROOM 2.202</t>
  </si>
  <si>
    <t>TREATMENT ROOM 2.203</t>
  </si>
  <si>
    <t>TREATMENT ROOM 2.204</t>
  </si>
  <si>
    <t>CHANGING ROOM 2.205</t>
  </si>
  <si>
    <t>ENTRANCE 2.206</t>
  </si>
  <si>
    <t>LOBBY 2.603</t>
  </si>
  <si>
    <t>PLANT ROOM SE</t>
  </si>
  <si>
    <t>PRINT COPY ROOM 3.203</t>
  </si>
  <si>
    <t>PRINT COPY ROOM 3.103</t>
  </si>
  <si>
    <t>BRIDGE BR-3B 3.63</t>
  </si>
  <si>
    <t>BRIDGE BR-3</t>
  </si>
  <si>
    <t>PRINT COPY ROOM 04.202</t>
  </si>
  <si>
    <t>GSM ROOM 04.214</t>
  </si>
  <si>
    <t>BRIDGE BR-5 04.701</t>
  </si>
  <si>
    <t>BRIDGE BR-4 04.702</t>
  </si>
  <si>
    <t>BRIDGE BR-4 04.703</t>
  </si>
  <si>
    <t>PRINT COPY ROOM 04.110</t>
  </si>
  <si>
    <t>PRINT COPY ROOM 5.103</t>
  </si>
  <si>
    <t>BRIDGE BR-6 06.604</t>
  </si>
  <si>
    <t>BRIDGE BR-7 5.602</t>
  </si>
  <si>
    <t>BRIDGE BR-8 07.602</t>
  </si>
  <si>
    <t>PRINT COPY ROOM 06.104</t>
  </si>
  <si>
    <t>PRINT COPY ROOM 06.208</t>
  </si>
  <si>
    <t>PRINT COPY ROOM 7.101</t>
  </si>
  <si>
    <t>PRINT COPY ROOM 7.104</t>
  </si>
  <si>
    <t>IDF ROOM 01.512</t>
  </si>
  <si>
    <t>PRINT COPY ROOM 10.038</t>
  </si>
  <si>
    <t>PRINT COPY ROOM 10.014</t>
  </si>
  <si>
    <t>AV ROOM 10.111</t>
  </si>
  <si>
    <t>AV ROOM 11.101</t>
  </si>
  <si>
    <t>MCC HOUSING 01 12.002</t>
  </si>
  <si>
    <t>MCC HOUSING 02 12.002</t>
  </si>
  <si>
    <t>MCC HOUSING 03 12.003</t>
  </si>
  <si>
    <t>MCC HOUSING 04 12.003</t>
  </si>
  <si>
    <t>MCC HOUSING 05 12.004</t>
  </si>
  <si>
    <t>CSRR &amp; VSD ROOM 12</t>
  </si>
  <si>
    <t>AV ROOM IN VISITOR CENTER 09.112</t>
  </si>
  <si>
    <t>LOBBY B.103</t>
  </si>
  <si>
    <t>MALE BREAK ROOM B.110</t>
  </si>
  <si>
    <t>HH LOBBY B.116</t>
  </si>
  <si>
    <t>PR &amp; MARKET MANAGER G.011</t>
  </si>
  <si>
    <t>VISITORS CENT OFFICE G.014</t>
  </si>
  <si>
    <t>PR &amp; MARKET STAFF G.018</t>
  </si>
  <si>
    <t>PR &amp; MARKET STAFF G.019</t>
  </si>
  <si>
    <t>PR &amp; MARKET STAFF G.020</t>
  </si>
  <si>
    <t>PR &amp; MARKET STAFF G.021</t>
  </si>
  <si>
    <t>PR &amp; MARKET SECRETARY G.022</t>
  </si>
  <si>
    <t>CORRIDOR NE</t>
  </si>
  <si>
    <t>LOBBY NW</t>
  </si>
  <si>
    <t>AUDITORIUM STAIRS LOBBY G.006</t>
  </si>
  <si>
    <t>CORRIDOR SOUTH WEST SW</t>
  </si>
  <si>
    <t>PR &amp; MARKET STAFF G.030</t>
  </si>
  <si>
    <t>PR &amp; MARKET STAFF G.029</t>
  </si>
  <si>
    <t>PR &amp; MARKET DIR ENSUIT G.028</t>
  </si>
  <si>
    <t>E-TOWER LOBBY SE</t>
  </si>
  <si>
    <t>CONSULTANT SPACE TRAINEES G.108</t>
  </si>
  <si>
    <t>FINANCE PROFSTAFF 1.014</t>
  </si>
  <si>
    <t>FINANCE PROFSTAFF 1.015</t>
  </si>
  <si>
    <t>FINANCE DIRENSUIT 1.017</t>
  </si>
  <si>
    <t>FINANCE SECRETARY 1.021</t>
  </si>
  <si>
    <t>FINANCE SECRETARY 1.022</t>
  </si>
  <si>
    <t>FINANCE AUDITOR 1.023</t>
  </si>
  <si>
    <t>FINANCE AUDITOR 1.024</t>
  </si>
  <si>
    <t>FINANCE PROFSTAFF 1.025</t>
  </si>
  <si>
    <t>FINANCE PROFSTAFF 1.026</t>
  </si>
  <si>
    <t>FINANCE AUDITOR 1.027</t>
  </si>
  <si>
    <t>FINANCE CLERICAL SEC 1.001</t>
  </si>
  <si>
    <t>FINANCE MANAGERS 1.002</t>
  </si>
  <si>
    <t>FINANCE PROFSTAFF 1.006</t>
  </si>
  <si>
    <t>FINANCE CLERICAL PROFSTAFF 1.007</t>
  </si>
  <si>
    <t>VOID AREA, ROOM UNIT LOCATED @LVL 1 NORTH WEST AREA G.401</t>
  </si>
  <si>
    <t>FINANCE METTING ROOM 1.108</t>
  </si>
  <si>
    <t>COLSULTANT SPACE TRAINEES 1.109</t>
  </si>
  <si>
    <t>PRAYERS ROOM 1.105</t>
  </si>
  <si>
    <t>FINANCE SECURE ROOM 1.116</t>
  </si>
  <si>
    <t>CORRIDOR SOUTH WEST 1.602</t>
  </si>
  <si>
    <t>CORRIDOR SOUTH EAST SE</t>
  </si>
  <si>
    <t>CORRIDOR SOUTH EAST</t>
  </si>
  <si>
    <t>FINANCE SECURE STO 1.111</t>
  </si>
  <si>
    <t>STAFF CAFETERIA (WASHING ROOM) 01.705</t>
  </si>
  <si>
    <t>VOID AREA, ROOM UNIT LOCATED @LVL 1 NORTH EAST AREA NE CORE</t>
  </si>
  <si>
    <t>SUPP SERVICEDIR ENSUIT 2.018</t>
  </si>
  <si>
    <t>SUPP SERVICEADMINIST 2.019</t>
  </si>
  <si>
    <t>SUPPT SERVICEADMINIST 2.020</t>
  </si>
  <si>
    <t>SUPP SERVICEADMINIST 2.021</t>
  </si>
  <si>
    <t>SUPP SERVICESECRETARY 2.022</t>
  </si>
  <si>
    <t>SUPP SERVICEADMINIST 2.023</t>
  </si>
  <si>
    <t>SUPP SERVICEADMINIST 2.024</t>
  </si>
  <si>
    <t>SUPP SERVICEADMINIST 2.025</t>
  </si>
  <si>
    <t>SUPP SERVICESECRETARY 2.026</t>
  </si>
  <si>
    <t>SUPP SERVICEADMINIST 2.027</t>
  </si>
  <si>
    <t>SUPP SERVICEADMINIST 2.028</t>
  </si>
  <si>
    <t>SUPP SERVICEADMINIST 2.029</t>
  </si>
  <si>
    <t>SUPP SERVICESECRETARY 2.030</t>
  </si>
  <si>
    <t>SUPP SERVICEADMINIST 2.031</t>
  </si>
  <si>
    <t>SUPP SERVICEADMINIST 2.032</t>
  </si>
  <si>
    <t>SUPP SERVICEADMINIST 2.033</t>
  </si>
  <si>
    <t>SUPP SERVICESECRETARY 2.034</t>
  </si>
  <si>
    <t>SUPP SERVICEADMINIST 2.035</t>
  </si>
  <si>
    <t>SUPP SERVICEADMINIST 2.036</t>
  </si>
  <si>
    <t>SHELL SPACE 02.110</t>
  </si>
  <si>
    <t>SHELL SPACE 2.109</t>
  </si>
  <si>
    <t>SUPPSERVMEETING ROOM 2.108</t>
  </si>
  <si>
    <t>CONSULTANTS SPACE OTHERS 2.104</t>
  </si>
  <si>
    <t>CONSULTANTS SPACE OTHERS 2.102</t>
  </si>
  <si>
    <t>SUPPSERVSECRETARY 2.017</t>
  </si>
  <si>
    <t>SUPPSERVADMINIST 2.016</t>
  </si>
  <si>
    <t>SUPPSERVADMINIST 2.015</t>
  </si>
  <si>
    <t>SUPPSERVADMINIST 2.014</t>
  </si>
  <si>
    <t>SUPPSERVSECRETARY 2.013</t>
  </si>
  <si>
    <t>SUPPSERVADMINIST 2.012</t>
  </si>
  <si>
    <t>SUPPSERVADMINIST 2.011</t>
  </si>
  <si>
    <t>SUPPSERVADMINIST 2.010</t>
  </si>
  <si>
    <t>SUPPSERVSECRETARY 2.009</t>
  </si>
  <si>
    <t>DOHA DEBATE EXECUTIVE 2.008</t>
  </si>
  <si>
    <t>DOHA DEBATE EXECUTIVE 2.007</t>
  </si>
  <si>
    <t>DOHA DEBATE EXECUTIVE 2.006</t>
  </si>
  <si>
    <t>DOHA DEBATE EXECUTIVE 2.005</t>
  </si>
  <si>
    <t>DOHA DEBATE SECRETARY 2.004</t>
  </si>
  <si>
    <t>DOHA DEBATE EXECUTIVE 2.003</t>
  </si>
  <si>
    <t>DOHA DEBATE EXECUTIVE 2.002</t>
  </si>
  <si>
    <t>SHELL SPACE 02.101</t>
  </si>
  <si>
    <t>HR IMMIGSTAFF 3.017</t>
  </si>
  <si>
    <t>HR IMMIGSTAFF 3.018</t>
  </si>
  <si>
    <t>HR IMMIGSTAFF 3.019</t>
  </si>
  <si>
    <t>HR IMMIGSTAFF 3.020</t>
  </si>
  <si>
    <t>HR IMMIGSTAFF 3.021</t>
  </si>
  <si>
    <t>HR IMMIGSECRETARY 3.022</t>
  </si>
  <si>
    <t>HR IMMIGSTAFF 3.023</t>
  </si>
  <si>
    <t>HR IMMIGSTAFF 3.024</t>
  </si>
  <si>
    <t>HR IMMIGSTAFF 3.025</t>
  </si>
  <si>
    <t>HR IMMIGSTAFF 3.026</t>
  </si>
  <si>
    <t>HR IMMIGSTAFF 3.027</t>
  </si>
  <si>
    <t>HR IMMIGSTAFF 3.028</t>
  </si>
  <si>
    <t>HR IMMIGSTAFF 3.029</t>
  </si>
  <si>
    <t>HR IMMIGSTAFF 3.030</t>
  </si>
  <si>
    <t>HR IMMIGSTAFF 3.031</t>
  </si>
  <si>
    <t>HR IMMIGSTAFF 3.032</t>
  </si>
  <si>
    <t>SHELL SPACE 03.108</t>
  </si>
  <si>
    <t>SHELL SPACE 03.105</t>
  </si>
  <si>
    <t>HR IMMIGSECRETARY 3.104</t>
  </si>
  <si>
    <t>HR IMMIGSTAFF 3.012</t>
  </si>
  <si>
    <t>HR IMMIGSTAFF 3.013</t>
  </si>
  <si>
    <t>HR IMMIGSTAFF 3.014</t>
  </si>
  <si>
    <t>HR IMMIGSTAFF 3.015</t>
  </si>
  <si>
    <t>HR IMMIGSTAFF 3.016</t>
  </si>
  <si>
    <t>HR IMMIGSTAFF 3.003</t>
  </si>
  <si>
    <t>HR IMMIGSTAFF 3.004</t>
  </si>
  <si>
    <t>HR IMMIGSTAFF 3.005</t>
  </si>
  <si>
    <t>HR IMMIGSTAFF 3.006</t>
  </si>
  <si>
    <t>HR IMMIGSTAFF 3.007</t>
  </si>
  <si>
    <t>HR IMMIGSTAFF 3.008</t>
  </si>
  <si>
    <t>HR IMMIGSTORAGE 3.009</t>
  </si>
  <si>
    <t>HR IMMIGSTAFF 3.010</t>
  </si>
  <si>
    <t>HR IMMIGSTAFF 3.011</t>
  </si>
  <si>
    <t>SHELL SPACE 3.101</t>
  </si>
  <si>
    <t>HR IMMIGSTAFF 3.002</t>
  </si>
  <si>
    <t>CORRIDOR SW</t>
  </si>
  <si>
    <t>SHELL SPACE B 03.202B</t>
  </si>
  <si>
    <t>SHELL SPACE A 03.202A</t>
  </si>
  <si>
    <t>HR IMMIGIMMIGRATION 3.205</t>
  </si>
  <si>
    <t>HR IMMIGMANAGER 3.206</t>
  </si>
  <si>
    <t>HR IMMIGMANAGER 3.207</t>
  </si>
  <si>
    <t>HR IMMIGMANAGER 3.208</t>
  </si>
  <si>
    <t>HR IMMIGMANAGER 3.209</t>
  </si>
  <si>
    <t>HR IMMIG OFFICERS 3.210</t>
  </si>
  <si>
    <t>HR IMMIGMANAGER 3.211</t>
  </si>
  <si>
    <t>HR IMMIGSECRETARY 3.212</t>
  </si>
  <si>
    <t>HR IMMIGDIRENSUIT 3.213</t>
  </si>
  <si>
    <t>IT SECRETARY 3.214</t>
  </si>
  <si>
    <t>IT DIRECTOR ENSUIT 3.215</t>
  </si>
  <si>
    <t>PROC&amp; CONTRLSECRETARY 3.216</t>
  </si>
  <si>
    <t>PROC&amp; CONTRLDIRENSUIT 3.201</t>
  </si>
  <si>
    <t>HR IMMIGMEETING ROOM 3.301</t>
  </si>
  <si>
    <t>HR IMMIGMEETING ROOM 3.302</t>
  </si>
  <si>
    <t>STR PL DIR ENSUIT 04.005</t>
  </si>
  <si>
    <t>SHELL SPACE C 04.015C</t>
  </si>
  <si>
    <t>SHELL SPACE A 04.015A</t>
  </si>
  <si>
    <t>VP EDU STORGE 04.109</t>
  </si>
  <si>
    <t>STR PL DIR ARCHIVE ROOM 04.108</t>
  </si>
  <si>
    <t>STR PL DIR TECHNSTAFF 04.107</t>
  </si>
  <si>
    <t>STR PL DIREXECSECRETARY 04.003</t>
  </si>
  <si>
    <t>SHELL SPACE B 04.001B</t>
  </si>
  <si>
    <t>SHELL SPACE D 04.001D</t>
  </si>
  <si>
    <t>SHELL SPACE F 04.001F</t>
  </si>
  <si>
    <t>SHELL SPACE G 04.001G</t>
  </si>
  <si>
    <t>SHELL SPACE 04.102</t>
  </si>
  <si>
    <t>SHELL SPACE 04.101</t>
  </si>
  <si>
    <t>SHELL SPACE 04.201</t>
  </si>
  <si>
    <t>SHELL SPACE 04.204</t>
  </si>
  <si>
    <t>VP ADMN MANAGER 04.205</t>
  </si>
  <si>
    <t>VP ADMN MANAGER 04.206</t>
  </si>
  <si>
    <t>VP ADMN SUPPSECRET 04.208</t>
  </si>
  <si>
    <t>VP ADMN MANAGER 04.209</t>
  </si>
  <si>
    <t>VP ADMN MANAGER 04.210</t>
  </si>
  <si>
    <t>VP ADMN MANAGER 04.211</t>
  </si>
  <si>
    <t>VP ADMNPERSASSIST 04.212</t>
  </si>
  <si>
    <t>VP ADMNENSUIT 04.213</t>
  </si>
  <si>
    <t>VP ADMNMEETING ROOM 04.301</t>
  </si>
  <si>
    <t>CORRIDOR SE</t>
  </si>
  <si>
    <t>VP EDU OFCDIRENSUIT 5.012</t>
  </si>
  <si>
    <t>VP EDU SECRETARY 5.013</t>
  </si>
  <si>
    <t>VP EDU ASSISTANT 5.014</t>
  </si>
  <si>
    <t>VP EDU ASSISTANT 5.015</t>
  </si>
  <si>
    <t>VP EDU ASSISTANT 5.016</t>
  </si>
  <si>
    <t>VP EDU ASSISTANT 5.017</t>
  </si>
  <si>
    <t>VP EDU OFFICERS 5.018</t>
  </si>
  <si>
    <t>VP EDU OFFICERS 5.019</t>
  </si>
  <si>
    <t>VP EDU OFFICERS 5.020</t>
  </si>
  <si>
    <t>VP EDU OFFICERS 5.021</t>
  </si>
  <si>
    <t>VP EDU OFFICERS 5.022</t>
  </si>
  <si>
    <t>VP EDU OFFICERS 5.023</t>
  </si>
  <si>
    <t>VP EDU SECRETARY 5.024</t>
  </si>
  <si>
    <t>VP EDU OFCDIRENSUIT 5.025</t>
  </si>
  <si>
    <t>VP EDU ASSISTANT 5.026</t>
  </si>
  <si>
    <t>CORRIDOR -</t>
  </si>
  <si>
    <t>VP EDU OFFICERS 5.110</t>
  </si>
  <si>
    <t>VP EDU ASSISTANT 5.109</t>
  </si>
  <si>
    <t>VP EDU ASSISTANT 5.108</t>
  </si>
  <si>
    <t>VP EDU SUPPSECRETARIES 5.107</t>
  </si>
  <si>
    <t>VP EDU OFFDIRENSUIT 5.002</t>
  </si>
  <si>
    <t>VP EDU SECRETARY 5.003</t>
  </si>
  <si>
    <t>VP EDU MEMBERS OF EDU 5.201</t>
  </si>
  <si>
    <t>VP EDU MEMBERS OF EDU 5.202</t>
  </si>
  <si>
    <t>VP EDU MEMBERS OF EDU 5.203</t>
  </si>
  <si>
    <t>VP EDU MEETING ROOM 5.205</t>
  </si>
  <si>
    <t>VP EDU MEMBERS OF EDU 5.206</t>
  </si>
  <si>
    <t>VP EDU MEMBERS OF EDU 5.207</t>
  </si>
  <si>
    <t>VP EDU MEMBERS OF EDU 5.208</t>
  </si>
  <si>
    <t>VP EDU MEMBERS OF EDU 5.209</t>
  </si>
  <si>
    <t>VP EDU CHPEXECSECRET 5.211</t>
  </si>
  <si>
    <t>VP EDU MEMBERS OF EDU 5.212</t>
  </si>
  <si>
    <t>VP EDU OFCDIRENSUIT 5.213</t>
  </si>
  <si>
    <t>VP EDU OFFICERS 5.027</t>
  </si>
  <si>
    <t>INTAUDIT SENJNTAUD 06.012</t>
  </si>
  <si>
    <t>INTAUDIT SECRETARY 06.013</t>
  </si>
  <si>
    <t>ACA AUDIT SUPP AUDIT 06.014</t>
  </si>
  <si>
    <t>ACA AUDIT SUPP AUDIT 06.015</t>
  </si>
  <si>
    <t>ACA AUDIT SUPP AUDIT 06.016</t>
  </si>
  <si>
    <t>ACA AUDIT SUPP AUDIT 06.017</t>
  </si>
  <si>
    <t>ACA AUDIT SUPP AUDIT 06.018</t>
  </si>
  <si>
    <t>ACA AUDIT SUPP AUDIT 06.019</t>
  </si>
  <si>
    <t>ACA AUDIT SUPP AUDIT 06.020</t>
  </si>
  <si>
    <t>ACA AUDIT SECRETARY 06.021</t>
  </si>
  <si>
    <t>ACA AUDIT SECRETARY 06.022</t>
  </si>
  <si>
    <t>ACA AUDIT ACA SENAUD 06.023</t>
  </si>
  <si>
    <t>ACA AUDIT ACA SENAUD 06.024</t>
  </si>
  <si>
    <t>FACILITY MANAGER SEC 06.025</t>
  </si>
  <si>
    <t>FACILITY MANDIRENSUIT 06.026</t>
  </si>
  <si>
    <t>VP CAPITAL CONSULTANT 06.027</t>
  </si>
  <si>
    <t>VP CAPITAL CONSULTANT 06.028</t>
  </si>
  <si>
    <t>VP CAPITAL WORK ASST 06.109</t>
  </si>
  <si>
    <t>VP CAPITAL PROJCOOR 06.108</t>
  </si>
  <si>
    <t>INTAUDIT SUPPAUDIT 06.009</t>
  </si>
  <si>
    <t>INTAUDIT SECRETARY 06.010</t>
  </si>
  <si>
    <t>INTAUDIT SENJNTAUD 06.011</t>
  </si>
  <si>
    <t>INTAUDSUPPAUDIT 06.002</t>
  </si>
  <si>
    <t>INTAUDSUPPAUDIT 06.003</t>
  </si>
  <si>
    <t>INTAUDSUPPAUDIT 06.004</t>
  </si>
  <si>
    <t>INTAUDSUPPAUDIT 06.005</t>
  </si>
  <si>
    <t>INTAUDSUPPAUDIT 06.006</t>
  </si>
  <si>
    <t>INTAUDSUPPAUDIT 06.007</t>
  </si>
  <si>
    <t>INTAUDSUPPAUDIT 06.008</t>
  </si>
  <si>
    <t>SHELL SPACE 06.103</t>
  </si>
  <si>
    <t>SHELL SPACE 06.102</t>
  </si>
  <si>
    <t>SHELL SPACE 06.101</t>
  </si>
  <si>
    <t>ACA AUDIT ARCHIVE 06.001</t>
  </si>
  <si>
    <t>VP CAPITAL PROJMANAGER 06.201</t>
  </si>
  <si>
    <t>VP CAPITAL PROJMANAGER 06.202</t>
  </si>
  <si>
    <t>VP CAPITAL PROJMANAGER 06.204</t>
  </si>
  <si>
    <t>VP CAPITAL CONSULTANT 06.205</t>
  </si>
  <si>
    <t>VP CAPITAL SECRETARIES 06.207</t>
  </si>
  <si>
    <t>VP CAPITAL SECRETARIES 06.210</t>
  </si>
  <si>
    <t>VP CAPITAL SECRETARIES 06.211</t>
  </si>
  <si>
    <t>VP CAPITAL DIRENSUIT 06.212</t>
  </si>
  <si>
    <t>CORRIDOR 6.603</t>
  </si>
  <si>
    <t>CA SECRETARY 7.018</t>
  </si>
  <si>
    <t>BD UNIT SECRETARY 7.019</t>
  </si>
  <si>
    <t>BD UNIT EXECUTIVE 7.020</t>
  </si>
  <si>
    <t>BD UNIT EXECUTIVE 7.021</t>
  </si>
  <si>
    <t>BD UNIT EXECUTIVE 7.022</t>
  </si>
  <si>
    <t>BD UNIT EXECUTIVE 7.023</t>
  </si>
  <si>
    <t>BD UNIT EXECUTIVE 7.024</t>
  </si>
  <si>
    <t>BD UNIT EXECUTIVE 7.025</t>
  </si>
  <si>
    <t>BD UNIT EXECUTIVE 7.026</t>
  </si>
  <si>
    <t>BD UNIT EXECUTIVE 7.027</t>
  </si>
  <si>
    <t>BD UNIT EXECUTIVE 7.028</t>
  </si>
  <si>
    <t>SHELL SPACE 7.030</t>
  </si>
  <si>
    <t>SHELL SPACE 7.031A</t>
  </si>
  <si>
    <t>CORRIDOR 7.601</t>
  </si>
  <si>
    <t>SHELL SPACE 7.032</t>
  </si>
  <si>
    <t>DOCS UNIT EMPLOYEE 07.001</t>
  </si>
  <si>
    <t>DOCS UNIT MULTIMEDIA STU 07.002</t>
  </si>
  <si>
    <t>DOCS UNIT EMPLOYEE 7.003</t>
  </si>
  <si>
    <t>DOCS UNIT EMPLOYEE 7.004</t>
  </si>
  <si>
    <t>DOCS UNIT EMPLOYEE 7.005</t>
  </si>
  <si>
    <t>DOCS UNIT EMPLOYEE 7.006</t>
  </si>
  <si>
    <t>PRESIDENT EXECOFF 7.202</t>
  </si>
  <si>
    <t>PRESSEXECOFFICE 7.204</t>
  </si>
  <si>
    <t>PRESSEXECOFFICE 07.206</t>
  </si>
  <si>
    <t>PRESSEXECOFFICE 7.205</t>
  </si>
  <si>
    <t>PRESSSUPPSECRET 7.208</t>
  </si>
  <si>
    <t>PRESSEXECSECRET 7.209</t>
  </si>
  <si>
    <t>PRESSEXECSECRET 7.210</t>
  </si>
  <si>
    <t>PRESSIDENT ENSUIT 7.211</t>
  </si>
  <si>
    <t>PRESSIDENT MEETINF RM 7.212</t>
  </si>
  <si>
    <t>VICE CHAIRPENSUIT 7.213</t>
  </si>
  <si>
    <t>VICE CHAIRPSECT 7.214</t>
  </si>
  <si>
    <t>VICE CHAIRPMEETING RM 7.215</t>
  </si>
  <si>
    <t>E-TOWER CORRIDOR 06.301</t>
  </si>
  <si>
    <t>VISITORS CENTER CORRIDOR 08.201</t>
  </si>
  <si>
    <t>BMO EXECASSIST 9.011</t>
  </si>
  <si>
    <t>BMO EXECASSIST 9.012</t>
  </si>
  <si>
    <t>BMO EXECASSIST 9.013</t>
  </si>
  <si>
    <t>BMO EXECASSIST 9.014</t>
  </si>
  <si>
    <t>BMO EXECASSIST 9.015</t>
  </si>
  <si>
    <t>BMO EXECASSIST 9.016</t>
  </si>
  <si>
    <t>BMO EXECASSIST 9.017</t>
  </si>
  <si>
    <t>BMO EXECSECRET 9.018</t>
  </si>
  <si>
    <t>BMO EXECSECRET 9.019</t>
  </si>
  <si>
    <t>BMO EXECSECRET 9.020</t>
  </si>
  <si>
    <t>BMO OPERDIRENSUIT 9.021</t>
  </si>
  <si>
    <t>BMO EXECASSIST 9.022</t>
  </si>
  <si>
    <t>BMO EXECSECRET 9.023</t>
  </si>
  <si>
    <t>BMO EXECSECRET 9.024</t>
  </si>
  <si>
    <t>BMO EXECSECRET 9.025</t>
  </si>
  <si>
    <t>BMO SUPPSECRET 9.026</t>
  </si>
  <si>
    <t>BMO SUPPSECRET 9.027</t>
  </si>
  <si>
    <t>BMO SUPPSECRET 9.028</t>
  </si>
  <si>
    <t>BMO SUPPSECRET 9.029</t>
  </si>
  <si>
    <t>BMO SUPPSECRET 9.030</t>
  </si>
  <si>
    <t>BMO PRINT STORAGE 9.032</t>
  </si>
  <si>
    <t>HR EDUADVADVENSUIT 9.033</t>
  </si>
  <si>
    <t>HR EDUADVADVENSUIT 9.034</t>
  </si>
  <si>
    <t>HR EDUADVADVENSUIT 9.035</t>
  </si>
  <si>
    <t>BOD SECRETARY 9.037</t>
  </si>
  <si>
    <t>BOD SECRETARY 9.038</t>
  </si>
  <si>
    <t>HH-WING CORRIDOR SW</t>
  </si>
  <si>
    <t>BMO SAFE ROOM 9.040</t>
  </si>
  <si>
    <t>LOUNGE NW</t>
  </si>
  <si>
    <t>OUTSIDE SHEIKA WING DINING AREA 9.110</t>
  </si>
  <si>
    <t>SHEIKA WING DINING AREA SE</t>
  </si>
  <si>
    <t>OUTSIDE SHEIKA WING DINING AREA 9.11</t>
  </si>
  <si>
    <t>SHEIKA WING ARCHIVE 10.005</t>
  </si>
  <si>
    <t>EXECDIRARCH COORD 10.006</t>
  </si>
  <si>
    <t>EXECDIRARCH COORD 10.007</t>
  </si>
  <si>
    <t>PROTOCOL DIRSCHEDOFF 10.008</t>
  </si>
  <si>
    <t>PROTOCOL DIRCEREMOFF 10.009</t>
  </si>
  <si>
    <t>PROTOCOL DIRCEREMOFF 10.010</t>
  </si>
  <si>
    <t>PROTOCOL DIRCEREMOFF 10.011</t>
  </si>
  <si>
    <t>PROTOCOL DIRTR/VISOFF 10.012</t>
  </si>
  <si>
    <t>PROTOCOL DIRTR/VISOFF 10.013</t>
  </si>
  <si>
    <t>PROTOCOL DIRSCHEDOFF 10.015</t>
  </si>
  <si>
    <t>PLANDIRPLANNING ANAL 10.016</t>
  </si>
  <si>
    <t>PLANDIRSTRATPLNER 10.017</t>
  </si>
  <si>
    <t>PLANNINGDIREXTCOORD 10.018</t>
  </si>
  <si>
    <t>POLICY DIRSEN POLANA 10.019</t>
  </si>
  <si>
    <t>POLICY DIRSEN RES ANA 10.020</t>
  </si>
  <si>
    <t>POLICY DIR RESEARCH ANA 10.021</t>
  </si>
  <si>
    <t>POLICY DIR RESEARCH ANA 10.022</t>
  </si>
  <si>
    <t>SHSERVDIRHR OFFICER 10.023</t>
  </si>
  <si>
    <t>SHSERVDIRHR ASSISTANT 10.024</t>
  </si>
  <si>
    <t>SHSERVDIRPROC REPRE 10.025</t>
  </si>
  <si>
    <t>SHSERVDIRSRVCE COORD 10.026</t>
  </si>
  <si>
    <t>SHSERVDIRGENSERVSUPERV 10.027</t>
  </si>
  <si>
    <t>SHSERVDIRFINANCE CONTROL 10.028</t>
  </si>
  <si>
    <t>SHSERVDIRTR&amp;GUSERV 10.029</t>
  </si>
  <si>
    <t>COMMUNICDIRCOMM DESIGR 10.031</t>
  </si>
  <si>
    <t>COMMUNICDIRSPEECH EDITR 10.032</t>
  </si>
  <si>
    <t>COMMUNICDIR TRANSLATOR 10.033</t>
  </si>
  <si>
    <t>COMMUNICDIRPUBCOMMCOORD 10.034</t>
  </si>
  <si>
    <t>SHSERVDIRIT SUPPOFCR 10.035</t>
  </si>
  <si>
    <t>SHSERVDIRACCOUNT 10.036</t>
  </si>
  <si>
    <t>SHSERVDIRSENACCOUNT 10.037</t>
  </si>
  <si>
    <t>BOARD RMWAITING AREA 10.003</t>
  </si>
  <si>
    <t>EXECDIRARCH COORD 10.004</t>
  </si>
  <si>
    <t>BOARD PREPROOM 10.109</t>
  </si>
  <si>
    <t>TRANSLATER ROOM 10.112</t>
  </si>
  <si>
    <t>CORRIDOR 10.601</t>
  </si>
  <si>
    <t>CORRIDO 10.102</t>
  </si>
  <si>
    <t>SHELL SPACE E 10.002E</t>
  </si>
  <si>
    <t>SHELL SPACE C 10.002D</t>
  </si>
  <si>
    <t>SHELL SPACE B 10.002C</t>
  </si>
  <si>
    <t>SHELL SPACE A 10.002A</t>
  </si>
  <si>
    <t>PLANNING DIR DIR PLANNING 11.012</t>
  </si>
  <si>
    <t>EXECDIRCORRF -UP 11.013</t>
  </si>
  <si>
    <t>EXECDIRCORRMANAGER 11.014</t>
  </si>
  <si>
    <t>EXECDIRCORRF-UP 11.015</t>
  </si>
  <si>
    <t>EXECDIRLEGAL ASSIST 11.016</t>
  </si>
  <si>
    <t>EXECDIRLEGAL ADVISOR 11.017</t>
  </si>
  <si>
    <t>EXECDIREXECASSIST 11.018</t>
  </si>
  <si>
    <t>EXECDIRDEPEXECDIRECTOR 11.019</t>
  </si>
  <si>
    <t>EXECDIREXECASSIST 11.020</t>
  </si>
  <si>
    <t>EXECDIREXECDIRECTOR 11.021</t>
  </si>
  <si>
    <t>SHEIKA WING WAITING ROOM 11.022</t>
  </si>
  <si>
    <t>SHEIKA WING SECURITY ROOM 11.023</t>
  </si>
  <si>
    <t>COMMUNICATION DIRECTOR 11.001</t>
  </si>
  <si>
    <t>COMMUDIRMEDRELOFFICER 11.002</t>
  </si>
  <si>
    <t>SHSERV DIR SHARED SERV 11.003</t>
  </si>
  <si>
    <t>EXECDIRECTOR ADMASSIST 11.004</t>
  </si>
  <si>
    <t>PROTOCOL DIRPROTCL DIR 11.005</t>
  </si>
  <si>
    <t>PROTOCOL DIRGIFTS DIR 11.006</t>
  </si>
  <si>
    <t>EXECDIRCONSULTANT 11.008</t>
  </si>
  <si>
    <t>SECRETARY 11.009</t>
  </si>
  <si>
    <t>POLICY DIROF POL &amp; RES 11.010</t>
  </si>
  <si>
    <t>SHEIKA WING WAITING AREA NW</t>
  </si>
  <si>
    <t>SHEIKA WING WAITING AREA 11.103</t>
  </si>
  <si>
    <t>SHEIKA WING LOBBY 11.201</t>
  </si>
  <si>
    <t>SHEIKHA WING SHEIKHA EN 11.208</t>
  </si>
  <si>
    <t>LEVEL / VISITOR CENTER 09</t>
  </si>
  <si>
    <t>FEMALE BREAK ROOM B.109</t>
  </si>
  <si>
    <t>SHELL SPACE B 04.015B</t>
  </si>
  <si>
    <t>SHELL SPACE A 04.001A</t>
  </si>
  <si>
    <t>SHELL SPACE E 04.001E</t>
  </si>
  <si>
    <t>SHELL SPACE C 04.001C</t>
  </si>
  <si>
    <t>SHELL SPACE H 04.001H</t>
  </si>
  <si>
    <t>SHELL SPACE D 10.002B</t>
  </si>
  <si>
    <t>EXECDIRCONSULTANT 11.007</t>
  </si>
  <si>
    <t>SHEIKA WING CORRIDOR NE</t>
  </si>
  <si>
    <t>SPRINKLER &amp; WATER RM B.016</t>
  </si>
  <si>
    <t>BMS B.039</t>
  </si>
  <si>
    <t>A/V ROOM 1.008</t>
  </si>
  <si>
    <t>AIR LOCK 1.034</t>
  </si>
  <si>
    <t>AIR LOCK 1.011</t>
  </si>
  <si>
    <t>PRINTING ROOM 2 03.033</t>
  </si>
  <si>
    <t>SHELL SPACE NW 01.014</t>
  </si>
  <si>
    <t>SHELL SPACE SW 01.015</t>
  </si>
  <si>
    <t>CORRIDORS SE 01.024</t>
  </si>
  <si>
    <t>SHELL SPACE E 01.029</t>
  </si>
  <si>
    <t>CORRIDORS W 01.013</t>
  </si>
  <si>
    <t>OPEN OFFICE BELOW SKYLIGHT 01.003</t>
  </si>
  <si>
    <t>CORRIDORS S 01.001</t>
  </si>
  <si>
    <t>SHELL SPACE S 01.002</t>
  </si>
  <si>
    <t>PRINTING ROOM SHELL SPACE 01.016</t>
  </si>
  <si>
    <t>CORRIDORS SW 01.018</t>
  </si>
  <si>
    <t>IDF 01.027 &amp; 39</t>
  </si>
  <si>
    <t>CORRIDOR CENTRAL 01.004</t>
  </si>
  <si>
    <t>CORRIDORS E 01.028</t>
  </si>
  <si>
    <t>ABLUTION ROOMS 01.020 &amp; 23</t>
  </si>
  <si>
    <t>A/V RM 1.008</t>
  </si>
  <si>
    <t>CORRIDOR AUDITORIUM W 01.010</t>
  </si>
  <si>
    <t>CORRIDOR AUDITORIUM E 01.035</t>
  </si>
  <si>
    <t>STUDY LIBRARY AREA UNDER SKYLIGHT AND CORRIDORS N 03.034</t>
  </si>
  <si>
    <t>GENERAL OFFICE AREA 03.032</t>
  </si>
  <si>
    <t>entity:HQ_5.202_PRINT_COPY</t>
  </si>
  <si>
    <t>B.013 CHILLED WATER</t>
  </si>
  <si>
    <t>B.014 VENT PLANT</t>
  </si>
  <si>
    <t>B.008 VENT PLANT</t>
  </si>
  <si>
    <t>B.016 SPRINKLER AND WATER</t>
  </si>
  <si>
    <t>B.025 MAIN SEC CONTROL ROOM</t>
  </si>
  <si>
    <t>B.030 CORRIDOR</t>
  </si>
  <si>
    <t>01.027 IDF-1</t>
  </si>
  <si>
    <t>01.039 IDF-2</t>
  </si>
  <si>
    <t>01.013 CORRIDOR</t>
  </si>
  <si>
    <t>B.015 ENTRANCE</t>
  </si>
  <si>
    <t>01.014 SHELL SPACE</t>
  </si>
  <si>
    <t>01.015 SHELL SPACE</t>
  </si>
  <si>
    <t>01.024 CORRIDOR</t>
  </si>
  <si>
    <t>01.002 SHELL SPACE</t>
  </si>
  <si>
    <t>01.019 PRAYER ROOM</t>
  </si>
  <si>
    <t>01.029 SHELL SPACE</t>
  </si>
  <si>
    <t>01.003 OPEN SPACE</t>
  </si>
  <si>
    <t>01.016 SHELL SPACE</t>
  </si>
  <si>
    <t>01.018 CORRIDOR</t>
  </si>
  <si>
    <t>01.025 MALE TOILET</t>
  </si>
  <si>
    <t>01.028 CORRIDOR</t>
  </si>
  <si>
    <t>02.006 CONFERENCE ROOM</t>
  </si>
  <si>
    <t>02.005 EXECUTIVE CONFERENCE ROOM</t>
  </si>
  <si>
    <t>02.002 LOBBY</t>
  </si>
  <si>
    <t>02.003 CORRIDOR</t>
  </si>
  <si>
    <t>03.015 RESEARCHER OFFICE</t>
  </si>
  <si>
    <t>03.014 VISITORS CUBIDE</t>
  </si>
  <si>
    <t>03.013 RESEARCHER OFFICE</t>
  </si>
  <si>
    <t>03.012 RESEARCHER OFFICE</t>
  </si>
  <si>
    <t>03.011 VISITORS CUBIDE</t>
  </si>
  <si>
    <t>03.010 RESEARCHER OFFICE</t>
  </si>
  <si>
    <t>03.009 RESEARCHER OFFICE</t>
  </si>
  <si>
    <t>03.008 VISITORS CUBIDE</t>
  </si>
  <si>
    <t>03.007 OPERATIONS MANAGERS</t>
  </si>
  <si>
    <t>03.006A ROOM</t>
  </si>
  <si>
    <t>03.032 GENERAL OFFICE AREA</t>
  </si>
  <si>
    <t>03.031 ASSOC.DIR OFFICE</t>
  </si>
  <si>
    <t>03.030 ASSOC.DIR MEETING ROOM</t>
  </si>
  <si>
    <t>03.029 RESEARCHER OFFICE</t>
  </si>
  <si>
    <t>03.028 VISITORS CUBIDE</t>
  </si>
  <si>
    <t>03.027 RESEARCHER OFFICE</t>
  </si>
  <si>
    <t>03.026 MEETING ROOM</t>
  </si>
  <si>
    <t>03.025 SECRETARIAL AREA</t>
  </si>
  <si>
    <t>03.024 VISITORS CUBIDE</t>
  </si>
  <si>
    <t>03.023 RESEARCHER OFFICE</t>
  </si>
  <si>
    <t>03.022 RESEARCHER OFFICE</t>
  </si>
  <si>
    <t>03.021 VISITORS CUBIDE</t>
  </si>
  <si>
    <t>03.020 RESEARCHER OFFICE</t>
  </si>
  <si>
    <t>03.019 IT MANAGERS OFFICE</t>
  </si>
  <si>
    <t>03.018 VISITORS CUBIDE</t>
  </si>
  <si>
    <t>03.017 RESEARCHER OFFICE</t>
  </si>
  <si>
    <t>entity:SSC_01_029_ROOM_NO_43</t>
  </si>
  <si>
    <t>entity:SSC_01_029_ROOM_NO_44</t>
  </si>
  <si>
    <t>ROOM PER BMS SCREEN</t>
  </si>
  <si>
    <t>G.531 IDF ROOM</t>
  </si>
  <si>
    <t>G.031 COPY PRINT</t>
  </si>
  <si>
    <t>G.005 CONTROL CENTER</t>
  </si>
  <si>
    <t>3.405 MALE TOILET</t>
  </si>
  <si>
    <t>3.401 MALE TOILET</t>
  </si>
  <si>
    <t>3.204 PANTRY</t>
  </si>
  <si>
    <t>4.202 PRINT COPY</t>
  </si>
  <si>
    <t>4.214 GSM ROOM</t>
  </si>
  <si>
    <t>B.512 IDF ROOM</t>
  </si>
  <si>
    <t>1.114 STAFF LOUNGE STORAGE</t>
  </si>
  <si>
    <t>11.110 ELECTRIC CLOSET</t>
  </si>
  <si>
    <t>SOUTH WEST CORRIDOR</t>
  </si>
  <si>
    <t>B.004 STAFF ENTRANCE</t>
  </si>
  <si>
    <t>G.008 CONTROL ROOM</t>
  </si>
  <si>
    <t>G.010 PR &amp; MARKET STAFF</t>
  </si>
  <si>
    <t>G.011 PR &amp; MARKET MANAG.</t>
  </si>
  <si>
    <t>G.012 PR &amp; MARKET STAFF</t>
  </si>
  <si>
    <t>G.014 VISITOR OFFICE</t>
  </si>
  <si>
    <t>G.015 PR &amp; MARKET STAFF</t>
  </si>
  <si>
    <t>G.018 PR &amp; MARKET STAFF</t>
  </si>
  <si>
    <t>G.019 PR &amp; MARKET STAFF</t>
  </si>
  <si>
    <t>G.020 PR &amp; MARKET STAFF</t>
  </si>
  <si>
    <t>G.021 PR &amp; MARKET STAFF</t>
  </si>
  <si>
    <t>G.022 PR &amp; MARKET SECRETARY</t>
  </si>
  <si>
    <t>G.601 CORRIDOR</t>
  </si>
  <si>
    <t>G.105 SHOP</t>
  </si>
  <si>
    <t>G.104 LOBBY</t>
  </si>
  <si>
    <t>G.029 PR &amp; MARKET STAFF</t>
  </si>
  <si>
    <t>G.028 PR &amp; MARKET DIR. ENSUIT</t>
  </si>
  <si>
    <t>G.107 E-TOWER LOBBY</t>
  </si>
  <si>
    <t>G.101 CONFERENCE ROOM</t>
  </si>
  <si>
    <t>G.108 CONSULTANT SPACE</t>
  </si>
  <si>
    <t>1.101 STAFF LOUNGE</t>
  </si>
  <si>
    <t>1.706 WASHING AREA</t>
  </si>
  <si>
    <t>11.208 SHEIKHA WING SHEIKHA ENSUIT</t>
  </si>
  <si>
    <t>B.116 LOBBY</t>
  </si>
  <si>
    <t>G.013 PR &amp; MARKET STAFF</t>
  </si>
  <si>
    <t>03.041</t>
  </si>
  <si>
    <t>G.103 BMS ROOM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</si>
</sst>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yyyy\-mm\-dd\ h:mm:ss"/>
  </numFmts>
  <fonts count="19" x14ac:knownFonts="1">
    <font>
      <sz val="11"/>
      <color theme="1"/>
      <name val="Calibri"/>
      <family val="2"/>
      <charset val="1"/>
    </font>
    <font>
      <b/>
      <sz val="15"/>
      <color rgb="FFFFFFFF"/>
      <name val="Arial"/>
      <family val="2"/>
    </font>
    <font>
      <b/>
      <sz val="9"/>
      <color rgb="FFFFFFFF"/>
      <name val="Arial"/>
      <family val="2"/>
    </font>
    <font>
      <sz val="9"/>
      <name val="Arial"/>
      <family val="2"/>
    </font>
    <font>
      <b/>
      <sz val="10"/>
      <color rgb="FFFFFFFF"/>
      <name val="Arial"/>
      <family val="2"/>
    </font>
    <font>
      <b/>
      <sz val="9"/>
      <name val="Arial"/>
      <family val="2"/>
    </font>
    <font>
      <sz val="9"/>
      <name val="Arial"/>
      <family val="2"/>
    </font>
    <font>
      <b/>
      <sz val="9"/>
      <name val="Arial"/>
      <family val="2"/>
    </font>
    <font>
      <b/>
      <sz val="11"/>
      <color theme="1"/>
      <name val="Calibri"/>
      <family val="2"/>
    </font>
    <font>
      <b/>
      <sz val="11"/>
      <color rgb="FF000000"/>
      <name val="Calibri"/>
      <family val="2"/>
    </font>
    <font>
      <b/>
      <sz val="11"/>
      <color rgb="FFFFFFFF"/>
      <name val="Calibri"/>
      <family val="2"/>
      <charset val="1"/>
    </font>
    <font>
      <sz val="11"/>
      <color rgb="FFFF0000"/>
      <name val="Calibri"/>
      <family val="2"/>
      <charset val="1"/>
    </font>
    <font>
      <sz val="11"/>
      <color rgb="FF000000"/>
      <name val="Calibri"/>
      <family val="2"/>
      <charset val="1"/>
    </font>
    <font>
      <b/>
      <sz val="9"/>
      <color rgb="FF000000"/>
      <name val="Segoe UI"/>
      <family val="2"/>
    </font>
    <font>
      <sz val="9"/>
      <name val="Segoe UI"/>
      <family val="2"/>
    </font>
    <font>
      <sz val="8"/>
      <name val="Calibri"/>
      <family val="2"/>
      <charset val="1"/>
    </font>
    <font>
      <b/>
      <sz val="12"/>
      <color theme="1"/>
      <name val="Calibri"/>
      <family val="2"/>
      <charset val="1"/>
    </font>
    <font>
      <sz val="9"/>
      <color indexed="81"/>
      <name val="Tahoma"/>
      <family val="2"/>
    </font>
    <font>
      <b/>
      <sz val="9"/>
      <color indexed="81"/>
      <name val="Tahoma"/>
      <family val="2"/>
    </font>
  </fonts>
  <fills count="18">
    <fill>
      <patternFill patternType="none"/>
    </fill>
    <fill>
      <patternFill patternType="gray125"/>
    </fill>
    <fill>
      <patternFill patternType="solid">
        <fgColor rgb="FF1F4E79"/>
        <bgColor rgb="FF003366"/>
      </patternFill>
    </fill>
    <fill>
      <patternFill patternType="solid">
        <fgColor rgb="FF2E75B6"/>
        <bgColor rgb="FF0066CC"/>
      </patternFill>
    </fill>
    <fill>
      <patternFill patternType="solid">
        <fgColor rgb="FFFFFFFF"/>
        <bgColor rgb="FFF5F5F5"/>
      </patternFill>
    </fill>
    <fill>
      <patternFill patternType="solid">
        <fgColor rgb="FFF5F5F5"/>
        <bgColor rgb="FFFFFFFF"/>
      </patternFill>
    </fill>
    <fill>
      <patternFill patternType="solid">
        <fgColor theme="0" tint="-0.499984740745262"/>
        <bgColor indexed="64"/>
      </patternFill>
    </fill>
    <fill>
      <patternFill patternType="solid">
        <fgColor rgb="FF808080"/>
        <bgColor rgb="FF000000"/>
      </patternFill>
    </fill>
    <fill>
      <patternFill patternType="solid">
        <fgColor rgb="FF1F4E79"/>
        <bgColor indexed="64"/>
      </patternFill>
    </fill>
    <fill>
      <patternFill patternType="solid">
        <fgColor rgb="FFFFFF00"/>
        <bgColor indexed="64"/>
      </patternFill>
    </fill>
    <fill>
      <patternFill patternType="solid">
        <fgColor theme="0"/>
        <bgColor indexed="64"/>
      </patternFill>
    </fill>
    <fill>
      <patternFill patternType="solid">
        <fgColor rgb="FFC8C8C8"/>
        <bgColor rgb="FF000000"/>
      </patternFill>
    </fill>
    <fill>
      <patternFill patternType="solid">
        <fgColor rgb="FFFFFF00"/>
        <bgColor rgb="FFFFFF00"/>
      </patternFill>
    </fill>
    <fill>
      <patternFill patternType="solid">
        <fgColor rgb="FF00B050"/>
        <bgColor indexed="64"/>
      </patternFill>
    </fill>
    <fill>
      <patternFill patternType="solid">
        <fgColor rgb="FFC00000"/>
        <bgColor indexed="64"/>
      </patternFill>
    </fill>
    <fill>
      <patternFill patternType="solid">
        <fgColor rgb="FF00B050"/>
        <bgColor rgb="FFFFFF00"/>
      </patternFill>
    </fill>
    <fill>
      <patternFill patternType="solid">
        <fgColor rgb="FFFF0000"/>
        <bgColor indexed="64"/>
      </patternFill>
    </fill>
    <fill>
      <patternFill patternType="solid">
        <fgColor rgb="FFADD8E6"/>
        <bgColor indexed="64"/>
      </patternFill>
    </fill>
  </fills>
  <borders count="11">
    <border>
      <left/>
      <right/>
      <top/>
      <bottom/>
      <diagonal/>
    </border>
    <border>
      <left style="thin">
        <color rgb="FFBFBFBF"/>
      </left>
      <right style="thin">
        <color rgb="FFBFBFBF"/>
      </right>
      <top style="thin">
        <color rgb="FFBFBFBF"/>
      </top>
      <bottom style="thin">
        <color rgb="FFBFBFBF"/>
      </bottom>
      <diagonal/>
    </border>
    <border>
      <left style="thin">
        <color rgb="FFBFBFBF"/>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style="thin">
        <color rgb="FFBFBFBF"/>
      </right>
      <top/>
      <bottom style="thin">
        <color rgb="FFBFBFBF"/>
      </bottom>
      <diagonal/>
    </border>
    <border>
      <left style="thin">
        <color rgb="FFBFBFBF"/>
      </left>
      <right style="thin">
        <color rgb="FFBFBFBF"/>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style="thin">
        <color indexed="64"/>
      </right>
      <top/>
      <bottom/>
      <diagonal/>
    </border>
  </borders>
  <cellStyleXfs count="1">
    <xf numFmtId="0" fontId="0" fillId="0" borderId="0"/>
  </cellStyleXfs>
  <cellXfs count="47">
    <xf numFmtId="0" fontId="0" fillId="0" borderId="0" xfId="0"/>
    <xf numFmtId="0" fontId="2" fillId="2" borderId="1" xfId="0" applyFont="1" applyFill="1" applyBorder="1" applyAlignment="1">
      <alignment horizontal="center" vertical="center" wrapText="1"/>
    </xf>
    <xf numFmtId="0" fontId="3" fillId="4" borderId="1" xfId="0" applyFont="1" applyFill="1" applyBorder="1" applyAlignment="1">
      <alignment horizontal="center" vertical="center"/>
    </xf>
    <xf numFmtId="0" fontId="5" fillId="5" borderId="1" xfId="0" applyFont="1" applyFill="1" applyBorder="1" applyAlignment="1">
      <alignment horizontal="center"/>
    </xf>
    <xf numFmtId="0" fontId="3" fillId="0" borderId="1" xfId="0" applyFont="1" applyBorder="1" applyAlignment="1">
      <alignment horizontal="center"/>
    </xf>
    <xf numFmtId="0" fontId="2" fillId="2" borderId="1" xfId="0" applyFont="1" applyFill="1" applyBorder="1" applyAlignment="1">
      <alignment horizontal="center"/>
    </xf>
    <xf numFmtId="0" fontId="4" fillId="3" borderId="2" xfId="0" applyFont="1" applyFill="1" applyBorder="1"/>
    <xf numFmtId="0" fontId="6" fillId="4" borderId="1" xfId="0" applyFont="1" applyFill="1" applyBorder="1" applyAlignment="1">
      <alignment horizontal="center" vertical="center"/>
    </xf>
    <xf numFmtId="0" fontId="7" fillId="5" borderId="1" xfId="0" applyFont="1" applyFill="1" applyBorder="1" applyAlignment="1">
      <alignment horizontal="center"/>
    </xf>
    <xf numFmtId="0" fontId="10" fillId="8" borderId="0" xfId="0" applyFont="1" applyFill="1"/>
    <xf numFmtId="14" fontId="0" fillId="0" borderId="0" xfId="0" applyNumberFormat="1"/>
    <xf numFmtId="0" fontId="0" fillId="9" borderId="0" xfId="0" applyFill="1"/>
    <xf numFmtId="0" fontId="2" fillId="2" borderId="5" xfId="0" applyFont="1" applyFill="1" applyBorder="1" applyAlignment="1">
      <alignment horizontal="center" vertical="center" wrapText="1"/>
    </xf>
    <xf numFmtId="0" fontId="11" fillId="0" borderId="0" xfId="0" applyFont="1"/>
    <xf numFmtId="0" fontId="2" fillId="0" borderId="1" xfId="0" applyFont="1" applyBorder="1" applyAlignment="1">
      <alignment horizontal="center" vertical="center" wrapText="1"/>
    </xf>
    <xf numFmtId="0" fontId="12" fillId="0" borderId="0" xfId="0" applyFont="1"/>
    <xf numFmtId="0" fontId="0" fillId="10" borderId="0" xfId="0" applyFill="1"/>
    <xf numFmtId="0" fontId="13" fillId="11" borderId="6" xfId="0" applyFont="1" applyFill="1" applyBorder="1"/>
    <xf numFmtId="0" fontId="13" fillId="11" borderId="7" xfId="0" applyFont="1" applyFill="1" applyBorder="1"/>
    <xf numFmtId="0" fontId="14" fillId="0" borderId="8" xfId="0" applyFont="1" applyBorder="1" applyAlignment="1">
      <alignment wrapText="1"/>
    </xf>
    <xf numFmtId="0" fontId="14" fillId="0" borderId="9" xfId="0" applyFont="1" applyBorder="1" applyAlignment="1">
      <alignment wrapText="1"/>
    </xf>
    <xf numFmtId="0" fontId="13" fillId="11" borderId="10" xfId="0" applyFont="1" applyFill="1" applyBorder="1"/>
    <xf numFmtId="0" fontId="8" fillId="6" borderId="0" xfId="0" applyFont="1" applyFill="1" applyAlignment="1">
      <alignment horizontal="left"/>
    </xf>
    <xf numFmtId="0" fontId="9" fillId="7" borderId="0" xfId="0" applyFont="1" applyFill="1" applyAlignment="1">
      <alignment horizontal="left"/>
    </xf>
    <xf numFmtId="164" fontId="0" fillId="0" borderId="0" xfId="0" applyNumberFormat="1"/>
    <xf numFmtId="165" fontId="0" fillId="0" borderId="0" xfId="0" applyNumberFormat="1"/>
    <xf numFmtId="0" fontId="0" fillId="12" borderId="0" xfId="0" applyFill="1"/>
    <xf numFmtId="0" fontId="12" fillId="12" borderId="0" xfId="0" applyFont="1" applyFill="1"/>
    <xf numFmtId="0" fontId="16" fillId="0" borderId="0" xfId="0" applyFont="1"/>
    <xf numFmtId="49" fontId="0" fillId="0" borderId="0" xfId="0" applyNumberFormat="1"/>
    <xf numFmtId="0" fontId="0" fillId="13" borderId="0" xfId="0" applyFill="1"/>
    <xf numFmtId="0" fontId="0" fillId="14" borderId="0" xfId="0" applyFill="1"/>
    <xf numFmtId="0" fontId="0" fillId="15" borderId="0" xfId="0" applyFill="1"/>
    <xf numFmtId="0" fontId="12" fillId="13" borderId="0" xfId="0" applyFont="1" applyFill="1"/>
    <xf numFmtId="0" fontId="11" fillId="13" borderId="0" xfId="0" applyFont="1" applyFill="1"/>
    <xf numFmtId="0" fontId="1" fillId="2" borderId="0" xfId="0" applyFont="1" applyFill="1" applyAlignment="1">
      <alignment horizontal="center" vertical="center"/>
    </xf>
    <xf numFmtId="0" fontId="0" fillId="0" borderId="0" xfId="0"/>
    <xf numFmtId="0" fontId="8" fillId="6" borderId="0" xfId="0" applyFont="1" applyFill="1" applyAlignment="1">
      <alignment horizontal="left"/>
    </xf>
    <xf numFmtId="0" fontId="3" fillId="4" borderId="1" xfId="0" applyFont="1" applyFill="1" applyBorder="1" applyAlignment="1">
      <alignment horizontal="center" vertical="center"/>
    </xf>
    <xf numFmtId="0" fontId="0" fillId="0" borderId="4" xfId="0" applyBorder="1"/>
    <xf numFmtId="0" fontId="4" fillId="3" borderId="1" xfId="0" applyFont="1" applyFill="1" applyBorder="1" applyAlignment="1">
      <alignment horizontal="center"/>
    </xf>
    <xf numFmtId="0" fontId="0" fillId="0" borderId="3" xfId="0" applyBorder="1"/>
    <xf numFmtId="0" fontId="0" fillId="16" borderId="0" xfId="0" applyFill="1"/>
    <xf numFmtId="0" fontId="0" fillId="0" borderId="0" xfId="0" applyFill="1"/>
    <xf numFmtId="0" fontId="0" fillId="17" borderId="0" xfId="0" applyFill="1"/>
    <xf applyFill="1" numFmtId="0" fontId="0" fillId="13" borderId="0" xfId="0"/>
    <xf applyFill="1" numFmtId="0" fontId="12" fillId="13" borderId="0" xfId="0" applyFont="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5F5F5"/>
      <rgbColor rgb="FFCCFFFF"/>
      <rgbColor rgb="FF660066"/>
      <rgbColor rgb="FFFF8080"/>
      <rgbColor rgb="FF0066CC"/>
      <rgbColor rgb="FFD6E4F0"/>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2E75B6"/>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814" row="2">
    <wetp:webextensionref xmlns:r="http://schemas.openxmlformats.org/officeDocument/2006/relationships" r:id="rId1"/>
  </wetp:taskpane>
</wetp:taskpanes>
</file>

<file path=xl/webextensions/webextension1.xml><?xml version="1.0" encoding="utf-8"?>
<we:webextension xmlns:we="http://schemas.microsoft.com/office/webextensions/webextension/2010/11" id="{EC81A8AF-2451-46A0-84EF-8CA32219AB0E}">
  <we:reference id="WA200009404" version="1.0.0.8" store="Omex" storeType="OMEX"/>
  <we:alternateReferences>
    <we:reference id="WA200009404" version="1.0.0.8" store="WA200009404" storeType="OMEX"/>
  </we:alternateReferences>
  <we:properties>
    <we:property name="claude.fileId" value="&quot;735b78b4-f50d-44a7-bcd6-8483aa9808f9&quot;"/>
  </we:properties>
  <we:bindings/>
  <we:snapshot xmlns:r="http://schemas.openxmlformats.org/officeDocument/2006/relationships"/>
</we:webextension>
</file>

<file path=xl/worksheets/_rels/sheet6.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59"/>
  <sheetViews>
    <sheetView workbookViewId="0">
      <selection sqref="A1:D1"/>
    </sheetView>
  </sheetViews>
  <sheetFormatPr defaultRowHeight="14.4" x14ac:dyDescent="0.3"/>
  <cols>
    <col min="1" max="1" width="8.33203125" customWidth="1"/>
    <col min="2" max="2" width="13" customWidth="1"/>
    <col min="3" max="6" width="40.77734375" customWidth="1"/>
  </cols>
  <sheetData>
    <row r="1" spans="1:6" x14ac:dyDescent="0.3">
      <c r="A1" s="9" t="s">
        <v>4841</v>
      </c>
      <c r="B1" s="9" t="s">
        <v>4842</v>
      </c>
      <c r="C1" s="9" t="s">
        <v>4843</v>
      </c>
      <c r="D1" s="9" t="s">
        <v>4844</v>
      </c>
      <c r="E1" s="9" t="s">
        <v>4845</v>
      </c>
      <c r="F1" s="9" t="s">
        <v>4846</v>
      </c>
    </row>
    <row r="2" spans="1:6" x14ac:dyDescent="0.3">
      <c r="A2">
        <v>1</v>
      </c>
      <c r="B2" s="10">
        <v>46244</v>
      </c>
      <c r="C2" t="s">
        <v>4847</v>
      </c>
      <c r="D2" t="s">
        <v>4848</v>
      </c>
      <c r="E2" t="s">
        <v>4849</v>
      </c>
      <c r="F2" t="s">
        <v>4850</v>
      </c>
    </row>
    <row r="3" spans="1:6" x14ac:dyDescent="0.3">
      <c r="A3">
        <v>3</v>
      </c>
      <c r="B3" s="10">
        <v>46244</v>
      </c>
      <c r="C3" t="s">
        <v>4851</v>
      </c>
      <c r="D3" t="s">
        <v>4852</v>
      </c>
      <c r="E3" t="s">
        <v>4853</v>
      </c>
      <c r="F3" t="s">
        <v>4854</v>
      </c>
    </row>
    <row r="4" spans="1:6" x14ac:dyDescent="0.3">
      <c r="A4">
        <v>4</v>
      </c>
      <c r="B4" s="10">
        <v>46244</v>
      </c>
      <c r="C4" t="s">
        <v>4855</v>
      </c>
      <c r="D4" t="s">
        <v>4856</v>
      </c>
      <c r="E4" t="s">
        <v>4857</v>
      </c>
      <c r="F4" t="s">
        <v>4858</v>
      </c>
    </row>
    <row r="5" spans="1:6" x14ac:dyDescent="0.3">
      <c r="A5">
        <v>5</v>
      </c>
      <c r="B5" s="10">
        <v>46244</v>
      </c>
      <c r="C5" t="s">
        <v>4859</v>
      </c>
      <c r="D5" t="s">
        <v>4860</v>
      </c>
      <c r="E5" t="s">
        <v>4861</v>
      </c>
      <c r="F5" t="s">
        <v>4862</v>
      </c>
    </row>
    <row r="6" spans="1:6" x14ac:dyDescent="0.3">
      <c r="A6">
        <v>6</v>
      </c>
      <c r="B6" s="10">
        <v>46245</v>
      </c>
      <c r="C6" t="s">
        <v>4863</v>
      </c>
      <c r="D6" t="s">
        <v>4864</v>
      </c>
      <c r="E6" t="s">
        <v>4865</v>
      </c>
      <c r="F6" t="s">
        <v>4866</v>
      </c>
    </row>
    <row r="7" spans="1:6" x14ac:dyDescent="0.3">
      <c r="A7">
        <v>7</v>
      </c>
      <c r="B7" s="10">
        <v>46245</v>
      </c>
      <c r="C7" t="s">
        <v>4867</v>
      </c>
      <c r="D7" t="s">
        <v>4868</v>
      </c>
      <c r="E7" t="s">
        <v>4869</v>
      </c>
      <c r="F7" t="s">
        <v>4870</v>
      </c>
    </row>
    <row r="8" spans="1:6" x14ac:dyDescent="0.3">
      <c r="A8">
        <v>8</v>
      </c>
      <c r="B8" s="10">
        <v>46245</v>
      </c>
      <c r="C8" t="s">
        <v>4871</v>
      </c>
      <c r="D8" t="s">
        <v>4872</v>
      </c>
      <c r="E8" t="s">
        <v>4873</v>
      </c>
      <c r="F8" t="s">
        <v>4874</v>
      </c>
    </row>
    <row r="9" spans="1:6" x14ac:dyDescent="0.3">
      <c r="A9">
        <v>9</v>
      </c>
      <c r="B9" s="10">
        <v>46245</v>
      </c>
      <c r="C9" t="s">
        <v>4875</v>
      </c>
      <c r="D9" t="s">
        <v>4876</v>
      </c>
      <c r="E9" t="s">
        <v>4877</v>
      </c>
      <c r="F9" t="s">
        <v>4878</v>
      </c>
    </row>
    <row r="10" spans="1:6" x14ac:dyDescent="0.3">
      <c r="A10">
        <v>10</v>
      </c>
      <c r="B10" s="10">
        <v>46245</v>
      </c>
      <c r="C10" t="s">
        <v>4879</v>
      </c>
      <c r="D10" t="s">
        <v>4880</v>
      </c>
      <c r="E10" t="s">
        <v>4881</v>
      </c>
      <c r="F10" t="s">
        <v>4882</v>
      </c>
    </row>
    <row r="11" spans="1:6" x14ac:dyDescent="0.3">
      <c r="A11">
        <v>11</v>
      </c>
      <c r="B11" s="10">
        <v>46245</v>
      </c>
      <c r="C11" t="s">
        <v>4883</v>
      </c>
      <c r="D11" t="s">
        <v>4884</v>
      </c>
      <c r="E11" t="s">
        <v>4885</v>
      </c>
      <c r="F11" t="s">
        <v>4886</v>
      </c>
    </row>
    <row r="12" spans="1:6" x14ac:dyDescent="0.3">
      <c r="A12">
        <v>12</v>
      </c>
      <c r="B12" s="10">
        <v>46245</v>
      </c>
      <c r="C12" t="s">
        <v>4887</v>
      </c>
      <c r="D12" t="s">
        <v>4888</v>
      </c>
      <c r="E12" t="s">
        <v>4889</v>
      </c>
      <c r="F12" t="s">
        <v>4890</v>
      </c>
    </row>
    <row r="13" spans="1:6" x14ac:dyDescent="0.3">
      <c r="A13">
        <v>13</v>
      </c>
      <c r="B13" s="10">
        <v>46245</v>
      </c>
      <c r="C13" t="s">
        <v>4891</v>
      </c>
      <c r="D13" t="s">
        <v>4892</v>
      </c>
      <c r="E13" t="s">
        <v>4893</v>
      </c>
      <c r="F13" t="s">
        <v>4894</v>
      </c>
    </row>
    <row r="14" spans="1:6" x14ac:dyDescent="0.3">
      <c r="A14">
        <v>14</v>
      </c>
      <c r="B14" s="10">
        <v>46245</v>
      </c>
      <c r="C14" t="s">
        <v>4895</v>
      </c>
      <c r="D14" t="s">
        <v>4896</v>
      </c>
      <c r="E14" t="s">
        <v>4897</v>
      </c>
      <c r="F14" t="s">
        <v>4898</v>
      </c>
    </row>
    <row r="15" spans="1:6" x14ac:dyDescent="0.3">
      <c r="A15">
        <v>15</v>
      </c>
      <c r="B15" s="10">
        <v>46245</v>
      </c>
      <c r="C15" t="s">
        <v>4899</v>
      </c>
      <c r="D15" t="s">
        <v>4900</v>
      </c>
      <c r="E15" t="s">
        <v>4901</v>
      </c>
      <c r="F15" t="s">
        <v>4902</v>
      </c>
    </row>
    <row r="16" spans="1:6" x14ac:dyDescent="0.3">
      <c r="A16">
        <v>16</v>
      </c>
      <c r="B16" s="10">
        <v>46246</v>
      </c>
      <c r="C16" t="s">
        <v>4903</v>
      </c>
      <c r="D16" t="s">
        <v>4904</v>
      </c>
      <c r="E16" t="s">
        <v>4905</v>
      </c>
      <c r="F16" t="s">
        <v>4906</v>
      </c>
    </row>
    <row r="17" spans="1:6" x14ac:dyDescent="0.3">
      <c r="A17">
        <v>17</v>
      </c>
      <c r="B17" s="10">
        <v>46246</v>
      </c>
      <c r="C17" t="s">
        <v>4907</v>
      </c>
      <c r="D17" t="s">
        <v>4908</v>
      </c>
      <c r="E17" t="s">
        <v>4909</v>
      </c>
      <c r="F17" t="s">
        <v>4910</v>
      </c>
    </row>
    <row r="18" spans="1:6" x14ac:dyDescent="0.3">
      <c r="A18">
        <v>18</v>
      </c>
      <c r="B18" s="10">
        <v>46246</v>
      </c>
      <c r="C18" t="s">
        <v>4911</v>
      </c>
      <c r="D18" t="s">
        <v>4912</v>
      </c>
      <c r="E18" t="s">
        <v>4913</v>
      </c>
      <c r="F18" t="s">
        <v>4914</v>
      </c>
    </row>
    <row r="19" spans="1:6" x14ac:dyDescent="0.3">
      <c r="A19">
        <v>19</v>
      </c>
      <c r="B19" s="10">
        <v>46246</v>
      </c>
      <c r="C19" t="s">
        <v>4915</v>
      </c>
      <c r="D19" t="s">
        <v>4916</v>
      </c>
      <c r="E19" t="s">
        <v>4917</v>
      </c>
      <c r="F19" t="s">
        <v>4918</v>
      </c>
    </row>
    <row r="20" spans="1:6" x14ac:dyDescent="0.3">
      <c r="A20">
        <v>20</v>
      </c>
      <c r="B20" s="10">
        <v>46246</v>
      </c>
      <c r="C20" t="s">
        <v>4919</v>
      </c>
      <c r="D20" t="s">
        <v>4920</v>
      </c>
      <c r="E20" t="s">
        <v>4921</v>
      </c>
      <c r="F20" t="s">
        <v>4922</v>
      </c>
    </row>
    <row r="21" spans="1:6" x14ac:dyDescent="0.3">
      <c r="A21">
        <v>21</v>
      </c>
      <c r="B21" s="10">
        <v>46246</v>
      </c>
      <c r="C21" t="s">
        <v>4923</v>
      </c>
      <c r="D21" t="s">
        <v>4924</v>
      </c>
      <c r="E21" t="s">
        <v>4925</v>
      </c>
      <c r="F21" t="s">
        <v>4926</v>
      </c>
    </row>
    <row r="22" spans="1:6" x14ac:dyDescent="0.3">
      <c r="A22">
        <v>22</v>
      </c>
      <c r="B22" s="10">
        <v>46246</v>
      </c>
      <c r="C22" t="s">
        <v>4927</v>
      </c>
      <c r="D22" t="s">
        <v>4928</v>
      </c>
      <c r="E22" t="s">
        <v>4929</v>
      </c>
      <c r="F22" t="s">
        <v>4930</v>
      </c>
    </row>
    <row r="23" spans="1:6" x14ac:dyDescent="0.3">
      <c r="A23">
        <v>23</v>
      </c>
      <c r="B23" s="10">
        <v>46246</v>
      </c>
      <c r="C23" t="s">
        <v>4931</v>
      </c>
      <c r="D23" t="s">
        <v>4932</v>
      </c>
      <c r="E23" t="s">
        <v>4933</v>
      </c>
      <c r="F23" t="s">
        <v>4934</v>
      </c>
    </row>
    <row r="24" spans="1:6" x14ac:dyDescent="0.3">
      <c r="A24">
        <v>24</v>
      </c>
      <c r="B24" s="10">
        <v>46246</v>
      </c>
      <c r="C24" t="s">
        <v>4935</v>
      </c>
      <c r="D24" t="s">
        <v>4936</v>
      </c>
      <c r="E24" t="s">
        <v>4937</v>
      </c>
      <c r="F24" t="s">
        <v>4938</v>
      </c>
    </row>
    <row r="25" spans="1:6" x14ac:dyDescent="0.3">
      <c r="A25">
        <v>25</v>
      </c>
      <c r="B25" s="10">
        <v>46246</v>
      </c>
      <c r="C25" t="s">
        <v>4939</v>
      </c>
      <c r="D25" t="s">
        <v>4940</v>
      </c>
      <c r="E25" t="s">
        <v>4941</v>
      </c>
      <c r="F25" t="s">
        <v>4942</v>
      </c>
    </row>
    <row r="26" spans="1:6" x14ac:dyDescent="0.3">
      <c r="A26">
        <v>26</v>
      </c>
      <c r="B26" s="10">
        <v>46246</v>
      </c>
      <c r="C26" t="s">
        <v>4943</v>
      </c>
      <c r="D26" t="s">
        <v>4944</v>
      </c>
      <c r="E26" t="s">
        <v>4945</v>
      </c>
      <c r="F26" t="s">
        <v>4946</v>
      </c>
    </row>
    <row r="27" spans="1:6" x14ac:dyDescent="0.3">
      <c r="A27">
        <v>27</v>
      </c>
      <c r="B27" s="10">
        <v>46246</v>
      </c>
      <c r="C27" t="s">
        <v>4947</v>
      </c>
      <c r="D27" t="s">
        <v>4948</v>
      </c>
      <c r="E27" t="s">
        <v>4949</v>
      </c>
      <c r="F27" t="s">
        <v>4950</v>
      </c>
    </row>
    <row r="28" spans="1:6" x14ac:dyDescent="0.3">
      <c r="A28">
        <v>28</v>
      </c>
      <c r="B28" s="10">
        <v>46246</v>
      </c>
      <c r="C28" t="s">
        <v>4951</v>
      </c>
      <c r="D28" t="s">
        <v>4952</v>
      </c>
      <c r="E28" t="s">
        <v>4953</v>
      </c>
      <c r="F28" t="s">
        <v>4954</v>
      </c>
    </row>
    <row r="29" spans="1:6" x14ac:dyDescent="0.3">
      <c r="A29">
        <v>29</v>
      </c>
      <c r="B29" s="10">
        <v>46246</v>
      </c>
      <c r="C29" t="s">
        <v>4955</v>
      </c>
      <c r="D29" t="s">
        <v>4956</v>
      </c>
      <c r="E29" t="s">
        <v>4957</v>
      </c>
      <c r="F29" t="s">
        <v>4958</v>
      </c>
    </row>
    <row r="30" spans="1:6" x14ac:dyDescent="0.3">
      <c r="A30">
        <v>30</v>
      </c>
      <c r="B30" s="10">
        <v>46246</v>
      </c>
      <c r="C30" t="s">
        <v>4959</v>
      </c>
      <c r="D30" t="s">
        <v>4960</v>
      </c>
      <c r="E30" t="s">
        <v>4961</v>
      </c>
      <c r="F30" t="s">
        <v>4962</v>
      </c>
    </row>
    <row r="31" spans="1:6" x14ac:dyDescent="0.3">
      <c r="A31">
        <v>31</v>
      </c>
      <c r="B31" s="10">
        <v>46246</v>
      </c>
      <c r="C31" t="s">
        <v>4963</v>
      </c>
      <c r="D31" t="s">
        <v>4964</v>
      </c>
      <c r="E31" t="s">
        <v>4965</v>
      </c>
      <c r="F31" t="s">
        <v>4966</v>
      </c>
    </row>
    <row r="32" spans="1:6" x14ac:dyDescent="0.3">
      <c r="A32">
        <v>32</v>
      </c>
      <c r="B32" s="10">
        <v>46246</v>
      </c>
      <c r="C32" t="s">
        <v>4967</v>
      </c>
      <c r="D32" t="s">
        <v>4968</v>
      </c>
      <c r="E32" t="s">
        <v>4969</v>
      </c>
      <c r="F32" t="s">
        <v>4970</v>
      </c>
    </row>
    <row r="33" spans="1:6" x14ac:dyDescent="0.3">
      <c r="A33">
        <v>33</v>
      </c>
      <c r="B33" s="10">
        <v>46246</v>
      </c>
      <c r="C33" t="s">
        <v>4971</v>
      </c>
      <c r="D33" t="s">
        <v>4972</v>
      </c>
      <c r="E33" t="s">
        <v>4973</v>
      </c>
      <c r="F33" t="s">
        <v>4974</v>
      </c>
    </row>
    <row r="34" spans="1:6" x14ac:dyDescent="0.3">
      <c r="A34">
        <v>34</v>
      </c>
      <c r="B34" s="10">
        <v>46246</v>
      </c>
      <c r="C34" t="s">
        <v>4975</v>
      </c>
      <c r="D34" t="s">
        <v>4976</v>
      </c>
      <c r="E34" t="s">
        <v>4977</v>
      </c>
      <c r="F34" t="s">
        <v>4978</v>
      </c>
    </row>
    <row r="35" spans="1:6" x14ac:dyDescent="0.3">
      <c r="A35">
        <v>35</v>
      </c>
      <c r="B35" s="10">
        <v>46246</v>
      </c>
      <c r="C35" t="s">
        <v>4979</v>
      </c>
      <c r="D35" t="s">
        <v>4980</v>
      </c>
      <c r="E35" t="s">
        <v>4981</v>
      </c>
      <c r="F35" t="s">
        <v>4982</v>
      </c>
    </row>
    <row r="36" spans="1:6" x14ac:dyDescent="0.3">
      <c r="A36">
        <v>36</v>
      </c>
      <c r="B36" s="10">
        <v>46246</v>
      </c>
      <c r="C36" t="s">
        <v>4983</v>
      </c>
      <c r="D36" t="s">
        <v>4984</v>
      </c>
      <c r="E36" t="s">
        <v>4985</v>
      </c>
      <c r="F36" t="s">
        <v>4986</v>
      </c>
    </row>
    <row r="37" spans="1:6" x14ac:dyDescent="0.3">
      <c r="A37">
        <v>37</v>
      </c>
      <c r="B37" s="10">
        <v>46246</v>
      </c>
      <c r="C37" t="s">
        <v>4987</v>
      </c>
      <c r="D37" t="s">
        <v>4988</v>
      </c>
      <c r="E37" t="s">
        <v>4989</v>
      </c>
      <c r="F37" t="s">
        <v>4990</v>
      </c>
    </row>
    <row r="38" spans="1:6" x14ac:dyDescent="0.3">
      <c r="A38">
        <v>38</v>
      </c>
      <c r="B38" s="10">
        <v>46246</v>
      </c>
      <c r="C38" t="s">
        <v>4991</v>
      </c>
      <c r="D38" t="s">
        <v>4992</v>
      </c>
      <c r="E38" t="s">
        <v>4993</v>
      </c>
      <c r="F38" t="s">
        <v>4994</v>
      </c>
    </row>
    <row r="39" spans="1:6" x14ac:dyDescent="0.3">
      <c r="A39">
        <v>39</v>
      </c>
      <c r="B39" s="24">
        <v>46248</v>
      </c>
      <c r="C39" t="s">
        <v>4995</v>
      </c>
      <c r="D39" t="s">
        <v>4996</v>
      </c>
      <c r="E39" t="s">
        <v>4997</v>
      </c>
      <c r="F39" t="s">
        <v>4998</v>
      </c>
    </row>
    <row r="40" spans="1:6" x14ac:dyDescent="0.3">
      <c r="A40">
        <v>40</v>
      </c>
      <c r="B40" s="24">
        <v>46248</v>
      </c>
      <c r="C40" t="s">
        <v>4999</v>
      </c>
      <c r="D40" t="s">
        <v>5000</v>
      </c>
      <c r="E40" t="s">
        <v>5001</v>
      </c>
      <c r="F40" t="s">
        <v>5002</v>
      </c>
    </row>
    <row r="41" spans="1:6" x14ac:dyDescent="0.3">
      <c r="A41">
        <v>41</v>
      </c>
      <c r="B41" s="24">
        <v>46248</v>
      </c>
      <c r="C41" t="s">
        <v>5003</v>
      </c>
      <c r="D41" t="s">
        <v>5004</v>
      </c>
      <c r="E41" t="s">
        <v>5005</v>
      </c>
      <c r="F41" t="s">
        <v>5006</v>
      </c>
    </row>
    <row r="42" spans="1:6" x14ac:dyDescent="0.3">
      <c r="A42">
        <v>42</v>
      </c>
      <c r="B42" s="10">
        <v>46251</v>
      </c>
      <c r="C42" t="s">
        <v>5007</v>
      </c>
      <c r="D42" t="s">
        <v>5008</v>
      </c>
      <c r="E42" t="s">
        <v>5009</v>
      </c>
      <c r="F42" t="s">
        <v>5010</v>
      </c>
    </row>
    <row r="43" spans="1:6" x14ac:dyDescent="0.3">
      <c r="A43">
        <v>43</v>
      </c>
      <c r="B43" s="10">
        <v>46251</v>
      </c>
      <c r="C43" t="s">
        <v>5011</v>
      </c>
      <c r="D43" t="s">
        <v>5012</v>
      </c>
      <c r="E43" t="s">
        <v>5013</v>
      </c>
      <c r="F43" t="s">
        <v>5014</v>
      </c>
    </row>
    <row r="44" spans="1:6" x14ac:dyDescent="0.3">
      <c r="A44">
        <v>40</v>
      </c>
      <c r="B44" s="25">
        <v>46251</v>
      </c>
      <c r="C44" t="s">
        <v>5015</v>
      </c>
      <c r="D44" t="s">
        <v>5016</v>
      </c>
      <c r="E44" t="s">
        <v>5017</v>
      </c>
      <c r="F44" t="s">
        <v>5018</v>
      </c>
    </row>
    <row r="45" spans="1:6" x14ac:dyDescent="0.3">
      <c r="A45">
        <v>41</v>
      </c>
      <c r="B45" s="25">
        <v>46251</v>
      </c>
      <c r="C45" t="s">
        <v>5019</v>
      </c>
      <c r="D45" t="s">
        <v>5020</v>
      </c>
      <c r="E45" t="s">
        <v>5021</v>
      </c>
      <c r="F45" t="s">
        <v>5022</v>
      </c>
    </row>
    <row r="46" spans="1:6" x14ac:dyDescent="0.3">
      <c r="A46">
        <v>42</v>
      </c>
      <c r="B46" s="25">
        <v>46251</v>
      </c>
      <c r="C46" t="s">
        <v>5023</v>
      </c>
      <c r="D46" t="s">
        <v>5024</v>
      </c>
      <c r="E46" t="s">
        <v>5025</v>
      </c>
      <c r="F46" t="s">
        <v>5026</v>
      </c>
    </row>
    <row r="47" spans="1:6" x14ac:dyDescent="0.3">
      <c r="A47">
        <v>43</v>
      </c>
      <c r="B47" s="25">
        <v>46251</v>
      </c>
      <c r="C47" t="s">
        <v>5027</v>
      </c>
      <c r="D47" t="s">
        <v>5028</v>
      </c>
      <c r="E47" t="s">
        <v>5029</v>
      </c>
      <c r="F47" t="s">
        <v>5030</v>
      </c>
    </row>
    <row r="48" spans="1:6" x14ac:dyDescent="0.3">
      <c r="A48">
        <v>44</v>
      </c>
      <c r="B48" s="25">
        <v>46251</v>
      </c>
      <c r="C48" t="s">
        <v>5031</v>
      </c>
      <c r="D48" t="s">
        <v>5032</v>
      </c>
      <c r="E48" t="s">
        <v>5033</v>
      </c>
      <c r="F48" t="s">
        <v>5034</v>
      </c>
    </row>
    <row r="49" spans="1:6" x14ac:dyDescent="0.3">
      <c r="A49">
        <v>45</v>
      </c>
      <c r="B49" s="25">
        <v>46251</v>
      </c>
      <c r="C49" t="s">
        <v>5035</v>
      </c>
      <c r="D49" t="s">
        <v>5036</v>
      </c>
      <c r="E49" t="s">
        <v>5037</v>
      </c>
      <c r="F49" t="s">
        <v>5038</v>
      </c>
    </row>
    <row r="50" spans="1:6" x14ac:dyDescent="0.3">
      <c r="A50">
        <v>46</v>
      </c>
      <c r="B50" s="25">
        <v>46251</v>
      </c>
      <c r="C50" t="s">
        <v>6013</v>
      </c>
      <c r="D50" t="s">
        <v>6014</v>
      </c>
      <c r="E50" t="s">
        <v>6015</v>
      </c>
      <c r="F50" t="s">
        <v>6016</v>
      </c>
    </row>
    <row r="51" spans="1:6" x14ac:dyDescent="0.3">
      <c r="A51">
        <v>47</v>
      </c>
      <c r="B51" s="25">
        <v>46251</v>
      </c>
      <c r="C51" t="s">
        <v>7462</v>
      </c>
      <c r="D51" t="s">
        <v>7463</v>
      </c>
      <c r="E51" t="s">
        <v>7464</v>
      </c>
      <c r="F51" t="s">
        <v>7465</v>
      </c>
    </row>
    <row r="52" spans="1:6" x14ac:dyDescent="0.3">
      <c r="A52">
        <v>48</v>
      </c>
      <c r="B52" s="25">
        <v>46251</v>
      </c>
      <c r="C52" t="s">
        <v>7466</v>
      </c>
      <c r="D52" t="s">
        <v>7467</v>
      </c>
      <c r="E52" t="s">
        <v>7468</v>
      </c>
      <c r="F52" t="s">
        <v>7469</v>
      </c>
    </row>
    <row r="53" spans="1:6" x14ac:dyDescent="0.3">
      <c r="A53">
        <v>49</v>
      </c>
      <c r="B53" s="25">
        <v>46251</v>
      </c>
      <c r="C53" t="s">
        <v>8448</v>
      </c>
      <c r="D53" t="s">
        <v>8449</v>
      </c>
      <c r="E53" t="s">
        <v>8450</v>
      </c>
      <c r="F53" t="s">
        <v>8451</v>
      </c>
    </row>
    <row r="54" spans="1:6" x14ac:dyDescent="0.3">
      <c r="A54">
        <v>50</v>
      </c>
      <c r="B54" s="10">
        <v>46252</v>
      </c>
      <c r="C54" t="s">
        <v>9180</v>
      </c>
      <c r="D54" t="s">
        <v>9181</v>
      </c>
      <c r="E54" t="s">
        <v>9182</v>
      </c>
      <c r="F54" t="s">
        <v>9183</v>
      </c>
    </row>
    <row r="55" spans="1:6" x14ac:dyDescent="0.3">
      <c r="A55">
        <v>51</v>
      </c>
      <c r="B55" s="10">
        <v>46252</v>
      </c>
      <c r="C55" t="s">
        <v>9185</v>
      </c>
      <c r="D55" t="s">
        <v>9186</v>
      </c>
      <c r="E55" t="s">
        <v>9187</v>
      </c>
      <c r="F55" t="s">
        <v>9188</v>
      </c>
    </row>
    <row r="56" spans="1:6" x14ac:dyDescent="0.3">
      <c r="A56">
        <v>52</v>
      </c>
      <c r="B56" s="10">
        <v>46252</v>
      </c>
      <c r="C56" t="s">
        <v>9225</v>
      </c>
      <c r="D56" t="s">
        <v>9226</v>
      </c>
      <c r="E56" t="s">
        <v>9227</v>
      </c>
      <c r="F56" t="s">
        <v>9228</v>
      </c>
    </row>
    <row r="57" spans="1:6" x14ac:dyDescent="0.3">
      <c r="A57">
        <v>53</v>
      </c>
      <c r="B57" s="10">
        <v>46260</v>
      </c>
      <c r="C57" t="s">
        <v>9229</v>
      </c>
      <c r="D57" t="s">
        <v>9230</v>
      </c>
      <c r="E57" t="s">
        <v>9231</v>
      </c>
      <c r="F57" t="s">
        <v>9232</v>
      </c>
    </row>
    <row r="58" spans="1:6" x14ac:dyDescent="0.3">
      <c r="A58">
        <v>54</v>
      </c>
      <c r="B58" s="10">
        <v>46260</v>
      </c>
      <c r="C58" t="s">
        <v>9244</v>
      </c>
      <c r="D58" t="s">
        <v>9245</v>
      </c>
      <c r="E58" t="s">
        <v>9246</v>
      </c>
      <c r="F58" t="s">
        <v>9247</v>
      </c>
    </row>
    <row r="59" spans="1:6" x14ac:dyDescent="0.3">
      <c r="A59">
        <v>55</v>
      </c>
      <c r="B59" s="10">
        <v>46261</v>
      </c>
      <c r="C59" t="s">
        <v>9301</v>
      </c>
      <c r="D59" t="s">
        <v>9302</v>
      </c>
      <c r="E59" t="s">
        <v>9303</v>
      </c>
      <c r="F59" t="s">
        <v>9304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914"/>
  <sheetViews>
    <sheetView topLeftCell="C1" workbookViewId="0">
      <selection activeCell="H7" sqref="H7:H8"/>
    </sheetView>
  </sheetViews>
  <sheetFormatPr defaultColWidth="8.6640625" defaultRowHeight="14.4" x14ac:dyDescent="0.3"/>
  <cols>
    <col min="1" max="1" width="23.5546875" customWidth="1"/>
    <col min="2" max="2" width="54.5546875" customWidth="1"/>
    <col min="3" max="3" width="60" customWidth="1"/>
    <col min="4" max="4" width="18.33203125" customWidth="1"/>
    <col min="6" max="6" width="20" bestFit="1" customWidth="1"/>
    <col min="7" max="7" width="22" customWidth="1"/>
    <col min="8" max="8" width="21.6640625" customWidth="1"/>
    <col min="9" max="9" width="62" bestFit="1" customWidth="1"/>
  </cols>
  <sheetData>
    <row r="1" spans="1:8" ht="19.2" customHeight="1" x14ac:dyDescent="0.3">
      <c r="A1" s="35" t="s">
        <v>5039</v>
      </c>
      <c r="B1" s="36"/>
      <c r="C1" s="36"/>
      <c r="D1" s="36"/>
    </row>
    <row r="2" spans="1:8" ht="30" customHeight="1" x14ac:dyDescent="0.3">
      <c r="A2" s="1" t="s">
        <v>1</v>
      </c>
      <c r="B2" s="1" t="s">
        <v>2</v>
      </c>
      <c r="C2" s="1" t="s">
        <v>5040</v>
      </c>
      <c r="D2" s="1" t="s">
        <v>5041</v>
      </c>
    </row>
    <row r="3" spans="1:8" ht="18" customHeight="1" x14ac:dyDescent="0.3">
      <c r="A3" s="2" t="s">
        <v>6</v>
      </c>
      <c r="B3" s="2" t="s">
        <v>7</v>
      </c>
      <c r="C3" s="2" t="s">
        <v>5042</v>
      </c>
      <c r="D3" s="2"/>
    </row>
    <row r="4" spans="1:8" ht="18" customHeight="1" x14ac:dyDescent="0.3">
      <c r="A4" s="2" t="s">
        <v>9</v>
      </c>
      <c r="B4" s="2" t="s">
        <v>7</v>
      </c>
      <c r="C4" s="2" t="s">
        <v>5042</v>
      </c>
      <c r="D4" s="2"/>
    </row>
    <row r="5" spans="1:8" ht="18" customHeight="1" x14ac:dyDescent="0.3">
      <c r="A5" s="2" t="s">
        <v>11</v>
      </c>
      <c r="B5" s="2" t="s">
        <v>7</v>
      </c>
      <c r="C5" s="2" t="s">
        <v>5042</v>
      </c>
      <c r="D5" s="2"/>
    </row>
    <row r="6" spans="1:8" ht="18" customHeight="1" x14ac:dyDescent="0.3">
      <c r="A6" s="2" t="s">
        <v>12</v>
      </c>
      <c r="B6" s="2" t="s">
        <v>7</v>
      </c>
      <c r="C6" s="2" t="s">
        <v>5042</v>
      </c>
      <c r="D6" s="2"/>
      <c r="F6" s="40" t="s">
        <v>5043</v>
      </c>
      <c r="G6" s="41"/>
    </row>
    <row r="7" spans="1:8" ht="18" customHeight="1" x14ac:dyDescent="0.3">
      <c r="A7" s="2" t="s">
        <v>13</v>
      </c>
      <c r="B7" s="2" t="s">
        <v>7</v>
      </c>
      <c r="C7" s="2" t="s">
        <v>5042</v>
      </c>
      <c r="D7" s="2"/>
      <c r="F7" s="3" t="s">
        <v>7</v>
      </c>
      <c r="G7" s="4">
        <f>COUNTIF(B:B,"AHU")</f>
        <v>26</v>
      </c>
      <c r="H7" s="2"/>
    </row>
    <row r="8" spans="1:8" ht="18" customHeight="1" x14ac:dyDescent="0.3">
      <c r="A8" s="2" t="s">
        <v>14</v>
      </c>
      <c r="B8" s="2" t="s">
        <v>7</v>
      </c>
      <c r="C8" s="2" t="s">
        <v>5042</v>
      </c>
      <c r="D8" s="2"/>
      <c r="F8" s="3" t="s">
        <v>45</v>
      </c>
      <c r="G8" s="4">
        <f>COUNTIF(B:B,"FCU")</f>
        <v>133</v>
      </c>
      <c r="H8" s="2"/>
    </row>
    <row r="9" spans="1:8" ht="18" customHeight="1" x14ac:dyDescent="0.3">
      <c r="A9" s="2" t="s">
        <v>15</v>
      </c>
      <c r="B9" s="2" t="s">
        <v>7</v>
      </c>
      <c r="C9" s="2" t="s">
        <v>5042</v>
      </c>
      <c r="D9" s="2"/>
      <c r="F9" s="3" t="s">
        <v>5044</v>
      </c>
      <c r="G9" s="4">
        <f>COUNTIF(B:B,"CHW Pump")</f>
        <v>4</v>
      </c>
    </row>
    <row r="10" spans="1:8" ht="18" customHeight="1" x14ac:dyDescent="0.3">
      <c r="A10" s="2" t="s">
        <v>16</v>
      </c>
      <c r="B10" s="2" t="s">
        <v>7</v>
      </c>
      <c r="C10" s="2" t="s">
        <v>5042</v>
      </c>
      <c r="D10" s="2"/>
      <c r="F10" s="3" t="s">
        <v>5045</v>
      </c>
      <c r="G10" s="4">
        <f>COUNTIF(B:B,"VAV")</f>
        <v>602</v>
      </c>
    </row>
    <row r="11" spans="1:8" ht="18" customHeight="1" x14ac:dyDescent="0.3">
      <c r="A11" s="2" t="s">
        <v>17</v>
      </c>
      <c r="B11" s="2" t="s">
        <v>7</v>
      </c>
      <c r="C11" s="2" t="s">
        <v>5042</v>
      </c>
      <c r="D11" s="2"/>
      <c r="F11" s="3" t="s">
        <v>5046</v>
      </c>
      <c r="G11" s="4">
        <f>COUNTIF(B:B,"DX Unit")</f>
        <v>24</v>
      </c>
    </row>
    <row r="12" spans="1:8" ht="18" customHeight="1" x14ac:dyDescent="0.3">
      <c r="A12" s="2" t="s">
        <v>18</v>
      </c>
      <c r="B12" s="2" t="s">
        <v>7</v>
      </c>
      <c r="C12" s="2" t="s">
        <v>5042</v>
      </c>
      <c r="D12" s="2"/>
      <c r="F12" s="3" t="s">
        <v>5047</v>
      </c>
      <c r="G12" s="4">
        <f>COUNTIF(B:B,"HEX")</f>
        <v>5</v>
      </c>
    </row>
    <row r="13" spans="1:8" ht="18" customHeight="1" x14ac:dyDescent="0.3">
      <c r="A13" s="2" t="s">
        <v>20</v>
      </c>
      <c r="B13" s="2" t="s">
        <v>7</v>
      </c>
      <c r="C13" s="2" t="s">
        <v>5042</v>
      </c>
      <c r="D13" s="2"/>
      <c r="F13" s="3" t="s">
        <v>5048</v>
      </c>
      <c r="G13" s="4">
        <f>COUNTIF(B:B,"CCU")</f>
        <v>11</v>
      </c>
    </row>
    <row r="14" spans="1:8" ht="18" customHeight="1" x14ac:dyDescent="0.3">
      <c r="A14" s="2" t="s">
        <v>22</v>
      </c>
      <c r="B14" s="2" t="s">
        <v>7</v>
      </c>
      <c r="C14" s="2" t="s">
        <v>5042</v>
      </c>
      <c r="D14" s="2"/>
      <c r="F14" s="3" t="s">
        <v>5049</v>
      </c>
      <c r="G14" s="4">
        <f>COUNTIF(B:B,"EF")</f>
        <v>12</v>
      </c>
    </row>
    <row r="15" spans="1:8" ht="18" customHeight="1" x14ac:dyDescent="0.3">
      <c r="A15" s="2" t="s">
        <v>23</v>
      </c>
      <c r="B15" s="2" t="s">
        <v>7</v>
      </c>
      <c r="C15" s="2" t="s">
        <v>5042</v>
      </c>
      <c r="D15" s="2"/>
      <c r="F15" s="3" t="s">
        <v>5050</v>
      </c>
      <c r="G15" s="4">
        <f>COUNTIF(B:B,"GEF")</f>
        <v>13</v>
      </c>
    </row>
    <row r="16" spans="1:8" ht="18" customHeight="1" x14ac:dyDescent="0.3">
      <c r="A16" s="2" t="s">
        <v>25</v>
      </c>
      <c r="B16" s="2" t="s">
        <v>7</v>
      </c>
      <c r="C16" s="2" t="s">
        <v>5042</v>
      </c>
      <c r="D16" s="2"/>
      <c r="F16" s="3" t="s">
        <v>5051</v>
      </c>
      <c r="G16" s="4">
        <f>COUNTIF(B:B,"TEF")</f>
        <v>4</v>
      </c>
    </row>
    <row r="17" spans="1:9" ht="18" customHeight="1" x14ac:dyDescent="0.3">
      <c r="A17" s="2" t="s">
        <v>26</v>
      </c>
      <c r="B17" s="2" t="s">
        <v>7</v>
      </c>
      <c r="C17" s="2" t="s">
        <v>5042</v>
      </c>
      <c r="D17" s="2"/>
      <c r="F17" s="3" t="s">
        <v>5052</v>
      </c>
      <c r="G17" s="4">
        <f>COUNTIF(B:B,"CEF")</f>
        <v>60</v>
      </c>
    </row>
    <row r="18" spans="1:9" ht="18" customHeight="1" x14ac:dyDescent="0.3">
      <c r="A18" s="2" t="s">
        <v>28</v>
      </c>
      <c r="B18" s="2" t="s">
        <v>7</v>
      </c>
      <c r="C18" s="2" t="s">
        <v>5042</v>
      </c>
      <c r="D18" s="2"/>
      <c r="F18" s="3" t="s">
        <v>5053</v>
      </c>
      <c r="G18" s="4">
        <f>COUNTIF(B:B,"SF")</f>
        <v>16</v>
      </c>
    </row>
    <row r="19" spans="1:9" ht="18" customHeight="1" x14ac:dyDescent="0.3">
      <c r="A19" s="2" t="s">
        <v>30</v>
      </c>
      <c r="B19" s="2" t="s">
        <v>7</v>
      </c>
      <c r="C19" s="2" t="s">
        <v>5042</v>
      </c>
      <c r="D19" s="2"/>
      <c r="F19" s="3" t="s">
        <v>5054</v>
      </c>
      <c r="G19" s="4">
        <f>COUNTIF(B:B,"Generator")</f>
        <v>2</v>
      </c>
    </row>
    <row r="20" spans="1:9" ht="18" customHeight="1" x14ac:dyDescent="0.3">
      <c r="A20" s="2" t="s">
        <v>31</v>
      </c>
      <c r="B20" s="2" t="s">
        <v>7</v>
      </c>
      <c r="C20" s="2" t="s">
        <v>5042</v>
      </c>
      <c r="D20" s="2"/>
      <c r="F20" s="5" t="s">
        <v>5055</v>
      </c>
      <c r="G20" s="5">
        <f>SUM(G7:G19)</f>
        <v>912</v>
      </c>
    </row>
    <row r="21" spans="1:9" ht="18" customHeight="1" x14ac:dyDescent="0.3">
      <c r="A21" s="2" t="s">
        <v>33</v>
      </c>
      <c r="B21" s="2" t="s">
        <v>7</v>
      </c>
      <c r="C21" s="2" t="s">
        <v>5042</v>
      </c>
      <c r="D21" s="2"/>
    </row>
    <row r="22" spans="1:9" ht="18" customHeight="1" x14ac:dyDescent="0.3">
      <c r="A22" s="2" t="s">
        <v>34</v>
      </c>
      <c r="B22" s="2" t="s">
        <v>7</v>
      </c>
      <c r="C22" s="2" t="s">
        <v>5042</v>
      </c>
      <c r="D22" s="2"/>
    </row>
    <row r="23" spans="1:9" ht="18" customHeight="1" x14ac:dyDescent="0.3">
      <c r="A23" s="2" t="s">
        <v>36</v>
      </c>
      <c r="B23" s="2" t="s">
        <v>7</v>
      </c>
      <c r="C23" s="2" t="s">
        <v>5042</v>
      </c>
      <c r="D23" s="2"/>
    </row>
    <row r="24" spans="1:9" ht="18" customHeight="1" x14ac:dyDescent="0.3">
      <c r="A24" s="2" t="s">
        <v>37</v>
      </c>
      <c r="B24" s="2" t="s">
        <v>7</v>
      </c>
      <c r="C24" s="2" t="s">
        <v>5042</v>
      </c>
      <c r="D24" s="2"/>
    </row>
    <row r="25" spans="1:9" x14ac:dyDescent="0.3">
      <c r="A25" s="2" t="s">
        <v>39</v>
      </c>
      <c r="B25" s="2" t="s">
        <v>7</v>
      </c>
      <c r="C25" s="2" t="s">
        <v>5042</v>
      </c>
      <c r="D25" s="2"/>
    </row>
    <row r="26" spans="1:9" x14ac:dyDescent="0.3">
      <c r="A26" s="2" t="s">
        <v>40</v>
      </c>
      <c r="B26" s="2" t="s">
        <v>7</v>
      </c>
      <c r="C26" s="2" t="s">
        <v>5042</v>
      </c>
      <c r="D26" s="2"/>
    </row>
    <row r="27" spans="1:9" ht="18" customHeight="1" x14ac:dyDescent="0.3">
      <c r="A27" s="2" t="s">
        <v>42</v>
      </c>
      <c r="B27" s="2" t="s">
        <v>7</v>
      </c>
      <c r="C27" s="2" t="s">
        <v>5042</v>
      </c>
      <c r="D27" s="2"/>
      <c r="F27" s="6" t="s">
        <v>5056</v>
      </c>
      <c r="G27" s="6" t="s">
        <v>5057</v>
      </c>
      <c r="H27" s="6" t="s">
        <v>5058</v>
      </c>
      <c r="I27" s="6" t="s">
        <v>5059</v>
      </c>
    </row>
    <row r="28" spans="1:9" ht="18" customHeight="1" x14ac:dyDescent="0.3">
      <c r="A28" s="2" t="s">
        <v>43</v>
      </c>
      <c r="B28" s="2" t="s">
        <v>7</v>
      </c>
      <c r="C28" s="2" t="s">
        <v>5042</v>
      </c>
      <c r="D28" s="2"/>
      <c r="F28" s="38">
        <v>1</v>
      </c>
      <c r="G28" s="38" t="s">
        <v>7</v>
      </c>
      <c r="H28" s="2" t="s">
        <v>17</v>
      </c>
      <c r="I28" s="38" t="s">
        <v>5060</v>
      </c>
    </row>
    <row r="29" spans="1:9" ht="18" customHeight="1" x14ac:dyDescent="0.3">
      <c r="A29" s="2" t="s">
        <v>5061</v>
      </c>
      <c r="B29" s="2" t="s">
        <v>5046</v>
      </c>
      <c r="C29" s="2" t="s">
        <v>5062</v>
      </c>
      <c r="D29" s="2"/>
      <c r="F29" s="39"/>
      <c r="G29" s="39"/>
      <c r="H29" s="2" t="s">
        <v>5063</v>
      </c>
      <c r="I29" s="39"/>
    </row>
    <row r="30" spans="1:9" ht="18" customHeight="1" x14ac:dyDescent="0.3">
      <c r="A30" s="2" t="s">
        <v>5064</v>
      </c>
      <c r="B30" s="2" t="s">
        <v>5046</v>
      </c>
      <c r="C30" s="2" t="s">
        <v>5062</v>
      </c>
      <c r="D30" s="2"/>
      <c r="F30" s="38">
        <v>2</v>
      </c>
      <c r="G30" s="38" t="s">
        <v>7</v>
      </c>
      <c r="H30" s="2" t="s">
        <v>5065</v>
      </c>
      <c r="I30" s="38" t="s">
        <v>5060</v>
      </c>
    </row>
    <row r="31" spans="1:9" ht="18" customHeight="1" x14ac:dyDescent="0.3">
      <c r="A31" s="2" t="s">
        <v>5066</v>
      </c>
      <c r="B31" s="2" t="s">
        <v>5046</v>
      </c>
      <c r="C31" s="2" t="s">
        <v>5062</v>
      </c>
      <c r="D31" s="2"/>
      <c r="F31" s="39"/>
      <c r="G31" s="39"/>
      <c r="H31" s="2" t="s">
        <v>30</v>
      </c>
      <c r="I31" s="39"/>
    </row>
    <row r="32" spans="1:9" ht="18" customHeight="1" x14ac:dyDescent="0.3">
      <c r="A32" s="2" t="s">
        <v>5067</v>
      </c>
      <c r="B32" s="2" t="s">
        <v>5046</v>
      </c>
      <c r="C32" s="2" t="s">
        <v>5062</v>
      </c>
      <c r="D32" s="2"/>
      <c r="F32" s="38">
        <v>3</v>
      </c>
      <c r="G32" s="38" t="s">
        <v>7</v>
      </c>
      <c r="H32" s="2" t="s">
        <v>5068</v>
      </c>
      <c r="I32" s="38" t="s">
        <v>5060</v>
      </c>
    </row>
    <row r="33" spans="1:9" ht="18" customHeight="1" x14ac:dyDescent="0.3">
      <c r="A33" s="2" t="s">
        <v>5069</v>
      </c>
      <c r="B33" s="2" t="s">
        <v>5046</v>
      </c>
      <c r="C33" s="2" t="s">
        <v>5062</v>
      </c>
      <c r="D33" s="2"/>
      <c r="F33" s="39"/>
      <c r="G33" s="39"/>
      <c r="H33" s="2" t="s">
        <v>33</v>
      </c>
      <c r="I33" s="39"/>
    </row>
    <row r="34" spans="1:9" ht="18" customHeight="1" x14ac:dyDescent="0.3">
      <c r="A34" s="2" t="s">
        <v>5070</v>
      </c>
      <c r="B34" s="2" t="s">
        <v>5046</v>
      </c>
      <c r="C34" s="2" t="s">
        <v>5062</v>
      </c>
      <c r="D34" s="2"/>
      <c r="F34" s="38">
        <v>4</v>
      </c>
      <c r="G34" s="38" t="s">
        <v>7</v>
      </c>
      <c r="H34" s="2" t="s">
        <v>5071</v>
      </c>
      <c r="I34" s="38" t="s">
        <v>5060</v>
      </c>
    </row>
    <row r="35" spans="1:9" ht="18" customHeight="1" x14ac:dyDescent="0.3">
      <c r="A35" s="2" t="s">
        <v>5072</v>
      </c>
      <c r="B35" s="2" t="s">
        <v>5046</v>
      </c>
      <c r="C35" s="2" t="s">
        <v>5062</v>
      </c>
      <c r="D35" s="2"/>
      <c r="F35" s="39"/>
      <c r="G35" s="39"/>
      <c r="H35" s="2" t="s">
        <v>36</v>
      </c>
      <c r="I35" s="39"/>
    </row>
    <row r="36" spans="1:9" ht="18" customHeight="1" x14ac:dyDescent="0.3">
      <c r="A36" s="2" t="s">
        <v>5073</v>
      </c>
      <c r="B36" s="2" t="s">
        <v>5046</v>
      </c>
      <c r="C36" s="2" t="s">
        <v>5062</v>
      </c>
      <c r="D36" s="2"/>
      <c r="F36" s="38">
        <v>5</v>
      </c>
      <c r="G36" s="38" t="s">
        <v>7</v>
      </c>
      <c r="H36" s="2" t="s">
        <v>5074</v>
      </c>
      <c r="I36" s="38" t="s">
        <v>5060</v>
      </c>
    </row>
    <row r="37" spans="1:9" ht="18" customHeight="1" x14ac:dyDescent="0.3">
      <c r="A37" s="2" t="s">
        <v>5075</v>
      </c>
      <c r="B37" s="2" t="s">
        <v>5046</v>
      </c>
      <c r="C37" s="2" t="s">
        <v>5062</v>
      </c>
      <c r="D37" s="2"/>
      <c r="F37" s="39"/>
      <c r="G37" s="39"/>
      <c r="H37" s="2" t="s">
        <v>37</v>
      </c>
      <c r="I37" s="39"/>
    </row>
    <row r="38" spans="1:9" ht="18" customHeight="1" x14ac:dyDescent="0.3">
      <c r="A38" s="2" t="s">
        <v>5076</v>
      </c>
      <c r="B38" s="2" t="s">
        <v>5046</v>
      </c>
      <c r="C38" s="2" t="s">
        <v>5062</v>
      </c>
      <c r="D38" s="2"/>
      <c r="F38" s="38">
        <v>6</v>
      </c>
      <c r="G38" s="38" t="s">
        <v>7</v>
      </c>
      <c r="H38" s="2" t="s">
        <v>5077</v>
      </c>
      <c r="I38" s="38" t="s">
        <v>5060</v>
      </c>
    </row>
    <row r="39" spans="1:9" ht="18" customHeight="1" x14ac:dyDescent="0.3">
      <c r="A39" s="2" t="s">
        <v>5078</v>
      </c>
      <c r="B39" s="2" t="s">
        <v>5046</v>
      </c>
      <c r="C39" s="2" t="s">
        <v>5062</v>
      </c>
      <c r="D39" s="2"/>
      <c r="F39" s="39"/>
      <c r="G39" s="39"/>
      <c r="H39" s="2" t="s">
        <v>39</v>
      </c>
      <c r="I39" s="39"/>
    </row>
    <row r="40" spans="1:9" ht="18" customHeight="1" x14ac:dyDescent="0.3">
      <c r="A40" s="2" t="s">
        <v>5079</v>
      </c>
      <c r="B40" s="2" t="s">
        <v>5046</v>
      </c>
      <c r="C40" s="2" t="s">
        <v>5062</v>
      </c>
      <c r="D40" s="2"/>
      <c r="F40" s="38">
        <v>7</v>
      </c>
      <c r="G40" s="38" t="s">
        <v>7</v>
      </c>
      <c r="H40" s="2" t="s">
        <v>5080</v>
      </c>
      <c r="I40" s="38" t="s">
        <v>5060</v>
      </c>
    </row>
    <row r="41" spans="1:9" ht="18" customHeight="1" x14ac:dyDescent="0.3">
      <c r="A41" s="2" t="s">
        <v>5081</v>
      </c>
      <c r="B41" s="2" t="s">
        <v>5046</v>
      </c>
      <c r="C41" s="2" t="s">
        <v>5062</v>
      </c>
      <c r="D41" s="2"/>
      <c r="F41" s="39"/>
      <c r="G41" s="39"/>
      <c r="H41" s="2" t="s">
        <v>42</v>
      </c>
      <c r="I41" s="39"/>
    </row>
    <row r="42" spans="1:9" ht="18" customHeight="1" x14ac:dyDescent="0.3">
      <c r="A42" s="2" t="s">
        <v>5082</v>
      </c>
      <c r="B42" s="2" t="s">
        <v>5046</v>
      </c>
      <c r="C42" s="2" t="s">
        <v>5062</v>
      </c>
      <c r="D42" s="2"/>
      <c r="F42" s="38">
        <v>8</v>
      </c>
      <c r="G42" s="38" t="s">
        <v>7</v>
      </c>
      <c r="H42" s="2" t="s">
        <v>5083</v>
      </c>
      <c r="I42" s="38" t="s">
        <v>5060</v>
      </c>
    </row>
    <row r="43" spans="1:9" ht="18" customHeight="1" x14ac:dyDescent="0.3">
      <c r="A43" s="2" t="s">
        <v>5084</v>
      </c>
      <c r="B43" s="2" t="s">
        <v>5046</v>
      </c>
      <c r="C43" s="2" t="s">
        <v>5062</v>
      </c>
      <c r="D43" s="2"/>
      <c r="F43" s="39"/>
      <c r="G43" s="39"/>
      <c r="H43" s="2" t="s">
        <v>43</v>
      </c>
      <c r="I43" s="39"/>
    </row>
    <row r="44" spans="1:9" ht="18" customHeight="1" x14ac:dyDescent="0.3">
      <c r="A44" s="2" t="s">
        <v>5085</v>
      </c>
      <c r="B44" s="2" t="s">
        <v>5046</v>
      </c>
      <c r="C44" s="2" t="s">
        <v>5062</v>
      </c>
      <c r="D44" s="2"/>
      <c r="F44" s="2">
        <v>9</v>
      </c>
      <c r="G44" s="2" t="s">
        <v>5046</v>
      </c>
      <c r="H44" s="2" t="s">
        <v>5086</v>
      </c>
      <c r="I44" s="2" t="s">
        <v>5087</v>
      </c>
    </row>
    <row r="45" spans="1:9" ht="18" customHeight="1" x14ac:dyDescent="0.3">
      <c r="A45" s="2" t="s">
        <v>5088</v>
      </c>
      <c r="B45" s="2" t="s">
        <v>5046</v>
      </c>
      <c r="C45" s="2" t="s">
        <v>5062</v>
      </c>
      <c r="D45" s="2"/>
      <c r="F45" s="2">
        <v>10</v>
      </c>
      <c r="G45" s="2" t="s">
        <v>5046</v>
      </c>
      <c r="H45" s="2" t="s">
        <v>5089</v>
      </c>
      <c r="I45" s="2" t="s">
        <v>5087</v>
      </c>
    </row>
    <row r="46" spans="1:9" ht="18" customHeight="1" x14ac:dyDescent="0.3">
      <c r="A46" s="2" t="s">
        <v>5090</v>
      </c>
      <c r="B46" s="2" t="s">
        <v>5046</v>
      </c>
      <c r="C46" s="2" t="s">
        <v>5062</v>
      </c>
      <c r="D46" s="2"/>
      <c r="F46" s="2">
        <v>11</v>
      </c>
      <c r="G46" s="2" t="s">
        <v>5046</v>
      </c>
      <c r="H46" s="2" t="s">
        <v>5091</v>
      </c>
      <c r="I46" s="2" t="s">
        <v>5087</v>
      </c>
    </row>
    <row r="47" spans="1:9" ht="18" customHeight="1" x14ac:dyDescent="0.3">
      <c r="A47" s="2" t="s">
        <v>5092</v>
      </c>
      <c r="B47" s="2" t="s">
        <v>5046</v>
      </c>
      <c r="C47" s="2" t="s">
        <v>5062</v>
      </c>
      <c r="D47" s="2"/>
      <c r="F47" s="2">
        <v>12</v>
      </c>
      <c r="G47" s="2" t="s">
        <v>5046</v>
      </c>
      <c r="H47" s="2" t="s">
        <v>5093</v>
      </c>
      <c r="I47" s="2" t="s">
        <v>5087</v>
      </c>
    </row>
    <row r="48" spans="1:9" ht="18" customHeight="1" x14ac:dyDescent="0.3">
      <c r="A48" s="2" t="s">
        <v>5094</v>
      </c>
      <c r="B48" s="2" t="s">
        <v>5046</v>
      </c>
      <c r="C48" s="2" t="s">
        <v>5062</v>
      </c>
      <c r="D48" s="2"/>
      <c r="F48" s="2">
        <v>13</v>
      </c>
      <c r="G48" s="2" t="s">
        <v>5046</v>
      </c>
      <c r="H48" s="2" t="s">
        <v>5088</v>
      </c>
      <c r="I48" s="2" t="s">
        <v>5087</v>
      </c>
    </row>
    <row r="49" spans="1:4" ht="18" customHeight="1" x14ac:dyDescent="0.3">
      <c r="A49" s="2" t="s">
        <v>5086</v>
      </c>
      <c r="B49" s="2" t="s">
        <v>5046</v>
      </c>
      <c r="C49" s="2" t="s">
        <v>5095</v>
      </c>
      <c r="D49" s="2"/>
    </row>
    <row r="50" spans="1:4" ht="18" customHeight="1" x14ac:dyDescent="0.3">
      <c r="A50" s="2" t="s">
        <v>5089</v>
      </c>
      <c r="B50" s="2" t="s">
        <v>5046</v>
      </c>
      <c r="C50" s="2" t="s">
        <v>5095</v>
      </c>
      <c r="D50" s="2"/>
    </row>
    <row r="51" spans="1:4" ht="18" customHeight="1" x14ac:dyDescent="0.3">
      <c r="A51" s="2" t="s">
        <v>5091</v>
      </c>
      <c r="B51" s="2" t="s">
        <v>5046</v>
      </c>
      <c r="C51" s="2" t="s">
        <v>5095</v>
      </c>
      <c r="D51" s="2"/>
    </row>
    <row r="52" spans="1:4" ht="18" customHeight="1" x14ac:dyDescent="0.3">
      <c r="A52" s="2" t="s">
        <v>5093</v>
      </c>
      <c r="B52" s="2" t="s">
        <v>5046</v>
      </c>
      <c r="C52" s="2" t="s">
        <v>5095</v>
      </c>
      <c r="D52" s="2"/>
    </row>
    <row r="53" spans="1:4" ht="18" customHeight="1" x14ac:dyDescent="0.3">
      <c r="A53" s="2" t="s">
        <v>44</v>
      </c>
      <c r="B53" s="2" t="s">
        <v>45</v>
      </c>
      <c r="C53" s="2" t="s">
        <v>5096</v>
      </c>
      <c r="D53" s="2"/>
    </row>
    <row r="54" spans="1:4" ht="18" customHeight="1" x14ac:dyDescent="0.3">
      <c r="A54" s="2" t="s">
        <v>47</v>
      </c>
      <c r="B54" s="2" t="s">
        <v>45</v>
      </c>
      <c r="C54" s="2" t="s">
        <v>5096</v>
      </c>
      <c r="D54" s="2"/>
    </row>
    <row r="55" spans="1:4" ht="18" customHeight="1" x14ac:dyDescent="0.3">
      <c r="A55" s="2" t="s">
        <v>49</v>
      </c>
      <c r="B55" s="2" t="s">
        <v>45</v>
      </c>
      <c r="C55" s="2" t="s">
        <v>5096</v>
      </c>
      <c r="D55" s="2"/>
    </row>
    <row r="56" spans="1:4" ht="18" customHeight="1" x14ac:dyDescent="0.3">
      <c r="A56" s="2" t="s">
        <v>51</v>
      </c>
      <c r="B56" s="2" t="s">
        <v>45</v>
      </c>
      <c r="C56" s="2" t="s">
        <v>5096</v>
      </c>
      <c r="D56" s="2"/>
    </row>
    <row r="57" spans="1:4" ht="18" customHeight="1" x14ac:dyDescent="0.3">
      <c r="A57" s="2" t="s">
        <v>53</v>
      </c>
      <c r="B57" s="2" t="s">
        <v>45</v>
      </c>
      <c r="C57" s="2" t="s">
        <v>5096</v>
      </c>
      <c r="D57" s="2"/>
    </row>
    <row r="58" spans="1:4" ht="18" customHeight="1" x14ac:dyDescent="0.3">
      <c r="A58" s="2" t="s">
        <v>55</v>
      </c>
      <c r="B58" s="2" t="s">
        <v>45</v>
      </c>
      <c r="C58" s="2" t="s">
        <v>5096</v>
      </c>
      <c r="D58" s="2"/>
    </row>
    <row r="59" spans="1:4" ht="18" customHeight="1" x14ac:dyDescent="0.3">
      <c r="A59" s="2" t="s">
        <v>57</v>
      </c>
      <c r="B59" s="2" t="s">
        <v>45</v>
      </c>
      <c r="C59" s="2" t="s">
        <v>5096</v>
      </c>
      <c r="D59" s="2"/>
    </row>
    <row r="60" spans="1:4" ht="18" customHeight="1" x14ac:dyDescent="0.3">
      <c r="A60" s="2" t="s">
        <v>59</v>
      </c>
      <c r="B60" s="2" t="s">
        <v>45</v>
      </c>
      <c r="C60" s="2" t="s">
        <v>5096</v>
      </c>
      <c r="D60" s="2"/>
    </row>
    <row r="61" spans="1:4" ht="18" customHeight="1" x14ac:dyDescent="0.3">
      <c r="A61" s="2" t="s">
        <v>61</v>
      </c>
      <c r="B61" s="2" t="s">
        <v>45</v>
      </c>
      <c r="C61" s="2" t="s">
        <v>5096</v>
      </c>
      <c r="D61" s="2"/>
    </row>
    <row r="62" spans="1:4" ht="18" customHeight="1" x14ac:dyDescent="0.3">
      <c r="A62" s="2" t="s">
        <v>62</v>
      </c>
      <c r="B62" s="2" t="s">
        <v>45</v>
      </c>
      <c r="C62" s="2" t="s">
        <v>5096</v>
      </c>
      <c r="D62" s="2"/>
    </row>
    <row r="63" spans="1:4" ht="18" customHeight="1" x14ac:dyDescent="0.3">
      <c r="A63" s="2" t="s">
        <v>64</v>
      </c>
      <c r="B63" s="2" t="s">
        <v>45</v>
      </c>
      <c r="C63" s="2" t="s">
        <v>5096</v>
      </c>
      <c r="D63" s="2"/>
    </row>
    <row r="64" spans="1:4" ht="18" customHeight="1" x14ac:dyDescent="0.3">
      <c r="A64" s="2" t="s">
        <v>66</v>
      </c>
      <c r="B64" s="2" t="s">
        <v>45</v>
      </c>
      <c r="C64" s="2" t="s">
        <v>5096</v>
      </c>
      <c r="D64" s="2"/>
    </row>
    <row r="65" spans="1:4" ht="18" customHeight="1" x14ac:dyDescent="0.3">
      <c r="A65" s="2" t="s">
        <v>68</v>
      </c>
      <c r="B65" s="2" t="s">
        <v>45</v>
      </c>
      <c r="C65" s="2" t="s">
        <v>5096</v>
      </c>
      <c r="D65" s="2"/>
    </row>
    <row r="66" spans="1:4" ht="18" customHeight="1" x14ac:dyDescent="0.3">
      <c r="A66" s="2" t="s">
        <v>5097</v>
      </c>
      <c r="B66" s="2" t="s">
        <v>45</v>
      </c>
      <c r="C66" s="2" t="s">
        <v>5096</v>
      </c>
      <c r="D66" s="2"/>
    </row>
    <row r="67" spans="1:4" ht="18" customHeight="1" x14ac:dyDescent="0.3">
      <c r="A67" s="2" t="s">
        <v>69</v>
      </c>
      <c r="B67" s="2" t="s">
        <v>45</v>
      </c>
      <c r="C67" s="2" t="s">
        <v>5096</v>
      </c>
      <c r="D67" s="2"/>
    </row>
    <row r="68" spans="1:4" ht="18" customHeight="1" x14ac:dyDescent="0.3">
      <c r="A68" s="2" t="s">
        <v>71</v>
      </c>
      <c r="B68" s="2" t="s">
        <v>45</v>
      </c>
      <c r="C68" s="2" t="s">
        <v>5096</v>
      </c>
      <c r="D68" s="2"/>
    </row>
    <row r="69" spans="1:4" ht="18" customHeight="1" x14ac:dyDescent="0.3">
      <c r="A69" s="2" t="s">
        <v>73</v>
      </c>
      <c r="B69" s="2" t="s">
        <v>45</v>
      </c>
      <c r="C69" s="2" t="s">
        <v>5096</v>
      </c>
      <c r="D69" s="2"/>
    </row>
    <row r="70" spans="1:4" ht="18" customHeight="1" x14ac:dyDescent="0.3">
      <c r="A70" s="2" t="s">
        <v>75</v>
      </c>
      <c r="B70" s="2" t="s">
        <v>45</v>
      </c>
      <c r="C70" s="2" t="s">
        <v>5096</v>
      </c>
      <c r="D70" s="2"/>
    </row>
    <row r="71" spans="1:4" ht="18" customHeight="1" x14ac:dyDescent="0.3">
      <c r="A71" s="2" t="s">
        <v>77</v>
      </c>
      <c r="B71" s="2" t="s">
        <v>45</v>
      </c>
      <c r="C71" s="2" t="s">
        <v>5096</v>
      </c>
      <c r="D71" s="2"/>
    </row>
    <row r="72" spans="1:4" ht="18" customHeight="1" x14ac:dyDescent="0.3">
      <c r="A72" s="2" t="s">
        <v>79</v>
      </c>
      <c r="B72" s="2" t="s">
        <v>45</v>
      </c>
      <c r="C72" s="2" t="s">
        <v>5096</v>
      </c>
      <c r="D72" s="2"/>
    </row>
    <row r="73" spans="1:4" ht="18" customHeight="1" x14ac:dyDescent="0.3">
      <c r="A73" s="2" t="s">
        <v>81</v>
      </c>
      <c r="B73" s="2" t="s">
        <v>45</v>
      </c>
      <c r="C73" s="2" t="s">
        <v>5096</v>
      </c>
      <c r="D73" s="2"/>
    </row>
    <row r="74" spans="1:4" ht="18" customHeight="1" x14ac:dyDescent="0.3">
      <c r="A74" s="2" t="s">
        <v>82</v>
      </c>
      <c r="B74" s="2" t="s">
        <v>45</v>
      </c>
      <c r="C74" s="2" t="s">
        <v>5096</v>
      </c>
      <c r="D74" s="2"/>
    </row>
    <row r="75" spans="1:4" ht="18" customHeight="1" x14ac:dyDescent="0.3">
      <c r="A75" s="2" t="s">
        <v>84</v>
      </c>
      <c r="B75" s="2" t="s">
        <v>45</v>
      </c>
      <c r="C75" s="2" t="s">
        <v>5096</v>
      </c>
      <c r="D75" s="2"/>
    </row>
    <row r="76" spans="1:4" ht="18" customHeight="1" x14ac:dyDescent="0.3">
      <c r="A76" s="2" t="s">
        <v>86</v>
      </c>
      <c r="B76" s="2" t="s">
        <v>45</v>
      </c>
      <c r="C76" s="2" t="s">
        <v>5096</v>
      </c>
      <c r="D76" s="2"/>
    </row>
    <row r="77" spans="1:4" ht="18" customHeight="1" x14ac:dyDescent="0.3">
      <c r="A77" s="2" t="s">
        <v>88</v>
      </c>
      <c r="B77" s="2" t="s">
        <v>45</v>
      </c>
      <c r="C77" s="2" t="s">
        <v>5096</v>
      </c>
      <c r="D77" s="2"/>
    </row>
    <row r="78" spans="1:4" ht="18" customHeight="1" x14ac:dyDescent="0.3">
      <c r="A78" s="2" t="s">
        <v>89</v>
      </c>
      <c r="B78" s="2" t="s">
        <v>45</v>
      </c>
      <c r="C78" s="2" t="s">
        <v>5096</v>
      </c>
      <c r="D78" s="2"/>
    </row>
    <row r="79" spans="1:4" ht="18" customHeight="1" x14ac:dyDescent="0.3">
      <c r="A79" s="2" t="s">
        <v>91</v>
      </c>
      <c r="B79" s="2" t="s">
        <v>45</v>
      </c>
      <c r="C79" s="2" t="s">
        <v>5096</v>
      </c>
      <c r="D79" s="2"/>
    </row>
    <row r="80" spans="1:4" ht="18" customHeight="1" x14ac:dyDescent="0.3">
      <c r="A80" s="2" t="s">
        <v>92</v>
      </c>
      <c r="B80" s="2" t="s">
        <v>45</v>
      </c>
      <c r="C80" s="2" t="s">
        <v>5096</v>
      </c>
      <c r="D80" s="2"/>
    </row>
    <row r="81" spans="1:4" ht="18" customHeight="1" x14ac:dyDescent="0.3">
      <c r="A81" s="2" t="s">
        <v>93</v>
      </c>
      <c r="B81" s="2" t="s">
        <v>45</v>
      </c>
      <c r="C81" s="2" t="s">
        <v>5096</v>
      </c>
      <c r="D81" s="2"/>
    </row>
    <row r="82" spans="1:4" ht="18" customHeight="1" x14ac:dyDescent="0.3">
      <c r="A82" s="2" t="s">
        <v>95</v>
      </c>
      <c r="B82" s="2" t="s">
        <v>45</v>
      </c>
      <c r="C82" s="2" t="s">
        <v>5096</v>
      </c>
      <c r="D82" s="2"/>
    </row>
    <row r="83" spans="1:4" ht="18" customHeight="1" x14ac:dyDescent="0.3">
      <c r="A83" s="2" t="s">
        <v>97</v>
      </c>
      <c r="B83" s="2" t="s">
        <v>45</v>
      </c>
      <c r="C83" s="2" t="s">
        <v>5096</v>
      </c>
      <c r="D83" s="2"/>
    </row>
    <row r="84" spans="1:4" ht="18" customHeight="1" x14ac:dyDescent="0.3">
      <c r="A84" s="2" t="s">
        <v>98</v>
      </c>
      <c r="B84" s="2" t="s">
        <v>45</v>
      </c>
      <c r="C84" s="2" t="s">
        <v>5096</v>
      </c>
      <c r="D84" s="2"/>
    </row>
    <row r="85" spans="1:4" ht="18" customHeight="1" x14ac:dyDescent="0.3">
      <c r="A85" s="2" t="s">
        <v>100</v>
      </c>
      <c r="B85" s="2" t="s">
        <v>45</v>
      </c>
      <c r="C85" s="2" t="s">
        <v>5096</v>
      </c>
      <c r="D85" s="2"/>
    </row>
    <row r="86" spans="1:4" ht="18" customHeight="1" x14ac:dyDescent="0.3">
      <c r="A86" s="2" t="s">
        <v>101</v>
      </c>
      <c r="B86" s="2" t="s">
        <v>45</v>
      </c>
      <c r="C86" s="2" t="s">
        <v>5096</v>
      </c>
      <c r="D86" s="2"/>
    </row>
    <row r="87" spans="1:4" ht="18" customHeight="1" x14ac:dyDescent="0.3">
      <c r="A87" s="2" t="s">
        <v>102</v>
      </c>
      <c r="B87" s="2" t="s">
        <v>45</v>
      </c>
      <c r="C87" s="2" t="s">
        <v>5096</v>
      </c>
      <c r="D87" s="2"/>
    </row>
    <row r="88" spans="1:4" ht="18" customHeight="1" x14ac:dyDescent="0.3">
      <c r="A88" s="2" t="s">
        <v>104</v>
      </c>
      <c r="B88" s="2" t="s">
        <v>45</v>
      </c>
      <c r="C88" s="2" t="s">
        <v>5096</v>
      </c>
      <c r="D88" s="2"/>
    </row>
    <row r="89" spans="1:4" ht="18" customHeight="1" x14ac:dyDescent="0.3">
      <c r="A89" s="2" t="s">
        <v>106</v>
      </c>
      <c r="B89" s="2" t="s">
        <v>45</v>
      </c>
      <c r="C89" s="2" t="s">
        <v>5096</v>
      </c>
      <c r="D89" s="2"/>
    </row>
    <row r="90" spans="1:4" ht="18" customHeight="1" x14ac:dyDescent="0.3">
      <c r="A90" s="2" t="s">
        <v>108</v>
      </c>
      <c r="B90" s="2" t="s">
        <v>45</v>
      </c>
      <c r="C90" s="2" t="s">
        <v>5096</v>
      </c>
      <c r="D90" s="2"/>
    </row>
    <row r="91" spans="1:4" ht="18" customHeight="1" x14ac:dyDescent="0.3">
      <c r="A91" s="2" t="s">
        <v>109</v>
      </c>
      <c r="B91" s="2" t="s">
        <v>45</v>
      </c>
      <c r="C91" s="2" t="s">
        <v>5096</v>
      </c>
      <c r="D91" s="2"/>
    </row>
    <row r="92" spans="1:4" ht="18" customHeight="1" x14ac:dyDescent="0.3">
      <c r="A92" s="2" t="s">
        <v>111</v>
      </c>
      <c r="B92" s="2" t="s">
        <v>45</v>
      </c>
      <c r="C92" s="2" t="s">
        <v>5096</v>
      </c>
      <c r="D92" s="2"/>
    </row>
    <row r="93" spans="1:4" ht="18" customHeight="1" x14ac:dyDescent="0.3">
      <c r="A93" s="2" t="s">
        <v>113</v>
      </c>
      <c r="B93" s="2" t="s">
        <v>45</v>
      </c>
      <c r="C93" s="2" t="s">
        <v>5096</v>
      </c>
      <c r="D93" s="2"/>
    </row>
    <row r="94" spans="1:4" ht="18" customHeight="1" x14ac:dyDescent="0.3">
      <c r="A94" s="2" t="s">
        <v>114</v>
      </c>
      <c r="B94" s="2" t="s">
        <v>45</v>
      </c>
      <c r="C94" s="2" t="s">
        <v>5096</v>
      </c>
      <c r="D94" s="2"/>
    </row>
    <row r="95" spans="1:4" ht="18" customHeight="1" x14ac:dyDescent="0.3">
      <c r="A95" s="2" t="s">
        <v>116</v>
      </c>
      <c r="B95" s="2" t="s">
        <v>45</v>
      </c>
      <c r="C95" s="2" t="s">
        <v>5096</v>
      </c>
      <c r="D95" s="2"/>
    </row>
    <row r="96" spans="1:4" ht="18" customHeight="1" x14ac:dyDescent="0.3">
      <c r="A96" s="2" t="s">
        <v>118</v>
      </c>
      <c r="B96" s="2" t="s">
        <v>45</v>
      </c>
      <c r="C96" s="2" t="s">
        <v>5096</v>
      </c>
      <c r="D96" s="2"/>
    </row>
    <row r="97" spans="1:4" ht="18" customHeight="1" x14ac:dyDescent="0.3">
      <c r="A97" s="2" t="s">
        <v>120</v>
      </c>
      <c r="B97" s="2" t="s">
        <v>45</v>
      </c>
      <c r="C97" s="2" t="s">
        <v>5096</v>
      </c>
      <c r="D97" s="2"/>
    </row>
    <row r="98" spans="1:4" ht="18" customHeight="1" x14ac:dyDescent="0.3">
      <c r="A98" s="2" t="s">
        <v>121</v>
      </c>
      <c r="B98" s="2" t="s">
        <v>45</v>
      </c>
      <c r="C98" s="2" t="s">
        <v>5096</v>
      </c>
      <c r="D98" s="2"/>
    </row>
    <row r="99" spans="1:4" ht="18" customHeight="1" x14ac:dyDescent="0.3">
      <c r="A99" s="2" t="s">
        <v>123</v>
      </c>
      <c r="B99" s="2" t="s">
        <v>45</v>
      </c>
      <c r="C99" s="2" t="s">
        <v>5096</v>
      </c>
      <c r="D99" s="2"/>
    </row>
    <row r="100" spans="1:4" ht="18" customHeight="1" x14ac:dyDescent="0.3">
      <c r="A100" s="2" t="s">
        <v>124</v>
      </c>
      <c r="B100" s="2" t="s">
        <v>45</v>
      </c>
      <c r="C100" s="2" t="s">
        <v>5096</v>
      </c>
      <c r="D100" s="2"/>
    </row>
    <row r="101" spans="1:4" ht="18" customHeight="1" x14ac:dyDescent="0.3">
      <c r="A101" s="2" t="s">
        <v>125</v>
      </c>
      <c r="B101" s="2" t="s">
        <v>45</v>
      </c>
      <c r="C101" s="2" t="s">
        <v>5096</v>
      </c>
      <c r="D101" s="2"/>
    </row>
    <row r="102" spans="1:4" ht="18" customHeight="1" x14ac:dyDescent="0.3">
      <c r="A102" s="2" t="s">
        <v>127</v>
      </c>
      <c r="B102" s="2" t="s">
        <v>45</v>
      </c>
      <c r="C102" s="2" t="s">
        <v>5096</v>
      </c>
      <c r="D102" s="2"/>
    </row>
    <row r="103" spans="1:4" ht="18" customHeight="1" x14ac:dyDescent="0.3">
      <c r="A103" s="2" t="s">
        <v>129</v>
      </c>
      <c r="B103" s="2" t="s">
        <v>45</v>
      </c>
      <c r="C103" s="2" t="s">
        <v>5096</v>
      </c>
      <c r="D103" s="2"/>
    </row>
    <row r="104" spans="1:4" ht="18" customHeight="1" x14ac:dyDescent="0.3">
      <c r="A104" s="2" t="s">
        <v>131</v>
      </c>
      <c r="B104" s="2" t="s">
        <v>45</v>
      </c>
      <c r="C104" s="2" t="s">
        <v>5096</v>
      </c>
      <c r="D104" s="2"/>
    </row>
    <row r="105" spans="1:4" ht="18" customHeight="1" x14ac:dyDescent="0.3">
      <c r="A105" s="2" t="s">
        <v>133</v>
      </c>
      <c r="B105" s="2" t="s">
        <v>45</v>
      </c>
      <c r="C105" s="2" t="s">
        <v>5096</v>
      </c>
      <c r="D105" s="2"/>
    </row>
    <row r="106" spans="1:4" ht="18" customHeight="1" x14ac:dyDescent="0.3">
      <c r="A106" s="2" t="s">
        <v>134</v>
      </c>
      <c r="B106" s="2" t="s">
        <v>45</v>
      </c>
      <c r="C106" s="2" t="s">
        <v>5096</v>
      </c>
      <c r="D106" s="2"/>
    </row>
    <row r="107" spans="1:4" ht="18" customHeight="1" x14ac:dyDescent="0.3">
      <c r="A107" s="2" t="s">
        <v>136</v>
      </c>
      <c r="B107" s="2" t="s">
        <v>45</v>
      </c>
      <c r="C107" s="2" t="s">
        <v>5096</v>
      </c>
      <c r="D107" s="2"/>
    </row>
    <row r="108" spans="1:4" ht="18" customHeight="1" x14ac:dyDescent="0.3">
      <c r="A108" s="2" t="s">
        <v>138</v>
      </c>
      <c r="B108" s="2" t="s">
        <v>45</v>
      </c>
      <c r="C108" s="2" t="s">
        <v>5096</v>
      </c>
      <c r="D108" s="2"/>
    </row>
    <row r="109" spans="1:4" ht="18" customHeight="1" x14ac:dyDescent="0.3">
      <c r="A109" s="2" t="s">
        <v>139</v>
      </c>
      <c r="B109" s="2" t="s">
        <v>45</v>
      </c>
      <c r="C109" s="2" t="s">
        <v>5096</v>
      </c>
      <c r="D109" s="2"/>
    </row>
    <row r="110" spans="1:4" ht="18" customHeight="1" x14ac:dyDescent="0.3">
      <c r="A110" s="2" t="s">
        <v>141</v>
      </c>
      <c r="B110" s="2" t="s">
        <v>45</v>
      </c>
      <c r="C110" s="2" t="s">
        <v>5096</v>
      </c>
      <c r="D110" s="2"/>
    </row>
    <row r="111" spans="1:4" ht="18" customHeight="1" x14ac:dyDescent="0.3">
      <c r="A111" s="2" t="s">
        <v>142</v>
      </c>
      <c r="B111" s="2" t="s">
        <v>45</v>
      </c>
      <c r="C111" s="2" t="s">
        <v>5096</v>
      </c>
      <c r="D111" s="2"/>
    </row>
    <row r="112" spans="1:4" ht="18" customHeight="1" x14ac:dyDescent="0.3">
      <c r="A112" s="2" t="s">
        <v>143</v>
      </c>
      <c r="B112" s="2" t="s">
        <v>45</v>
      </c>
      <c r="C112" s="2" t="s">
        <v>5096</v>
      </c>
      <c r="D112" s="2"/>
    </row>
    <row r="113" spans="1:4" ht="18" customHeight="1" x14ac:dyDescent="0.3">
      <c r="A113" s="2" t="s">
        <v>145</v>
      </c>
      <c r="B113" s="2" t="s">
        <v>45</v>
      </c>
      <c r="C113" s="2" t="s">
        <v>5096</v>
      </c>
      <c r="D113" s="2"/>
    </row>
    <row r="114" spans="1:4" ht="18" customHeight="1" x14ac:dyDescent="0.3">
      <c r="A114" s="2" t="s">
        <v>146</v>
      </c>
      <c r="B114" s="2" t="s">
        <v>45</v>
      </c>
      <c r="C114" s="2" t="s">
        <v>5096</v>
      </c>
      <c r="D114" s="2"/>
    </row>
    <row r="115" spans="1:4" ht="18" customHeight="1" x14ac:dyDescent="0.3">
      <c r="A115" s="2" t="s">
        <v>148</v>
      </c>
      <c r="B115" s="2" t="s">
        <v>45</v>
      </c>
      <c r="C115" s="2" t="s">
        <v>5096</v>
      </c>
      <c r="D115" s="2"/>
    </row>
    <row r="116" spans="1:4" ht="18" customHeight="1" x14ac:dyDescent="0.3">
      <c r="A116" s="2" t="s">
        <v>150</v>
      </c>
      <c r="B116" s="2" t="s">
        <v>45</v>
      </c>
      <c r="C116" s="2" t="s">
        <v>5096</v>
      </c>
      <c r="D116" s="2"/>
    </row>
    <row r="117" spans="1:4" ht="18" customHeight="1" x14ac:dyDescent="0.3">
      <c r="A117" s="2" t="s">
        <v>152</v>
      </c>
      <c r="B117" s="2" t="s">
        <v>45</v>
      </c>
      <c r="C117" s="2" t="s">
        <v>5096</v>
      </c>
      <c r="D117" s="2"/>
    </row>
    <row r="118" spans="1:4" ht="18" customHeight="1" x14ac:dyDescent="0.3">
      <c r="A118" s="2" t="s">
        <v>154</v>
      </c>
      <c r="B118" s="2" t="s">
        <v>45</v>
      </c>
      <c r="C118" s="2" t="s">
        <v>5096</v>
      </c>
      <c r="D118" s="2"/>
    </row>
    <row r="119" spans="1:4" ht="18" customHeight="1" x14ac:dyDescent="0.3">
      <c r="A119" s="2" t="s">
        <v>155</v>
      </c>
      <c r="B119" s="2" t="s">
        <v>45</v>
      </c>
      <c r="C119" s="2" t="s">
        <v>5096</v>
      </c>
      <c r="D119" s="2"/>
    </row>
    <row r="120" spans="1:4" ht="18" customHeight="1" x14ac:dyDescent="0.3">
      <c r="A120" s="2" t="s">
        <v>156</v>
      </c>
      <c r="B120" s="2" t="s">
        <v>45</v>
      </c>
      <c r="C120" s="2" t="s">
        <v>5096</v>
      </c>
      <c r="D120" s="2"/>
    </row>
    <row r="121" spans="1:4" ht="18" customHeight="1" x14ac:dyDescent="0.3">
      <c r="A121" s="2" t="s">
        <v>158</v>
      </c>
      <c r="B121" s="2" t="s">
        <v>45</v>
      </c>
      <c r="C121" s="2" t="s">
        <v>5096</v>
      </c>
      <c r="D121" s="2"/>
    </row>
    <row r="122" spans="1:4" ht="18" customHeight="1" x14ac:dyDescent="0.3">
      <c r="A122" s="2" t="s">
        <v>159</v>
      </c>
      <c r="B122" s="2" t="s">
        <v>45</v>
      </c>
      <c r="C122" s="2" t="s">
        <v>5096</v>
      </c>
      <c r="D122" s="2"/>
    </row>
    <row r="123" spans="1:4" ht="18" customHeight="1" x14ac:dyDescent="0.3">
      <c r="A123" s="2" t="s">
        <v>160</v>
      </c>
      <c r="B123" s="2" t="s">
        <v>45</v>
      </c>
      <c r="C123" s="2" t="s">
        <v>5096</v>
      </c>
      <c r="D123" s="2"/>
    </row>
    <row r="124" spans="1:4" ht="18" customHeight="1" x14ac:dyDescent="0.3">
      <c r="A124" s="2" t="s">
        <v>161</v>
      </c>
      <c r="B124" s="2" t="s">
        <v>45</v>
      </c>
      <c r="C124" s="2" t="s">
        <v>5096</v>
      </c>
      <c r="D124" s="2"/>
    </row>
    <row r="125" spans="1:4" ht="18" customHeight="1" x14ac:dyDescent="0.3">
      <c r="A125" s="2" t="s">
        <v>163</v>
      </c>
      <c r="B125" s="2" t="s">
        <v>45</v>
      </c>
      <c r="C125" s="2" t="s">
        <v>5096</v>
      </c>
      <c r="D125" s="2"/>
    </row>
    <row r="126" spans="1:4" ht="18" customHeight="1" x14ac:dyDescent="0.3">
      <c r="A126" s="2" t="s">
        <v>164</v>
      </c>
      <c r="B126" s="2" t="s">
        <v>45</v>
      </c>
      <c r="C126" s="2" t="s">
        <v>5096</v>
      </c>
      <c r="D126" s="2"/>
    </row>
    <row r="127" spans="1:4" ht="18" customHeight="1" x14ac:dyDescent="0.3">
      <c r="A127" s="2" t="s">
        <v>166</v>
      </c>
      <c r="B127" s="2" t="s">
        <v>45</v>
      </c>
      <c r="C127" s="2" t="s">
        <v>5096</v>
      </c>
      <c r="D127" s="2"/>
    </row>
    <row r="128" spans="1:4" ht="18" customHeight="1" x14ac:dyDescent="0.3">
      <c r="A128" s="2" t="s">
        <v>168</v>
      </c>
      <c r="B128" s="2" t="s">
        <v>45</v>
      </c>
      <c r="C128" s="2" t="s">
        <v>5096</v>
      </c>
      <c r="D128" s="2"/>
    </row>
    <row r="129" spans="1:4" ht="18" customHeight="1" x14ac:dyDescent="0.3">
      <c r="A129" s="2" t="s">
        <v>170</v>
      </c>
      <c r="B129" s="2" t="s">
        <v>45</v>
      </c>
      <c r="C129" s="2" t="s">
        <v>5096</v>
      </c>
      <c r="D129" s="2"/>
    </row>
    <row r="130" spans="1:4" ht="18" customHeight="1" x14ac:dyDescent="0.3">
      <c r="A130" s="2" t="s">
        <v>171</v>
      </c>
      <c r="B130" s="2" t="s">
        <v>45</v>
      </c>
      <c r="C130" s="2" t="s">
        <v>5096</v>
      </c>
      <c r="D130" s="2"/>
    </row>
    <row r="131" spans="1:4" ht="18" customHeight="1" x14ac:dyDescent="0.3">
      <c r="A131" s="2" t="s">
        <v>172</v>
      </c>
      <c r="B131" s="2" t="s">
        <v>45</v>
      </c>
      <c r="C131" s="2" t="s">
        <v>5096</v>
      </c>
      <c r="D131" s="2"/>
    </row>
    <row r="132" spans="1:4" ht="18" customHeight="1" x14ac:dyDescent="0.3">
      <c r="A132" s="2" t="s">
        <v>173</v>
      </c>
      <c r="B132" s="2" t="s">
        <v>45</v>
      </c>
      <c r="C132" s="2" t="s">
        <v>5096</v>
      </c>
      <c r="D132" s="2"/>
    </row>
    <row r="133" spans="1:4" ht="18" customHeight="1" x14ac:dyDescent="0.3">
      <c r="A133" s="2" t="s">
        <v>174</v>
      </c>
      <c r="B133" s="2" t="s">
        <v>45</v>
      </c>
      <c r="C133" s="2" t="s">
        <v>5096</v>
      </c>
      <c r="D133" s="2"/>
    </row>
    <row r="134" spans="1:4" ht="18" customHeight="1" x14ac:dyDescent="0.3">
      <c r="A134" s="2" t="s">
        <v>175</v>
      </c>
      <c r="B134" s="2" t="s">
        <v>45</v>
      </c>
      <c r="C134" s="2" t="s">
        <v>5096</v>
      </c>
      <c r="D134" s="2"/>
    </row>
    <row r="135" spans="1:4" ht="18" customHeight="1" x14ac:dyDescent="0.3">
      <c r="A135" s="2" t="s">
        <v>177</v>
      </c>
      <c r="B135" s="2" t="s">
        <v>45</v>
      </c>
      <c r="C135" s="2" t="s">
        <v>5096</v>
      </c>
      <c r="D135" s="2"/>
    </row>
    <row r="136" spans="1:4" ht="18" customHeight="1" x14ac:dyDescent="0.3">
      <c r="A136" s="2" t="s">
        <v>179</v>
      </c>
      <c r="B136" s="2" t="s">
        <v>45</v>
      </c>
      <c r="C136" s="2" t="s">
        <v>5096</v>
      </c>
      <c r="D136" s="2"/>
    </row>
    <row r="137" spans="1:4" ht="18" customHeight="1" x14ac:dyDescent="0.3">
      <c r="A137" s="2" t="s">
        <v>180</v>
      </c>
      <c r="B137" s="2" t="s">
        <v>45</v>
      </c>
      <c r="C137" s="2" t="s">
        <v>5096</v>
      </c>
      <c r="D137" s="2"/>
    </row>
    <row r="138" spans="1:4" ht="18" customHeight="1" x14ac:dyDescent="0.3">
      <c r="A138" s="2" t="s">
        <v>182</v>
      </c>
      <c r="B138" s="2" t="s">
        <v>45</v>
      </c>
      <c r="C138" s="2" t="s">
        <v>5096</v>
      </c>
      <c r="D138" s="2"/>
    </row>
    <row r="139" spans="1:4" ht="18" customHeight="1" x14ac:dyDescent="0.3">
      <c r="A139" s="2" t="s">
        <v>184</v>
      </c>
      <c r="B139" s="2" t="s">
        <v>45</v>
      </c>
      <c r="C139" s="2" t="s">
        <v>5096</v>
      </c>
      <c r="D139" s="2"/>
    </row>
    <row r="140" spans="1:4" ht="18" customHeight="1" x14ac:dyDescent="0.3">
      <c r="A140" s="2" t="s">
        <v>185</v>
      </c>
      <c r="B140" s="2" t="s">
        <v>45</v>
      </c>
      <c r="C140" s="2" t="s">
        <v>5096</v>
      </c>
      <c r="D140" s="2"/>
    </row>
    <row r="141" spans="1:4" ht="18" customHeight="1" x14ac:dyDescent="0.3">
      <c r="A141" s="2" t="s">
        <v>187</v>
      </c>
      <c r="B141" s="2" t="s">
        <v>45</v>
      </c>
      <c r="C141" s="2" t="s">
        <v>5096</v>
      </c>
      <c r="D141" s="2"/>
    </row>
    <row r="142" spans="1:4" ht="18" customHeight="1" x14ac:dyDescent="0.3">
      <c r="A142" s="2" t="s">
        <v>189</v>
      </c>
      <c r="B142" s="2" t="s">
        <v>45</v>
      </c>
      <c r="C142" s="2" t="s">
        <v>5096</v>
      </c>
      <c r="D142" s="2"/>
    </row>
    <row r="143" spans="1:4" ht="18" customHeight="1" x14ac:dyDescent="0.3">
      <c r="A143" s="2" t="s">
        <v>191</v>
      </c>
      <c r="B143" s="2" t="s">
        <v>45</v>
      </c>
      <c r="C143" s="2" t="s">
        <v>5096</v>
      </c>
      <c r="D143" s="2"/>
    </row>
    <row r="144" spans="1:4" ht="18" customHeight="1" x14ac:dyDescent="0.3">
      <c r="A144" s="2" t="s">
        <v>192</v>
      </c>
      <c r="B144" s="2" t="s">
        <v>45</v>
      </c>
      <c r="C144" s="2" t="s">
        <v>5096</v>
      </c>
      <c r="D144" s="2"/>
    </row>
    <row r="145" spans="1:4" ht="18" customHeight="1" x14ac:dyDescent="0.3">
      <c r="A145" s="2" t="s">
        <v>193</v>
      </c>
      <c r="B145" s="2" t="s">
        <v>45</v>
      </c>
      <c r="C145" s="2" t="s">
        <v>5096</v>
      </c>
      <c r="D145" s="2"/>
    </row>
    <row r="146" spans="1:4" ht="18" customHeight="1" x14ac:dyDescent="0.3">
      <c r="A146" s="2" t="s">
        <v>195</v>
      </c>
      <c r="B146" s="2" t="s">
        <v>45</v>
      </c>
      <c r="C146" s="2" t="s">
        <v>5096</v>
      </c>
      <c r="D146" s="2"/>
    </row>
    <row r="147" spans="1:4" ht="18" customHeight="1" x14ac:dyDescent="0.3">
      <c r="A147" s="2" t="s">
        <v>196</v>
      </c>
      <c r="B147" s="2" t="s">
        <v>45</v>
      </c>
      <c r="C147" s="2" t="s">
        <v>5096</v>
      </c>
      <c r="D147" s="2"/>
    </row>
    <row r="148" spans="1:4" ht="18" customHeight="1" x14ac:dyDescent="0.3">
      <c r="A148" s="2" t="s">
        <v>197</v>
      </c>
      <c r="B148" s="2" t="s">
        <v>45</v>
      </c>
      <c r="C148" s="2" t="s">
        <v>5096</v>
      </c>
      <c r="D148" s="2"/>
    </row>
    <row r="149" spans="1:4" ht="18" customHeight="1" x14ac:dyDescent="0.3">
      <c r="A149" s="2" t="s">
        <v>198</v>
      </c>
      <c r="B149" s="2" t="s">
        <v>45</v>
      </c>
      <c r="C149" s="2" t="s">
        <v>5096</v>
      </c>
      <c r="D149" s="2"/>
    </row>
    <row r="150" spans="1:4" ht="18" customHeight="1" x14ac:dyDescent="0.3">
      <c r="A150" s="2" t="s">
        <v>200</v>
      </c>
      <c r="B150" s="2" t="s">
        <v>45</v>
      </c>
      <c r="C150" s="2" t="s">
        <v>5096</v>
      </c>
      <c r="D150" s="2"/>
    </row>
    <row r="151" spans="1:4" ht="18" customHeight="1" x14ac:dyDescent="0.3">
      <c r="A151" s="2" t="s">
        <v>202</v>
      </c>
      <c r="B151" s="2" t="s">
        <v>45</v>
      </c>
      <c r="C151" s="2" t="s">
        <v>5096</v>
      </c>
      <c r="D151" s="2"/>
    </row>
    <row r="152" spans="1:4" ht="18" customHeight="1" x14ac:dyDescent="0.3">
      <c r="A152" s="2" t="s">
        <v>204</v>
      </c>
      <c r="B152" s="2" t="s">
        <v>45</v>
      </c>
      <c r="C152" s="2" t="s">
        <v>5096</v>
      </c>
      <c r="D152" s="2"/>
    </row>
    <row r="153" spans="1:4" ht="18" customHeight="1" x14ac:dyDescent="0.3">
      <c r="A153" s="2" t="s">
        <v>206</v>
      </c>
      <c r="B153" s="2" t="s">
        <v>45</v>
      </c>
      <c r="C153" s="2" t="s">
        <v>5096</v>
      </c>
      <c r="D153" s="2"/>
    </row>
    <row r="154" spans="1:4" ht="18" customHeight="1" x14ac:dyDescent="0.3">
      <c r="A154" s="2" t="s">
        <v>207</v>
      </c>
      <c r="B154" s="2" t="s">
        <v>45</v>
      </c>
      <c r="C154" s="2" t="s">
        <v>5096</v>
      </c>
      <c r="D154" s="2"/>
    </row>
    <row r="155" spans="1:4" ht="18" customHeight="1" x14ac:dyDescent="0.3">
      <c r="A155" s="2" t="s">
        <v>208</v>
      </c>
      <c r="B155" s="2" t="s">
        <v>45</v>
      </c>
      <c r="C155" s="2" t="s">
        <v>5096</v>
      </c>
      <c r="D155" s="2"/>
    </row>
    <row r="156" spans="1:4" ht="18" customHeight="1" x14ac:dyDescent="0.3">
      <c r="A156" s="2" t="s">
        <v>210</v>
      </c>
      <c r="B156" s="2" t="s">
        <v>45</v>
      </c>
      <c r="C156" s="2" t="s">
        <v>5096</v>
      </c>
      <c r="D156" s="2"/>
    </row>
    <row r="157" spans="1:4" ht="18" customHeight="1" x14ac:dyDescent="0.3">
      <c r="A157" s="2" t="s">
        <v>212</v>
      </c>
      <c r="B157" s="2" t="s">
        <v>45</v>
      </c>
      <c r="C157" s="2" t="s">
        <v>5096</v>
      </c>
      <c r="D157" s="2"/>
    </row>
    <row r="158" spans="1:4" ht="18" customHeight="1" x14ac:dyDescent="0.3">
      <c r="A158" s="2" t="s">
        <v>214</v>
      </c>
      <c r="B158" s="2" t="s">
        <v>45</v>
      </c>
      <c r="C158" s="2" t="s">
        <v>5096</v>
      </c>
      <c r="D158" s="2"/>
    </row>
    <row r="159" spans="1:4" ht="18" customHeight="1" x14ac:dyDescent="0.3">
      <c r="A159" s="2" t="s">
        <v>215</v>
      </c>
      <c r="B159" s="2" t="s">
        <v>45</v>
      </c>
      <c r="C159" s="2" t="s">
        <v>5096</v>
      </c>
      <c r="D159" s="2"/>
    </row>
    <row r="160" spans="1:4" ht="18" customHeight="1" x14ac:dyDescent="0.3">
      <c r="A160" s="2" t="s">
        <v>217</v>
      </c>
      <c r="B160" s="2" t="s">
        <v>45</v>
      </c>
      <c r="C160" s="2" t="s">
        <v>5096</v>
      </c>
      <c r="D160" s="2"/>
    </row>
    <row r="161" spans="1:4" ht="18" customHeight="1" x14ac:dyDescent="0.3">
      <c r="A161" s="2" t="s">
        <v>219</v>
      </c>
      <c r="B161" s="2" t="s">
        <v>45</v>
      </c>
      <c r="C161" s="2" t="s">
        <v>5096</v>
      </c>
      <c r="D161" s="2"/>
    </row>
    <row r="162" spans="1:4" ht="18" customHeight="1" x14ac:dyDescent="0.3">
      <c r="A162" s="2" t="s">
        <v>221</v>
      </c>
      <c r="B162" s="2" t="s">
        <v>45</v>
      </c>
      <c r="C162" s="2" t="s">
        <v>5096</v>
      </c>
      <c r="D162" s="2"/>
    </row>
    <row r="163" spans="1:4" ht="18" customHeight="1" x14ac:dyDescent="0.3">
      <c r="A163" s="2" t="s">
        <v>223</v>
      </c>
      <c r="B163" s="2" t="s">
        <v>45</v>
      </c>
      <c r="C163" s="2" t="s">
        <v>5096</v>
      </c>
      <c r="D163" s="2"/>
    </row>
    <row r="164" spans="1:4" ht="18" customHeight="1" x14ac:dyDescent="0.3">
      <c r="A164" s="2" t="s">
        <v>225</v>
      </c>
      <c r="B164" s="2" t="s">
        <v>45</v>
      </c>
      <c r="C164" s="2" t="s">
        <v>5096</v>
      </c>
      <c r="D164" s="2"/>
    </row>
    <row r="165" spans="1:4" ht="18" customHeight="1" x14ac:dyDescent="0.3">
      <c r="A165" s="2" t="s">
        <v>226</v>
      </c>
      <c r="B165" s="2" t="s">
        <v>45</v>
      </c>
      <c r="C165" s="2" t="s">
        <v>5096</v>
      </c>
      <c r="D165" s="2"/>
    </row>
    <row r="166" spans="1:4" ht="18" customHeight="1" x14ac:dyDescent="0.3">
      <c r="A166" s="2" t="s">
        <v>228</v>
      </c>
      <c r="B166" s="2" t="s">
        <v>45</v>
      </c>
      <c r="C166" s="2" t="s">
        <v>5096</v>
      </c>
      <c r="D166" s="2"/>
    </row>
    <row r="167" spans="1:4" ht="18" customHeight="1" x14ac:dyDescent="0.3">
      <c r="A167" s="2" t="s">
        <v>230</v>
      </c>
      <c r="B167" s="2" t="s">
        <v>45</v>
      </c>
      <c r="C167" s="2" t="s">
        <v>5096</v>
      </c>
      <c r="D167" s="2"/>
    </row>
    <row r="168" spans="1:4" ht="18" customHeight="1" x14ac:dyDescent="0.3">
      <c r="A168" s="2" t="s">
        <v>232</v>
      </c>
      <c r="B168" s="2" t="s">
        <v>45</v>
      </c>
      <c r="C168" s="2" t="s">
        <v>5096</v>
      </c>
      <c r="D168" s="2"/>
    </row>
    <row r="169" spans="1:4" ht="18" customHeight="1" x14ac:dyDescent="0.3">
      <c r="A169" s="2" t="s">
        <v>234</v>
      </c>
      <c r="B169" s="2" t="s">
        <v>45</v>
      </c>
      <c r="C169" s="2" t="s">
        <v>5096</v>
      </c>
      <c r="D169" s="2"/>
    </row>
    <row r="170" spans="1:4" ht="18" customHeight="1" x14ac:dyDescent="0.3">
      <c r="A170" s="2" t="s">
        <v>236</v>
      </c>
      <c r="B170" s="2" t="s">
        <v>45</v>
      </c>
      <c r="C170" s="2" t="s">
        <v>5096</v>
      </c>
      <c r="D170" s="2"/>
    </row>
    <row r="171" spans="1:4" ht="18" customHeight="1" x14ac:dyDescent="0.3">
      <c r="A171" s="2" t="s">
        <v>238</v>
      </c>
      <c r="B171" s="2" t="s">
        <v>45</v>
      </c>
      <c r="C171" s="2" t="s">
        <v>5096</v>
      </c>
      <c r="D171" s="2"/>
    </row>
    <row r="172" spans="1:4" ht="18" customHeight="1" x14ac:dyDescent="0.3">
      <c r="A172" s="2" t="s">
        <v>240</v>
      </c>
      <c r="B172" s="2" t="s">
        <v>45</v>
      </c>
      <c r="C172" s="2" t="s">
        <v>5096</v>
      </c>
      <c r="D172" s="2"/>
    </row>
    <row r="173" spans="1:4" ht="18" customHeight="1" x14ac:dyDescent="0.3">
      <c r="A173" s="2" t="s">
        <v>242</v>
      </c>
      <c r="B173" s="2" t="s">
        <v>45</v>
      </c>
      <c r="C173" s="2" t="s">
        <v>5096</v>
      </c>
      <c r="D173" s="2"/>
    </row>
    <row r="174" spans="1:4" ht="18" customHeight="1" x14ac:dyDescent="0.3">
      <c r="A174" s="2" t="s">
        <v>243</v>
      </c>
      <c r="B174" s="2" t="s">
        <v>45</v>
      </c>
      <c r="C174" s="2" t="s">
        <v>5096</v>
      </c>
      <c r="D174" s="2"/>
    </row>
    <row r="175" spans="1:4" ht="18" customHeight="1" x14ac:dyDescent="0.3">
      <c r="A175" s="2" t="s">
        <v>245</v>
      </c>
      <c r="B175" s="2" t="s">
        <v>45</v>
      </c>
      <c r="C175" s="2" t="s">
        <v>5096</v>
      </c>
      <c r="D175" s="2"/>
    </row>
    <row r="176" spans="1:4" ht="18" customHeight="1" x14ac:dyDescent="0.3">
      <c r="A176" s="2" t="s">
        <v>247</v>
      </c>
      <c r="B176" s="2" t="s">
        <v>45</v>
      </c>
      <c r="C176" s="2" t="s">
        <v>5096</v>
      </c>
      <c r="D176" s="2"/>
    </row>
    <row r="177" spans="1:4" ht="18" customHeight="1" x14ac:dyDescent="0.3">
      <c r="A177" s="2" t="s">
        <v>249</v>
      </c>
      <c r="B177" s="2" t="s">
        <v>45</v>
      </c>
      <c r="C177" s="2" t="s">
        <v>5096</v>
      </c>
      <c r="D177" s="2"/>
    </row>
    <row r="178" spans="1:4" ht="18" customHeight="1" x14ac:dyDescent="0.3">
      <c r="A178" s="2" t="s">
        <v>251</v>
      </c>
      <c r="B178" s="2" t="s">
        <v>45</v>
      </c>
      <c r="C178" s="2" t="s">
        <v>5096</v>
      </c>
      <c r="D178" s="2"/>
    </row>
    <row r="179" spans="1:4" ht="18" customHeight="1" x14ac:dyDescent="0.3">
      <c r="A179" s="2" t="s">
        <v>253</v>
      </c>
      <c r="B179" s="2" t="s">
        <v>45</v>
      </c>
      <c r="C179" s="2" t="s">
        <v>5096</v>
      </c>
      <c r="D179" s="2"/>
    </row>
    <row r="180" spans="1:4" ht="18" customHeight="1" x14ac:dyDescent="0.3">
      <c r="A180" s="2" t="s">
        <v>255</v>
      </c>
      <c r="B180" s="2" t="s">
        <v>45</v>
      </c>
      <c r="C180" s="2" t="s">
        <v>5096</v>
      </c>
      <c r="D180" s="2"/>
    </row>
    <row r="181" spans="1:4" ht="18" customHeight="1" x14ac:dyDescent="0.3">
      <c r="A181" s="2" t="s">
        <v>256</v>
      </c>
      <c r="B181" s="2" t="s">
        <v>45</v>
      </c>
      <c r="C181" s="2" t="s">
        <v>5096</v>
      </c>
      <c r="D181" s="2"/>
    </row>
    <row r="182" spans="1:4" ht="18" customHeight="1" x14ac:dyDescent="0.3">
      <c r="A182" s="2" t="s">
        <v>258</v>
      </c>
      <c r="B182" s="2" t="s">
        <v>45</v>
      </c>
      <c r="C182" s="2" t="s">
        <v>5096</v>
      </c>
      <c r="D182" s="2"/>
    </row>
    <row r="183" spans="1:4" ht="18" customHeight="1" x14ac:dyDescent="0.3">
      <c r="A183" s="2" t="s">
        <v>259</v>
      </c>
      <c r="B183" s="2" t="s">
        <v>45</v>
      </c>
      <c r="C183" s="2" t="s">
        <v>5096</v>
      </c>
      <c r="D183" s="2"/>
    </row>
    <row r="184" spans="1:4" ht="18" customHeight="1" x14ac:dyDescent="0.3">
      <c r="A184" s="2" t="s">
        <v>261</v>
      </c>
      <c r="B184" s="2" t="s">
        <v>45</v>
      </c>
      <c r="C184" s="2" t="s">
        <v>5096</v>
      </c>
      <c r="D184" s="2"/>
    </row>
    <row r="185" spans="1:4" ht="18" customHeight="1" x14ac:dyDescent="0.3">
      <c r="A185" s="2" t="s">
        <v>263</v>
      </c>
      <c r="B185" s="2" t="s">
        <v>45</v>
      </c>
      <c r="C185" s="2" t="s">
        <v>5096</v>
      </c>
      <c r="D185" s="2"/>
    </row>
    <row r="186" spans="1:4" ht="18" customHeight="1" x14ac:dyDescent="0.3">
      <c r="A186" s="2" t="s">
        <v>5098</v>
      </c>
      <c r="B186" s="2" t="s">
        <v>5099</v>
      </c>
      <c r="C186" s="2" t="s">
        <v>5047</v>
      </c>
      <c r="D186" s="2"/>
    </row>
    <row r="187" spans="1:4" ht="18" customHeight="1" x14ac:dyDescent="0.3">
      <c r="A187" s="2" t="s">
        <v>5100</v>
      </c>
      <c r="B187" s="2" t="s">
        <v>5099</v>
      </c>
      <c r="C187" s="2" t="s">
        <v>5047</v>
      </c>
      <c r="D187" s="2"/>
    </row>
    <row r="188" spans="1:4" ht="18" customHeight="1" x14ac:dyDescent="0.3">
      <c r="A188" s="2" t="s">
        <v>5101</v>
      </c>
      <c r="B188" s="2" t="s">
        <v>5099</v>
      </c>
      <c r="C188" s="2" t="s">
        <v>5047</v>
      </c>
      <c r="D188" s="2"/>
    </row>
    <row r="189" spans="1:4" ht="18" customHeight="1" x14ac:dyDescent="0.3">
      <c r="A189" s="2" t="s">
        <v>5102</v>
      </c>
      <c r="B189" s="2" t="s">
        <v>5099</v>
      </c>
      <c r="C189" s="2" t="s">
        <v>5047</v>
      </c>
      <c r="D189" s="2"/>
    </row>
    <row r="190" spans="1:4" ht="18" customHeight="1" x14ac:dyDescent="0.3">
      <c r="A190" s="2" t="s">
        <v>5103</v>
      </c>
      <c r="B190" s="2" t="s">
        <v>5099</v>
      </c>
      <c r="C190" s="2" t="s">
        <v>5047</v>
      </c>
      <c r="D190" s="2"/>
    </row>
    <row r="191" spans="1:4" ht="18" customHeight="1" x14ac:dyDescent="0.3">
      <c r="A191" s="2" t="s">
        <v>265</v>
      </c>
      <c r="B191" s="2" t="s">
        <v>266</v>
      </c>
      <c r="C191" s="2" t="s">
        <v>5045</v>
      </c>
      <c r="D191" s="2"/>
    </row>
    <row r="192" spans="1:4" ht="18" customHeight="1" x14ac:dyDescent="0.3">
      <c r="A192" s="2" t="s">
        <v>268</v>
      </c>
      <c r="B192" s="2" t="s">
        <v>266</v>
      </c>
      <c r="C192" s="2" t="s">
        <v>5045</v>
      </c>
      <c r="D192" s="2"/>
    </row>
    <row r="193" spans="1:4" ht="18" customHeight="1" x14ac:dyDescent="0.3">
      <c r="A193" s="2" t="s">
        <v>270</v>
      </c>
      <c r="B193" s="2" t="s">
        <v>266</v>
      </c>
      <c r="C193" s="2" t="s">
        <v>5045</v>
      </c>
      <c r="D193" s="2"/>
    </row>
    <row r="194" spans="1:4" ht="18" customHeight="1" x14ac:dyDescent="0.3">
      <c r="A194" s="2" t="s">
        <v>271</v>
      </c>
      <c r="B194" s="2" t="s">
        <v>266</v>
      </c>
      <c r="C194" s="2" t="s">
        <v>5045</v>
      </c>
      <c r="D194" s="2"/>
    </row>
    <row r="195" spans="1:4" ht="18" customHeight="1" x14ac:dyDescent="0.3">
      <c r="A195" s="2" t="s">
        <v>273</v>
      </c>
      <c r="B195" s="2" t="s">
        <v>266</v>
      </c>
      <c r="C195" s="2" t="s">
        <v>5045</v>
      </c>
      <c r="D195" s="2"/>
    </row>
    <row r="196" spans="1:4" ht="18" customHeight="1" x14ac:dyDescent="0.3">
      <c r="A196" s="2" t="s">
        <v>275</v>
      </c>
      <c r="B196" s="2" t="s">
        <v>266</v>
      </c>
      <c r="C196" s="2" t="s">
        <v>5045</v>
      </c>
      <c r="D196" s="2"/>
    </row>
    <row r="197" spans="1:4" ht="18" customHeight="1" x14ac:dyDescent="0.3">
      <c r="A197" s="2" t="s">
        <v>276</v>
      </c>
      <c r="B197" s="2" t="s">
        <v>266</v>
      </c>
      <c r="C197" s="2" t="s">
        <v>5045</v>
      </c>
      <c r="D197" s="2"/>
    </row>
    <row r="198" spans="1:4" ht="18" customHeight="1" x14ac:dyDescent="0.3">
      <c r="A198" s="2" t="s">
        <v>278</v>
      </c>
      <c r="B198" s="2" t="s">
        <v>266</v>
      </c>
      <c r="C198" s="2" t="s">
        <v>5045</v>
      </c>
      <c r="D198" s="2"/>
    </row>
    <row r="199" spans="1:4" ht="18" customHeight="1" x14ac:dyDescent="0.3">
      <c r="A199" s="2" t="s">
        <v>280</v>
      </c>
      <c r="B199" s="2" t="s">
        <v>266</v>
      </c>
      <c r="C199" s="2" t="s">
        <v>5045</v>
      </c>
      <c r="D199" s="2"/>
    </row>
    <row r="200" spans="1:4" ht="18" customHeight="1" x14ac:dyDescent="0.3">
      <c r="A200" s="2" t="s">
        <v>282</v>
      </c>
      <c r="B200" s="2" t="s">
        <v>266</v>
      </c>
      <c r="C200" s="2" t="s">
        <v>5045</v>
      </c>
      <c r="D200" s="2"/>
    </row>
    <row r="201" spans="1:4" ht="18" customHeight="1" x14ac:dyDescent="0.3">
      <c r="A201" s="2" t="s">
        <v>284</v>
      </c>
      <c r="B201" s="2" t="s">
        <v>266</v>
      </c>
      <c r="C201" s="2" t="s">
        <v>5045</v>
      </c>
      <c r="D201" s="2"/>
    </row>
    <row r="202" spans="1:4" ht="18" customHeight="1" x14ac:dyDescent="0.3">
      <c r="A202" s="2" t="s">
        <v>286</v>
      </c>
      <c r="B202" s="2" t="s">
        <v>266</v>
      </c>
      <c r="C202" s="2" t="s">
        <v>5045</v>
      </c>
      <c r="D202" s="2"/>
    </row>
    <row r="203" spans="1:4" ht="18" customHeight="1" x14ac:dyDescent="0.3">
      <c r="A203" s="2" t="s">
        <v>288</v>
      </c>
      <c r="B203" s="2" t="s">
        <v>266</v>
      </c>
      <c r="C203" s="2" t="s">
        <v>5045</v>
      </c>
      <c r="D203" s="2"/>
    </row>
    <row r="204" spans="1:4" ht="18" customHeight="1" x14ac:dyDescent="0.3">
      <c r="A204" s="2" t="s">
        <v>290</v>
      </c>
      <c r="B204" s="2" t="s">
        <v>266</v>
      </c>
      <c r="C204" s="2" t="s">
        <v>5045</v>
      </c>
      <c r="D204" s="2"/>
    </row>
    <row r="205" spans="1:4" ht="18" customHeight="1" x14ac:dyDescent="0.3">
      <c r="A205" s="2" t="s">
        <v>292</v>
      </c>
      <c r="B205" s="2" t="s">
        <v>266</v>
      </c>
      <c r="C205" s="2" t="s">
        <v>5045</v>
      </c>
      <c r="D205" s="2"/>
    </row>
    <row r="206" spans="1:4" ht="18" customHeight="1" x14ac:dyDescent="0.3">
      <c r="A206" s="2" t="s">
        <v>294</v>
      </c>
      <c r="B206" s="2" t="s">
        <v>266</v>
      </c>
      <c r="C206" s="2" t="s">
        <v>5045</v>
      </c>
      <c r="D206" s="2"/>
    </row>
    <row r="207" spans="1:4" ht="18" customHeight="1" x14ac:dyDescent="0.3">
      <c r="A207" s="2" t="s">
        <v>296</v>
      </c>
      <c r="B207" s="2" t="s">
        <v>266</v>
      </c>
      <c r="C207" s="2" t="s">
        <v>5045</v>
      </c>
      <c r="D207" s="2"/>
    </row>
    <row r="208" spans="1:4" ht="18" customHeight="1" x14ac:dyDescent="0.3">
      <c r="A208" s="2" t="s">
        <v>298</v>
      </c>
      <c r="B208" s="2" t="s">
        <v>266</v>
      </c>
      <c r="C208" s="2" t="s">
        <v>5045</v>
      </c>
      <c r="D208" s="2"/>
    </row>
    <row r="209" spans="1:4" ht="18" customHeight="1" x14ac:dyDescent="0.3">
      <c r="A209" s="2" t="s">
        <v>300</v>
      </c>
      <c r="B209" s="2" t="s">
        <v>266</v>
      </c>
      <c r="C209" s="2" t="s">
        <v>5045</v>
      </c>
      <c r="D209" s="2"/>
    </row>
    <row r="210" spans="1:4" ht="18" customHeight="1" x14ac:dyDescent="0.3">
      <c r="A210" s="2" t="s">
        <v>302</v>
      </c>
      <c r="B210" s="2" t="s">
        <v>266</v>
      </c>
      <c r="C210" s="2" t="s">
        <v>5045</v>
      </c>
      <c r="D210" s="2"/>
    </row>
    <row r="211" spans="1:4" ht="18" customHeight="1" x14ac:dyDescent="0.3">
      <c r="A211" s="2" t="s">
        <v>304</v>
      </c>
      <c r="B211" s="2" t="s">
        <v>266</v>
      </c>
      <c r="C211" s="2" t="s">
        <v>5045</v>
      </c>
      <c r="D211" s="2"/>
    </row>
    <row r="212" spans="1:4" ht="18" customHeight="1" x14ac:dyDescent="0.3">
      <c r="A212" s="2" t="s">
        <v>305</v>
      </c>
      <c r="B212" s="2" t="s">
        <v>266</v>
      </c>
      <c r="C212" s="2" t="s">
        <v>5045</v>
      </c>
      <c r="D212" s="2"/>
    </row>
    <row r="213" spans="1:4" ht="18" customHeight="1" x14ac:dyDescent="0.3">
      <c r="A213" s="2" t="s">
        <v>307</v>
      </c>
      <c r="B213" s="2" t="s">
        <v>266</v>
      </c>
      <c r="C213" s="2" t="s">
        <v>5045</v>
      </c>
      <c r="D213" s="2"/>
    </row>
    <row r="214" spans="1:4" ht="18" customHeight="1" x14ac:dyDescent="0.3">
      <c r="A214" s="2" t="s">
        <v>309</v>
      </c>
      <c r="B214" s="2" t="s">
        <v>266</v>
      </c>
      <c r="C214" s="2" t="s">
        <v>5045</v>
      </c>
      <c r="D214" s="2"/>
    </row>
    <row r="215" spans="1:4" ht="18" customHeight="1" x14ac:dyDescent="0.3">
      <c r="A215" s="2" t="s">
        <v>310</v>
      </c>
      <c r="B215" s="2" t="s">
        <v>266</v>
      </c>
      <c r="C215" s="2" t="s">
        <v>5045</v>
      </c>
      <c r="D215" s="2"/>
    </row>
    <row r="216" spans="1:4" ht="18" customHeight="1" x14ac:dyDescent="0.3">
      <c r="A216" s="2" t="s">
        <v>312</v>
      </c>
      <c r="B216" s="2" t="s">
        <v>266</v>
      </c>
      <c r="C216" s="2" t="s">
        <v>5045</v>
      </c>
      <c r="D216" s="2"/>
    </row>
    <row r="217" spans="1:4" ht="18" customHeight="1" x14ac:dyDescent="0.3">
      <c r="A217" s="2" t="s">
        <v>314</v>
      </c>
      <c r="B217" s="2" t="s">
        <v>266</v>
      </c>
      <c r="C217" s="2" t="s">
        <v>5045</v>
      </c>
      <c r="D217" s="2"/>
    </row>
    <row r="218" spans="1:4" ht="18" customHeight="1" x14ac:dyDescent="0.3">
      <c r="A218" s="2" t="s">
        <v>316</v>
      </c>
      <c r="B218" s="2" t="s">
        <v>266</v>
      </c>
      <c r="C218" s="2" t="s">
        <v>5045</v>
      </c>
      <c r="D218" s="2"/>
    </row>
    <row r="219" spans="1:4" ht="18" customHeight="1" x14ac:dyDescent="0.3">
      <c r="A219" s="2" t="s">
        <v>318</v>
      </c>
      <c r="B219" s="2" t="s">
        <v>266</v>
      </c>
      <c r="C219" s="2" t="s">
        <v>5045</v>
      </c>
      <c r="D219" s="2"/>
    </row>
    <row r="220" spans="1:4" ht="18" customHeight="1" x14ac:dyDescent="0.3">
      <c r="A220" s="2" t="s">
        <v>320</v>
      </c>
      <c r="B220" s="2" t="s">
        <v>266</v>
      </c>
      <c r="C220" s="2" t="s">
        <v>5045</v>
      </c>
      <c r="D220" s="2"/>
    </row>
    <row r="221" spans="1:4" ht="18" customHeight="1" x14ac:dyDescent="0.3">
      <c r="A221" s="2" t="s">
        <v>322</v>
      </c>
      <c r="B221" s="2" t="s">
        <v>266</v>
      </c>
      <c r="C221" s="2" t="s">
        <v>5045</v>
      </c>
      <c r="D221" s="2"/>
    </row>
    <row r="222" spans="1:4" ht="18" customHeight="1" x14ac:dyDescent="0.3">
      <c r="A222" s="2" t="s">
        <v>324</v>
      </c>
      <c r="B222" s="2" t="s">
        <v>266</v>
      </c>
      <c r="C222" s="2" t="s">
        <v>5045</v>
      </c>
      <c r="D222" s="2"/>
    </row>
    <row r="223" spans="1:4" ht="18" customHeight="1" x14ac:dyDescent="0.3">
      <c r="A223" s="2" t="s">
        <v>326</v>
      </c>
      <c r="B223" s="2" t="s">
        <v>266</v>
      </c>
      <c r="C223" s="2" t="s">
        <v>5045</v>
      </c>
      <c r="D223" s="2"/>
    </row>
    <row r="224" spans="1:4" ht="18" customHeight="1" x14ac:dyDescent="0.3">
      <c r="A224" s="2" t="s">
        <v>328</v>
      </c>
      <c r="B224" s="2" t="s">
        <v>266</v>
      </c>
      <c r="C224" s="2" t="s">
        <v>5045</v>
      </c>
      <c r="D224" s="2"/>
    </row>
    <row r="225" spans="1:4" ht="18" customHeight="1" x14ac:dyDescent="0.3">
      <c r="A225" s="2" t="s">
        <v>330</v>
      </c>
      <c r="B225" s="2" t="s">
        <v>266</v>
      </c>
      <c r="C225" s="2" t="s">
        <v>5045</v>
      </c>
      <c r="D225" s="2"/>
    </row>
    <row r="226" spans="1:4" ht="18" customHeight="1" x14ac:dyDescent="0.3">
      <c r="A226" s="2" t="s">
        <v>332</v>
      </c>
      <c r="B226" s="2" t="s">
        <v>266</v>
      </c>
      <c r="C226" s="2" t="s">
        <v>5045</v>
      </c>
      <c r="D226" s="2"/>
    </row>
    <row r="227" spans="1:4" ht="18" customHeight="1" x14ac:dyDescent="0.3">
      <c r="A227" s="2" t="s">
        <v>334</v>
      </c>
      <c r="B227" s="2" t="s">
        <v>266</v>
      </c>
      <c r="C227" s="2" t="s">
        <v>5045</v>
      </c>
      <c r="D227" s="2"/>
    </row>
    <row r="228" spans="1:4" ht="18" customHeight="1" x14ac:dyDescent="0.3">
      <c r="A228" s="2" t="s">
        <v>336</v>
      </c>
      <c r="B228" s="2" t="s">
        <v>266</v>
      </c>
      <c r="C228" s="2" t="s">
        <v>5045</v>
      </c>
      <c r="D228" s="2"/>
    </row>
    <row r="229" spans="1:4" ht="18" customHeight="1" x14ac:dyDescent="0.3">
      <c r="A229" s="2" t="s">
        <v>338</v>
      </c>
      <c r="B229" s="2" t="s">
        <v>266</v>
      </c>
      <c r="C229" s="2" t="s">
        <v>5045</v>
      </c>
      <c r="D229" s="2"/>
    </row>
    <row r="230" spans="1:4" ht="18" customHeight="1" x14ac:dyDescent="0.3">
      <c r="A230" s="2" t="s">
        <v>340</v>
      </c>
      <c r="B230" s="2" t="s">
        <v>266</v>
      </c>
      <c r="C230" s="2" t="s">
        <v>5045</v>
      </c>
      <c r="D230" s="2"/>
    </row>
    <row r="231" spans="1:4" ht="18" customHeight="1" x14ac:dyDescent="0.3">
      <c r="A231" s="2" t="s">
        <v>341</v>
      </c>
      <c r="B231" s="2" t="s">
        <v>266</v>
      </c>
      <c r="C231" s="2" t="s">
        <v>5045</v>
      </c>
      <c r="D231" s="2"/>
    </row>
    <row r="232" spans="1:4" ht="18" customHeight="1" x14ac:dyDescent="0.3">
      <c r="A232" s="2" t="s">
        <v>343</v>
      </c>
      <c r="B232" s="2" t="s">
        <v>266</v>
      </c>
      <c r="C232" s="2" t="s">
        <v>5045</v>
      </c>
      <c r="D232" s="2"/>
    </row>
    <row r="233" spans="1:4" ht="18" customHeight="1" x14ac:dyDescent="0.3">
      <c r="A233" s="2" t="s">
        <v>345</v>
      </c>
      <c r="B233" s="2" t="s">
        <v>266</v>
      </c>
      <c r="C233" s="2" t="s">
        <v>5045</v>
      </c>
      <c r="D233" s="2"/>
    </row>
    <row r="234" spans="1:4" ht="18" customHeight="1" x14ac:dyDescent="0.3">
      <c r="A234" s="2" t="s">
        <v>347</v>
      </c>
      <c r="B234" s="2" t="s">
        <v>266</v>
      </c>
      <c r="C234" s="2" t="s">
        <v>5045</v>
      </c>
      <c r="D234" s="2"/>
    </row>
    <row r="235" spans="1:4" ht="18" customHeight="1" x14ac:dyDescent="0.3">
      <c r="A235" s="2" t="s">
        <v>349</v>
      </c>
      <c r="B235" s="2" t="s">
        <v>266</v>
      </c>
      <c r="C235" s="2" t="s">
        <v>5045</v>
      </c>
      <c r="D235" s="2"/>
    </row>
    <row r="236" spans="1:4" ht="18" customHeight="1" x14ac:dyDescent="0.3">
      <c r="A236" s="2" t="s">
        <v>351</v>
      </c>
      <c r="B236" s="2" t="s">
        <v>266</v>
      </c>
      <c r="C236" s="2" t="s">
        <v>5045</v>
      </c>
      <c r="D236" s="2"/>
    </row>
    <row r="237" spans="1:4" ht="18" customHeight="1" x14ac:dyDescent="0.3">
      <c r="A237" s="2" t="s">
        <v>353</v>
      </c>
      <c r="B237" s="2" t="s">
        <v>266</v>
      </c>
      <c r="C237" s="2" t="s">
        <v>5045</v>
      </c>
      <c r="D237" s="2"/>
    </row>
    <row r="238" spans="1:4" ht="18" customHeight="1" x14ac:dyDescent="0.3">
      <c r="A238" s="2" t="s">
        <v>355</v>
      </c>
      <c r="B238" s="2" t="s">
        <v>266</v>
      </c>
      <c r="C238" s="2" t="s">
        <v>5045</v>
      </c>
      <c r="D238" s="2"/>
    </row>
    <row r="239" spans="1:4" ht="18" customHeight="1" x14ac:dyDescent="0.3">
      <c r="A239" s="2" t="s">
        <v>356</v>
      </c>
      <c r="B239" s="2" t="s">
        <v>266</v>
      </c>
      <c r="C239" s="2" t="s">
        <v>5045</v>
      </c>
      <c r="D239" s="2"/>
    </row>
    <row r="240" spans="1:4" ht="18" customHeight="1" x14ac:dyDescent="0.3">
      <c r="A240" s="2" t="s">
        <v>357</v>
      </c>
      <c r="B240" s="2" t="s">
        <v>266</v>
      </c>
      <c r="C240" s="2" t="s">
        <v>5045</v>
      </c>
      <c r="D240" s="2"/>
    </row>
    <row r="241" spans="1:4" ht="18" customHeight="1" x14ac:dyDescent="0.3">
      <c r="A241" s="2" t="s">
        <v>358</v>
      </c>
      <c r="B241" s="2" t="s">
        <v>266</v>
      </c>
      <c r="C241" s="2" t="s">
        <v>5045</v>
      </c>
      <c r="D241" s="2"/>
    </row>
    <row r="242" spans="1:4" ht="18" customHeight="1" x14ac:dyDescent="0.3">
      <c r="A242" s="2" t="s">
        <v>360</v>
      </c>
      <c r="B242" s="2" t="s">
        <v>266</v>
      </c>
      <c r="C242" s="2" t="s">
        <v>5045</v>
      </c>
      <c r="D242" s="2"/>
    </row>
    <row r="243" spans="1:4" ht="18" customHeight="1" x14ac:dyDescent="0.3">
      <c r="A243" s="2" t="s">
        <v>361</v>
      </c>
      <c r="B243" s="2" t="s">
        <v>266</v>
      </c>
      <c r="C243" s="2" t="s">
        <v>5045</v>
      </c>
      <c r="D243" s="2"/>
    </row>
    <row r="244" spans="1:4" ht="18" customHeight="1" x14ac:dyDescent="0.3">
      <c r="A244" s="2" t="s">
        <v>363</v>
      </c>
      <c r="B244" s="2" t="s">
        <v>266</v>
      </c>
      <c r="C244" s="2" t="s">
        <v>5045</v>
      </c>
      <c r="D244" s="2"/>
    </row>
    <row r="245" spans="1:4" ht="18" customHeight="1" x14ac:dyDescent="0.3">
      <c r="A245" s="2" t="s">
        <v>365</v>
      </c>
      <c r="B245" s="2" t="s">
        <v>266</v>
      </c>
      <c r="C245" s="2" t="s">
        <v>5045</v>
      </c>
      <c r="D245" s="2"/>
    </row>
    <row r="246" spans="1:4" ht="18" customHeight="1" x14ac:dyDescent="0.3">
      <c r="A246" s="2" t="s">
        <v>367</v>
      </c>
      <c r="B246" s="2" t="s">
        <v>266</v>
      </c>
      <c r="C246" s="2" t="s">
        <v>5045</v>
      </c>
      <c r="D246" s="2"/>
    </row>
    <row r="247" spans="1:4" ht="18" customHeight="1" x14ac:dyDescent="0.3">
      <c r="A247" s="2" t="s">
        <v>369</v>
      </c>
      <c r="B247" s="2" t="s">
        <v>266</v>
      </c>
      <c r="C247" s="2" t="s">
        <v>5045</v>
      </c>
      <c r="D247" s="2"/>
    </row>
    <row r="248" spans="1:4" ht="18" customHeight="1" x14ac:dyDescent="0.3">
      <c r="A248" s="2" t="s">
        <v>371</v>
      </c>
      <c r="B248" s="2" t="s">
        <v>266</v>
      </c>
      <c r="C248" s="2" t="s">
        <v>5045</v>
      </c>
      <c r="D248" s="2"/>
    </row>
    <row r="249" spans="1:4" ht="18" customHeight="1" x14ac:dyDescent="0.3">
      <c r="A249" s="2" t="s">
        <v>373</v>
      </c>
      <c r="B249" s="2" t="s">
        <v>266</v>
      </c>
      <c r="C249" s="2" t="s">
        <v>5045</v>
      </c>
      <c r="D249" s="2"/>
    </row>
    <row r="250" spans="1:4" ht="18" customHeight="1" x14ac:dyDescent="0.3">
      <c r="A250" s="2" t="s">
        <v>375</v>
      </c>
      <c r="B250" s="2" t="s">
        <v>266</v>
      </c>
      <c r="C250" s="2" t="s">
        <v>5045</v>
      </c>
      <c r="D250" s="2"/>
    </row>
    <row r="251" spans="1:4" ht="18" customHeight="1" x14ac:dyDescent="0.3">
      <c r="A251" s="2" t="s">
        <v>377</v>
      </c>
      <c r="B251" s="2" t="s">
        <v>266</v>
      </c>
      <c r="C251" s="2" t="s">
        <v>5045</v>
      </c>
      <c r="D251" s="2"/>
    </row>
    <row r="252" spans="1:4" ht="18" customHeight="1" x14ac:dyDescent="0.3">
      <c r="A252" s="2" t="s">
        <v>379</v>
      </c>
      <c r="B252" s="2" t="s">
        <v>266</v>
      </c>
      <c r="C252" s="2" t="s">
        <v>5045</v>
      </c>
      <c r="D252" s="2"/>
    </row>
    <row r="253" spans="1:4" ht="18" customHeight="1" x14ac:dyDescent="0.3">
      <c r="A253" s="2" t="s">
        <v>381</v>
      </c>
      <c r="B253" s="2" t="s">
        <v>266</v>
      </c>
      <c r="C253" s="2" t="s">
        <v>5045</v>
      </c>
      <c r="D253" s="2"/>
    </row>
    <row r="254" spans="1:4" ht="18" customHeight="1" x14ac:dyDescent="0.3">
      <c r="A254" s="2" t="s">
        <v>383</v>
      </c>
      <c r="B254" s="2" t="s">
        <v>266</v>
      </c>
      <c r="C254" s="2" t="s">
        <v>5045</v>
      </c>
      <c r="D254" s="2"/>
    </row>
    <row r="255" spans="1:4" ht="18" customHeight="1" x14ac:dyDescent="0.3">
      <c r="A255" s="2" t="s">
        <v>385</v>
      </c>
      <c r="B255" s="2" t="s">
        <v>266</v>
      </c>
      <c r="C255" s="2" t="s">
        <v>5045</v>
      </c>
      <c r="D255" s="2"/>
    </row>
    <row r="256" spans="1:4" ht="18" customHeight="1" x14ac:dyDescent="0.3">
      <c r="A256" s="2" t="s">
        <v>387</v>
      </c>
      <c r="B256" s="2" t="s">
        <v>266</v>
      </c>
      <c r="C256" s="2" t="s">
        <v>5045</v>
      </c>
      <c r="D256" s="2"/>
    </row>
    <row r="257" spans="1:4" ht="18" customHeight="1" x14ac:dyDescent="0.3">
      <c r="A257" s="2" t="s">
        <v>389</v>
      </c>
      <c r="B257" s="2" t="s">
        <v>266</v>
      </c>
      <c r="C257" s="2" t="s">
        <v>5045</v>
      </c>
      <c r="D257" s="2"/>
    </row>
    <row r="258" spans="1:4" ht="18" customHeight="1" x14ac:dyDescent="0.3">
      <c r="A258" s="2" t="s">
        <v>391</v>
      </c>
      <c r="B258" s="2" t="s">
        <v>266</v>
      </c>
      <c r="C258" s="2" t="s">
        <v>5045</v>
      </c>
      <c r="D258" s="2"/>
    </row>
    <row r="259" spans="1:4" ht="18" customHeight="1" x14ac:dyDescent="0.3">
      <c r="A259" s="2" t="s">
        <v>393</v>
      </c>
      <c r="B259" s="2" t="s">
        <v>266</v>
      </c>
      <c r="C259" s="2" t="s">
        <v>5045</v>
      </c>
      <c r="D259" s="2"/>
    </row>
    <row r="260" spans="1:4" ht="18" customHeight="1" x14ac:dyDescent="0.3">
      <c r="A260" s="2" t="s">
        <v>395</v>
      </c>
      <c r="B260" s="2" t="s">
        <v>266</v>
      </c>
      <c r="C260" s="2" t="s">
        <v>5045</v>
      </c>
      <c r="D260" s="2"/>
    </row>
    <row r="261" spans="1:4" ht="18" customHeight="1" x14ac:dyDescent="0.3">
      <c r="A261" s="2" t="s">
        <v>397</v>
      </c>
      <c r="B261" s="2" t="s">
        <v>266</v>
      </c>
      <c r="C261" s="2" t="s">
        <v>5045</v>
      </c>
      <c r="D261" s="2"/>
    </row>
    <row r="262" spans="1:4" ht="18" customHeight="1" x14ac:dyDescent="0.3">
      <c r="A262" s="2" t="s">
        <v>399</v>
      </c>
      <c r="B262" s="2" t="s">
        <v>266</v>
      </c>
      <c r="C262" s="2" t="s">
        <v>5045</v>
      </c>
      <c r="D262" s="2"/>
    </row>
    <row r="263" spans="1:4" ht="18" customHeight="1" x14ac:dyDescent="0.3">
      <c r="A263" s="2" t="s">
        <v>401</v>
      </c>
      <c r="B263" s="2" t="s">
        <v>266</v>
      </c>
      <c r="C263" s="2" t="s">
        <v>5045</v>
      </c>
      <c r="D263" s="2"/>
    </row>
    <row r="264" spans="1:4" ht="18" customHeight="1" x14ac:dyDescent="0.3">
      <c r="A264" s="2" t="s">
        <v>403</v>
      </c>
      <c r="B264" s="2" t="s">
        <v>266</v>
      </c>
      <c r="C264" s="2" t="s">
        <v>5045</v>
      </c>
      <c r="D264" s="2"/>
    </row>
    <row r="265" spans="1:4" ht="18" customHeight="1" x14ac:dyDescent="0.3">
      <c r="A265" s="2" t="s">
        <v>405</v>
      </c>
      <c r="B265" s="2" t="s">
        <v>266</v>
      </c>
      <c r="C265" s="2" t="s">
        <v>5045</v>
      </c>
      <c r="D265" s="2"/>
    </row>
    <row r="266" spans="1:4" ht="18" customHeight="1" x14ac:dyDescent="0.3">
      <c r="A266" s="2" t="s">
        <v>407</v>
      </c>
      <c r="B266" s="2" t="s">
        <v>266</v>
      </c>
      <c r="C266" s="2" t="s">
        <v>5045</v>
      </c>
      <c r="D266" s="2"/>
    </row>
    <row r="267" spans="1:4" ht="18" customHeight="1" x14ac:dyDescent="0.3">
      <c r="A267" s="2" t="s">
        <v>409</v>
      </c>
      <c r="B267" s="2" t="s">
        <v>266</v>
      </c>
      <c r="C267" s="2" t="s">
        <v>5045</v>
      </c>
      <c r="D267" s="2"/>
    </row>
    <row r="268" spans="1:4" ht="18" customHeight="1" x14ac:dyDescent="0.3">
      <c r="A268" s="2" t="s">
        <v>411</v>
      </c>
      <c r="B268" s="2" t="s">
        <v>266</v>
      </c>
      <c r="C268" s="2" t="s">
        <v>5045</v>
      </c>
      <c r="D268" s="2"/>
    </row>
    <row r="269" spans="1:4" ht="18" customHeight="1" x14ac:dyDescent="0.3">
      <c r="A269" s="2" t="s">
        <v>413</v>
      </c>
      <c r="B269" s="2" t="s">
        <v>266</v>
      </c>
      <c r="C269" s="2" t="s">
        <v>5045</v>
      </c>
      <c r="D269" s="2"/>
    </row>
    <row r="270" spans="1:4" ht="18" customHeight="1" x14ac:dyDescent="0.3">
      <c r="A270" s="2" t="s">
        <v>415</v>
      </c>
      <c r="B270" s="2" t="s">
        <v>266</v>
      </c>
      <c r="C270" s="2" t="s">
        <v>5045</v>
      </c>
      <c r="D270" s="2"/>
    </row>
    <row r="271" spans="1:4" ht="18" customHeight="1" x14ac:dyDescent="0.3">
      <c r="A271" s="2" t="s">
        <v>416</v>
      </c>
      <c r="B271" s="2" t="s">
        <v>266</v>
      </c>
      <c r="C271" s="2" t="s">
        <v>5045</v>
      </c>
      <c r="D271" s="2"/>
    </row>
    <row r="272" spans="1:4" ht="18" customHeight="1" x14ac:dyDescent="0.3">
      <c r="A272" s="2" t="s">
        <v>417</v>
      </c>
      <c r="B272" s="2" t="s">
        <v>266</v>
      </c>
      <c r="C272" s="2" t="s">
        <v>5045</v>
      </c>
      <c r="D272" s="2"/>
    </row>
    <row r="273" spans="1:4" ht="18" customHeight="1" x14ac:dyDescent="0.3">
      <c r="A273" s="2" t="s">
        <v>419</v>
      </c>
      <c r="B273" s="2" t="s">
        <v>266</v>
      </c>
      <c r="C273" s="2" t="s">
        <v>5045</v>
      </c>
      <c r="D273" s="2"/>
    </row>
    <row r="274" spans="1:4" ht="18" customHeight="1" x14ac:dyDescent="0.3">
      <c r="A274" s="2" t="s">
        <v>420</v>
      </c>
      <c r="B274" s="2" t="s">
        <v>266</v>
      </c>
      <c r="C274" s="2" t="s">
        <v>5045</v>
      </c>
      <c r="D274" s="2"/>
    </row>
    <row r="275" spans="1:4" ht="18" customHeight="1" x14ac:dyDescent="0.3">
      <c r="A275" s="2" t="s">
        <v>421</v>
      </c>
      <c r="B275" s="2" t="s">
        <v>266</v>
      </c>
      <c r="C275" s="2" t="s">
        <v>5045</v>
      </c>
      <c r="D275" s="2"/>
    </row>
    <row r="276" spans="1:4" ht="18" customHeight="1" x14ac:dyDescent="0.3">
      <c r="A276" s="2" t="s">
        <v>422</v>
      </c>
      <c r="B276" s="2" t="s">
        <v>266</v>
      </c>
      <c r="C276" s="2" t="s">
        <v>5045</v>
      </c>
      <c r="D276" s="2"/>
    </row>
    <row r="277" spans="1:4" ht="18" customHeight="1" x14ac:dyDescent="0.3">
      <c r="A277" s="2" t="s">
        <v>424</v>
      </c>
      <c r="B277" s="2" t="s">
        <v>266</v>
      </c>
      <c r="C277" s="2" t="s">
        <v>5045</v>
      </c>
      <c r="D277" s="2"/>
    </row>
    <row r="278" spans="1:4" ht="18" customHeight="1" x14ac:dyDescent="0.3">
      <c r="A278" s="2" t="s">
        <v>426</v>
      </c>
      <c r="B278" s="2" t="s">
        <v>266</v>
      </c>
      <c r="C278" s="2" t="s">
        <v>5045</v>
      </c>
      <c r="D278" s="2"/>
    </row>
    <row r="279" spans="1:4" ht="18" customHeight="1" x14ac:dyDescent="0.3">
      <c r="A279" s="2" t="s">
        <v>427</v>
      </c>
      <c r="B279" s="2" t="s">
        <v>266</v>
      </c>
      <c r="C279" s="2" t="s">
        <v>5045</v>
      </c>
      <c r="D279" s="2"/>
    </row>
    <row r="280" spans="1:4" ht="18" customHeight="1" x14ac:dyDescent="0.3">
      <c r="A280" s="2" t="s">
        <v>429</v>
      </c>
      <c r="B280" s="2" t="s">
        <v>266</v>
      </c>
      <c r="C280" s="2" t="s">
        <v>5045</v>
      </c>
      <c r="D280" s="2"/>
    </row>
    <row r="281" spans="1:4" ht="18" customHeight="1" x14ac:dyDescent="0.3">
      <c r="A281" s="2" t="s">
        <v>431</v>
      </c>
      <c r="B281" s="2" t="s">
        <v>266</v>
      </c>
      <c r="C281" s="2" t="s">
        <v>5045</v>
      </c>
      <c r="D281" s="2"/>
    </row>
    <row r="282" spans="1:4" ht="18" customHeight="1" x14ac:dyDescent="0.3">
      <c r="A282" s="2" t="s">
        <v>433</v>
      </c>
      <c r="B282" s="2" t="s">
        <v>266</v>
      </c>
      <c r="C282" s="2" t="s">
        <v>5045</v>
      </c>
      <c r="D282" s="2"/>
    </row>
    <row r="283" spans="1:4" ht="18" customHeight="1" x14ac:dyDescent="0.3">
      <c r="A283" s="2" t="s">
        <v>435</v>
      </c>
      <c r="B283" s="2" t="s">
        <v>266</v>
      </c>
      <c r="C283" s="2" t="s">
        <v>5045</v>
      </c>
      <c r="D283" s="2"/>
    </row>
    <row r="284" spans="1:4" ht="18" customHeight="1" x14ac:dyDescent="0.3">
      <c r="A284" s="2" t="s">
        <v>437</v>
      </c>
      <c r="B284" s="2" t="s">
        <v>266</v>
      </c>
      <c r="C284" s="2" t="s">
        <v>5045</v>
      </c>
      <c r="D284" s="2"/>
    </row>
    <row r="285" spans="1:4" ht="18" customHeight="1" x14ac:dyDescent="0.3">
      <c r="A285" s="2" t="s">
        <v>439</v>
      </c>
      <c r="B285" s="2" t="s">
        <v>266</v>
      </c>
      <c r="C285" s="2" t="s">
        <v>5045</v>
      </c>
      <c r="D285" s="2"/>
    </row>
    <row r="286" spans="1:4" ht="18" customHeight="1" x14ac:dyDescent="0.3">
      <c r="A286" s="2" t="s">
        <v>440</v>
      </c>
      <c r="B286" s="2" t="s">
        <v>266</v>
      </c>
      <c r="C286" s="2" t="s">
        <v>5045</v>
      </c>
      <c r="D286" s="2"/>
    </row>
    <row r="287" spans="1:4" ht="18" customHeight="1" x14ac:dyDescent="0.3">
      <c r="A287" s="2" t="s">
        <v>442</v>
      </c>
      <c r="B287" s="2" t="s">
        <v>266</v>
      </c>
      <c r="C287" s="2" t="s">
        <v>5045</v>
      </c>
      <c r="D287" s="2"/>
    </row>
    <row r="288" spans="1:4" ht="18" customHeight="1" x14ac:dyDescent="0.3">
      <c r="A288" s="2" t="s">
        <v>443</v>
      </c>
      <c r="B288" s="2" t="s">
        <v>266</v>
      </c>
      <c r="C288" s="2" t="s">
        <v>5045</v>
      </c>
      <c r="D288" s="2"/>
    </row>
    <row r="289" spans="1:4" ht="18" customHeight="1" x14ac:dyDescent="0.3">
      <c r="A289" s="2" t="s">
        <v>445</v>
      </c>
      <c r="B289" s="2" t="s">
        <v>266</v>
      </c>
      <c r="C289" s="2" t="s">
        <v>5045</v>
      </c>
      <c r="D289" s="2"/>
    </row>
    <row r="290" spans="1:4" ht="18" customHeight="1" x14ac:dyDescent="0.3">
      <c r="A290" s="2" t="s">
        <v>447</v>
      </c>
      <c r="B290" s="2" t="s">
        <v>266</v>
      </c>
      <c r="C290" s="2" t="s">
        <v>5045</v>
      </c>
      <c r="D290" s="2"/>
    </row>
    <row r="291" spans="1:4" ht="18" customHeight="1" x14ac:dyDescent="0.3">
      <c r="A291" s="2" t="s">
        <v>449</v>
      </c>
      <c r="B291" s="2" t="s">
        <v>266</v>
      </c>
      <c r="C291" s="2" t="s">
        <v>5045</v>
      </c>
      <c r="D291" s="2"/>
    </row>
    <row r="292" spans="1:4" ht="18" customHeight="1" x14ac:dyDescent="0.3">
      <c r="A292" s="2" t="s">
        <v>451</v>
      </c>
      <c r="B292" s="2" t="s">
        <v>266</v>
      </c>
      <c r="C292" s="2" t="s">
        <v>5045</v>
      </c>
      <c r="D292" s="2"/>
    </row>
    <row r="293" spans="1:4" ht="18" customHeight="1" x14ac:dyDescent="0.3">
      <c r="A293" s="2" t="s">
        <v>453</v>
      </c>
      <c r="B293" s="2" t="s">
        <v>266</v>
      </c>
      <c r="C293" s="2" t="s">
        <v>5045</v>
      </c>
      <c r="D293" s="2"/>
    </row>
    <row r="294" spans="1:4" ht="18" customHeight="1" x14ac:dyDescent="0.3">
      <c r="A294" s="2" t="s">
        <v>454</v>
      </c>
      <c r="B294" s="2" t="s">
        <v>266</v>
      </c>
      <c r="C294" s="2" t="s">
        <v>5045</v>
      </c>
      <c r="D294" s="2"/>
    </row>
    <row r="295" spans="1:4" ht="18" customHeight="1" x14ac:dyDescent="0.3">
      <c r="A295" s="2" t="s">
        <v>455</v>
      </c>
      <c r="B295" s="2" t="s">
        <v>266</v>
      </c>
      <c r="C295" s="2" t="s">
        <v>5045</v>
      </c>
      <c r="D295" s="2"/>
    </row>
    <row r="296" spans="1:4" ht="18" customHeight="1" x14ac:dyDescent="0.3">
      <c r="A296" s="2" t="s">
        <v>456</v>
      </c>
      <c r="B296" s="2" t="s">
        <v>266</v>
      </c>
      <c r="C296" s="2" t="s">
        <v>5045</v>
      </c>
      <c r="D296" s="2"/>
    </row>
    <row r="297" spans="1:4" ht="18" customHeight="1" x14ac:dyDescent="0.3">
      <c r="A297" s="2" t="s">
        <v>458</v>
      </c>
      <c r="B297" s="2" t="s">
        <v>266</v>
      </c>
      <c r="C297" s="2" t="s">
        <v>5045</v>
      </c>
      <c r="D297" s="2"/>
    </row>
    <row r="298" spans="1:4" ht="18" customHeight="1" x14ac:dyDescent="0.3">
      <c r="A298" s="2" t="s">
        <v>459</v>
      </c>
      <c r="B298" s="2" t="s">
        <v>266</v>
      </c>
      <c r="C298" s="2" t="s">
        <v>5045</v>
      </c>
      <c r="D298" s="2"/>
    </row>
    <row r="299" spans="1:4" ht="18" customHeight="1" x14ac:dyDescent="0.3">
      <c r="A299" s="2" t="s">
        <v>461</v>
      </c>
      <c r="B299" s="2" t="s">
        <v>266</v>
      </c>
      <c r="C299" s="2" t="s">
        <v>5045</v>
      </c>
      <c r="D299" s="2"/>
    </row>
    <row r="300" spans="1:4" ht="18" customHeight="1" x14ac:dyDescent="0.3">
      <c r="A300" s="2" t="s">
        <v>463</v>
      </c>
      <c r="B300" s="2" t="s">
        <v>266</v>
      </c>
      <c r="C300" s="2" t="s">
        <v>5045</v>
      </c>
      <c r="D300" s="2"/>
    </row>
    <row r="301" spans="1:4" ht="18" customHeight="1" x14ac:dyDescent="0.3">
      <c r="A301" s="2" t="s">
        <v>465</v>
      </c>
      <c r="B301" s="2" t="s">
        <v>266</v>
      </c>
      <c r="C301" s="2" t="s">
        <v>5045</v>
      </c>
      <c r="D301" s="2"/>
    </row>
    <row r="302" spans="1:4" ht="18" customHeight="1" x14ac:dyDescent="0.3">
      <c r="A302" s="2" t="s">
        <v>467</v>
      </c>
      <c r="B302" s="2" t="s">
        <v>266</v>
      </c>
      <c r="C302" s="2" t="s">
        <v>5045</v>
      </c>
      <c r="D302" s="2"/>
    </row>
    <row r="303" spans="1:4" ht="18" customHeight="1" x14ac:dyDescent="0.3">
      <c r="A303" s="2" t="s">
        <v>469</v>
      </c>
      <c r="B303" s="2" t="s">
        <v>266</v>
      </c>
      <c r="C303" s="2" t="s">
        <v>5045</v>
      </c>
      <c r="D303" s="2"/>
    </row>
    <row r="304" spans="1:4" ht="18" customHeight="1" x14ac:dyDescent="0.3">
      <c r="A304" s="2" t="s">
        <v>471</v>
      </c>
      <c r="B304" s="2" t="s">
        <v>266</v>
      </c>
      <c r="C304" s="2" t="s">
        <v>5045</v>
      </c>
      <c r="D304" s="2"/>
    </row>
    <row r="305" spans="1:4" ht="18" customHeight="1" x14ac:dyDescent="0.3">
      <c r="A305" s="2" t="s">
        <v>473</v>
      </c>
      <c r="B305" s="2" t="s">
        <v>266</v>
      </c>
      <c r="C305" s="2" t="s">
        <v>5045</v>
      </c>
      <c r="D305" s="2"/>
    </row>
    <row r="306" spans="1:4" ht="18" customHeight="1" x14ac:dyDescent="0.3">
      <c r="A306" s="2" t="s">
        <v>475</v>
      </c>
      <c r="B306" s="2" t="s">
        <v>266</v>
      </c>
      <c r="C306" s="2" t="s">
        <v>5045</v>
      </c>
      <c r="D306" s="2"/>
    </row>
    <row r="307" spans="1:4" ht="18" customHeight="1" x14ac:dyDescent="0.3">
      <c r="A307" s="2" t="s">
        <v>477</v>
      </c>
      <c r="B307" s="2" t="s">
        <v>266</v>
      </c>
      <c r="C307" s="2" t="s">
        <v>5045</v>
      </c>
      <c r="D307" s="2"/>
    </row>
    <row r="308" spans="1:4" ht="18" customHeight="1" x14ac:dyDescent="0.3">
      <c r="A308" s="2" t="s">
        <v>479</v>
      </c>
      <c r="B308" s="2" t="s">
        <v>266</v>
      </c>
      <c r="C308" s="2" t="s">
        <v>5045</v>
      </c>
      <c r="D308" s="2"/>
    </row>
    <row r="309" spans="1:4" ht="18" customHeight="1" x14ac:dyDescent="0.3">
      <c r="A309" s="2" t="s">
        <v>481</v>
      </c>
      <c r="B309" s="2" t="s">
        <v>266</v>
      </c>
      <c r="C309" s="2" t="s">
        <v>5045</v>
      </c>
      <c r="D309" s="2"/>
    </row>
    <row r="310" spans="1:4" ht="18" customHeight="1" x14ac:dyDescent="0.3">
      <c r="A310" s="2" t="s">
        <v>483</v>
      </c>
      <c r="B310" s="2" t="s">
        <v>266</v>
      </c>
      <c r="C310" s="2" t="s">
        <v>5045</v>
      </c>
      <c r="D310" s="2"/>
    </row>
    <row r="311" spans="1:4" ht="18" customHeight="1" x14ac:dyDescent="0.3">
      <c r="A311" s="2" t="s">
        <v>485</v>
      </c>
      <c r="B311" s="2" t="s">
        <v>266</v>
      </c>
      <c r="C311" s="2" t="s">
        <v>5045</v>
      </c>
      <c r="D311" s="2"/>
    </row>
    <row r="312" spans="1:4" ht="18" customHeight="1" x14ac:dyDescent="0.3">
      <c r="A312" s="2" t="s">
        <v>487</v>
      </c>
      <c r="B312" s="2" t="s">
        <v>266</v>
      </c>
      <c r="C312" s="2" t="s">
        <v>5045</v>
      </c>
      <c r="D312" s="2"/>
    </row>
    <row r="313" spans="1:4" ht="18" customHeight="1" x14ac:dyDescent="0.3">
      <c r="A313" s="2" t="s">
        <v>489</v>
      </c>
      <c r="B313" s="2" t="s">
        <v>266</v>
      </c>
      <c r="C313" s="2" t="s">
        <v>5045</v>
      </c>
      <c r="D313" s="2"/>
    </row>
    <row r="314" spans="1:4" ht="18" customHeight="1" x14ac:dyDescent="0.3">
      <c r="A314" s="2" t="s">
        <v>491</v>
      </c>
      <c r="B314" s="2" t="s">
        <v>266</v>
      </c>
      <c r="C314" s="2" t="s">
        <v>5045</v>
      </c>
      <c r="D314" s="2"/>
    </row>
    <row r="315" spans="1:4" ht="18" customHeight="1" x14ac:dyDescent="0.3">
      <c r="A315" s="2" t="s">
        <v>493</v>
      </c>
      <c r="B315" s="2" t="s">
        <v>266</v>
      </c>
      <c r="C315" s="2" t="s">
        <v>5045</v>
      </c>
      <c r="D315" s="2"/>
    </row>
    <row r="316" spans="1:4" ht="18" customHeight="1" x14ac:dyDescent="0.3">
      <c r="A316" s="2" t="s">
        <v>495</v>
      </c>
      <c r="B316" s="2" t="s">
        <v>266</v>
      </c>
      <c r="C316" s="2" t="s">
        <v>5045</v>
      </c>
      <c r="D316" s="2"/>
    </row>
    <row r="317" spans="1:4" ht="18" customHeight="1" x14ac:dyDescent="0.3">
      <c r="A317" s="2" t="s">
        <v>497</v>
      </c>
      <c r="B317" s="2" t="s">
        <v>266</v>
      </c>
      <c r="C317" s="2" t="s">
        <v>5045</v>
      </c>
      <c r="D317" s="2"/>
    </row>
    <row r="318" spans="1:4" ht="18" customHeight="1" x14ac:dyDescent="0.3">
      <c r="A318" s="2" t="s">
        <v>499</v>
      </c>
      <c r="B318" s="2" t="s">
        <v>266</v>
      </c>
      <c r="C318" s="2" t="s">
        <v>5045</v>
      </c>
      <c r="D318" s="2"/>
    </row>
    <row r="319" spans="1:4" ht="18" customHeight="1" x14ac:dyDescent="0.3">
      <c r="A319" s="2" t="s">
        <v>501</v>
      </c>
      <c r="B319" s="2" t="s">
        <v>266</v>
      </c>
      <c r="C319" s="2" t="s">
        <v>5045</v>
      </c>
      <c r="D319" s="2"/>
    </row>
    <row r="320" spans="1:4" x14ac:dyDescent="0.3">
      <c r="A320" s="2" t="s">
        <v>502</v>
      </c>
      <c r="B320" s="2" t="s">
        <v>266</v>
      </c>
      <c r="C320" s="2" t="s">
        <v>5045</v>
      </c>
      <c r="D320" s="2"/>
    </row>
    <row r="321" spans="1:4" x14ac:dyDescent="0.3">
      <c r="A321" s="2" t="s">
        <v>504</v>
      </c>
      <c r="B321" s="2" t="s">
        <v>266</v>
      </c>
      <c r="C321" s="2" t="s">
        <v>5045</v>
      </c>
      <c r="D321" s="2"/>
    </row>
    <row r="322" spans="1:4" x14ac:dyDescent="0.3">
      <c r="A322" s="2" t="s">
        <v>506</v>
      </c>
      <c r="B322" s="2" t="s">
        <v>266</v>
      </c>
      <c r="C322" s="2" t="s">
        <v>5045</v>
      </c>
      <c r="D322" s="2"/>
    </row>
    <row r="323" spans="1:4" x14ac:dyDescent="0.3">
      <c r="A323" s="2" t="s">
        <v>507</v>
      </c>
      <c r="B323" s="2" t="s">
        <v>266</v>
      </c>
      <c r="C323" s="2" t="s">
        <v>5045</v>
      </c>
      <c r="D323" s="2"/>
    </row>
    <row r="324" spans="1:4" x14ac:dyDescent="0.3">
      <c r="A324" s="2" t="s">
        <v>509</v>
      </c>
      <c r="B324" s="2" t="s">
        <v>266</v>
      </c>
      <c r="C324" s="2" t="s">
        <v>5045</v>
      </c>
      <c r="D324" s="2"/>
    </row>
    <row r="325" spans="1:4" x14ac:dyDescent="0.3">
      <c r="A325" s="2" t="s">
        <v>511</v>
      </c>
      <c r="B325" s="2" t="s">
        <v>266</v>
      </c>
      <c r="C325" s="2" t="s">
        <v>5045</v>
      </c>
      <c r="D325" s="2"/>
    </row>
    <row r="326" spans="1:4" x14ac:dyDescent="0.3">
      <c r="A326" s="2" t="s">
        <v>512</v>
      </c>
      <c r="B326" s="2" t="s">
        <v>266</v>
      </c>
      <c r="C326" s="2" t="s">
        <v>5045</v>
      </c>
      <c r="D326" s="2"/>
    </row>
    <row r="327" spans="1:4" x14ac:dyDescent="0.3">
      <c r="A327" s="2" t="s">
        <v>514</v>
      </c>
      <c r="B327" s="2" t="s">
        <v>266</v>
      </c>
      <c r="C327" s="2" t="s">
        <v>5045</v>
      </c>
      <c r="D327" s="2"/>
    </row>
    <row r="328" spans="1:4" x14ac:dyDescent="0.3">
      <c r="A328" s="2" t="s">
        <v>516</v>
      </c>
      <c r="B328" s="2" t="s">
        <v>266</v>
      </c>
      <c r="C328" s="2" t="s">
        <v>5045</v>
      </c>
      <c r="D328" s="2"/>
    </row>
    <row r="329" spans="1:4" x14ac:dyDescent="0.3">
      <c r="A329" s="2" t="s">
        <v>518</v>
      </c>
      <c r="B329" s="2" t="s">
        <v>266</v>
      </c>
      <c r="C329" s="2" t="s">
        <v>5045</v>
      </c>
      <c r="D329" s="2"/>
    </row>
    <row r="330" spans="1:4" x14ac:dyDescent="0.3">
      <c r="A330" s="2" t="s">
        <v>520</v>
      </c>
      <c r="B330" s="2" t="s">
        <v>266</v>
      </c>
      <c r="C330" s="2" t="s">
        <v>5045</v>
      </c>
      <c r="D330" s="2"/>
    </row>
    <row r="331" spans="1:4" x14ac:dyDescent="0.3">
      <c r="A331" s="2" t="s">
        <v>522</v>
      </c>
      <c r="B331" s="2" t="s">
        <v>266</v>
      </c>
      <c r="C331" s="2" t="s">
        <v>5045</v>
      </c>
      <c r="D331" s="2"/>
    </row>
    <row r="332" spans="1:4" x14ac:dyDescent="0.3">
      <c r="A332" s="2" t="s">
        <v>524</v>
      </c>
      <c r="B332" s="2" t="s">
        <v>266</v>
      </c>
      <c r="C332" s="2" t="s">
        <v>5045</v>
      </c>
      <c r="D332" s="2"/>
    </row>
    <row r="333" spans="1:4" x14ac:dyDescent="0.3">
      <c r="A333" s="2" t="s">
        <v>526</v>
      </c>
      <c r="B333" s="2" t="s">
        <v>266</v>
      </c>
      <c r="C333" s="2" t="s">
        <v>5045</v>
      </c>
      <c r="D333" s="2"/>
    </row>
    <row r="334" spans="1:4" x14ac:dyDescent="0.3">
      <c r="A334" s="2" t="s">
        <v>528</v>
      </c>
      <c r="B334" s="2" t="s">
        <v>266</v>
      </c>
      <c r="C334" s="2" t="s">
        <v>5045</v>
      </c>
      <c r="D334" s="2"/>
    </row>
    <row r="335" spans="1:4" x14ac:dyDescent="0.3">
      <c r="A335" s="2" t="s">
        <v>530</v>
      </c>
      <c r="B335" s="2" t="s">
        <v>266</v>
      </c>
      <c r="C335" s="2" t="s">
        <v>5045</v>
      </c>
      <c r="D335" s="2"/>
    </row>
    <row r="336" spans="1:4" x14ac:dyDescent="0.3">
      <c r="A336" s="2" t="s">
        <v>532</v>
      </c>
      <c r="B336" s="2" t="s">
        <v>266</v>
      </c>
      <c r="C336" s="2" t="s">
        <v>5045</v>
      </c>
      <c r="D336" s="2"/>
    </row>
    <row r="337" spans="1:4" x14ac:dyDescent="0.3">
      <c r="A337" s="2" t="s">
        <v>534</v>
      </c>
      <c r="B337" s="2" t="s">
        <v>266</v>
      </c>
      <c r="C337" s="2" t="s">
        <v>5045</v>
      </c>
      <c r="D337" s="2"/>
    </row>
    <row r="338" spans="1:4" x14ac:dyDescent="0.3">
      <c r="A338" s="2" t="s">
        <v>536</v>
      </c>
      <c r="B338" s="2" t="s">
        <v>266</v>
      </c>
      <c r="C338" s="2" t="s">
        <v>5045</v>
      </c>
      <c r="D338" s="2"/>
    </row>
    <row r="339" spans="1:4" x14ac:dyDescent="0.3">
      <c r="A339" s="2" t="s">
        <v>538</v>
      </c>
      <c r="B339" s="2" t="s">
        <v>266</v>
      </c>
      <c r="C339" s="2" t="s">
        <v>5045</v>
      </c>
      <c r="D339" s="2"/>
    </row>
    <row r="340" spans="1:4" x14ac:dyDescent="0.3">
      <c r="A340" s="2" t="s">
        <v>540</v>
      </c>
      <c r="B340" s="2" t="s">
        <v>266</v>
      </c>
      <c r="C340" s="2" t="s">
        <v>5045</v>
      </c>
      <c r="D340" s="2"/>
    </row>
    <row r="341" spans="1:4" x14ac:dyDescent="0.3">
      <c r="A341" s="2" t="s">
        <v>542</v>
      </c>
      <c r="B341" s="2" t="s">
        <v>266</v>
      </c>
      <c r="C341" s="2" t="s">
        <v>5045</v>
      </c>
      <c r="D341" s="2"/>
    </row>
    <row r="342" spans="1:4" x14ac:dyDescent="0.3">
      <c r="A342" s="2" t="s">
        <v>544</v>
      </c>
      <c r="B342" s="2" t="s">
        <v>266</v>
      </c>
      <c r="C342" s="2" t="s">
        <v>5045</v>
      </c>
      <c r="D342" s="2"/>
    </row>
    <row r="343" spans="1:4" x14ac:dyDescent="0.3">
      <c r="A343" s="2" t="s">
        <v>546</v>
      </c>
      <c r="B343" s="2" t="s">
        <v>266</v>
      </c>
      <c r="C343" s="2" t="s">
        <v>5045</v>
      </c>
      <c r="D343" s="2"/>
    </row>
    <row r="344" spans="1:4" x14ac:dyDescent="0.3">
      <c r="A344" s="2" t="s">
        <v>548</v>
      </c>
      <c r="B344" s="2" t="s">
        <v>266</v>
      </c>
      <c r="C344" s="2" t="s">
        <v>5045</v>
      </c>
      <c r="D344" s="2"/>
    </row>
    <row r="345" spans="1:4" x14ac:dyDescent="0.3">
      <c r="A345" s="2" t="s">
        <v>550</v>
      </c>
      <c r="B345" s="2" t="s">
        <v>266</v>
      </c>
      <c r="C345" s="2" t="s">
        <v>5045</v>
      </c>
      <c r="D345" s="2"/>
    </row>
    <row r="346" spans="1:4" x14ac:dyDescent="0.3">
      <c r="A346" s="2" t="s">
        <v>551</v>
      </c>
      <c r="B346" s="2" t="s">
        <v>266</v>
      </c>
      <c r="C346" s="2" t="s">
        <v>5045</v>
      </c>
      <c r="D346" s="2"/>
    </row>
    <row r="347" spans="1:4" x14ac:dyDescent="0.3">
      <c r="A347" s="2" t="s">
        <v>553</v>
      </c>
      <c r="B347" s="2" t="s">
        <v>266</v>
      </c>
      <c r="C347" s="2" t="s">
        <v>5045</v>
      </c>
      <c r="D347" s="2"/>
    </row>
    <row r="348" spans="1:4" x14ac:dyDescent="0.3">
      <c r="A348" s="2" t="s">
        <v>555</v>
      </c>
      <c r="B348" s="2" t="s">
        <v>266</v>
      </c>
      <c r="C348" s="2" t="s">
        <v>5045</v>
      </c>
      <c r="D348" s="2"/>
    </row>
    <row r="349" spans="1:4" x14ac:dyDescent="0.3">
      <c r="A349" s="2" t="s">
        <v>557</v>
      </c>
      <c r="B349" s="2" t="s">
        <v>266</v>
      </c>
      <c r="C349" s="2" t="s">
        <v>5045</v>
      </c>
      <c r="D349" s="2"/>
    </row>
    <row r="350" spans="1:4" x14ac:dyDescent="0.3">
      <c r="A350" s="2" t="s">
        <v>559</v>
      </c>
      <c r="B350" s="2" t="s">
        <v>266</v>
      </c>
      <c r="C350" s="2" t="s">
        <v>5045</v>
      </c>
      <c r="D350" s="2"/>
    </row>
    <row r="351" spans="1:4" x14ac:dyDescent="0.3">
      <c r="A351" s="2" t="s">
        <v>561</v>
      </c>
      <c r="B351" s="2" t="s">
        <v>266</v>
      </c>
      <c r="C351" s="2" t="s">
        <v>5045</v>
      </c>
      <c r="D351" s="2"/>
    </row>
    <row r="352" spans="1:4" x14ac:dyDescent="0.3">
      <c r="A352" s="2" t="s">
        <v>563</v>
      </c>
      <c r="B352" s="2" t="s">
        <v>266</v>
      </c>
      <c r="C352" s="2" t="s">
        <v>5045</v>
      </c>
      <c r="D352" s="2"/>
    </row>
    <row r="353" spans="1:4" x14ac:dyDescent="0.3">
      <c r="A353" s="2" t="s">
        <v>565</v>
      </c>
      <c r="B353" s="2" t="s">
        <v>266</v>
      </c>
      <c r="C353" s="2" t="s">
        <v>5045</v>
      </c>
      <c r="D353" s="2"/>
    </row>
    <row r="354" spans="1:4" x14ac:dyDescent="0.3">
      <c r="A354" s="2" t="s">
        <v>567</v>
      </c>
      <c r="B354" s="2" t="s">
        <v>266</v>
      </c>
      <c r="C354" s="2" t="s">
        <v>5045</v>
      </c>
      <c r="D354" s="2"/>
    </row>
    <row r="355" spans="1:4" x14ac:dyDescent="0.3">
      <c r="A355" s="2" t="s">
        <v>569</v>
      </c>
      <c r="B355" s="2" t="s">
        <v>266</v>
      </c>
      <c r="C355" s="2" t="s">
        <v>5045</v>
      </c>
      <c r="D355" s="2"/>
    </row>
    <row r="356" spans="1:4" x14ac:dyDescent="0.3">
      <c r="A356" s="2" t="s">
        <v>571</v>
      </c>
      <c r="B356" s="2" t="s">
        <v>266</v>
      </c>
      <c r="C356" s="2" t="s">
        <v>5045</v>
      </c>
      <c r="D356" s="2"/>
    </row>
    <row r="357" spans="1:4" x14ac:dyDescent="0.3">
      <c r="A357" s="2" t="s">
        <v>573</v>
      </c>
      <c r="B357" s="2" t="s">
        <v>266</v>
      </c>
      <c r="C357" s="2" t="s">
        <v>5045</v>
      </c>
      <c r="D357" s="2"/>
    </row>
    <row r="358" spans="1:4" x14ac:dyDescent="0.3">
      <c r="A358" s="2" t="s">
        <v>575</v>
      </c>
      <c r="B358" s="2" t="s">
        <v>266</v>
      </c>
      <c r="C358" s="2" t="s">
        <v>5045</v>
      </c>
      <c r="D358" s="2"/>
    </row>
    <row r="359" spans="1:4" x14ac:dyDescent="0.3">
      <c r="A359" s="2" t="s">
        <v>577</v>
      </c>
      <c r="B359" s="2" t="s">
        <v>266</v>
      </c>
      <c r="C359" s="2" t="s">
        <v>5045</v>
      </c>
      <c r="D359" s="2"/>
    </row>
    <row r="360" spans="1:4" x14ac:dyDescent="0.3">
      <c r="A360" s="2" t="s">
        <v>579</v>
      </c>
      <c r="B360" s="2" t="s">
        <v>266</v>
      </c>
      <c r="C360" s="2" t="s">
        <v>5045</v>
      </c>
      <c r="D360" s="2"/>
    </row>
    <row r="361" spans="1:4" x14ac:dyDescent="0.3">
      <c r="A361" s="2" t="s">
        <v>581</v>
      </c>
      <c r="B361" s="2" t="s">
        <v>266</v>
      </c>
      <c r="C361" s="2" t="s">
        <v>5045</v>
      </c>
      <c r="D361" s="2"/>
    </row>
    <row r="362" spans="1:4" x14ac:dyDescent="0.3">
      <c r="A362" s="2" t="s">
        <v>583</v>
      </c>
      <c r="B362" s="2" t="s">
        <v>266</v>
      </c>
      <c r="C362" s="2" t="s">
        <v>5045</v>
      </c>
      <c r="D362" s="2"/>
    </row>
    <row r="363" spans="1:4" x14ac:dyDescent="0.3">
      <c r="A363" s="2" t="s">
        <v>585</v>
      </c>
      <c r="B363" s="2" t="s">
        <v>266</v>
      </c>
      <c r="C363" s="2" t="s">
        <v>5045</v>
      </c>
      <c r="D363" s="2"/>
    </row>
    <row r="364" spans="1:4" x14ac:dyDescent="0.3">
      <c r="A364" s="2" t="s">
        <v>586</v>
      </c>
      <c r="B364" s="2" t="s">
        <v>266</v>
      </c>
      <c r="C364" s="2" t="s">
        <v>5045</v>
      </c>
      <c r="D364" s="2"/>
    </row>
    <row r="365" spans="1:4" x14ac:dyDescent="0.3">
      <c r="A365" s="2" t="s">
        <v>588</v>
      </c>
      <c r="B365" s="2" t="s">
        <v>266</v>
      </c>
      <c r="C365" s="2" t="s">
        <v>5045</v>
      </c>
      <c r="D365" s="2"/>
    </row>
    <row r="366" spans="1:4" x14ac:dyDescent="0.3">
      <c r="A366" s="2" t="s">
        <v>590</v>
      </c>
      <c r="B366" s="2" t="s">
        <v>266</v>
      </c>
      <c r="C366" s="2" t="s">
        <v>5045</v>
      </c>
      <c r="D366" s="2"/>
    </row>
    <row r="367" spans="1:4" x14ac:dyDescent="0.3">
      <c r="A367" s="2" t="s">
        <v>592</v>
      </c>
      <c r="B367" s="2" t="s">
        <v>266</v>
      </c>
      <c r="C367" s="2" t="s">
        <v>5045</v>
      </c>
      <c r="D367" s="2"/>
    </row>
    <row r="368" spans="1:4" x14ac:dyDescent="0.3">
      <c r="A368" s="2" t="s">
        <v>594</v>
      </c>
      <c r="B368" s="2" t="s">
        <v>266</v>
      </c>
      <c r="C368" s="2" t="s">
        <v>5045</v>
      </c>
      <c r="D368" s="2"/>
    </row>
    <row r="369" spans="1:4" x14ac:dyDescent="0.3">
      <c r="A369" s="2" t="s">
        <v>595</v>
      </c>
      <c r="B369" s="2" t="s">
        <v>266</v>
      </c>
      <c r="C369" s="2" t="s">
        <v>5045</v>
      </c>
      <c r="D369" s="2"/>
    </row>
    <row r="370" spans="1:4" x14ac:dyDescent="0.3">
      <c r="A370" s="2" t="s">
        <v>597</v>
      </c>
      <c r="B370" s="2" t="s">
        <v>266</v>
      </c>
      <c r="C370" s="2" t="s">
        <v>5045</v>
      </c>
      <c r="D370" s="2"/>
    </row>
    <row r="371" spans="1:4" x14ac:dyDescent="0.3">
      <c r="A371" s="2" t="s">
        <v>599</v>
      </c>
      <c r="B371" s="2" t="s">
        <v>266</v>
      </c>
      <c r="C371" s="2" t="s">
        <v>5045</v>
      </c>
      <c r="D371" s="2"/>
    </row>
    <row r="372" spans="1:4" x14ac:dyDescent="0.3">
      <c r="A372" s="2" t="s">
        <v>600</v>
      </c>
      <c r="B372" s="2" t="s">
        <v>266</v>
      </c>
      <c r="C372" s="2" t="s">
        <v>5045</v>
      </c>
      <c r="D372" s="2"/>
    </row>
    <row r="373" spans="1:4" x14ac:dyDescent="0.3">
      <c r="A373" s="2" t="s">
        <v>601</v>
      </c>
      <c r="B373" s="2" t="s">
        <v>266</v>
      </c>
      <c r="C373" s="2" t="s">
        <v>5045</v>
      </c>
      <c r="D373" s="2"/>
    </row>
    <row r="374" spans="1:4" x14ac:dyDescent="0.3">
      <c r="A374" s="2" t="s">
        <v>603</v>
      </c>
      <c r="B374" s="2" t="s">
        <v>266</v>
      </c>
      <c r="C374" s="2" t="s">
        <v>5045</v>
      </c>
      <c r="D374" s="2"/>
    </row>
    <row r="375" spans="1:4" x14ac:dyDescent="0.3">
      <c r="A375" s="2" t="s">
        <v>605</v>
      </c>
      <c r="B375" s="2" t="s">
        <v>266</v>
      </c>
      <c r="C375" s="2" t="s">
        <v>5045</v>
      </c>
      <c r="D375" s="2"/>
    </row>
    <row r="376" spans="1:4" x14ac:dyDescent="0.3">
      <c r="A376" s="2" t="s">
        <v>607</v>
      </c>
      <c r="B376" s="2" t="s">
        <v>266</v>
      </c>
      <c r="C376" s="2" t="s">
        <v>5045</v>
      </c>
      <c r="D376" s="2"/>
    </row>
    <row r="377" spans="1:4" x14ac:dyDescent="0.3">
      <c r="A377" s="2" t="s">
        <v>609</v>
      </c>
      <c r="B377" s="2" t="s">
        <v>266</v>
      </c>
      <c r="C377" s="2" t="s">
        <v>5045</v>
      </c>
      <c r="D377" s="2"/>
    </row>
    <row r="378" spans="1:4" x14ac:dyDescent="0.3">
      <c r="A378" s="2" t="s">
        <v>611</v>
      </c>
      <c r="B378" s="2" t="s">
        <v>266</v>
      </c>
      <c r="C378" s="2" t="s">
        <v>5045</v>
      </c>
      <c r="D378" s="2"/>
    </row>
    <row r="379" spans="1:4" x14ac:dyDescent="0.3">
      <c r="A379" s="2" t="s">
        <v>613</v>
      </c>
      <c r="B379" s="2" t="s">
        <v>266</v>
      </c>
      <c r="C379" s="2" t="s">
        <v>5045</v>
      </c>
      <c r="D379" s="2"/>
    </row>
    <row r="380" spans="1:4" x14ac:dyDescent="0.3">
      <c r="A380" s="2" t="s">
        <v>615</v>
      </c>
      <c r="B380" s="2" t="s">
        <v>266</v>
      </c>
      <c r="C380" s="2" t="s">
        <v>5045</v>
      </c>
      <c r="D380" s="2"/>
    </row>
    <row r="381" spans="1:4" x14ac:dyDescent="0.3">
      <c r="A381" s="2" t="s">
        <v>617</v>
      </c>
      <c r="B381" s="2" t="s">
        <v>266</v>
      </c>
      <c r="C381" s="2" t="s">
        <v>5045</v>
      </c>
      <c r="D381" s="2"/>
    </row>
    <row r="382" spans="1:4" x14ac:dyDescent="0.3">
      <c r="A382" s="2" t="s">
        <v>619</v>
      </c>
      <c r="B382" s="2" t="s">
        <v>266</v>
      </c>
      <c r="C382" s="2" t="s">
        <v>5045</v>
      </c>
      <c r="D382" s="2"/>
    </row>
    <row r="383" spans="1:4" x14ac:dyDescent="0.3">
      <c r="A383" s="2" t="s">
        <v>621</v>
      </c>
      <c r="B383" s="2" t="s">
        <v>266</v>
      </c>
      <c r="C383" s="2" t="s">
        <v>5045</v>
      </c>
      <c r="D383" s="2"/>
    </row>
    <row r="384" spans="1:4" x14ac:dyDescent="0.3">
      <c r="A384" s="2" t="s">
        <v>623</v>
      </c>
      <c r="B384" s="2" t="s">
        <v>266</v>
      </c>
      <c r="C384" s="2" t="s">
        <v>5045</v>
      </c>
      <c r="D384" s="2"/>
    </row>
    <row r="385" spans="1:4" x14ac:dyDescent="0.3">
      <c r="A385" s="2" t="s">
        <v>625</v>
      </c>
      <c r="B385" s="2" t="s">
        <v>266</v>
      </c>
      <c r="C385" s="2" t="s">
        <v>5045</v>
      </c>
      <c r="D385" s="2"/>
    </row>
    <row r="386" spans="1:4" x14ac:dyDescent="0.3">
      <c r="A386" s="2" t="s">
        <v>627</v>
      </c>
      <c r="B386" s="2" t="s">
        <v>266</v>
      </c>
      <c r="C386" s="2" t="s">
        <v>5045</v>
      </c>
      <c r="D386" s="2"/>
    </row>
    <row r="387" spans="1:4" x14ac:dyDescent="0.3">
      <c r="A387" s="2" t="s">
        <v>629</v>
      </c>
      <c r="B387" s="2" t="s">
        <v>266</v>
      </c>
      <c r="C387" s="2" t="s">
        <v>5045</v>
      </c>
      <c r="D387" s="2"/>
    </row>
    <row r="388" spans="1:4" x14ac:dyDescent="0.3">
      <c r="A388" s="2" t="s">
        <v>631</v>
      </c>
      <c r="B388" s="2" t="s">
        <v>266</v>
      </c>
      <c r="C388" s="2" t="s">
        <v>5045</v>
      </c>
      <c r="D388" s="2"/>
    </row>
    <row r="389" spans="1:4" x14ac:dyDescent="0.3">
      <c r="A389" s="2" t="s">
        <v>633</v>
      </c>
      <c r="B389" s="2" t="s">
        <v>266</v>
      </c>
      <c r="C389" s="2" t="s">
        <v>5045</v>
      </c>
      <c r="D389" s="2"/>
    </row>
    <row r="390" spans="1:4" x14ac:dyDescent="0.3">
      <c r="A390" s="2" t="s">
        <v>635</v>
      </c>
      <c r="B390" s="2" t="s">
        <v>266</v>
      </c>
      <c r="C390" s="2" t="s">
        <v>5045</v>
      </c>
      <c r="D390" s="2"/>
    </row>
    <row r="391" spans="1:4" x14ac:dyDescent="0.3">
      <c r="A391" s="2" t="s">
        <v>636</v>
      </c>
      <c r="B391" s="2" t="s">
        <v>266</v>
      </c>
      <c r="C391" s="2" t="s">
        <v>5045</v>
      </c>
      <c r="D391" s="2"/>
    </row>
    <row r="392" spans="1:4" x14ac:dyDescent="0.3">
      <c r="A392" s="2" t="s">
        <v>638</v>
      </c>
      <c r="B392" s="2" t="s">
        <v>266</v>
      </c>
      <c r="C392" s="2" t="s">
        <v>5045</v>
      </c>
      <c r="D392" s="2"/>
    </row>
    <row r="393" spans="1:4" x14ac:dyDescent="0.3">
      <c r="A393" s="2" t="s">
        <v>640</v>
      </c>
      <c r="B393" s="2" t="s">
        <v>266</v>
      </c>
      <c r="C393" s="2" t="s">
        <v>5045</v>
      </c>
      <c r="D393" s="2"/>
    </row>
    <row r="394" spans="1:4" x14ac:dyDescent="0.3">
      <c r="A394" s="2" t="s">
        <v>642</v>
      </c>
      <c r="B394" s="2" t="s">
        <v>266</v>
      </c>
      <c r="C394" s="2" t="s">
        <v>5045</v>
      </c>
      <c r="D394" s="2"/>
    </row>
    <row r="395" spans="1:4" x14ac:dyDescent="0.3">
      <c r="A395" s="2" t="s">
        <v>644</v>
      </c>
      <c r="B395" s="2" t="s">
        <v>266</v>
      </c>
      <c r="C395" s="2" t="s">
        <v>5045</v>
      </c>
      <c r="D395" s="2"/>
    </row>
    <row r="396" spans="1:4" x14ac:dyDescent="0.3">
      <c r="A396" s="2" t="s">
        <v>646</v>
      </c>
      <c r="B396" s="2" t="s">
        <v>266</v>
      </c>
      <c r="C396" s="2" t="s">
        <v>5045</v>
      </c>
      <c r="D396" s="2"/>
    </row>
    <row r="397" spans="1:4" x14ac:dyDescent="0.3">
      <c r="A397" s="2" t="s">
        <v>648</v>
      </c>
      <c r="B397" s="2" t="s">
        <v>266</v>
      </c>
      <c r="C397" s="2" t="s">
        <v>5045</v>
      </c>
      <c r="D397" s="2"/>
    </row>
    <row r="398" spans="1:4" x14ac:dyDescent="0.3">
      <c r="A398" s="2" t="s">
        <v>650</v>
      </c>
      <c r="B398" s="2" t="s">
        <v>266</v>
      </c>
      <c r="C398" s="2" t="s">
        <v>5045</v>
      </c>
      <c r="D398" s="2"/>
    </row>
    <row r="399" spans="1:4" x14ac:dyDescent="0.3">
      <c r="A399" s="2" t="s">
        <v>652</v>
      </c>
      <c r="B399" s="2" t="s">
        <v>266</v>
      </c>
      <c r="C399" s="2" t="s">
        <v>5045</v>
      </c>
      <c r="D399" s="2"/>
    </row>
    <row r="400" spans="1:4" x14ac:dyDescent="0.3">
      <c r="A400" s="2" t="s">
        <v>653</v>
      </c>
      <c r="B400" s="2" t="s">
        <v>266</v>
      </c>
      <c r="C400" s="2" t="s">
        <v>5045</v>
      </c>
      <c r="D400" s="2"/>
    </row>
    <row r="401" spans="1:4" x14ac:dyDescent="0.3">
      <c r="A401" s="2" t="s">
        <v>655</v>
      </c>
      <c r="B401" s="2" t="s">
        <v>266</v>
      </c>
      <c r="C401" s="2" t="s">
        <v>5045</v>
      </c>
      <c r="D401" s="2"/>
    </row>
    <row r="402" spans="1:4" x14ac:dyDescent="0.3">
      <c r="A402" s="2" t="s">
        <v>657</v>
      </c>
      <c r="B402" s="2" t="s">
        <v>266</v>
      </c>
      <c r="C402" s="2" t="s">
        <v>5045</v>
      </c>
      <c r="D402" s="2"/>
    </row>
    <row r="403" spans="1:4" x14ac:dyDescent="0.3">
      <c r="A403" s="2" t="s">
        <v>659</v>
      </c>
      <c r="B403" s="2" t="s">
        <v>266</v>
      </c>
      <c r="C403" s="2" t="s">
        <v>5045</v>
      </c>
      <c r="D403" s="2"/>
    </row>
    <row r="404" spans="1:4" x14ac:dyDescent="0.3">
      <c r="A404" s="2" t="s">
        <v>661</v>
      </c>
      <c r="B404" s="2" t="s">
        <v>266</v>
      </c>
      <c r="C404" s="2" t="s">
        <v>5045</v>
      </c>
      <c r="D404" s="2"/>
    </row>
    <row r="405" spans="1:4" x14ac:dyDescent="0.3">
      <c r="A405" s="2" t="s">
        <v>663</v>
      </c>
      <c r="B405" s="2" t="s">
        <v>266</v>
      </c>
      <c r="C405" s="2" t="s">
        <v>5045</v>
      </c>
      <c r="D405" s="2"/>
    </row>
    <row r="406" spans="1:4" x14ac:dyDescent="0.3">
      <c r="A406" s="2" t="s">
        <v>665</v>
      </c>
      <c r="B406" s="2" t="s">
        <v>266</v>
      </c>
      <c r="C406" s="2" t="s">
        <v>5045</v>
      </c>
      <c r="D406" s="2"/>
    </row>
    <row r="407" spans="1:4" x14ac:dyDescent="0.3">
      <c r="A407" s="2" t="s">
        <v>667</v>
      </c>
      <c r="B407" s="2" t="s">
        <v>266</v>
      </c>
      <c r="C407" s="2" t="s">
        <v>5045</v>
      </c>
      <c r="D407" s="2"/>
    </row>
    <row r="408" spans="1:4" x14ac:dyDescent="0.3">
      <c r="A408" s="2" t="s">
        <v>669</v>
      </c>
      <c r="B408" s="2" t="s">
        <v>266</v>
      </c>
      <c r="C408" s="2" t="s">
        <v>5045</v>
      </c>
      <c r="D408" s="2"/>
    </row>
    <row r="409" spans="1:4" x14ac:dyDescent="0.3">
      <c r="A409" s="2" t="s">
        <v>670</v>
      </c>
      <c r="B409" s="2" t="s">
        <v>266</v>
      </c>
      <c r="C409" s="2" t="s">
        <v>5045</v>
      </c>
      <c r="D409" s="2"/>
    </row>
    <row r="410" spans="1:4" x14ac:dyDescent="0.3">
      <c r="A410" s="2" t="s">
        <v>672</v>
      </c>
      <c r="B410" s="2" t="s">
        <v>266</v>
      </c>
      <c r="C410" s="2" t="s">
        <v>5045</v>
      </c>
      <c r="D410" s="2"/>
    </row>
    <row r="411" spans="1:4" x14ac:dyDescent="0.3">
      <c r="A411" s="2" t="s">
        <v>674</v>
      </c>
      <c r="B411" s="2" t="s">
        <v>266</v>
      </c>
      <c r="C411" s="2" t="s">
        <v>5045</v>
      </c>
      <c r="D411" s="2"/>
    </row>
    <row r="412" spans="1:4" x14ac:dyDescent="0.3">
      <c r="A412" s="2" t="s">
        <v>676</v>
      </c>
      <c r="B412" s="2" t="s">
        <v>266</v>
      </c>
      <c r="C412" s="2" t="s">
        <v>5045</v>
      </c>
      <c r="D412" s="2"/>
    </row>
    <row r="413" spans="1:4" x14ac:dyDescent="0.3">
      <c r="A413" s="2" t="s">
        <v>678</v>
      </c>
      <c r="B413" s="2" t="s">
        <v>266</v>
      </c>
      <c r="C413" s="2" t="s">
        <v>5045</v>
      </c>
      <c r="D413" s="2"/>
    </row>
    <row r="414" spans="1:4" x14ac:dyDescent="0.3">
      <c r="A414" s="2" t="s">
        <v>680</v>
      </c>
      <c r="B414" s="2" t="s">
        <v>266</v>
      </c>
      <c r="C414" s="2" t="s">
        <v>5045</v>
      </c>
      <c r="D414" s="2"/>
    </row>
    <row r="415" spans="1:4" x14ac:dyDescent="0.3">
      <c r="A415" s="2" t="s">
        <v>682</v>
      </c>
      <c r="B415" s="2" t="s">
        <v>266</v>
      </c>
      <c r="C415" s="2" t="s">
        <v>5045</v>
      </c>
      <c r="D415" s="2"/>
    </row>
    <row r="416" spans="1:4" x14ac:dyDescent="0.3">
      <c r="A416" s="2" t="s">
        <v>684</v>
      </c>
      <c r="B416" s="2" t="s">
        <v>266</v>
      </c>
      <c r="C416" s="2" t="s">
        <v>5045</v>
      </c>
      <c r="D416" s="2"/>
    </row>
    <row r="417" spans="1:4" x14ac:dyDescent="0.3">
      <c r="A417" s="2" t="s">
        <v>686</v>
      </c>
      <c r="B417" s="2" t="s">
        <v>266</v>
      </c>
      <c r="C417" s="2" t="s">
        <v>5045</v>
      </c>
      <c r="D417" s="2"/>
    </row>
    <row r="418" spans="1:4" x14ac:dyDescent="0.3">
      <c r="A418" s="2" t="s">
        <v>688</v>
      </c>
      <c r="B418" s="2" t="s">
        <v>266</v>
      </c>
      <c r="C418" s="2" t="s">
        <v>5045</v>
      </c>
      <c r="D418" s="2"/>
    </row>
    <row r="419" spans="1:4" x14ac:dyDescent="0.3">
      <c r="A419" s="2" t="s">
        <v>690</v>
      </c>
      <c r="B419" s="2" t="s">
        <v>266</v>
      </c>
      <c r="C419" s="2" t="s">
        <v>5045</v>
      </c>
      <c r="D419" s="2"/>
    </row>
    <row r="420" spans="1:4" x14ac:dyDescent="0.3">
      <c r="A420" s="2" t="s">
        <v>692</v>
      </c>
      <c r="B420" s="2" t="s">
        <v>266</v>
      </c>
      <c r="C420" s="2" t="s">
        <v>5045</v>
      </c>
      <c r="D420" s="2"/>
    </row>
    <row r="421" spans="1:4" x14ac:dyDescent="0.3">
      <c r="A421" s="2" t="s">
        <v>694</v>
      </c>
      <c r="B421" s="2" t="s">
        <v>266</v>
      </c>
      <c r="C421" s="2" t="s">
        <v>5045</v>
      </c>
      <c r="D421" s="2"/>
    </row>
    <row r="422" spans="1:4" x14ac:dyDescent="0.3">
      <c r="A422" s="2" t="s">
        <v>696</v>
      </c>
      <c r="B422" s="2" t="s">
        <v>266</v>
      </c>
      <c r="C422" s="2" t="s">
        <v>5045</v>
      </c>
      <c r="D422" s="2"/>
    </row>
    <row r="423" spans="1:4" x14ac:dyDescent="0.3">
      <c r="A423" s="2" t="s">
        <v>698</v>
      </c>
      <c r="B423" s="2" t="s">
        <v>266</v>
      </c>
      <c r="C423" s="2" t="s">
        <v>5045</v>
      </c>
      <c r="D423" s="2"/>
    </row>
    <row r="424" spans="1:4" x14ac:dyDescent="0.3">
      <c r="A424" s="2" t="s">
        <v>700</v>
      </c>
      <c r="B424" s="2" t="s">
        <v>266</v>
      </c>
      <c r="C424" s="2" t="s">
        <v>5045</v>
      </c>
      <c r="D424" s="2"/>
    </row>
    <row r="425" spans="1:4" x14ac:dyDescent="0.3">
      <c r="A425" s="2" t="s">
        <v>701</v>
      </c>
      <c r="B425" s="2" t="s">
        <v>266</v>
      </c>
      <c r="C425" s="2" t="s">
        <v>5045</v>
      </c>
      <c r="D425" s="2"/>
    </row>
    <row r="426" spans="1:4" x14ac:dyDescent="0.3">
      <c r="A426" s="2" t="s">
        <v>703</v>
      </c>
      <c r="B426" s="2" t="s">
        <v>266</v>
      </c>
      <c r="C426" s="2" t="s">
        <v>5045</v>
      </c>
      <c r="D426" s="2"/>
    </row>
    <row r="427" spans="1:4" x14ac:dyDescent="0.3">
      <c r="A427" s="2" t="s">
        <v>704</v>
      </c>
      <c r="B427" s="2" t="s">
        <v>266</v>
      </c>
      <c r="C427" s="2" t="s">
        <v>5045</v>
      </c>
      <c r="D427" s="2"/>
    </row>
    <row r="428" spans="1:4" x14ac:dyDescent="0.3">
      <c r="A428" s="2" t="s">
        <v>706</v>
      </c>
      <c r="B428" s="2" t="s">
        <v>266</v>
      </c>
      <c r="C428" s="2" t="s">
        <v>5045</v>
      </c>
      <c r="D428" s="2"/>
    </row>
    <row r="429" spans="1:4" x14ac:dyDescent="0.3">
      <c r="A429" s="2" t="s">
        <v>708</v>
      </c>
      <c r="B429" s="2" t="s">
        <v>266</v>
      </c>
      <c r="C429" s="2" t="s">
        <v>5045</v>
      </c>
      <c r="D429" s="2"/>
    </row>
    <row r="430" spans="1:4" x14ac:dyDescent="0.3">
      <c r="A430" s="2" t="s">
        <v>710</v>
      </c>
      <c r="B430" s="2" t="s">
        <v>266</v>
      </c>
      <c r="C430" s="2" t="s">
        <v>5045</v>
      </c>
      <c r="D430" s="2"/>
    </row>
    <row r="431" spans="1:4" x14ac:dyDescent="0.3">
      <c r="A431" s="2" t="s">
        <v>711</v>
      </c>
      <c r="B431" s="2" t="s">
        <v>266</v>
      </c>
      <c r="C431" s="2" t="s">
        <v>5045</v>
      </c>
      <c r="D431" s="2"/>
    </row>
    <row r="432" spans="1:4" x14ac:dyDescent="0.3">
      <c r="A432" s="2" t="s">
        <v>713</v>
      </c>
      <c r="B432" s="2" t="s">
        <v>266</v>
      </c>
      <c r="C432" s="2" t="s">
        <v>5045</v>
      </c>
      <c r="D432" s="2"/>
    </row>
    <row r="433" spans="1:4" x14ac:dyDescent="0.3">
      <c r="A433" s="2" t="s">
        <v>715</v>
      </c>
      <c r="B433" s="2" t="s">
        <v>266</v>
      </c>
      <c r="C433" s="2" t="s">
        <v>5045</v>
      </c>
      <c r="D433" s="2"/>
    </row>
    <row r="434" spans="1:4" x14ac:dyDescent="0.3">
      <c r="A434" s="2" t="s">
        <v>717</v>
      </c>
      <c r="B434" s="2" t="s">
        <v>266</v>
      </c>
      <c r="C434" s="2" t="s">
        <v>5045</v>
      </c>
      <c r="D434" s="2"/>
    </row>
    <row r="435" spans="1:4" x14ac:dyDescent="0.3">
      <c r="A435" s="2" t="s">
        <v>719</v>
      </c>
      <c r="B435" s="2" t="s">
        <v>266</v>
      </c>
      <c r="C435" s="2" t="s">
        <v>5045</v>
      </c>
      <c r="D435" s="2"/>
    </row>
    <row r="436" spans="1:4" x14ac:dyDescent="0.3">
      <c r="A436" s="2" t="s">
        <v>721</v>
      </c>
      <c r="B436" s="2" t="s">
        <v>266</v>
      </c>
      <c r="C436" s="2" t="s">
        <v>5045</v>
      </c>
      <c r="D436" s="2"/>
    </row>
    <row r="437" spans="1:4" x14ac:dyDescent="0.3">
      <c r="A437" s="2" t="s">
        <v>723</v>
      </c>
      <c r="B437" s="2" t="s">
        <v>266</v>
      </c>
      <c r="C437" s="2" t="s">
        <v>5045</v>
      </c>
      <c r="D437" s="2"/>
    </row>
    <row r="438" spans="1:4" x14ac:dyDescent="0.3">
      <c r="A438" s="2" t="s">
        <v>725</v>
      </c>
      <c r="B438" s="2" t="s">
        <v>266</v>
      </c>
      <c r="C438" s="2" t="s">
        <v>5045</v>
      </c>
      <c r="D438" s="2"/>
    </row>
    <row r="439" spans="1:4" x14ac:dyDescent="0.3">
      <c r="A439" s="2" t="s">
        <v>727</v>
      </c>
      <c r="B439" s="2" t="s">
        <v>266</v>
      </c>
      <c r="C439" s="2" t="s">
        <v>5045</v>
      </c>
      <c r="D439" s="2"/>
    </row>
    <row r="440" spans="1:4" x14ac:dyDescent="0.3">
      <c r="A440" s="2" t="s">
        <v>729</v>
      </c>
      <c r="B440" s="2" t="s">
        <v>266</v>
      </c>
      <c r="C440" s="2" t="s">
        <v>5045</v>
      </c>
      <c r="D440" s="2"/>
    </row>
    <row r="441" spans="1:4" x14ac:dyDescent="0.3">
      <c r="A441" s="2" t="s">
        <v>730</v>
      </c>
      <c r="B441" s="2" t="s">
        <v>266</v>
      </c>
      <c r="C441" s="2" t="s">
        <v>5045</v>
      </c>
      <c r="D441" s="2"/>
    </row>
    <row r="442" spans="1:4" x14ac:dyDescent="0.3">
      <c r="A442" s="2" t="s">
        <v>732</v>
      </c>
      <c r="B442" s="2" t="s">
        <v>266</v>
      </c>
      <c r="C442" s="2" t="s">
        <v>5045</v>
      </c>
      <c r="D442" s="2"/>
    </row>
    <row r="443" spans="1:4" x14ac:dyDescent="0.3">
      <c r="A443" s="2" t="s">
        <v>734</v>
      </c>
      <c r="B443" s="2" t="s">
        <v>266</v>
      </c>
      <c r="C443" s="2" t="s">
        <v>5045</v>
      </c>
      <c r="D443" s="2"/>
    </row>
    <row r="444" spans="1:4" x14ac:dyDescent="0.3">
      <c r="A444" s="2" t="s">
        <v>736</v>
      </c>
      <c r="B444" s="2" t="s">
        <v>266</v>
      </c>
      <c r="C444" s="2" t="s">
        <v>5045</v>
      </c>
      <c r="D444" s="2"/>
    </row>
    <row r="445" spans="1:4" x14ac:dyDescent="0.3">
      <c r="A445" s="2" t="s">
        <v>738</v>
      </c>
      <c r="B445" s="2" t="s">
        <v>266</v>
      </c>
      <c r="C445" s="2" t="s">
        <v>5045</v>
      </c>
      <c r="D445" s="2"/>
    </row>
    <row r="446" spans="1:4" x14ac:dyDescent="0.3">
      <c r="A446" s="2" t="s">
        <v>740</v>
      </c>
      <c r="B446" s="2" t="s">
        <v>266</v>
      </c>
      <c r="C446" s="2" t="s">
        <v>5045</v>
      </c>
      <c r="D446" s="2"/>
    </row>
    <row r="447" spans="1:4" x14ac:dyDescent="0.3">
      <c r="A447" s="2" t="s">
        <v>741</v>
      </c>
      <c r="B447" s="2" t="s">
        <v>266</v>
      </c>
      <c r="C447" s="2" t="s">
        <v>5045</v>
      </c>
      <c r="D447" s="2"/>
    </row>
    <row r="448" spans="1:4" x14ac:dyDescent="0.3">
      <c r="A448" s="2" t="s">
        <v>743</v>
      </c>
      <c r="B448" s="2" t="s">
        <v>266</v>
      </c>
      <c r="C448" s="2" t="s">
        <v>5045</v>
      </c>
      <c r="D448" s="2"/>
    </row>
    <row r="449" spans="1:4" x14ac:dyDescent="0.3">
      <c r="A449" s="2" t="s">
        <v>745</v>
      </c>
      <c r="B449" s="2" t="s">
        <v>266</v>
      </c>
      <c r="C449" s="2" t="s">
        <v>5045</v>
      </c>
      <c r="D449" s="2"/>
    </row>
    <row r="450" spans="1:4" x14ac:dyDescent="0.3">
      <c r="A450" s="2" t="s">
        <v>747</v>
      </c>
      <c r="B450" s="2" t="s">
        <v>266</v>
      </c>
      <c r="C450" s="2" t="s">
        <v>5045</v>
      </c>
      <c r="D450" s="2"/>
    </row>
    <row r="451" spans="1:4" x14ac:dyDescent="0.3">
      <c r="A451" s="2" t="s">
        <v>749</v>
      </c>
      <c r="B451" s="2" t="s">
        <v>266</v>
      </c>
      <c r="C451" s="2" t="s">
        <v>5045</v>
      </c>
      <c r="D451" s="2"/>
    </row>
    <row r="452" spans="1:4" x14ac:dyDescent="0.3">
      <c r="A452" s="2" t="s">
        <v>751</v>
      </c>
      <c r="B452" s="2" t="s">
        <v>266</v>
      </c>
      <c r="C452" s="2" t="s">
        <v>5045</v>
      </c>
      <c r="D452" s="2"/>
    </row>
    <row r="453" spans="1:4" x14ac:dyDescent="0.3">
      <c r="A453" s="2" t="s">
        <v>753</v>
      </c>
      <c r="B453" s="2" t="s">
        <v>266</v>
      </c>
      <c r="C453" s="2" t="s">
        <v>5045</v>
      </c>
      <c r="D453" s="2"/>
    </row>
    <row r="454" spans="1:4" x14ac:dyDescent="0.3">
      <c r="A454" s="2" t="s">
        <v>754</v>
      </c>
      <c r="B454" s="2" t="s">
        <v>266</v>
      </c>
      <c r="C454" s="2" t="s">
        <v>5045</v>
      </c>
      <c r="D454" s="2"/>
    </row>
    <row r="455" spans="1:4" x14ac:dyDescent="0.3">
      <c r="A455" s="2" t="s">
        <v>755</v>
      </c>
      <c r="B455" s="2" t="s">
        <v>266</v>
      </c>
      <c r="C455" s="2" t="s">
        <v>5045</v>
      </c>
      <c r="D455" s="2"/>
    </row>
    <row r="456" spans="1:4" x14ac:dyDescent="0.3">
      <c r="A456" s="2" t="s">
        <v>756</v>
      </c>
      <c r="B456" s="2" t="s">
        <v>266</v>
      </c>
      <c r="C456" s="2" t="s">
        <v>5045</v>
      </c>
      <c r="D456" s="2"/>
    </row>
    <row r="457" spans="1:4" x14ac:dyDescent="0.3">
      <c r="A457" s="2" t="s">
        <v>758</v>
      </c>
      <c r="B457" s="2" t="s">
        <v>266</v>
      </c>
      <c r="C457" s="2" t="s">
        <v>5045</v>
      </c>
      <c r="D457" s="2"/>
    </row>
    <row r="458" spans="1:4" x14ac:dyDescent="0.3">
      <c r="A458" s="2" t="s">
        <v>760</v>
      </c>
      <c r="B458" s="2" t="s">
        <v>266</v>
      </c>
      <c r="C458" s="2" t="s">
        <v>5045</v>
      </c>
      <c r="D458" s="2"/>
    </row>
    <row r="459" spans="1:4" x14ac:dyDescent="0.3">
      <c r="A459" s="2" t="s">
        <v>762</v>
      </c>
      <c r="B459" s="2" t="s">
        <v>266</v>
      </c>
      <c r="C459" s="2" t="s">
        <v>5045</v>
      </c>
      <c r="D459" s="2"/>
    </row>
    <row r="460" spans="1:4" x14ac:dyDescent="0.3">
      <c r="A460" s="2" t="s">
        <v>764</v>
      </c>
      <c r="B460" s="2" t="s">
        <v>266</v>
      </c>
      <c r="C460" s="2" t="s">
        <v>5045</v>
      </c>
      <c r="D460" s="2"/>
    </row>
    <row r="461" spans="1:4" x14ac:dyDescent="0.3">
      <c r="A461" s="2" t="s">
        <v>766</v>
      </c>
      <c r="B461" s="2" t="s">
        <v>266</v>
      </c>
      <c r="C461" s="2" t="s">
        <v>5045</v>
      </c>
      <c r="D461" s="2"/>
    </row>
    <row r="462" spans="1:4" x14ac:dyDescent="0.3">
      <c r="A462" s="2" t="s">
        <v>768</v>
      </c>
      <c r="B462" s="2" t="s">
        <v>266</v>
      </c>
      <c r="C462" s="2" t="s">
        <v>5045</v>
      </c>
      <c r="D462" s="2"/>
    </row>
    <row r="463" spans="1:4" x14ac:dyDescent="0.3">
      <c r="A463" s="2" t="s">
        <v>770</v>
      </c>
      <c r="B463" s="2" t="s">
        <v>266</v>
      </c>
      <c r="C463" s="2" t="s">
        <v>5045</v>
      </c>
      <c r="D463" s="2"/>
    </row>
    <row r="464" spans="1:4" x14ac:dyDescent="0.3">
      <c r="A464" s="2" t="s">
        <v>772</v>
      </c>
      <c r="B464" s="2" t="s">
        <v>266</v>
      </c>
      <c r="C464" s="2" t="s">
        <v>5045</v>
      </c>
      <c r="D464" s="2"/>
    </row>
    <row r="465" spans="1:4" x14ac:dyDescent="0.3">
      <c r="A465" s="2" t="s">
        <v>774</v>
      </c>
      <c r="B465" s="2" t="s">
        <v>266</v>
      </c>
      <c r="C465" s="2" t="s">
        <v>5045</v>
      </c>
      <c r="D465" s="2"/>
    </row>
    <row r="466" spans="1:4" x14ac:dyDescent="0.3">
      <c r="A466" s="2" t="s">
        <v>776</v>
      </c>
      <c r="B466" s="2" t="s">
        <v>266</v>
      </c>
      <c r="C466" s="2" t="s">
        <v>5045</v>
      </c>
      <c r="D466" s="2"/>
    </row>
    <row r="467" spans="1:4" x14ac:dyDescent="0.3">
      <c r="A467" s="2" t="s">
        <v>778</v>
      </c>
      <c r="B467" s="2" t="s">
        <v>266</v>
      </c>
      <c r="C467" s="2" t="s">
        <v>5045</v>
      </c>
      <c r="D467" s="2"/>
    </row>
    <row r="468" spans="1:4" x14ac:dyDescent="0.3">
      <c r="A468" s="2" t="s">
        <v>780</v>
      </c>
      <c r="B468" s="2" t="s">
        <v>266</v>
      </c>
      <c r="C468" s="2" t="s">
        <v>5045</v>
      </c>
      <c r="D468" s="2"/>
    </row>
    <row r="469" spans="1:4" x14ac:dyDescent="0.3">
      <c r="A469" s="2" t="s">
        <v>782</v>
      </c>
      <c r="B469" s="2" t="s">
        <v>266</v>
      </c>
      <c r="C469" s="2" t="s">
        <v>5045</v>
      </c>
      <c r="D469" s="2"/>
    </row>
    <row r="470" spans="1:4" x14ac:dyDescent="0.3">
      <c r="A470" s="2" t="s">
        <v>784</v>
      </c>
      <c r="B470" s="2" t="s">
        <v>266</v>
      </c>
      <c r="C470" s="2" t="s">
        <v>5045</v>
      </c>
      <c r="D470" s="2"/>
    </row>
    <row r="471" spans="1:4" x14ac:dyDescent="0.3">
      <c r="A471" s="2" t="s">
        <v>786</v>
      </c>
      <c r="B471" s="2" t="s">
        <v>266</v>
      </c>
      <c r="C471" s="2" t="s">
        <v>5045</v>
      </c>
      <c r="D471" s="2"/>
    </row>
    <row r="472" spans="1:4" x14ac:dyDescent="0.3">
      <c r="A472" s="2" t="s">
        <v>788</v>
      </c>
      <c r="B472" s="2" t="s">
        <v>266</v>
      </c>
      <c r="C472" s="2" t="s">
        <v>5045</v>
      </c>
      <c r="D472" s="2"/>
    </row>
    <row r="473" spans="1:4" x14ac:dyDescent="0.3">
      <c r="A473" s="2" t="s">
        <v>790</v>
      </c>
      <c r="B473" s="2" t="s">
        <v>266</v>
      </c>
      <c r="C473" s="2" t="s">
        <v>5045</v>
      </c>
      <c r="D473" s="2"/>
    </row>
    <row r="474" spans="1:4" x14ac:dyDescent="0.3">
      <c r="A474" s="2" t="s">
        <v>792</v>
      </c>
      <c r="B474" s="2" t="s">
        <v>266</v>
      </c>
      <c r="C474" s="2" t="s">
        <v>5045</v>
      </c>
      <c r="D474" s="2"/>
    </row>
    <row r="475" spans="1:4" x14ac:dyDescent="0.3">
      <c r="A475" s="2" t="s">
        <v>794</v>
      </c>
      <c r="B475" s="2" t="s">
        <v>266</v>
      </c>
      <c r="C475" s="2" t="s">
        <v>5045</v>
      </c>
      <c r="D475" s="2"/>
    </row>
    <row r="476" spans="1:4" x14ac:dyDescent="0.3">
      <c r="A476" s="2" t="s">
        <v>796</v>
      </c>
      <c r="B476" s="2" t="s">
        <v>266</v>
      </c>
      <c r="C476" s="2" t="s">
        <v>5045</v>
      </c>
      <c r="D476" s="2"/>
    </row>
    <row r="477" spans="1:4" x14ac:dyDescent="0.3">
      <c r="A477" s="2" t="s">
        <v>797</v>
      </c>
      <c r="B477" s="2" t="s">
        <v>266</v>
      </c>
      <c r="C477" s="2" t="s">
        <v>5045</v>
      </c>
      <c r="D477" s="2"/>
    </row>
    <row r="478" spans="1:4" x14ac:dyDescent="0.3">
      <c r="A478" s="2" t="s">
        <v>799</v>
      </c>
      <c r="B478" s="2" t="s">
        <v>266</v>
      </c>
      <c r="C478" s="2" t="s">
        <v>5045</v>
      </c>
      <c r="D478" s="2"/>
    </row>
    <row r="479" spans="1:4" x14ac:dyDescent="0.3">
      <c r="A479" s="2" t="s">
        <v>800</v>
      </c>
      <c r="B479" s="2" t="s">
        <v>266</v>
      </c>
      <c r="C479" s="2" t="s">
        <v>5045</v>
      </c>
      <c r="D479" s="2"/>
    </row>
    <row r="480" spans="1:4" x14ac:dyDescent="0.3">
      <c r="A480" s="2" t="s">
        <v>802</v>
      </c>
      <c r="B480" s="2" t="s">
        <v>266</v>
      </c>
      <c r="C480" s="2" t="s">
        <v>5045</v>
      </c>
      <c r="D480" s="2"/>
    </row>
    <row r="481" spans="1:4" x14ac:dyDescent="0.3">
      <c r="A481" s="2" t="s">
        <v>804</v>
      </c>
      <c r="B481" s="2" t="s">
        <v>266</v>
      </c>
      <c r="C481" s="2" t="s">
        <v>5045</v>
      </c>
      <c r="D481" s="2"/>
    </row>
    <row r="482" spans="1:4" x14ac:dyDescent="0.3">
      <c r="A482" s="2" t="s">
        <v>806</v>
      </c>
      <c r="B482" s="2" t="s">
        <v>266</v>
      </c>
      <c r="C482" s="2" t="s">
        <v>5045</v>
      </c>
      <c r="D482" s="2"/>
    </row>
    <row r="483" spans="1:4" x14ac:dyDescent="0.3">
      <c r="A483" s="2" t="s">
        <v>808</v>
      </c>
      <c r="B483" s="2" t="s">
        <v>266</v>
      </c>
      <c r="C483" s="2" t="s">
        <v>5045</v>
      </c>
      <c r="D483" s="2"/>
    </row>
    <row r="484" spans="1:4" x14ac:dyDescent="0.3">
      <c r="A484" s="2" t="s">
        <v>810</v>
      </c>
      <c r="B484" s="2" t="s">
        <v>266</v>
      </c>
      <c r="C484" s="2" t="s">
        <v>5045</v>
      </c>
      <c r="D484" s="2"/>
    </row>
    <row r="485" spans="1:4" x14ac:dyDescent="0.3">
      <c r="A485" s="2" t="s">
        <v>812</v>
      </c>
      <c r="B485" s="2" t="s">
        <v>266</v>
      </c>
      <c r="C485" s="2" t="s">
        <v>5045</v>
      </c>
      <c r="D485" s="2"/>
    </row>
    <row r="486" spans="1:4" x14ac:dyDescent="0.3">
      <c r="A486" s="2" t="s">
        <v>814</v>
      </c>
      <c r="B486" s="2" t="s">
        <v>266</v>
      </c>
      <c r="C486" s="2" t="s">
        <v>5045</v>
      </c>
      <c r="D486" s="2"/>
    </row>
    <row r="487" spans="1:4" x14ac:dyDescent="0.3">
      <c r="A487" s="2" t="s">
        <v>816</v>
      </c>
      <c r="B487" s="2" t="s">
        <v>266</v>
      </c>
      <c r="C487" s="2" t="s">
        <v>5045</v>
      </c>
      <c r="D487" s="2"/>
    </row>
    <row r="488" spans="1:4" x14ac:dyDescent="0.3">
      <c r="A488" s="2" t="s">
        <v>818</v>
      </c>
      <c r="B488" s="2" t="s">
        <v>266</v>
      </c>
      <c r="C488" s="2" t="s">
        <v>5045</v>
      </c>
      <c r="D488" s="2"/>
    </row>
    <row r="489" spans="1:4" x14ac:dyDescent="0.3">
      <c r="A489" s="2" t="s">
        <v>820</v>
      </c>
      <c r="B489" s="2" t="s">
        <v>266</v>
      </c>
      <c r="C489" s="2" t="s">
        <v>5045</v>
      </c>
      <c r="D489" s="2"/>
    </row>
    <row r="490" spans="1:4" x14ac:dyDescent="0.3">
      <c r="A490" s="2" t="s">
        <v>822</v>
      </c>
      <c r="B490" s="2" t="s">
        <v>266</v>
      </c>
      <c r="C490" s="2" t="s">
        <v>5045</v>
      </c>
      <c r="D490" s="2"/>
    </row>
    <row r="491" spans="1:4" x14ac:dyDescent="0.3">
      <c r="A491" s="2" t="s">
        <v>823</v>
      </c>
      <c r="B491" s="2" t="s">
        <v>266</v>
      </c>
      <c r="C491" s="2" t="s">
        <v>5045</v>
      </c>
      <c r="D491" s="2"/>
    </row>
    <row r="492" spans="1:4" x14ac:dyDescent="0.3">
      <c r="A492" s="2" t="s">
        <v>825</v>
      </c>
      <c r="B492" s="2" t="s">
        <v>266</v>
      </c>
      <c r="C492" s="2" t="s">
        <v>5045</v>
      </c>
      <c r="D492" s="2"/>
    </row>
    <row r="493" spans="1:4" x14ac:dyDescent="0.3">
      <c r="A493" s="2" t="s">
        <v>827</v>
      </c>
      <c r="B493" s="2" t="s">
        <v>266</v>
      </c>
      <c r="C493" s="2" t="s">
        <v>5045</v>
      </c>
      <c r="D493" s="2"/>
    </row>
    <row r="494" spans="1:4" x14ac:dyDescent="0.3">
      <c r="A494" s="2" t="s">
        <v>828</v>
      </c>
      <c r="B494" s="2" t="s">
        <v>266</v>
      </c>
      <c r="C494" s="2" t="s">
        <v>5045</v>
      </c>
      <c r="D494" s="2"/>
    </row>
    <row r="495" spans="1:4" x14ac:dyDescent="0.3">
      <c r="A495" s="2" t="s">
        <v>830</v>
      </c>
      <c r="B495" s="2" t="s">
        <v>266</v>
      </c>
      <c r="C495" s="2" t="s">
        <v>5045</v>
      </c>
      <c r="D495" s="2"/>
    </row>
    <row r="496" spans="1:4" x14ac:dyDescent="0.3">
      <c r="A496" s="2" t="s">
        <v>832</v>
      </c>
      <c r="B496" s="2" t="s">
        <v>266</v>
      </c>
      <c r="C496" s="2" t="s">
        <v>5045</v>
      </c>
      <c r="D496" s="2"/>
    </row>
    <row r="497" spans="1:4" x14ac:dyDescent="0.3">
      <c r="A497" s="2" t="s">
        <v>834</v>
      </c>
      <c r="B497" s="2" t="s">
        <v>266</v>
      </c>
      <c r="C497" s="2" t="s">
        <v>5045</v>
      </c>
      <c r="D497" s="2"/>
    </row>
    <row r="498" spans="1:4" x14ac:dyDescent="0.3">
      <c r="A498" s="2" t="s">
        <v>836</v>
      </c>
      <c r="B498" s="2" t="s">
        <v>266</v>
      </c>
      <c r="C498" s="2" t="s">
        <v>5045</v>
      </c>
      <c r="D498" s="2"/>
    </row>
    <row r="499" spans="1:4" x14ac:dyDescent="0.3">
      <c r="A499" s="2" t="s">
        <v>837</v>
      </c>
      <c r="B499" s="2" t="s">
        <v>266</v>
      </c>
      <c r="C499" s="2" t="s">
        <v>5045</v>
      </c>
      <c r="D499" s="2"/>
    </row>
    <row r="500" spans="1:4" x14ac:dyDescent="0.3">
      <c r="A500" s="2" t="s">
        <v>839</v>
      </c>
      <c r="B500" s="2" t="s">
        <v>266</v>
      </c>
      <c r="C500" s="2" t="s">
        <v>5045</v>
      </c>
      <c r="D500" s="2"/>
    </row>
    <row r="501" spans="1:4" x14ac:dyDescent="0.3">
      <c r="A501" s="2" t="s">
        <v>841</v>
      </c>
      <c r="B501" s="2" t="s">
        <v>266</v>
      </c>
      <c r="C501" s="2" t="s">
        <v>5045</v>
      </c>
      <c r="D501" s="2"/>
    </row>
    <row r="502" spans="1:4" x14ac:dyDescent="0.3">
      <c r="A502" s="2" t="s">
        <v>843</v>
      </c>
      <c r="B502" s="2" t="s">
        <v>266</v>
      </c>
      <c r="C502" s="2" t="s">
        <v>5045</v>
      </c>
      <c r="D502" s="2"/>
    </row>
    <row r="503" spans="1:4" x14ac:dyDescent="0.3">
      <c r="A503" s="2" t="s">
        <v>845</v>
      </c>
      <c r="B503" s="2" t="s">
        <v>266</v>
      </c>
      <c r="C503" s="2" t="s">
        <v>5045</v>
      </c>
      <c r="D503" s="2"/>
    </row>
    <row r="504" spans="1:4" x14ac:dyDescent="0.3">
      <c r="A504" s="2" t="s">
        <v>847</v>
      </c>
      <c r="B504" s="2" t="s">
        <v>266</v>
      </c>
      <c r="C504" s="2" t="s">
        <v>5045</v>
      </c>
      <c r="D504" s="2"/>
    </row>
    <row r="505" spans="1:4" x14ac:dyDescent="0.3">
      <c r="A505" s="2" t="s">
        <v>849</v>
      </c>
      <c r="B505" s="2" t="s">
        <v>266</v>
      </c>
      <c r="C505" s="2" t="s">
        <v>5045</v>
      </c>
      <c r="D505" s="2"/>
    </row>
    <row r="506" spans="1:4" x14ac:dyDescent="0.3">
      <c r="A506" s="2" t="s">
        <v>851</v>
      </c>
      <c r="B506" s="2" t="s">
        <v>266</v>
      </c>
      <c r="C506" s="2" t="s">
        <v>5045</v>
      </c>
      <c r="D506" s="2"/>
    </row>
    <row r="507" spans="1:4" x14ac:dyDescent="0.3">
      <c r="A507" s="2" t="s">
        <v>853</v>
      </c>
      <c r="B507" s="2" t="s">
        <v>266</v>
      </c>
      <c r="C507" s="2" t="s">
        <v>5045</v>
      </c>
      <c r="D507" s="2"/>
    </row>
    <row r="508" spans="1:4" x14ac:dyDescent="0.3">
      <c r="A508" s="2" t="s">
        <v>854</v>
      </c>
      <c r="B508" s="2" t="s">
        <v>266</v>
      </c>
      <c r="C508" s="2" t="s">
        <v>5045</v>
      </c>
      <c r="D508" s="2"/>
    </row>
    <row r="509" spans="1:4" x14ac:dyDescent="0.3">
      <c r="A509" s="2" t="s">
        <v>855</v>
      </c>
      <c r="B509" s="2" t="s">
        <v>266</v>
      </c>
      <c r="C509" s="2" t="s">
        <v>5045</v>
      </c>
      <c r="D509" s="2"/>
    </row>
    <row r="510" spans="1:4" x14ac:dyDescent="0.3">
      <c r="A510" s="2" t="s">
        <v>856</v>
      </c>
      <c r="B510" s="2" t="s">
        <v>266</v>
      </c>
      <c r="C510" s="2" t="s">
        <v>5045</v>
      </c>
      <c r="D510" s="2"/>
    </row>
    <row r="511" spans="1:4" x14ac:dyDescent="0.3">
      <c r="A511" s="2" t="s">
        <v>857</v>
      </c>
      <c r="B511" s="2" t="s">
        <v>266</v>
      </c>
      <c r="C511" s="2" t="s">
        <v>5045</v>
      </c>
      <c r="D511" s="2"/>
    </row>
    <row r="512" spans="1:4" x14ac:dyDescent="0.3">
      <c r="A512" s="2" t="s">
        <v>859</v>
      </c>
      <c r="B512" s="2" t="s">
        <v>266</v>
      </c>
      <c r="C512" s="2" t="s">
        <v>5045</v>
      </c>
      <c r="D512" s="2"/>
    </row>
    <row r="513" spans="1:4" x14ac:dyDescent="0.3">
      <c r="A513" s="2" t="s">
        <v>861</v>
      </c>
      <c r="B513" s="2" t="s">
        <v>266</v>
      </c>
      <c r="C513" s="2" t="s">
        <v>5045</v>
      </c>
      <c r="D513" s="2"/>
    </row>
    <row r="514" spans="1:4" x14ac:dyDescent="0.3">
      <c r="A514" s="2" t="s">
        <v>863</v>
      </c>
      <c r="B514" s="2" t="s">
        <v>266</v>
      </c>
      <c r="C514" s="2" t="s">
        <v>5045</v>
      </c>
      <c r="D514" s="2"/>
    </row>
    <row r="515" spans="1:4" x14ac:dyDescent="0.3">
      <c r="A515" s="2" t="s">
        <v>865</v>
      </c>
      <c r="B515" s="2" t="s">
        <v>266</v>
      </c>
      <c r="C515" s="2" t="s">
        <v>5045</v>
      </c>
      <c r="D515" s="2"/>
    </row>
    <row r="516" spans="1:4" x14ac:dyDescent="0.3">
      <c r="A516" s="2" t="s">
        <v>867</v>
      </c>
      <c r="B516" s="2" t="s">
        <v>266</v>
      </c>
      <c r="C516" s="2" t="s">
        <v>5045</v>
      </c>
      <c r="D516" s="2"/>
    </row>
    <row r="517" spans="1:4" x14ac:dyDescent="0.3">
      <c r="A517" s="2" t="s">
        <v>869</v>
      </c>
      <c r="B517" s="2" t="s">
        <v>266</v>
      </c>
      <c r="C517" s="2" t="s">
        <v>5045</v>
      </c>
      <c r="D517" s="2"/>
    </row>
    <row r="518" spans="1:4" x14ac:dyDescent="0.3">
      <c r="A518" s="2" t="s">
        <v>871</v>
      </c>
      <c r="B518" s="2" t="s">
        <v>266</v>
      </c>
      <c r="C518" s="2" t="s">
        <v>5045</v>
      </c>
      <c r="D518" s="2"/>
    </row>
    <row r="519" spans="1:4" x14ac:dyDescent="0.3">
      <c r="A519" s="2" t="s">
        <v>873</v>
      </c>
      <c r="B519" s="2" t="s">
        <v>266</v>
      </c>
      <c r="C519" s="2" t="s">
        <v>5045</v>
      </c>
      <c r="D519" s="2"/>
    </row>
    <row r="520" spans="1:4" x14ac:dyDescent="0.3">
      <c r="A520" s="2" t="s">
        <v>875</v>
      </c>
      <c r="B520" s="2" t="s">
        <v>266</v>
      </c>
      <c r="C520" s="2" t="s">
        <v>5045</v>
      </c>
      <c r="D520" s="2"/>
    </row>
    <row r="521" spans="1:4" x14ac:dyDescent="0.3">
      <c r="A521" s="2" t="s">
        <v>877</v>
      </c>
      <c r="B521" s="2" t="s">
        <v>266</v>
      </c>
      <c r="C521" s="2" t="s">
        <v>5045</v>
      </c>
      <c r="D521" s="2"/>
    </row>
    <row r="522" spans="1:4" x14ac:dyDescent="0.3">
      <c r="A522" s="2" t="s">
        <v>879</v>
      </c>
      <c r="B522" s="2" t="s">
        <v>266</v>
      </c>
      <c r="C522" s="2" t="s">
        <v>5045</v>
      </c>
      <c r="D522" s="2"/>
    </row>
    <row r="523" spans="1:4" x14ac:dyDescent="0.3">
      <c r="A523" s="2" t="s">
        <v>881</v>
      </c>
      <c r="B523" s="2" t="s">
        <v>266</v>
      </c>
      <c r="C523" s="2" t="s">
        <v>5045</v>
      </c>
      <c r="D523" s="2"/>
    </row>
    <row r="524" spans="1:4" x14ac:dyDescent="0.3">
      <c r="A524" s="2" t="s">
        <v>883</v>
      </c>
      <c r="B524" s="2" t="s">
        <v>266</v>
      </c>
      <c r="C524" s="2" t="s">
        <v>5045</v>
      </c>
      <c r="D524" s="2"/>
    </row>
    <row r="525" spans="1:4" x14ac:dyDescent="0.3">
      <c r="A525" s="2" t="s">
        <v>885</v>
      </c>
      <c r="B525" s="2" t="s">
        <v>266</v>
      </c>
      <c r="C525" s="2" t="s">
        <v>5045</v>
      </c>
      <c r="D525" s="2"/>
    </row>
    <row r="526" spans="1:4" x14ac:dyDescent="0.3">
      <c r="A526" s="2" t="s">
        <v>887</v>
      </c>
      <c r="B526" s="2" t="s">
        <v>266</v>
      </c>
      <c r="C526" s="2" t="s">
        <v>5045</v>
      </c>
      <c r="D526" s="2"/>
    </row>
    <row r="527" spans="1:4" x14ac:dyDescent="0.3">
      <c r="A527" s="2" t="s">
        <v>889</v>
      </c>
      <c r="B527" s="2" t="s">
        <v>266</v>
      </c>
      <c r="C527" s="2" t="s">
        <v>5045</v>
      </c>
      <c r="D527" s="2"/>
    </row>
    <row r="528" spans="1:4" x14ac:dyDescent="0.3">
      <c r="A528" s="2" t="s">
        <v>891</v>
      </c>
      <c r="B528" s="2" t="s">
        <v>266</v>
      </c>
      <c r="C528" s="2" t="s">
        <v>5045</v>
      </c>
      <c r="D528" s="2"/>
    </row>
    <row r="529" spans="1:4" x14ac:dyDescent="0.3">
      <c r="A529" s="2" t="s">
        <v>893</v>
      </c>
      <c r="B529" s="2" t="s">
        <v>266</v>
      </c>
      <c r="C529" s="2" t="s">
        <v>5045</v>
      </c>
      <c r="D529" s="2"/>
    </row>
    <row r="530" spans="1:4" x14ac:dyDescent="0.3">
      <c r="A530" s="2" t="s">
        <v>894</v>
      </c>
      <c r="B530" s="2" t="s">
        <v>266</v>
      </c>
      <c r="C530" s="2" t="s">
        <v>5045</v>
      </c>
      <c r="D530" s="2"/>
    </row>
    <row r="531" spans="1:4" x14ac:dyDescent="0.3">
      <c r="A531" s="2" t="s">
        <v>896</v>
      </c>
      <c r="B531" s="2" t="s">
        <v>266</v>
      </c>
      <c r="C531" s="2" t="s">
        <v>5045</v>
      </c>
      <c r="D531" s="2"/>
    </row>
    <row r="532" spans="1:4" x14ac:dyDescent="0.3">
      <c r="A532" s="2" t="s">
        <v>898</v>
      </c>
      <c r="B532" s="2" t="s">
        <v>266</v>
      </c>
      <c r="C532" s="2" t="s">
        <v>5045</v>
      </c>
      <c r="D532" s="2"/>
    </row>
    <row r="533" spans="1:4" x14ac:dyDescent="0.3">
      <c r="A533" s="2" t="s">
        <v>899</v>
      </c>
      <c r="B533" s="2" t="s">
        <v>266</v>
      </c>
      <c r="C533" s="2" t="s">
        <v>5045</v>
      </c>
      <c r="D533" s="2"/>
    </row>
    <row r="534" spans="1:4" x14ac:dyDescent="0.3">
      <c r="A534" s="2" t="s">
        <v>901</v>
      </c>
      <c r="B534" s="2" t="s">
        <v>266</v>
      </c>
      <c r="C534" s="2" t="s">
        <v>5045</v>
      </c>
      <c r="D534" s="2"/>
    </row>
    <row r="535" spans="1:4" x14ac:dyDescent="0.3">
      <c r="A535" s="2" t="s">
        <v>902</v>
      </c>
      <c r="B535" s="2" t="s">
        <v>266</v>
      </c>
      <c r="C535" s="2" t="s">
        <v>5045</v>
      </c>
      <c r="D535" s="2"/>
    </row>
    <row r="536" spans="1:4" x14ac:dyDescent="0.3">
      <c r="A536" s="2" t="s">
        <v>904</v>
      </c>
      <c r="B536" s="2" t="s">
        <v>266</v>
      </c>
      <c r="C536" s="2" t="s">
        <v>5045</v>
      </c>
      <c r="D536" s="2"/>
    </row>
    <row r="537" spans="1:4" x14ac:dyDescent="0.3">
      <c r="A537" s="2" t="s">
        <v>906</v>
      </c>
      <c r="B537" s="2" t="s">
        <v>266</v>
      </c>
      <c r="C537" s="2" t="s">
        <v>5045</v>
      </c>
      <c r="D537" s="2"/>
    </row>
    <row r="538" spans="1:4" x14ac:dyDescent="0.3">
      <c r="A538" s="2" t="s">
        <v>908</v>
      </c>
      <c r="B538" s="2" t="s">
        <v>266</v>
      </c>
      <c r="C538" s="2" t="s">
        <v>5045</v>
      </c>
      <c r="D538" s="2"/>
    </row>
    <row r="539" spans="1:4" x14ac:dyDescent="0.3">
      <c r="A539" s="2" t="s">
        <v>910</v>
      </c>
      <c r="B539" s="2" t="s">
        <v>266</v>
      </c>
      <c r="C539" s="2" t="s">
        <v>5045</v>
      </c>
      <c r="D539" s="2"/>
    </row>
    <row r="540" spans="1:4" x14ac:dyDescent="0.3">
      <c r="A540" s="2" t="s">
        <v>912</v>
      </c>
      <c r="B540" s="2" t="s">
        <v>266</v>
      </c>
      <c r="C540" s="2" t="s">
        <v>5045</v>
      </c>
      <c r="D540" s="2"/>
    </row>
    <row r="541" spans="1:4" x14ac:dyDescent="0.3">
      <c r="A541" s="2" t="s">
        <v>914</v>
      </c>
      <c r="B541" s="2" t="s">
        <v>266</v>
      </c>
      <c r="C541" s="2" t="s">
        <v>5045</v>
      </c>
      <c r="D541" s="2"/>
    </row>
    <row r="542" spans="1:4" x14ac:dyDescent="0.3">
      <c r="A542" s="2" t="s">
        <v>916</v>
      </c>
      <c r="B542" s="2" t="s">
        <v>266</v>
      </c>
      <c r="C542" s="2" t="s">
        <v>5045</v>
      </c>
      <c r="D542" s="2"/>
    </row>
    <row r="543" spans="1:4" x14ac:dyDescent="0.3">
      <c r="A543" s="2" t="s">
        <v>918</v>
      </c>
      <c r="B543" s="2" t="s">
        <v>266</v>
      </c>
      <c r="C543" s="2" t="s">
        <v>5045</v>
      </c>
      <c r="D543" s="2"/>
    </row>
    <row r="544" spans="1:4" x14ac:dyDescent="0.3">
      <c r="A544" s="2" t="s">
        <v>920</v>
      </c>
      <c r="B544" s="2" t="s">
        <v>266</v>
      </c>
      <c r="C544" s="2" t="s">
        <v>5045</v>
      </c>
      <c r="D544" s="2"/>
    </row>
    <row r="545" spans="1:4" x14ac:dyDescent="0.3">
      <c r="A545" s="2" t="s">
        <v>922</v>
      </c>
      <c r="B545" s="2" t="s">
        <v>266</v>
      </c>
      <c r="C545" s="2" t="s">
        <v>5045</v>
      </c>
      <c r="D545" s="2"/>
    </row>
    <row r="546" spans="1:4" x14ac:dyDescent="0.3">
      <c r="A546" s="2" t="s">
        <v>924</v>
      </c>
      <c r="B546" s="2" t="s">
        <v>266</v>
      </c>
      <c r="C546" s="2" t="s">
        <v>5045</v>
      </c>
      <c r="D546" s="2"/>
    </row>
    <row r="547" spans="1:4" x14ac:dyDescent="0.3">
      <c r="A547" s="2" t="s">
        <v>926</v>
      </c>
      <c r="B547" s="2" t="s">
        <v>266</v>
      </c>
      <c r="C547" s="2" t="s">
        <v>5045</v>
      </c>
      <c r="D547" s="2"/>
    </row>
    <row r="548" spans="1:4" x14ac:dyDescent="0.3">
      <c r="A548" s="2" t="s">
        <v>928</v>
      </c>
      <c r="B548" s="2" t="s">
        <v>266</v>
      </c>
      <c r="C548" s="2" t="s">
        <v>5045</v>
      </c>
      <c r="D548" s="2"/>
    </row>
    <row r="549" spans="1:4" x14ac:dyDescent="0.3">
      <c r="A549" s="2" t="s">
        <v>930</v>
      </c>
      <c r="B549" s="2" t="s">
        <v>266</v>
      </c>
      <c r="C549" s="2" t="s">
        <v>5045</v>
      </c>
      <c r="D549" s="2"/>
    </row>
    <row r="550" spans="1:4" x14ac:dyDescent="0.3">
      <c r="A550" s="2" t="s">
        <v>931</v>
      </c>
      <c r="B550" s="2" t="s">
        <v>266</v>
      </c>
      <c r="C550" s="2" t="s">
        <v>5045</v>
      </c>
      <c r="D550" s="2"/>
    </row>
    <row r="551" spans="1:4" x14ac:dyDescent="0.3">
      <c r="A551" s="2" t="s">
        <v>933</v>
      </c>
      <c r="B551" s="2" t="s">
        <v>266</v>
      </c>
      <c r="C551" s="2" t="s">
        <v>5045</v>
      </c>
      <c r="D551" s="2"/>
    </row>
    <row r="552" spans="1:4" x14ac:dyDescent="0.3">
      <c r="A552" s="2" t="s">
        <v>935</v>
      </c>
      <c r="B552" s="2" t="s">
        <v>266</v>
      </c>
      <c r="C552" s="2" t="s">
        <v>5045</v>
      </c>
      <c r="D552" s="2"/>
    </row>
    <row r="553" spans="1:4" x14ac:dyDescent="0.3">
      <c r="A553" s="2" t="s">
        <v>937</v>
      </c>
      <c r="B553" s="2" t="s">
        <v>266</v>
      </c>
      <c r="C553" s="2" t="s">
        <v>5045</v>
      </c>
      <c r="D553" s="2"/>
    </row>
    <row r="554" spans="1:4" x14ac:dyDescent="0.3">
      <c r="A554" s="2" t="s">
        <v>939</v>
      </c>
      <c r="B554" s="2" t="s">
        <v>266</v>
      </c>
      <c r="C554" s="2" t="s">
        <v>5045</v>
      </c>
      <c r="D554" s="2"/>
    </row>
    <row r="555" spans="1:4" x14ac:dyDescent="0.3">
      <c r="A555" s="2" t="s">
        <v>941</v>
      </c>
      <c r="B555" s="2" t="s">
        <v>266</v>
      </c>
      <c r="C555" s="2" t="s">
        <v>5045</v>
      </c>
      <c r="D555" s="2"/>
    </row>
    <row r="556" spans="1:4" x14ac:dyDescent="0.3">
      <c r="A556" s="2" t="s">
        <v>943</v>
      </c>
      <c r="B556" s="2" t="s">
        <v>266</v>
      </c>
      <c r="C556" s="2" t="s">
        <v>5045</v>
      </c>
      <c r="D556" s="2"/>
    </row>
    <row r="557" spans="1:4" x14ac:dyDescent="0.3">
      <c r="A557" s="2" t="s">
        <v>945</v>
      </c>
      <c r="B557" s="2" t="s">
        <v>266</v>
      </c>
      <c r="C557" s="2" t="s">
        <v>5045</v>
      </c>
      <c r="D557" s="2"/>
    </row>
    <row r="558" spans="1:4" x14ac:dyDescent="0.3">
      <c r="A558" s="2" t="s">
        <v>947</v>
      </c>
      <c r="B558" s="2" t="s">
        <v>266</v>
      </c>
      <c r="C558" s="2" t="s">
        <v>5045</v>
      </c>
      <c r="D558" s="2"/>
    </row>
    <row r="559" spans="1:4" x14ac:dyDescent="0.3">
      <c r="A559" s="2" t="s">
        <v>949</v>
      </c>
      <c r="B559" s="2" t="s">
        <v>266</v>
      </c>
      <c r="C559" s="2" t="s">
        <v>5045</v>
      </c>
      <c r="D559" s="2"/>
    </row>
    <row r="560" spans="1:4" x14ac:dyDescent="0.3">
      <c r="A560" s="2" t="s">
        <v>951</v>
      </c>
      <c r="B560" s="2" t="s">
        <v>266</v>
      </c>
      <c r="C560" s="2" t="s">
        <v>5045</v>
      </c>
      <c r="D560" s="2"/>
    </row>
    <row r="561" spans="1:4" x14ac:dyDescent="0.3">
      <c r="A561" s="2" t="s">
        <v>952</v>
      </c>
      <c r="B561" s="2" t="s">
        <v>266</v>
      </c>
      <c r="C561" s="2" t="s">
        <v>5045</v>
      </c>
      <c r="D561" s="2"/>
    </row>
    <row r="562" spans="1:4" x14ac:dyDescent="0.3">
      <c r="A562" s="2" t="s">
        <v>953</v>
      </c>
      <c r="B562" s="2" t="s">
        <v>266</v>
      </c>
      <c r="C562" s="2" t="s">
        <v>5045</v>
      </c>
      <c r="D562" s="2"/>
    </row>
    <row r="563" spans="1:4" x14ac:dyDescent="0.3">
      <c r="A563" s="2" t="s">
        <v>955</v>
      </c>
      <c r="B563" s="2" t="s">
        <v>266</v>
      </c>
      <c r="C563" s="2" t="s">
        <v>5045</v>
      </c>
      <c r="D563" s="2"/>
    </row>
    <row r="564" spans="1:4" x14ac:dyDescent="0.3">
      <c r="A564" s="2" t="s">
        <v>957</v>
      </c>
      <c r="B564" s="2" t="s">
        <v>266</v>
      </c>
      <c r="C564" s="2" t="s">
        <v>5045</v>
      </c>
      <c r="D564" s="2"/>
    </row>
    <row r="565" spans="1:4" x14ac:dyDescent="0.3">
      <c r="A565" s="2" t="s">
        <v>959</v>
      </c>
      <c r="B565" s="2" t="s">
        <v>266</v>
      </c>
      <c r="C565" s="2" t="s">
        <v>5045</v>
      </c>
      <c r="D565" s="2"/>
    </row>
    <row r="566" spans="1:4" x14ac:dyDescent="0.3">
      <c r="A566" s="2" t="s">
        <v>961</v>
      </c>
      <c r="B566" s="2" t="s">
        <v>266</v>
      </c>
      <c r="C566" s="2" t="s">
        <v>5045</v>
      </c>
      <c r="D566" s="2"/>
    </row>
    <row r="567" spans="1:4" x14ac:dyDescent="0.3">
      <c r="A567" s="2" t="s">
        <v>963</v>
      </c>
      <c r="B567" s="2" t="s">
        <v>266</v>
      </c>
      <c r="C567" s="2" t="s">
        <v>5045</v>
      </c>
      <c r="D567" s="2"/>
    </row>
    <row r="568" spans="1:4" x14ac:dyDescent="0.3">
      <c r="A568" s="2" t="s">
        <v>965</v>
      </c>
      <c r="B568" s="2" t="s">
        <v>266</v>
      </c>
      <c r="C568" s="2" t="s">
        <v>5045</v>
      </c>
      <c r="D568" s="2"/>
    </row>
    <row r="569" spans="1:4" x14ac:dyDescent="0.3">
      <c r="A569" s="2" t="s">
        <v>967</v>
      </c>
      <c r="B569" s="2" t="s">
        <v>266</v>
      </c>
      <c r="C569" s="2" t="s">
        <v>5045</v>
      </c>
      <c r="D569" s="2"/>
    </row>
    <row r="570" spans="1:4" x14ac:dyDescent="0.3">
      <c r="A570" s="2" t="s">
        <v>969</v>
      </c>
      <c r="B570" s="2" t="s">
        <v>266</v>
      </c>
      <c r="C570" s="2" t="s">
        <v>5045</v>
      </c>
    </row>
    <row r="571" spans="1:4" x14ac:dyDescent="0.3">
      <c r="A571" s="2" t="s">
        <v>971</v>
      </c>
      <c r="B571" s="2" t="s">
        <v>266</v>
      </c>
      <c r="C571" s="2" t="s">
        <v>5045</v>
      </c>
    </row>
    <row r="572" spans="1:4" x14ac:dyDescent="0.3">
      <c r="A572" s="2" t="s">
        <v>973</v>
      </c>
      <c r="B572" s="2" t="s">
        <v>266</v>
      </c>
      <c r="C572" s="2" t="s">
        <v>5045</v>
      </c>
    </row>
    <row r="573" spans="1:4" x14ac:dyDescent="0.3">
      <c r="A573" s="2" t="s">
        <v>975</v>
      </c>
      <c r="B573" s="2" t="s">
        <v>266</v>
      </c>
      <c r="C573" s="2" t="s">
        <v>5045</v>
      </c>
    </row>
    <row r="574" spans="1:4" x14ac:dyDescent="0.3">
      <c r="A574" s="2" t="s">
        <v>977</v>
      </c>
      <c r="B574" s="2" t="s">
        <v>266</v>
      </c>
      <c r="C574" s="2" t="s">
        <v>5045</v>
      </c>
    </row>
    <row r="575" spans="1:4" x14ac:dyDescent="0.3">
      <c r="A575" s="2" t="s">
        <v>979</v>
      </c>
      <c r="B575" s="2" t="s">
        <v>266</v>
      </c>
      <c r="C575" s="2" t="s">
        <v>5045</v>
      </c>
    </row>
    <row r="576" spans="1:4" x14ac:dyDescent="0.3">
      <c r="A576" s="2" t="s">
        <v>980</v>
      </c>
      <c r="B576" s="2" t="s">
        <v>266</v>
      </c>
      <c r="C576" s="2" t="s">
        <v>5045</v>
      </c>
    </row>
    <row r="577" spans="1:3" x14ac:dyDescent="0.3">
      <c r="A577" s="2" t="s">
        <v>982</v>
      </c>
      <c r="B577" s="2" t="s">
        <v>266</v>
      </c>
      <c r="C577" s="2" t="s">
        <v>5045</v>
      </c>
    </row>
    <row r="578" spans="1:3" x14ac:dyDescent="0.3">
      <c r="A578" s="2" t="s">
        <v>984</v>
      </c>
      <c r="B578" s="2" t="s">
        <v>266</v>
      </c>
      <c r="C578" s="2" t="s">
        <v>5045</v>
      </c>
    </row>
    <row r="579" spans="1:3" x14ac:dyDescent="0.3">
      <c r="A579" s="2" t="s">
        <v>985</v>
      </c>
      <c r="B579" s="2" t="s">
        <v>266</v>
      </c>
      <c r="C579" s="2" t="s">
        <v>5045</v>
      </c>
    </row>
    <row r="580" spans="1:3" x14ac:dyDescent="0.3">
      <c r="A580" s="2" t="s">
        <v>986</v>
      </c>
      <c r="B580" s="2" t="s">
        <v>266</v>
      </c>
      <c r="C580" s="2" t="s">
        <v>5045</v>
      </c>
    </row>
    <row r="581" spans="1:3" x14ac:dyDescent="0.3">
      <c r="A581" s="2" t="s">
        <v>988</v>
      </c>
      <c r="B581" s="2" t="s">
        <v>266</v>
      </c>
      <c r="C581" s="2" t="s">
        <v>5045</v>
      </c>
    </row>
    <row r="582" spans="1:3" x14ac:dyDescent="0.3">
      <c r="A582" s="2" t="s">
        <v>989</v>
      </c>
      <c r="B582" s="2" t="s">
        <v>266</v>
      </c>
      <c r="C582" s="2" t="s">
        <v>5045</v>
      </c>
    </row>
    <row r="583" spans="1:3" x14ac:dyDescent="0.3">
      <c r="A583" s="2" t="s">
        <v>991</v>
      </c>
      <c r="B583" s="2" t="s">
        <v>266</v>
      </c>
      <c r="C583" s="2" t="s">
        <v>5045</v>
      </c>
    </row>
    <row r="584" spans="1:3" x14ac:dyDescent="0.3">
      <c r="A584" s="2" t="s">
        <v>993</v>
      </c>
      <c r="B584" s="2" t="s">
        <v>266</v>
      </c>
      <c r="C584" s="2" t="s">
        <v>5045</v>
      </c>
    </row>
    <row r="585" spans="1:3" x14ac:dyDescent="0.3">
      <c r="A585" s="2" t="s">
        <v>995</v>
      </c>
      <c r="B585" s="2" t="s">
        <v>266</v>
      </c>
      <c r="C585" s="2" t="s">
        <v>5045</v>
      </c>
    </row>
    <row r="586" spans="1:3" x14ac:dyDescent="0.3">
      <c r="A586" s="2" t="s">
        <v>997</v>
      </c>
      <c r="B586" s="2" t="s">
        <v>266</v>
      </c>
      <c r="C586" s="2" t="s">
        <v>5045</v>
      </c>
    </row>
    <row r="587" spans="1:3" x14ac:dyDescent="0.3">
      <c r="A587" s="2" t="s">
        <v>999</v>
      </c>
      <c r="B587" s="2" t="s">
        <v>266</v>
      </c>
      <c r="C587" s="2" t="s">
        <v>5045</v>
      </c>
    </row>
    <row r="588" spans="1:3" x14ac:dyDescent="0.3">
      <c r="A588" s="2" t="s">
        <v>1001</v>
      </c>
      <c r="B588" s="2" t="s">
        <v>266</v>
      </c>
      <c r="C588" s="2" t="s">
        <v>5045</v>
      </c>
    </row>
    <row r="589" spans="1:3" x14ac:dyDescent="0.3">
      <c r="A589" s="2" t="s">
        <v>1002</v>
      </c>
      <c r="B589" s="2" t="s">
        <v>266</v>
      </c>
      <c r="C589" s="2" t="s">
        <v>5045</v>
      </c>
    </row>
    <row r="590" spans="1:3" x14ac:dyDescent="0.3">
      <c r="A590" s="2" t="s">
        <v>1003</v>
      </c>
      <c r="B590" s="2" t="s">
        <v>266</v>
      </c>
      <c r="C590" s="2" t="s">
        <v>5045</v>
      </c>
    </row>
    <row r="591" spans="1:3" x14ac:dyDescent="0.3">
      <c r="A591" s="2" t="s">
        <v>1005</v>
      </c>
      <c r="B591" s="2" t="s">
        <v>266</v>
      </c>
      <c r="C591" s="2" t="s">
        <v>5045</v>
      </c>
    </row>
    <row r="592" spans="1:3" x14ac:dyDescent="0.3">
      <c r="A592" s="2" t="s">
        <v>1007</v>
      </c>
      <c r="B592" s="2" t="s">
        <v>266</v>
      </c>
      <c r="C592" s="2" t="s">
        <v>5045</v>
      </c>
    </row>
    <row r="593" spans="1:3" x14ac:dyDescent="0.3">
      <c r="A593" s="2" t="s">
        <v>1009</v>
      </c>
      <c r="B593" s="2" t="s">
        <v>266</v>
      </c>
      <c r="C593" s="2" t="s">
        <v>5045</v>
      </c>
    </row>
    <row r="594" spans="1:3" x14ac:dyDescent="0.3">
      <c r="A594" s="2" t="s">
        <v>1011</v>
      </c>
      <c r="B594" s="2" t="s">
        <v>266</v>
      </c>
      <c r="C594" s="2" t="s">
        <v>5045</v>
      </c>
    </row>
    <row r="595" spans="1:3" x14ac:dyDescent="0.3">
      <c r="A595" s="2" t="s">
        <v>1013</v>
      </c>
      <c r="B595" s="2" t="s">
        <v>266</v>
      </c>
      <c r="C595" s="2" t="s">
        <v>5045</v>
      </c>
    </row>
    <row r="596" spans="1:3" x14ac:dyDescent="0.3">
      <c r="A596" s="2" t="s">
        <v>1015</v>
      </c>
      <c r="B596" s="2" t="s">
        <v>266</v>
      </c>
      <c r="C596" s="2" t="s">
        <v>5045</v>
      </c>
    </row>
    <row r="597" spans="1:3" x14ac:dyDescent="0.3">
      <c r="A597" s="2" t="s">
        <v>1017</v>
      </c>
      <c r="B597" s="2" t="s">
        <v>266</v>
      </c>
      <c r="C597" s="2" t="s">
        <v>5045</v>
      </c>
    </row>
    <row r="598" spans="1:3" x14ac:dyDescent="0.3">
      <c r="A598" s="2" t="s">
        <v>1019</v>
      </c>
      <c r="B598" s="2" t="s">
        <v>266</v>
      </c>
      <c r="C598" s="2" t="s">
        <v>5045</v>
      </c>
    </row>
    <row r="599" spans="1:3" x14ac:dyDescent="0.3">
      <c r="A599" s="2" t="s">
        <v>1021</v>
      </c>
      <c r="B599" s="2" t="s">
        <v>266</v>
      </c>
      <c r="C599" s="2" t="s">
        <v>5045</v>
      </c>
    </row>
    <row r="600" spans="1:3" x14ac:dyDescent="0.3">
      <c r="A600" s="2" t="s">
        <v>1023</v>
      </c>
      <c r="B600" s="2" t="s">
        <v>266</v>
      </c>
      <c r="C600" s="2" t="s">
        <v>5045</v>
      </c>
    </row>
    <row r="601" spans="1:3" x14ac:dyDescent="0.3">
      <c r="A601" s="2" t="s">
        <v>1025</v>
      </c>
      <c r="B601" s="2" t="s">
        <v>266</v>
      </c>
      <c r="C601" s="2" t="s">
        <v>5045</v>
      </c>
    </row>
    <row r="602" spans="1:3" x14ac:dyDescent="0.3">
      <c r="A602" s="2" t="s">
        <v>1027</v>
      </c>
      <c r="B602" s="2" t="s">
        <v>266</v>
      </c>
      <c r="C602" s="2" t="s">
        <v>5045</v>
      </c>
    </row>
    <row r="603" spans="1:3" x14ac:dyDescent="0.3">
      <c r="A603" s="2" t="s">
        <v>1029</v>
      </c>
      <c r="B603" s="2" t="s">
        <v>266</v>
      </c>
      <c r="C603" s="2" t="s">
        <v>5045</v>
      </c>
    </row>
    <row r="604" spans="1:3" x14ac:dyDescent="0.3">
      <c r="A604" s="2" t="s">
        <v>1031</v>
      </c>
      <c r="B604" s="2" t="s">
        <v>266</v>
      </c>
      <c r="C604" s="2" t="s">
        <v>5045</v>
      </c>
    </row>
    <row r="605" spans="1:3" x14ac:dyDescent="0.3">
      <c r="A605" s="2" t="s">
        <v>1033</v>
      </c>
      <c r="B605" s="2" t="s">
        <v>266</v>
      </c>
      <c r="C605" s="2" t="s">
        <v>5045</v>
      </c>
    </row>
    <row r="606" spans="1:3" x14ac:dyDescent="0.3">
      <c r="A606" s="2" t="s">
        <v>1035</v>
      </c>
      <c r="B606" s="2" t="s">
        <v>266</v>
      </c>
      <c r="C606" s="2" t="s">
        <v>5045</v>
      </c>
    </row>
    <row r="607" spans="1:3" x14ac:dyDescent="0.3">
      <c r="A607" s="2" t="s">
        <v>1037</v>
      </c>
      <c r="B607" s="2" t="s">
        <v>266</v>
      </c>
      <c r="C607" s="2" t="s">
        <v>5045</v>
      </c>
    </row>
    <row r="608" spans="1:3" x14ac:dyDescent="0.3">
      <c r="A608" s="2" t="s">
        <v>1038</v>
      </c>
      <c r="B608" s="2" t="s">
        <v>266</v>
      </c>
      <c r="C608" s="2" t="s">
        <v>5045</v>
      </c>
    </row>
    <row r="609" spans="1:3" x14ac:dyDescent="0.3">
      <c r="A609" s="2" t="s">
        <v>1040</v>
      </c>
      <c r="B609" s="2" t="s">
        <v>266</v>
      </c>
      <c r="C609" s="2" t="s">
        <v>5045</v>
      </c>
    </row>
    <row r="610" spans="1:3" x14ac:dyDescent="0.3">
      <c r="A610" s="2" t="s">
        <v>1041</v>
      </c>
      <c r="B610" s="2" t="s">
        <v>266</v>
      </c>
      <c r="C610" s="2" t="s">
        <v>5045</v>
      </c>
    </row>
    <row r="611" spans="1:3" x14ac:dyDescent="0.3">
      <c r="A611" s="2" t="s">
        <v>1043</v>
      </c>
      <c r="B611" s="2" t="s">
        <v>266</v>
      </c>
      <c r="C611" s="2" t="s">
        <v>5045</v>
      </c>
    </row>
    <row r="612" spans="1:3" x14ac:dyDescent="0.3">
      <c r="A612" s="2" t="s">
        <v>1045</v>
      </c>
      <c r="B612" s="2" t="s">
        <v>266</v>
      </c>
      <c r="C612" s="2" t="s">
        <v>5045</v>
      </c>
    </row>
    <row r="613" spans="1:3" x14ac:dyDescent="0.3">
      <c r="A613" s="2" t="s">
        <v>1047</v>
      </c>
      <c r="B613" s="2" t="s">
        <v>266</v>
      </c>
      <c r="C613" s="2" t="s">
        <v>5045</v>
      </c>
    </row>
    <row r="614" spans="1:3" x14ac:dyDescent="0.3">
      <c r="A614" s="2" t="s">
        <v>1049</v>
      </c>
      <c r="B614" s="2" t="s">
        <v>266</v>
      </c>
      <c r="C614" s="2" t="s">
        <v>5045</v>
      </c>
    </row>
    <row r="615" spans="1:3" x14ac:dyDescent="0.3">
      <c r="A615" s="2" t="s">
        <v>1051</v>
      </c>
      <c r="B615" s="2" t="s">
        <v>266</v>
      </c>
      <c r="C615" s="2" t="s">
        <v>5045</v>
      </c>
    </row>
    <row r="616" spans="1:3" x14ac:dyDescent="0.3">
      <c r="A616" s="2" t="s">
        <v>1053</v>
      </c>
      <c r="B616" s="2" t="s">
        <v>266</v>
      </c>
      <c r="C616" s="2" t="s">
        <v>5045</v>
      </c>
    </row>
    <row r="617" spans="1:3" x14ac:dyDescent="0.3">
      <c r="A617" s="2" t="s">
        <v>1055</v>
      </c>
      <c r="B617" s="2" t="s">
        <v>266</v>
      </c>
      <c r="C617" s="2" t="s">
        <v>5045</v>
      </c>
    </row>
    <row r="618" spans="1:3" x14ac:dyDescent="0.3">
      <c r="A618" s="2" t="s">
        <v>1057</v>
      </c>
      <c r="B618" s="2" t="s">
        <v>266</v>
      </c>
      <c r="C618" s="2" t="s">
        <v>5045</v>
      </c>
    </row>
    <row r="619" spans="1:3" x14ac:dyDescent="0.3">
      <c r="A619" s="2" t="s">
        <v>1059</v>
      </c>
      <c r="B619" s="2" t="s">
        <v>266</v>
      </c>
      <c r="C619" s="2" t="s">
        <v>5045</v>
      </c>
    </row>
    <row r="620" spans="1:3" x14ac:dyDescent="0.3">
      <c r="A620" s="2" t="s">
        <v>1061</v>
      </c>
      <c r="B620" s="2" t="s">
        <v>266</v>
      </c>
      <c r="C620" s="2" t="s">
        <v>5045</v>
      </c>
    </row>
    <row r="621" spans="1:3" x14ac:dyDescent="0.3">
      <c r="A621" s="2" t="s">
        <v>1062</v>
      </c>
      <c r="B621" s="2" t="s">
        <v>266</v>
      </c>
      <c r="C621" s="2" t="s">
        <v>5045</v>
      </c>
    </row>
    <row r="622" spans="1:3" x14ac:dyDescent="0.3">
      <c r="A622" s="2" t="s">
        <v>1063</v>
      </c>
      <c r="B622" s="2" t="s">
        <v>266</v>
      </c>
      <c r="C622" s="2" t="s">
        <v>5045</v>
      </c>
    </row>
    <row r="623" spans="1:3" x14ac:dyDescent="0.3">
      <c r="A623" s="2" t="s">
        <v>1065</v>
      </c>
      <c r="B623" s="2" t="s">
        <v>266</v>
      </c>
      <c r="C623" s="2" t="s">
        <v>5045</v>
      </c>
    </row>
    <row r="624" spans="1:3" x14ac:dyDescent="0.3">
      <c r="A624" s="2" t="s">
        <v>1066</v>
      </c>
      <c r="B624" s="2" t="s">
        <v>266</v>
      </c>
      <c r="C624" s="2" t="s">
        <v>5045</v>
      </c>
    </row>
    <row r="625" spans="1:3" x14ac:dyDescent="0.3">
      <c r="A625" s="2" t="s">
        <v>1067</v>
      </c>
      <c r="B625" s="2" t="s">
        <v>266</v>
      </c>
      <c r="C625" s="2" t="s">
        <v>5045</v>
      </c>
    </row>
    <row r="626" spans="1:3" x14ac:dyDescent="0.3">
      <c r="A626" s="2" t="s">
        <v>1068</v>
      </c>
      <c r="B626" s="2" t="s">
        <v>266</v>
      </c>
      <c r="C626" s="2" t="s">
        <v>5045</v>
      </c>
    </row>
    <row r="627" spans="1:3" x14ac:dyDescent="0.3">
      <c r="A627" s="2" t="s">
        <v>1069</v>
      </c>
      <c r="B627" s="2" t="s">
        <v>266</v>
      </c>
      <c r="C627" s="2" t="s">
        <v>5045</v>
      </c>
    </row>
    <row r="628" spans="1:3" x14ac:dyDescent="0.3">
      <c r="A628" s="2" t="s">
        <v>1071</v>
      </c>
      <c r="B628" s="2" t="s">
        <v>266</v>
      </c>
      <c r="C628" s="2" t="s">
        <v>5045</v>
      </c>
    </row>
    <row r="629" spans="1:3" x14ac:dyDescent="0.3">
      <c r="A629" s="2" t="s">
        <v>1073</v>
      </c>
      <c r="B629" s="2" t="s">
        <v>266</v>
      </c>
      <c r="C629" s="2" t="s">
        <v>5045</v>
      </c>
    </row>
    <row r="630" spans="1:3" x14ac:dyDescent="0.3">
      <c r="A630" s="2" t="s">
        <v>1074</v>
      </c>
      <c r="B630" s="2" t="s">
        <v>266</v>
      </c>
      <c r="C630" s="2" t="s">
        <v>5045</v>
      </c>
    </row>
    <row r="631" spans="1:3" x14ac:dyDescent="0.3">
      <c r="A631" s="2" t="s">
        <v>1075</v>
      </c>
      <c r="B631" s="2" t="s">
        <v>266</v>
      </c>
      <c r="C631" s="2" t="s">
        <v>5045</v>
      </c>
    </row>
    <row r="632" spans="1:3" x14ac:dyDescent="0.3">
      <c r="A632" s="2" t="s">
        <v>1076</v>
      </c>
      <c r="B632" s="2" t="s">
        <v>266</v>
      </c>
      <c r="C632" s="2" t="s">
        <v>5045</v>
      </c>
    </row>
    <row r="633" spans="1:3" x14ac:dyDescent="0.3">
      <c r="A633" s="2" t="s">
        <v>1077</v>
      </c>
      <c r="B633" s="2" t="s">
        <v>266</v>
      </c>
      <c r="C633" s="2" t="s">
        <v>5045</v>
      </c>
    </row>
    <row r="634" spans="1:3" x14ac:dyDescent="0.3">
      <c r="A634" s="2" t="s">
        <v>1079</v>
      </c>
      <c r="B634" s="2" t="s">
        <v>266</v>
      </c>
      <c r="C634" s="2" t="s">
        <v>5045</v>
      </c>
    </row>
    <row r="635" spans="1:3" x14ac:dyDescent="0.3">
      <c r="A635" s="2" t="s">
        <v>1081</v>
      </c>
      <c r="B635" s="2" t="s">
        <v>266</v>
      </c>
      <c r="C635" s="2" t="s">
        <v>5045</v>
      </c>
    </row>
    <row r="636" spans="1:3" x14ac:dyDescent="0.3">
      <c r="A636" s="2" t="s">
        <v>1083</v>
      </c>
      <c r="B636" s="2" t="s">
        <v>266</v>
      </c>
      <c r="C636" s="2" t="s">
        <v>5045</v>
      </c>
    </row>
    <row r="637" spans="1:3" x14ac:dyDescent="0.3">
      <c r="A637" s="2" t="s">
        <v>1085</v>
      </c>
      <c r="B637" s="2" t="s">
        <v>266</v>
      </c>
      <c r="C637" s="2" t="s">
        <v>5045</v>
      </c>
    </row>
    <row r="638" spans="1:3" x14ac:dyDescent="0.3">
      <c r="A638" s="2" t="s">
        <v>1087</v>
      </c>
      <c r="B638" s="2" t="s">
        <v>266</v>
      </c>
      <c r="C638" s="2" t="s">
        <v>5045</v>
      </c>
    </row>
    <row r="639" spans="1:3" x14ac:dyDescent="0.3">
      <c r="A639" s="2" t="s">
        <v>1089</v>
      </c>
      <c r="B639" s="2" t="s">
        <v>266</v>
      </c>
      <c r="C639" s="2" t="s">
        <v>5045</v>
      </c>
    </row>
    <row r="640" spans="1:3" x14ac:dyDescent="0.3">
      <c r="A640" s="2" t="s">
        <v>1091</v>
      </c>
      <c r="B640" s="2" t="s">
        <v>266</v>
      </c>
      <c r="C640" s="2" t="s">
        <v>5045</v>
      </c>
    </row>
    <row r="641" spans="1:3" x14ac:dyDescent="0.3">
      <c r="A641" s="2" t="s">
        <v>1093</v>
      </c>
      <c r="B641" s="2" t="s">
        <v>266</v>
      </c>
      <c r="C641" s="2" t="s">
        <v>5045</v>
      </c>
    </row>
    <row r="642" spans="1:3" x14ac:dyDescent="0.3">
      <c r="A642" s="2" t="s">
        <v>1095</v>
      </c>
      <c r="B642" s="2" t="s">
        <v>266</v>
      </c>
      <c r="C642" s="2" t="s">
        <v>5045</v>
      </c>
    </row>
    <row r="643" spans="1:3" x14ac:dyDescent="0.3">
      <c r="A643" s="2" t="s">
        <v>1097</v>
      </c>
      <c r="B643" s="2" t="s">
        <v>266</v>
      </c>
      <c r="C643" s="2" t="s">
        <v>5045</v>
      </c>
    </row>
    <row r="644" spans="1:3" x14ac:dyDescent="0.3">
      <c r="A644" s="2" t="s">
        <v>1099</v>
      </c>
      <c r="B644" s="2" t="s">
        <v>266</v>
      </c>
      <c r="C644" s="2" t="s">
        <v>5045</v>
      </c>
    </row>
    <row r="645" spans="1:3" x14ac:dyDescent="0.3">
      <c r="A645" s="2" t="s">
        <v>1101</v>
      </c>
      <c r="B645" s="2" t="s">
        <v>266</v>
      </c>
      <c r="C645" s="2" t="s">
        <v>5045</v>
      </c>
    </row>
    <row r="646" spans="1:3" x14ac:dyDescent="0.3">
      <c r="A646" s="2" t="s">
        <v>1103</v>
      </c>
      <c r="B646" s="2" t="s">
        <v>266</v>
      </c>
      <c r="C646" s="2" t="s">
        <v>5045</v>
      </c>
    </row>
    <row r="647" spans="1:3" x14ac:dyDescent="0.3">
      <c r="A647" s="2" t="s">
        <v>1105</v>
      </c>
      <c r="B647" s="2" t="s">
        <v>266</v>
      </c>
      <c r="C647" s="2" t="s">
        <v>5045</v>
      </c>
    </row>
    <row r="648" spans="1:3" x14ac:dyDescent="0.3">
      <c r="A648" s="2" t="s">
        <v>1107</v>
      </c>
      <c r="B648" s="2" t="s">
        <v>266</v>
      </c>
      <c r="C648" s="2" t="s">
        <v>5045</v>
      </c>
    </row>
    <row r="649" spans="1:3" x14ac:dyDescent="0.3">
      <c r="A649" s="2" t="s">
        <v>1108</v>
      </c>
      <c r="B649" s="2" t="s">
        <v>266</v>
      </c>
      <c r="C649" s="2" t="s">
        <v>5045</v>
      </c>
    </row>
    <row r="650" spans="1:3" x14ac:dyDescent="0.3">
      <c r="A650" s="2" t="s">
        <v>1110</v>
      </c>
      <c r="B650" s="2" t="s">
        <v>266</v>
      </c>
      <c r="C650" s="2" t="s">
        <v>5045</v>
      </c>
    </row>
    <row r="651" spans="1:3" x14ac:dyDescent="0.3">
      <c r="A651" s="2" t="s">
        <v>1112</v>
      </c>
      <c r="B651" s="2" t="s">
        <v>266</v>
      </c>
      <c r="C651" s="2" t="s">
        <v>5045</v>
      </c>
    </row>
    <row r="652" spans="1:3" x14ac:dyDescent="0.3">
      <c r="A652" s="2" t="s">
        <v>1114</v>
      </c>
      <c r="B652" s="2" t="s">
        <v>266</v>
      </c>
      <c r="C652" s="2" t="s">
        <v>5045</v>
      </c>
    </row>
    <row r="653" spans="1:3" x14ac:dyDescent="0.3">
      <c r="A653" s="2" t="s">
        <v>1116</v>
      </c>
      <c r="B653" s="2" t="s">
        <v>266</v>
      </c>
      <c r="C653" s="2" t="s">
        <v>5045</v>
      </c>
    </row>
    <row r="654" spans="1:3" x14ac:dyDescent="0.3">
      <c r="A654" s="2" t="s">
        <v>1118</v>
      </c>
      <c r="B654" s="2" t="s">
        <v>266</v>
      </c>
      <c r="C654" s="2" t="s">
        <v>5045</v>
      </c>
    </row>
    <row r="655" spans="1:3" x14ac:dyDescent="0.3">
      <c r="A655" s="2" t="s">
        <v>1120</v>
      </c>
      <c r="B655" s="2" t="s">
        <v>266</v>
      </c>
      <c r="C655" s="2" t="s">
        <v>5045</v>
      </c>
    </row>
    <row r="656" spans="1:3" x14ac:dyDescent="0.3">
      <c r="A656" s="2" t="s">
        <v>1122</v>
      </c>
      <c r="B656" s="2" t="s">
        <v>266</v>
      </c>
      <c r="C656" s="2" t="s">
        <v>5045</v>
      </c>
    </row>
    <row r="657" spans="1:3" x14ac:dyDescent="0.3">
      <c r="A657" s="2" t="s">
        <v>1124</v>
      </c>
      <c r="B657" s="2" t="s">
        <v>266</v>
      </c>
      <c r="C657" s="2" t="s">
        <v>5045</v>
      </c>
    </row>
    <row r="658" spans="1:3" x14ac:dyDescent="0.3">
      <c r="A658" s="2" t="s">
        <v>1126</v>
      </c>
      <c r="B658" s="2" t="s">
        <v>266</v>
      </c>
      <c r="C658" s="2" t="s">
        <v>5045</v>
      </c>
    </row>
    <row r="659" spans="1:3" x14ac:dyDescent="0.3">
      <c r="A659" s="2" t="s">
        <v>1128</v>
      </c>
      <c r="B659" s="2" t="s">
        <v>266</v>
      </c>
      <c r="C659" s="2" t="s">
        <v>5045</v>
      </c>
    </row>
    <row r="660" spans="1:3" x14ac:dyDescent="0.3">
      <c r="A660" s="2" t="s">
        <v>1130</v>
      </c>
      <c r="B660" s="2" t="s">
        <v>266</v>
      </c>
      <c r="C660" s="2" t="s">
        <v>5045</v>
      </c>
    </row>
    <row r="661" spans="1:3" x14ac:dyDescent="0.3">
      <c r="A661" s="2" t="s">
        <v>1132</v>
      </c>
      <c r="B661" s="2" t="s">
        <v>266</v>
      </c>
      <c r="C661" s="2" t="s">
        <v>5045</v>
      </c>
    </row>
    <row r="662" spans="1:3" x14ac:dyDescent="0.3">
      <c r="A662" s="2" t="s">
        <v>1134</v>
      </c>
      <c r="B662" s="2" t="s">
        <v>266</v>
      </c>
      <c r="C662" s="2" t="s">
        <v>5045</v>
      </c>
    </row>
    <row r="663" spans="1:3" x14ac:dyDescent="0.3">
      <c r="A663" s="2" t="s">
        <v>1135</v>
      </c>
      <c r="B663" s="2" t="s">
        <v>266</v>
      </c>
      <c r="C663" s="2" t="s">
        <v>5045</v>
      </c>
    </row>
    <row r="664" spans="1:3" x14ac:dyDescent="0.3">
      <c r="A664" s="2" t="s">
        <v>1136</v>
      </c>
      <c r="B664" s="2" t="s">
        <v>266</v>
      </c>
      <c r="C664" s="2" t="s">
        <v>5045</v>
      </c>
    </row>
    <row r="665" spans="1:3" x14ac:dyDescent="0.3">
      <c r="A665" s="2" t="s">
        <v>1138</v>
      </c>
      <c r="B665" s="2" t="s">
        <v>266</v>
      </c>
      <c r="C665" s="2" t="s">
        <v>5045</v>
      </c>
    </row>
    <row r="666" spans="1:3" x14ac:dyDescent="0.3">
      <c r="A666" s="2" t="s">
        <v>1140</v>
      </c>
      <c r="B666" s="2" t="s">
        <v>266</v>
      </c>
      <c r="C666" s="2" t="s">
        <v>5045</v>
      </c>
    </row>
    <row r="667" spans="1:3" x14ac:dyDescent="0.3">
      <c r="A667" s="2" t="s">
        <v>1142</v>
      </c>
      <c r="B667" s="2" t="s">
        <v>266</v>
      </c>
      <c r="C667" s="2" t="s">
        <v>5045</v>
      </c>
    </row>
    <row r="668" spans="1:3" x14ac:dyDescent="0.3">
      <c r="A668" s="2" t="s">
        <v>1143</v>
      </c>
      <c r="B668" s="2" t="s">
        <v>266</v>
      </c>
      <c r="C668" s="2" t="s">
        <v>5045</v>
      </c>
    </row>
    <row r="669" spans="1:3" x14ac:dyDescent="0.3">
      <c r="A669" s="2" t="s">
        <v>1145</v>
      </c>
      <c r="B669" s="2" t="s">
        <v>266</v>
      </c>
      <c r="C669" s="2" t="s">
        <v>5045</v>
      </c>
    </row>
    <row r="670" spans="1:3" x14ac:dyDescent="0.3">
      <c r="A670" s="2" t="s">
        <v>1147</v>
      </c>
      <c r="B670" s="2" t="s">
        <v>266</v>
      </c>
      <c r="C670" s="2" t="s">
        <v>5045</v>
      </c>
    </row>
    <row r="671" spans="1:3" x14ac:dyDescent="0.3">
      <c r="A671" s="2" t="s">
        <v>1149</v>
      </c>
      <c r="B671" s="2" t="s">
        <v>266</v>
      </c>
      <c r="C671" s="2" t="s">
        <v>5045</v>
      </c>
    </row>
    <row r="672" spans="1:3" x14ac:dyDescent="0.3">
      <c r="A672" s="2" t="s">
        <v>1151</v>
      </c>
      <c r="B672" s="2" t="s">
        <v>266</v>
      </c>
      <c r="C672" s="2" t="s">
        <v>5045</v>
      </c>
    </row>
    <row r="673" spans="1:3" x14ac:dyDescent="0.3">
      <c r="A673" s="2" t="s">
        <v>1153</v>
      </c>
      <c r="B673" s="2" t="s">
        <v>266</v>
      </c>
      <c r="C673" s="2" t="s">
        <v>5045</v>
      </c>
    </row>
    <row r="674" spans="1:3" x14ac:dyDescent="0.3">
      <c r="A674" s="2" t="s">
        <v>1155</v>
      </c>
      <c r="B674" s="2" t="s">
        <v>266</v>
      </c>
      <c r="C674" s="2" t="s">
        <v>5045</v>
      </c>
    </row>
    <row r="675" spans="1:3" x14ac:dyDescent="0.3">
      <c r="A675" s="2" t="s">
        <v>1157</v>
      </c>
      <c r="B675" s="2" t="s">
        <v>266</v>
      </c>
      <c r="C675" s="2" t="s">
        <v>5045</v>
      </c>
    </row>
    <row r="676" spans="1:3" x14ac:dyDescent="0.3">
      <c r="A676" s="2" t="s">
        <v>1159</v>
      </c>
      <c r="B676" s="2" t="s">
        <v>266</v>
      </c>
      <c r="C676" s="2" t="s">
        <v>5045</v>
      </c>
    </row>
    <row r="677" spans="1:3" x14ac:dyDescent="0.3">
      <c r="A677" s="2" t="s">
        <v>1161</v>
      </c>
      <c r="B677" s="2" t="s">
        <v>266</v>
      </c>
      <c r="C677" s="2" t="s">
        <v>5045</v>
      </c>
    </row>
    <row r="678" spans="1:3" x14ac:dyDescent="0.3">
      <c r="A678" s="2" t="s">
        <v>1163</v>
      </c>
      <c r="B678" s="2" t="s">
        <v>266</v>
      </c>
      <c r="C678" s="2" t="s">
        <v>5045</v>
      </c>
    </row>
    <row r="679" spans="1:3" x14ac:dyDescent="0.3">
      <c r="A679" s="2" t="s">
        <v>1165</v>
      </c>
      <c r="B679" s="2" t="s">
        <v>266</v>
      </c>
      <c r="C679" s="2" t="s">
        <v>5045</v>
      </c>
    </row>
    <row r="680" spans="1:3" x14ac:dyDescent="0.3">
      <c r="A680" s="2" t="s">
        <v>1167</v>
      </c>
      <c r="B680" s="2" t="s">
        <v>266</v>
      </c>
      <c r="C680" s="2" t="s">
        <v>5045</v>
      </c>
    </row>
    <row r="681" spans="1:3" x14ac:dyDescent="0.3">
      <c r="A681" s="2" t="s">
        <v>1169</v>
      </c>
      <c r="B681" s="2" t="s">
        <v>266</v>
      </c>
      <c r="C681" s="2" t="s">
        <v>5045</v>
      </c>
    </row>
    <row r="682" spans="1:3" x14ac:dyDescent="0.3">
      <c r="A682" s="2" t="s">
        <v>1170</v>
      </c>
      <c r="B682" s="2" t="s">
        <v>266</v>
      </c>
      <c r="C682" s="2" t="s">
        <v>5045</v>
      </c>
    </row>
    <row r="683" spans="1:3" x14ac:dyDescent="0.3">
      <c r="A683" s="2" t="s">
        <v>1172</v>
      </c>
      <c r="B683" s="2" t="s">
        <v>266</v>
      </c>
      <c r="C683" s="2" t="s">
        <v>5045</v>
      </c>
    </row>
    <row r="684" spans="1:3" x14ac:dyDescent="0.3">
      <c r="A684" s="2" t="s">
        <v>1173</v>
      </c>
      <c r="B684" s="2" t="s">
        <v>266</v>
      </c>
      <c r="C684" s="2" t="s">
        <v>5045</v>
      </c>
    </row>
    <row r="685" spans="1:3" x14ac:dyDescent="0.3">
      <c r="A685" s="2" t="s">
        <v>1175</v>
      </c>
      <c r="B685" s="2" t="s">
        <v>266</v>
      </c>
      <c r="C685" s="2" t="s">
        <v>5045</v>
      </c>
    </row>
    <row r="686" spans="1:3" x14ac:dyDescent="0.3">
      <c r="A686" s="2" t="s">
        <v>1177</v>
      </c>
      <c r="B686" s="2" t="s">
        <v>266</v>
      </c>
      <c r="C686" s="2" t="s">
        <v>5045</v>
      </c>
    </row>
    <row r="687" spans="1:3" x14ac:dyDescent="0.3">
      <c r="A687" s="2" t="s">
        <v>1178</v>
      </c>
      <c r="B687" s="2" t="s">
        <v>266</v>
      </c>
      <c r="C687" s="2" t="s">
        <v>5045</v>
      </c>
    </row>
    <row r="688" spans="1:3" x14ac:dyDescent="0.3">
      <c r="A688" s="2" t="s">
        <v>1180</v>
      </c>
      <c r="B688" s="2" t="s">
        <v>266</v>
      </c>
      <c r="C688" s="2" t="s">
        <v>5045</v>
      </c>
    </row>
    <row r="689" spans="1:3" x14ac:dyDescent="0.3">
      <c r="A689" s="2" t="s">
        <v>1182</v>
      </c>
      <c r="B689" s="2" t="s">
        <v>266</v>
      </c>
      <c r="C689" s="2" t="s">
        <v>5045</v>
      </c>
    </row>
    <row r="690" spans="1:3" x14ac:dyDescent="0.3">
      <c r="A690" s="2" t="s">
        <v>1184</v>
      </c>
      <c r="B690" s="2" t="s">
        <v>266</v>
      </c>
      <c r="C690" s="2" t="s">
        <v>5045</v>
      </c>
    </row>
    <row r="691" spans="1:3" x14ac:dyDescent="0.3">
      <c r="A691" s="2" t="s">
        <v>1186</v>
      </c>
      <c r="B691" s="2" t="s">
        <v>266</v>
      </c>
      <c r="C691" s="2" t="s">
        <v>5045</v>
      </c>
    </row>
    <row r="692" spans="1:3" x14ac:dyDescent="0.3">
      <c r="A692" s="2" t="s">
        <v>1188</v>
      </c>
      <c r="B692" s="2" t="s">
        <v>266</v>
      </c>
      <c r="C692" s="2" t="s">
        <v>5045</v>
      </c>
    </row>
    <row r="693" spans="1:3" x14ac:dyDescent="0.3">
      <c r="A693" s="2" t="s">
        <v>1190</v>
      </c>
      <c r="B693" s="2" t="s">
        <v>266</v>
      </c>
      <c r="C693" s="2" t="s">
        <v>5045</v>
      </c>
    </row>
    <row r="694" spans="1:3" x14ac:dyDescent="0.3">
      <c r="A694" s="2" t="s">
        <v>1192</v>
      </c>
      <c r="B694" s="2" t="s">
        <v>266</v>
      </c>
      <c r="C694" s="2" t="s">
        <v>5045</v>
      </c>
    </row>
    <row r="695" spans="1:3" x14ac:dyDescent="0.3">
      <c r="A695" s="2" t="s">
        <v>1194</v>
      </c>
      <c r="B695" s="2" t="s">
        <v>266</v>
      </c>
      <c r="C695" s="2" t="s">
        <v>5045</v>
      </c>
    </row>
    <row r="696" spans="1:3" x14ac:dyDescent="0.3">
      <c r="A696" s="2" t="s">
        <v>1196</v>
      </c>
      <c r="B696" s="2" t="s">
        <v>266</v>
      </c>
      <c r="C696" s="2" t="s">
        <v>5045</v>
      </c>
    </row>
    <row r="697" spans="1:3" x14ac:dyDescent="0.3">
      <c r="A697" s="2" t="s">
        <v>1198</v>
      </c>
      <c r="B697" s="2" t="s">
        <v>266</v>
      </c>
      <c r="C697" s="2" t="s">
        <v>5045</v>
      </c>
    </row>
    <row r="698" spans="1:3" x14ac:dyDescent="0.3">
      <c r="A698" s="2" t="s">
        <v>1200</v>
      </c>
      <c r="B698" s="2" t="s">
        <v>266</v>
      </c>
      <c r="C698" s="2" t="s">
        <v>5045</v>
      </c>
    </row>
    <row r="699" spans="1:3" x14ac:dyDescent="0.3">
      <c r="A699" s="2" t="s">
        <v>1202</v>
      </c>
      <c r="B699" s="2" t="s">
        <v>266</v>
      </c>
      <c r="C699" s="2" t="s">
        <v>5045</v>
      </c>
    </row>
    <row r="700" spans="1:3" x14ac:dyDescent="0.3">
      <c r="A700" s="2" t="s">
        <v>1204</v>
      </c>
      <c r="B700" s="2" t="s">
        <v>266</v>
      </c>
      <c r="C700" s="2" t="s">
        <v>5045</v>
      </c>
    </row>
    <row r="701" spans="1:3" x14ac:dyDescent="0.3">
      <c r="A701" s="2" t="s">
        <v>1206</v>
      </c>
      <c r="B701" s="2" t="s">
        <v>266</v>
      </c>
      <c r="C701" s="2" t="s">
        <v>5045</v>
      </c>
    </row>
    <row r="702" spans="1:3" x14ac:dyDescent="0.3">
      <c r="A702" s="2" t="s">
        <v>1208</v>
      </c>
      <c r="B702" s="2" t="s">
        <v>266</v>
      </c>
      <c r="C702" s="2" t="s">
        <v>5045</v>
      </c>
    </row>
    <row r="703" spans="1:3" x14ac:dyDescent="0.3">
      <c r="A703" s="2" t="s">
        <v>1210</v>
      </c>
      <c r="B703" s="2" t="s">
        <v>266</v>
      </c>
      <c r="C703" s="2" t="s">
        <v>5045</v>
      </c>
    </row>
    <row r="704" spans="1:3" x14ac:dyDescent="0.3">
      <c r="A704" s="2" t="s">
        <v>1212</v>
      </c>
      <c r="B704" s="2" t="s">
        <v>266</v>
      </c>
      <c r="C704" s="2" t="s">
        <v>5045</v>
      </c>
    </row>
    <row r="705" spans="1:3" x14ac:dyDescent="0.3">
      <c r="A705" s="2" t="s">
        <v>1214</v>
      </c>
      <c r="B705" s="2" t="s">
        <v>266</v>
      </c>
      <c r="C705" s="2" t="s">
        <v>5045</v>
      </c>
    </row>
    <row r="706" spans="1:3" x14ac:dyDescent="0.3">
      <c r="A706" s="2" t="s">
        <v>1216</v>
      </c>
      <c r="B706" s="2" t="s">
        <v>266</v>
      </c>
      <c r="C706" s="2" t="s">
        <v>5045</v>
      </c>
    </row>
    <row r="707" spans="1:3" x14ac:dyDescent="0.3">
      <c r="A707" s="2" t="s">
        <v>1218</v>
      </c>
      <c r="B707" s="2" t="s">
        <v>266</v>
      </c>
      <c r="C707" s="2" t="s">
        <v>5045</v>
      </c>
    </row>
    <row r="708" spans="1:3" x14ac:dyDescent="0.3">
      <c r="A708" s="2" t="s">
        <v>1220</v>
      </c>
      <c r="B708" s="2" t="s">
        <v>266</v>
      </c>
      <c r="C708" s="2" t="s">
        <v>5045</v>
      </c>
    </row>
    <row r="709" spans="1:3" x14ac:dyDescent="0.3">
      <c r="A709" s="2" t="s">
        <v>1222</v>
      </c>
      <c r="B709" s="2" t="s">
        <v>266</v>
      </c>
      <c r="C709" s="2" t="s">
        <v>5045</v>
      </c>
    </row>
    <row r="710" spans="1:3" x14ac:dyDescent="0.3">
      <c r="A710" s="2" t="s">
        <v>1224</v>
      </c>
      <c r="B710" s="2" t="s">
        <v>266</v>
      </c>
      <c r="C710" s="2" t="s">
        <v>5045</v>
      </c>
    </row>
    <row r="711" spans="1:3" x14ac:dyDescent="0.3">
      <c r="A711" s="2" t="s">
        <v>1226</v>
      </c>
      <c r="B711" s="2" t="s">
        <v>266</v>
      </c>
      <c r="C711" s="2" t="s">
        <v>5045</v>
      </c>
    </row>
    <row r="712" spans="1:3" x14ac:dyDescent="0.3">
      <c r="A712" s="2" t="s">
        <v>1227</v>
      </c>
      <c r="B712" s="2" t="s">
        <v>266</v>
      </c>
      <c r="C712" s="2" t="s">
        <v>5045</v>
      </c>
    </row>
    <row r="713" spans="1:3" x14ac:dyDescent="0.3">
      <c r="A713" s="2" t="s">
        <v>1229</v>
      </c>
      <c r="B713" s="2" t="s">
        <v>266</v>
      </c>
      <c r="C713" s="2" t="s">
        <v>5045</v>
      </c>
    </row>
    <row r="714" spans="1:3" x14ac:dyDescent="0.3">
      <c r="A714" s="2" t="s">
        <v>1231</v>
      </c>
      <c r="B714" s="2" t="s">
        <v>266</v>
      </c>
      <c r="C714" s="2" t="s">
        <v>5045</v>
      </c>
    </row>
    <row r="715" spans="1:3" x14ac:dyDescent="0.3">
      <c r="A715" s="2" t="s">
        <v>1233</v>
      </c>
      <c r="B715" s="2" t="s">
        <v>266</v>
      </c>
      <c r="C715" s="2" t="s">
        <v>5045</v>
      </c>
    </row>
    <row r="716" spans="1:3" x14ac:dyDescent="0.3">
      <c r="A716" s="2" t="s">
        <v>1235</v>
      </c>
      <c r="B716" s="2" t="s">
        <v>266</v>
      </c>
      <c r="C716" s="2" t="s">
        <v>5045</v>
      </c>
    </row>
    <row r="717" spans="1:3" x14ac:dyDescent="0.3">
      <c r="A717" s="2" t="s">
        <v>1237</v>
      </c>
      <c r="B717" s="2" t="s">
        <v>266</v>
      </c>
      <c r="C717" s="2" t="s">
        <v>5045</v>
      </c>
    </row>
    <row r="718" spans="1:3" x14ac:dyDescent="0.3">
      <c r="A718" s="2" t="s">
        <v>1239</v>
      </c>
      <c r="B718" s="2" t="s">
        <v>266</v>
      </c>
      <c r="C718" s="2" t="s">
        <v>5045</v>
      </c>
    </row>
    <row r="719" spans="1:3" x14ac:dyDescent="0.3">
      <c r="A719" s="2" t="s">
        <v>1241</v>
      </c>
      <c r="B719" s="2" t="s">
        <v>266</v>
      </c>
      <c r="C719" s="2" t="s">
        <v>5045</v>
      </c>
    </row>
    <row r="720" spans="1:3" x14ac:dyDescent="0.3">
      <c r="A720" s="2" t="s">
        <v>1243</v>
      </c>
      <c r="B720" s="2" t="s">
        <v>266</v>
      </c>
      <c r="C720" s="2" t="s">
        <v>5045</v>
      </c>
    </row>
    <row r="721" spans="1:3" x14ac:dyDescent="0.3">
      <c r="A721" s="2" t="s">
        <v>1244</v>
      </c>
      <c r="B721" s="2" t="s">
        <v>266</v>
      </c>
      <c r="C721" s="2" t="s">
        <v>5045</v>
      </c>
    </row>
    <row r="722" spans="1:3" x14ac:dyDescent="0.3">
      <c r="A722" s="2" t="s">
        <v>1245</v>
      </c>
      <c r="B722" s="2" t="s">
        <v>266</v>
      </c>
      <c r="C722" s="2" t="s">
        <v>5045</v>
      </c>
    </row>
    <row r="723" spans="1:3" x14ac:dyDescent="0.3">
      <c r="A723" s="2" t="s">
        <v>1247</v>
      </c>
      <c r="B723" s="2" t="s">
        <v>266</v>
      </c>
      <c r="C723" s="2" t="s">
        <v>5045</v>
      </c>
    </row>
    <row r="724" spans="1:3" x14ac:dyDescent="0.3">
      <c r="A724" s="2" t="s">
        <v>1248</v>
      </c>
      <c r="B724" s="2" t="s">
        <v>266</v>
      </c>
      <c r="C724" s="2" t="s">
        <v>5045</v>
      </c>
    </row>
    <row r="725" spans="1:3" x14ac:dyDescent="0.3">
      <c r="A725" s="2" t="s">
        <v>1250</v>
      </c>
      <c r="B725" s="2" t="s">
        <v>266</v>
      </c>
      <c r="C725" s="2" t="s">
        <v>5045</v>
      </c>
    </row>
    <row r="726" spans="1:3" x14ac:dyDescent="0.3">
      <c r="A726" s="2" t="s">
        <v>1252</v>
      </c>
      <c r="B726" s="2" t="s">
        <v>266</v>
      </c>
      <c r="C726" s="2" t="s">
        <v>5045</v>
      </c>
    </row>
    <row r="727" spans="1:3" x14ac:dyDescent="0.3">
      <c r="A727" s="2" t="s">
        <v>1254</v>
      </c>
      <c r="B727" s="2" t="s">
        <v>266</v>
      </c>
      <c r="C727" s="2" t="s">
        <v>5045</v>
      </c>
    </row>
    <row r="728" spans="1:3" x14ac:dyDescent="0.3">
      <c r="A728" s="2" t="s">
        <v>1256</v>
      </c>
      <c r="B728" s="2" t="s">
        <v>266</v>
      </c>
      <c r="C728" s="2" t="s">
        <v>5045</v>
      </c>
    </row>
    <row r="729" spans="1:3" x14ac:dyDescent="0.3">
      <c r="A729" s="2" t="s">
        <v>1258</v>
      </c>
      <c r="B729" s="2" t="s">
        <v>266</v>
      </c>
      <c r="C729" s="2" t="s">
        <v>5045</v>
      </c>
    </row>
    <row r="730" spans="1:3" x14ac:dyDescent="0.3">
      <c r="A730" s="2" t="s">
        <v>1259</v>
      </c>
      <c r="B730" s="2" t="s">
        <v>266</v>
      </c>
      <c r="C730" s="2" t="s">
        <v>5045</v>
      </c>
    </row>
    <row r="731" spans="1:3" x14ac:dyDescent="0.3">
      <c r="A731" s="2" t="s">
        <v>1261</v>
      </c>
      <c r="B731" s="2" t="s">
        <v>266</v>
      </c>
      <c r="C731" s="2" t="s">
        <v>5045</v>
      </c>
    </row>
    <row r="732" spans="1:3" x14ac:dyDescent="0.3">
      <c r="A732" s="2" t="s">
        <v>1262</v>
      </c>
      <c r="B732" s="2" t="s">
        <v>266</v>
      </c>
      <c r="C732" s="2" t="s">
        <v>5045</v>
      </c>
    </row>
    <row r="733" spans="1:3" x14ac:dyDescent="0.3">
      <c r="A733" s="2" t="s">
        <v>1263</v>
      </c>
      <c r="B733" s="2" t="s">
        <v>266</v>
      </c>
      <c r="C733" s="2" t="s">
        <v>5045</v>
      </c>
    </row>
    <row r="734" spans="1:3" x14ac:dyDescent="0.3">
      <c r="A734" s="2" t="s">
        <v>1264</v>
      </c>
      <c r="B734" s="2" t="s">
        <v>266</v>
      </c>
      <c r="C734" s="2" t="s">
        <v>5045</v>
      </c>
    </row>
    <row r="735" spans="1:3" x14ac:dyDescent="0.3">
      <c r="A735" s="2" t="s">
        <v>1265</v>
      </c>
      <c r="B735" s="2" t="s">
        <v>266</v>
      </c>
      <c r="C735" s="2" t="s">
        <v>5045</v>
      </c>
    </row>
    <row r="736" spans="1:3" x14ac:dyDescent="0.3">
      <c r="A736" s="2" t="s">
        <v>1266</v>
      </c>
      <c r="B736" s="2" t="s">
        <v>266</v>
      </c>
      <c r="C736" s="2" t="s">
        <v>5045</v>
      </c>
    </row>
    <row r="737" spans="1:3" x14ac:dyDescent="0.3">
      <c r="A737" s="2" t="s">
        <v>1268</v>
      </c>
      <c r="B737" s="2" t="s">
        <v>266</v>
      </c>
      <c r="C737" s="2" t="s">
        <v>5045</v>
      </c>
    </row>
    <row r="738" spans="1:3" x14ac:dyDescent="0.3">
      <c r="A738" s="2" t="s">
        <v>1270</v>
      </c>
      <c r="B738" s="2" t="s">
        <v>266</v>
      </c>
      <c r="C738" s="2" t="s">
        <v>5045</v>
      </c>
    </row>
    <row r="739" spans="1:3" x14ac:dyDescent="0.3">
      <c r="A739" s="2" t="s">
        <v>1272</v>
      </c>
      <c r="B739" s="2" t="s">
        <v>266</v>
      </c>
      <c r="C739" s="2" t="s">
        <v>5045</v>
      </c>
    </row>
    <row r="740" spans="1:3" x14ac:dyDescent="0.3">
      <c r="A740" s="2" t="s">
        <v>1274</v>
      </c>
      <c r="B740" s="2" t="s">
        <v>266</v>
      </c>
      <c r="C740" s="2" t="s">
        <v>5045</v>
      </c>
    </row>
    <row r="741" spans="1:3" x14ac:dyDescent="0.3">
      <c r="A741" s="2" t="s">
        <v>1276</v>
      </c>
      <c r="B741" s="2" t="s">
        <v>266</v>
      </c>
      <c r="C741" s="2" t="s">
        <v>5045</v>
      </c>
    </row>
    <row r="742" spans="1:3" x14ac:dyDescent="0.3">
      <c r="A742" s="2" t="s">
        <v>1278</v>
      </c>
      <c r="B742" s="2" t="s">
        <v>266</v>
      </c>
      <c r="C742" s="2" t="s">
        <v>5045</v>
      </c>
    </row>
    <row r="743" spans="1:3" x14ac:dyDescent="0.3">
      <c r="A743" s="2" t="s">
        <v>1280</v>
      </c>
      <c r="B743" s="2" t="s">
        <v>266</v>
      </c>
      <c r="C743" s="2" t="s">
        <v>5045</v>
      </c>
    </row>
    <row r="744" spans="1:3" x14ac:dyDescent="0.3">
      <c r="A744" s="2" t="s">
        <v>1282</v>
      </c>
      <c r="B744" s="2" t="s">
        <v>266</v>
      </c>
      <c r="C744" s="2" t="s">
        <v>5045</v>
      </c>
    </row>
    <row r="745" spans="1:3" x14ac:dyDescent="0.3">
      <c r="A745" s="2" t="s">
        <v>1284</v>
      </c>
      <c r="B745" s="2" t="s">
        <v>266</v>
      </c>
      <c r="C745" s="2" t="s">
        <v>5045</v>
      </c>
    </row>
    <row r="746" spans="1:3" x14ac:dyDescent="0.3">
      <c r="A746" s="2" t="s">
        <v>1286</v>
      </c>
      <c r="B746" s="2" t="s">
        <v>266</v>
      </c>
      <c r="C746" s="2" t="s">
        <v>5045</v>
      </c>
    </row>
    <row r="747" spans="1:3" x14ac:dyDescent="0.3">
      <c r="A747" s="2" t="s">
        <v>1288</v>
      </c>
      <c r="B747" s="2" t="s">
        <v>266</v>
      </c>
      <c r="C747" s="2" t="s">
        <v>5045</v>
      </c>
    </row>
    <row r="748" spans="1:3" x14ac:dyDescent="0.3">
      <c r="A748" s="2" t="s">
        <v>1289</v>
      </c>
      <c r="B748" s="2" t="s">
        <v>266</v>
      </c>
      <c r="C748" s="2" t="s">
        <v>5045</v>
      </c>
    </row>
    <row r="749" spans="1:3" x14ac:dyDescent="0.3">
      <c r="A749" s="2" t="s">
        <v>1291</v>
      </c>
      <c r="B749" s="2" t="s">
        <v>266</v>
      </c>
      <c r="C749" s="2" t="s">
        <v>5045</v>
      </c>
    </row>
    <row r="750" spans="1:3" x14ac:dyDescent="0.3">
      <c r="A750" s="2" t="s">
        <v>1293</v>
      </c>
      <c r="B750" s="2" t="s">
        <v>266</v>
      </c>
      <c r="C750" s="2" t="s">
        <v>5045</v>
      </c>
    </row>
    <row r="751" spans="1:3" x14ac:dyDescent="0.3">
      <c r="A751" s="2" t="s">
        <v>1295</v>
      </c>
      <c r="B751" s="2" t="s">
        <v>266</v>
      </c>
      <c r="C751" s="2" t="s">
        <v>5045</v>
      </c>
    </row>
    <row r="752" spans="1:3" x14ac:dyDescent="0.3">
      <c r="A752" s="2" t="s">
        <v>1297</v>
      </c>
      <c r="B752" s="2" t="s">
        <v>266</v>
      </c>
      <c r="C752" s="2" t="s">
        <v>5045</v>
      </c>
    </row>
    <row r="753" spans="1:3" x14ac:dyDescent="0.3">
      <c r="A753" s="2" t="s">
        <v>1299</v>
      </c>
      <c r="B753" s="2" t="s">
        <v>266</v>
      </c>
      <c r="C753" s="2" t="s">
        <v>5045</v>
      </c>
    </row>
    <row r="754" spans="1:3" x14ac:dyDescent="0.3">
      <c r="A754" s="2" t="s">
        <v>1300</v>
      </c>
      <c r="B754" s="2" t="s">
        <v>266</v>
      </c>
      <c r="C754" s="2" t="s">
        <v>5045</v>
      </c>
    </row>
    <row r="755" spans="1:3" x14ac:dyDescent="0.3">
      <c r="A755" s="2" t="s">
        <v>1302</v>
      </c>
      <c r="B755" s="2" t="s">
        <v>266</v>
      </c>
      <c r="C755" s="2" t="s">
        <v>5045</v>
      </c>
    </row>
    <row r="756" spans="1:3" x14ac:dyDescent="0.3">
      <c r="A756" s="2" t="s">
        <v>1304</v>
      </c>
      <c r="B756" s="2" t="s">
        <v>266</v>
      </c>
      <c r="C756" s="2" t="s">
        <v>5045</v>
      </c>
    </row>
    <row r="757" spans="1:3" x14ac:dyDescent="0.3">
      <c r="A757" s="2" t="s">
        <v>1306</v>
      </c>
      <c r="B757" s="2" t="s">
        <v>266</v>
      </c>
      <c r="C757" s="2" t="s">
        <v>5045</v>
      </c>
    </row>
    <row r="758" spans="1:3" x14ac:dyDescent="0.3">
      <c r="A758" s="2" t="s">
        <v>1308</v>
      </c>
      <c r="B758" s="2" t="s">
        <v>266</v>
      </c>
      <c r="C758" s="2" t="s">
        <v>5045</v>
      </c>
    </row>
    <row r="759" spans="1:3" x14ac:dyDescent="0.3">
      <c r="A759" s="2" t="s">
        <v>1310</v>
      </c>
      <c r="B759" s="2" t="s">
        <v>266</v>
      </c>
      <c r="C759" s="2" t="s">
        <v>5045</v>
      </c>
    </row>
    <row r="760" spans="1:3" x14ac:dyDescent="0.3">
      <c r="A760" s="2" t="s">
        <v>1312</v>
      </c>
      <c r="B760" s="2" t="s">
        <v>266</v>
      </c>
      <c r="C760" s="2" t="s">
        <v>5045</v>
      </c>
    </row>
    <row r="761" spans="1:3" x14ac:dyDescent="0.3">
      <c r="A761" s="2" t="s">
        <v>1314</v>
      </c>
      <c r="B761" s="2" t="s">
        <v>266</v>
      </c>
      <c r="C761" s="2" t="s">
        <v>5045</v>
      </c>
    </row>
    <row r="762" spans="1:3" x14ac:dyDescent="0.3">
      <c r="A762" s="2" t="s">
        <v>1316</v>
      </c>
      <c r="B762" s="2" t="s">
        <v>266</v>
      </c>
      <c r="C762" s="2" t="s">
        <v>5045</v>
      </c>
    </row>
    <row r="763" spans="1:3" x14ac:dyDescent="0.3">
      <c r="A763" s="2" t="s">
        <v>1318</v>
      </c>
      <c r="B763" s="2" t="s">
        <v>266</v>
      </c>
      <c r="C763" s="2" t="s">
        <v>5045</v>
      </c>
    </row>
    <row r="764" spans="1:3" x14ac:dyDescent="0.3">
      <c r="A764" s="2" t="s">
        <v>1320</v>
      </c>
      <c r="B764" s="2" t="s">
        <v>266</v>
      </c>
      <c r="C764" s="2" t="s">
        <v>5045</v>
      </c>
    </row>
    <row r="765" spans="1:3" x14ac:dyDescent="0.3">
      <c r="A765" s="2" t="s">
        <v>1322</v>
      </c>
      <c r="B765" s="2" t="s">
        <v>266</v>
      </c>
      <c r="C765" s="2" t="s">
        <v>5045</v>
      </c>
    </row>
    <row r="766" spans="1:3" x14ac:dyDescent="0.3">
      <c r="A766" s="2" t="s">
        <v>1324</v>
      </c>
      <c r="B766" s="2" t="s">
        <v>266</v>
      </c>
      <c r="C766" s="2" t="s">
        <v>5045</v>
      </c>
    </row>
    <row r="767" spans="1:3" x14ac:dyDescent="0.3">
      <c r="A767" s="2" t="s">
        <v>1325</v>
      </c>
      <c r="B767" s="2" t="s">
        <v>266</v>
      </c>
      <c r="C767" s="2" t="s">
        <v>5045</v>
      </c>
    </row>
    <row r="768" spans="1:3" x14ac:dyDescent="0.3">
      <c r="A768" s="2" t="s">
        <v>1327</v>
      </c>
      <c r="B768" s="2" t="s">
        <v>266</v>
      </c>
      <c r="C768" s="2" t="s">
        <v>5045</v>
      </c>
    </row>
    <row r="769" spans="1:3" x14ac:dyDescent="0.3">
      <c r="A769" s="2" t="s">
        <v>1328</v>
      </c>
      <c r="B769" s="2" t="s">
        <v>266</v>
      </c>
      <c r="C769" s="2" t="s">
        <v>5045</v>
      </c>
    </row>
    <row r="770" spans="1:3" x14ac:dyDescent="0.3">
      <c r="A770" s="2" t="s">
        <v>1330</v>
      </c>
      <c r="B770" s="2" t="s">
        <v>266</v>
      </c>
      <c r="C770" s="2" t="s">
        <v>5045</v>
      </c>
    </row>
    <row r="771" spans="1:3" x14ac:dyDescent="0.3">
      <c r="A771" s="2" t="s">
        <v>1331</v>
      </c>
      <c r="B771" s="2" t="s">
        <v>266</v>
      </c>
      <c r="C771" s="2" t="s">
        <v>5045</v>
      </c>
    </row>
    <row r="772" spans="1:3" x14ac:dyDescent="0.3">
      <c r="A772" s="2" t="s">
        <v>1332</v>
      </c>
      <c r="B772" s="2" t="s">
        <v>266</v>
      </c>
      <c r="C772" s="2" t="s">
        <v>5045</v>
      </c>
    </row>
    <row r="773" spans="1:3" x14ac:dyDescent="0.3">
      <c r="A773" s="2" t="s">
        <v>1333</v>
      </c>
      <c r="B773" s="2" t="s">
        <v>266</v>
      </c>
      <c r="C773" s="2" t="s">
        <v>5045</v>
      </c>
    </row>
    <row r="774" spans="1:3" x14ac:dyDescent="0.3">
      <c r="A774" s="2" t="s">
        <v>1335</v>
      </c>
      <c r="B774" s="2" t="s">
        <v>266</v>
      </c>
      <c r="C774" s="2" t="s">
        <v>5045</v>
      </c>
    </row>
    <row r="775" spans="1:3" x14ac:dyDescent="0.3">
      <c r="A775" s="2" t="s">
        <v>1336</v>
      </c>
      <c r="B775" s="2" t="s">
        <v>266</v>
      </c>
      <c r="C775" s="2" t="s">
        <v>5045</v>
      </c>
    </row>
    <row r="776" spans="1:3" x14ac:dyDescent="0.3">
      <c r="A776" s="2" t="s">
        <v>1338</v>
      </c>
      <c r="B776" s="2" t="s">
        <v>266</v>
      </c>
      <c r="C776" s="2" t="s">
        <v>5045</v>
      </c>
    </row>
    <row r="777" spans="1:3" x14ac:dyDescent="0.3">
      <c r="A777" s="2" t="s">
        <v>1339</v>
      </c>
      <c r="B777" s="2" t="s">
        <v>266</v>
      </c>
      <c r="C777" s="2" t="s">
        <v>5045</v>
      </c>
    </row>
    <row r="778" spans="1:3" x14ac:dyDescent="0.3">
      <c r="A778" s="2" t="s">
        <v>1341</v>
      </c>
      <c r="B778" s="2" t="s">
        <v>266</v>
      </c>
      <c r="C778" s="2" t="s">
        <v>5045</v>
      </c>
    </row>
    <row r="779" spans="1:3" x14ac:dyDescent="0.3">
      <c r="A779" s="2" t="s">
        <v>1342</v>
      </c>
      <c r="B779" s="2" t="s">
        <v>266</v>
      </c>
      <c r="C779" s="2" t="s">
        <v>5045</v>
      </c>
    </row>
    <row r="780" spans="1:3" x14ac:dyDescent="0.3">
      <c r="A780" s="2" t="s">
        <v>1343</v>
      </c>
      <c r="B780" s="2" t="s">
        <v>266</v>
      </c>
      <c r="C780" s="2" t="s">
        <v>5045</v>
      </c>
    </row>
    <row r="781" spans="1:3" x14ac:dyDescent="0.3">
      <c r="A781" s="2" t="s">
        <v>1345</v>
      </c>
      <c r="B781" s="2" t="s">
        <v>266</v>
      </c>
      <c r="C781" s="2" t="s">
        <v>5045</v>
      </c>
    </row>
    <row r="782" spans="1:3" x14ac:dyDescent="0.3">
      <c r="A782" s="2" t="s">
        <v>1347</v>
      </c>
      <c r="B782" s="2" t="s">
        <v>266</v>
      </c>
      <c r="C782" s="2" t="s">
        <v>5045</v>
      </c>
    </row>
    <row r="783" spans="1:3" x14ac:dyDescent="0.3">
      <c r="A783" s="2" t="s">
        <v>1349</v>
      </c>
      <c r="B783" s="2" t="s">
        <v>266</v>
      </c>
      <c r="C783" s="2" t="s">
        <v>5045</v>
      </c>
    </row>
    <row r="784" spans="1:3" x14ac:dyDescent="0.3">
      <c r="A784" s="2" t="s">
        <v>1351</v>
      </c>
      <c r="B784" s="2" t="s">
        <v>266</v>
      </c>
      <c r="C784" s="2" t="s">
        <v>5045</v>
      </c>
    </row>
    <row r="785" spans="1:3" x14ac:dyDescent="0.3">
      <c r="A785" s="2" t="s">
        <v>1353</v>
      </c>
      <c r="B785" s="2" t="s">
        <v>266</v>
      </c>
      <c r="C785" s="2" t="s">
        <v>5045</v>
      </c>
    </row>
    <row r="786" spans="1:3" x14ac:dyDescent="0.3">
      <c r="A786" s="2" t="s">
        <v>1355</v>
      </c>
      <c r="B786" s="2" t="s">
        <v>266</v>
      </c>
      <c r="C786" s="2" t="s">
        <v>5045</v>
      </c>
    </row>
    <row r="787" spans="1:3" x14ac:dyDescent="0.3">
      <c r="A787" s="2" t="s">
        <v>1357</v>
      </c>
      <c r="B787" s="2" t="s">
        <v>266</v>
      </c>
      <c r="C787" s="2" t="s">
        <v>5045</v>
      </c>
    </row>
    <row r="788" spans="1:3" x14ac:dyDescent="0.3">
      <c r="A788" s="2" t="s">
        <v>1359</v>
      </c>
      <c r="B788" s="2" t="s">
        <v>266</v>
      </c>
      <c r="C788" s="2" t="s">
        <v>5045</v>
      </c>
    </row>
    <row r="789" spans="1:3" x14ac:dyDescent="0.3">
      <c r="A789" s="2" t="s">
        <v>1360</v>
      </c>
      <c r="B789" s="2" t="s">
        <v>266</v>
      </c>
      <c r="C789" s="2" t="s">
        <v>5045</v>
      </c>
    </row>
    <row r="790" spans="1:3" x14ac:dyDescent="0.3">
      <c r="A790" s="2" t="s">
        <v>1361</v>
      </c>
      <c r="B790" s="2" t="s">
        <v>266</v>
      </c>
      <c r="C790" s="2" t="s">
        <v>5045</v>
      </c>
    </row>
    <row r="791" spans="1:3" x14ac:dyDescent="0.3">
      <c r="A791" s="2" t="s">
        <v>1363</v>
      </c>
      <c r="B791" s="2" t="s">
        <v>266</v>
      </c>
      <c r="C791" s="2" t="s">
        <v>5045</v>
      </c>
    </row>
    <row r="792" spans="1:3" x14ac:dyDescent="0.3">
      <c r="A792" s="2" t="s">
        <v>1364</v>
      </c>
      <c r="B792" s="2" t="s">
        <v>266</v>
      </c>
      <c r="C792" s="2" t="s">
        <v>5045</v>
      </c>
    </row>
    <row r="793" spans="1:3" x14ac:dyDescent="0.3">
      <c r="A793" s="2" t="s">
        <v>5104</v>
      </c>
      <c r="B793" s="2" t="s">
        <v>5048</v>
      </c>
      <c r="C793" s="2" t="s">
        <v>5048</v>
      </c>
    </row>
    <row r="794" spans="1:3" x14ac:dyDescent="0.3">
      <c r="A794" s="2" t="s">
        <v>5105</v>
      </c>
      <c r="B794" s="2" t="s">
        <v>5048</v>
      </c>
      <c r="C794" s="2" t="s">
        <v>5048</v>
      </c>
    </row>
    <row r="795" spans="1:3" x14ac:dyDescent="0.3">
      <c r="A795" s="2" t="s">
        <v>5106</v>
      </c>
      <c r="B795" s="2" t="s">
        <v>5048</v>
      </c>
      <c r="C795" s="2" t="s">
        <v>5048</v>
      </c>
    </row>
    <row r="796" spans="1:3" x14ac:dyDescent="0.3">
      <c r="A796" s="2" t="s">
        <v>5107</v>
      </c>
      <c r="B796" s="2" t="s">
        <v>5048</v>
      </c>
      <c r="C796" s="2" t="s">
        <v>5048</v>
      </c>
    </row>
    <row r="797" spans="1:3" x14ac:dyDescent="0.3">
      <c r="A797" s="2" t="s">
        <v>5108</v>
      </c>
      <c r="B797" s="2" t="s">
        <v>5048</v>
      </c>
      <c r="C797" s="2" t="s">
        <v>5048</v>
      </c>
    </row>
    <row r="798" spans="1:3" x14ac:dyDescent="0.3">
      <c r="A798" s="2" t="s">
        <v>5109</v>
      </c>
      <c r="B798" s="2" t="s">
        <v>5048</v>
      </c>
      <c r="C798" s="2" t="s">
        <v>5048</v>
      </c>
    </row>
    <row r="799" spans="1:3" x14ac:dyDescent="0.3">
      <c r="A799" s="2" t="s">
        <v>5110</v>
      </c>
      <c r="B799" s="2" t="s">
        <v>5048</v>
      </c>
      <c r="C799" s="2" t="s">
        <v>5048</v>
      </c>
    </row>
    <row r="800" spans="1:3" x14ac:dyDescent="0.3">
      <c r="A800" s="2" t="s">
        <v>5111</v>
      </c>
      <c r="B800" s="2" t="s">
        <v>5048</v>
      </c>
      <c r="C800" s="2" t="s">
        <v>5048</v>
      </c>
    </row>
    <row r="801" spans="1:3" x14ac:dyDescent="0.3">
      <c r="A801" s="2" t="s">
        <v>5112</v>
      </c>
      <c r="B801" s="2" t="s">
        <v>5048</v>
      </c>
      <c r="C801" s="2" t="s">
        <v>5048</v>
      </c>
    </row>
    <row r="802" spans="1:3" x14ac:dyDescent="0.3">
      <c r="A802" s="2" t="s">
        <v>5113</v>
      </c>
      <c r="B802" s="2" t="s">
        <v>5048</v>
      </c>
      <c r="C802" s="2" t="s">
        <v>5048</v>
      </c>
    </row>
    <row r="803" spans="1:3" x14ac:dyDescent="0.3">
      <c r="A803" s="2" t="s">
        <v>5114</v>
      </c>
      <c r="B803" s="2" t="s">
        <v>5048</v>
      </c>
      <c r="C803" s="2" t="s">
        <v>5048</v>
      </c>
    </row>
    <row r="804" spans="1:3" x14ac:dyDescent="0.3">
      <c r="A804" s="2" t="s">
        <v>5115</v>
      </c>
      <c r="B804" s="2" t="s">
        <v>5050</v>
      </c>
      <c r="C804" s="2" t="s">
        <v>5050</v>
      </c>
    </row>
    <row r="805" spans="1:3" x14ac:dyDescent="0.3">
      <c r="A805" s="2" t="s">
        <v>5116</v>
      </c>
      <c r="B805" s="2" t="s">
        <v>5050</v>
      </c>
      <c r="C805" s="2" t="s">
        <v>5050</v>
      </c>
    </row>
    <row r="806" spans="1:3" x14ac:dyDescent="0.3">
      <c r="A806" s="2" t="s">
        <v>5117</v>
      </c>
      <c r="B806" s="2" t="s">
        <v>5050</v>
      </c>
      <c r="C806" s="2" t="s">
        <v>5050</v>
      </c>
    </row>
    <row r="807" spans="1:3" x14ac:dyDescent="0.3">
      <c r="A807" s="2" t="s">
        <v>5118</v>
      </c>
      <c r="B807" s="2" t="s">
        <v>5050</v>
      </c>
      <c r="C807" s="2" t="s">
        <v>5050</v>
      </c>
    </row>
    <row r="808" spans="1:3" x14ac:dyDescent="0.3">
      <c r="A808" s="2" t="s">
        <v>5119</v>
      </c>
      <c r="B808" s="2" t="s">
        <v>5050</v>
      </c>
      <c r="C808" s="2" t="s">
        <v>5050</v>
      </c>
    </row>
    <row r="809" spans="1:3" x14ac:dyDescent="0.3">
      <c r="A809" s="2" t="s">
        <v>5120</v>
      </c>
      <c r="B809" s="2" t="s">
        <v>5050</v>
      </c>
      <c r="C809" s="2" t="s">
        <v>5050</v>
      </c>
    </row>
    <row r="810" spans="1:3" x14ac:dyDescent="0.3">
      <c r="A810" s="2" t="s">
        <v>5121</v>
      </c>
      <c r="B810" s="2" t="s">
        <v>5050</v>
      </c>
      <c r="C810" s="2" t="s">
        <v>5050</v>
      </c>
    </row>
    <row r="811" spans="1:3" x14ac:dyDescent="0.3">
      <c r="A811" s="2" t="s">
        <v>5122</v>
      </c>
      <c r="B811" s="2" t="s">
        <v>5050</v>
      </c>
      <c r="C811" s="2" t="s">
        <v>5050</v>
      </c>
    </row>
    <row r="812" spans="1:3" x14ac:dyDescent="0.3">
      <c r="A812" s="2" t="s">
        <v>5123</v>
      </c>
      <c r="B812" s="2" t="s">
        <v>5050</v>
      </c>
      <c r="C812" s="2" t="s">
        <v>5050</v>
      </c>
    </row>
    <row r="813" spans="1:3" x14ac:dyDescent="0.3">
      <c r="A813" s="2" t="s">
        <v>5124</v>
      </c>
      <c r="B813" s="2" t="s">
        <v>5050</v>
      </c>
      <c r="C813" s="2" t="s">
        <v>5050</v>
      </c>
    </row>
    <row r="814" spans="1:3" x14ac:dyDescent="0.3">
      <c r="A814" s="2" t="s">
        <v>5125</v>
      </c>
      <c r="B814" s="2" t="s">
        <v>5050</v>
      </c>
      <c r="C814" s="2" t="s">
        <v>5050</v>
      </c>
    </row>
    <row r="815" spans="1:3" x14ac:dyDescent="0.3">
      <c r="A815" s="2" t="s">
        <v>5126</v>
      </c>
      <c r="B815" s="2" t="s">
        <v>5050</v>
      </c>
      <c r="C815" s="2" t="s">
        <v>5050</v>
      </c>
    </row>
    <row r="816" spans="1:3" x14ac:dyDescent="0.3">
      <c r="A816" s="2" t="s">
        <v>5127</v>
      </c>
      <c r="B816" s="2" t="s">
        <v>5050</v>
      </c>
      <c r="C816" s="2" t="s">
        <v>5050</v>
      </c>
    </row>
    <row r="817" spans="1:3" x14ac:dyDescent="0.3">
      <c r="A817" s="2" t="s">
        <v>5128</v>
      </c>
      <c r="B817" s="2" t="s">
        <v>5049</v>
      </c>
      <c r="C817" s="2" t="s">
        <v>5129</v>
      </c>
    </row>
    <row r="818" spans="1:3" x14ac:dyDescent="0.3">
      <c r="A818" s="2" t="s">
        <v>5130</v>
      </c>
      <c r="B818" s="2" t="s">
        <v>5049</v>
      </c>
      <c r="C818" s="2" t="s">
        <v>5129</v>
      </c>
    </row>
    <row r="819" spans="1:3" x14ac:dyDescent="0.3">
      <c r="A819" s="2" t="s">
        <v>5131</v>
      </c>
      <c r="B819" s="2" t="s">
        <v>5049</v>
      </c>
      <c r="C819" s="2" t="s">
        <v>5129</v>
      </c>
    </row>
    <row r="820" spans="1:3" x14ac:dyDescent="0.3">
      <c r="A820" s="2" t="s">
        <v>5132</v>
      </c>
      <c r="B820" s="2" t="s">
        <v>5049</v>
      </c>
      <c r="C820" s="2" t="s">
        <v>5129</v>
      </c>
    </row>
    <row r="821" spans="1:3" x14ac:dyDescent="0.3">
      <c r="A821" s="2" t="s">
        <v>5133</v>
      </c>
      <c r="B821" s="2" t="s">
        <v>5049</v>
      </c>
      <c r="C821" s="2" t="s">
        <v>5129</v>
      </c>
    </row>
    <row r="822" spans="1:3" x14ac:dyDescent="0.3">
      <c r="A822" s="2" t="s">
        <v>5134</v>
      </c>
      <c r="B822" s="2" t="s">
        <v>5049</v>
      </c>
      <c r="C822" s="2" t="s">
        <v>5129</v>
      </c>
    </row>
    <row r="823" spans="1:3" x14ac:dyDescent="0.3">
      <c r="A823" s="2" t="s">
        <v>5135</v>
      </c>
      <c r="B823" s="2" t="s">
        <v>5049</v>
      </c>
      <c r="C823" s="2" t="s">
        <v>5129</v>
      </c>
    </row>
    <row r="824" spans="1:3" x14ac:dyDescent="0.3">
      <c r="A824" s="2" t="s">
        <v>5136</v>
      </c>
      <c r="B824" s="2" t="s">
        <v>5049</v>
      </c>
      <c r="C824" s="2" t="s">
        <v>5129</v>
      </c>
    </row>
    <row r="825" spans="1:3" x14ac:dyDescent="0.3">
      <c r="A825" s="2" t="s">
        <v>5137</v>
      </c>
      <c r="B825" s="2" t="s">
        <v>5049</v>
      </c>
      <c r="C825" s="2" t="s">
        <v>5129</v>
      </c>
    </row>
    <row r="826" spans="1:3" x14ac:dyDescent="0.3">
      <c r="A826" s="2" t="s">
        <v>5138</v>
      </c>
      <c r="B826" s="2" t="s">
        <v>5049</v>
      </c>
      <c r="C826" s="2" t="s">
        <v>5129</v>
      </c>
    </row>
    <row r="827" spans="1:3" x14ac:dyDescent="0.3">
      <c r="A827" s="2" t="s">
        <v>5139</v>
      </c>
      <c r="B827" s="2" t="s">
        <v>5049</v>
      </c>
      <c r="C827" s="2" t="s">
        <v>5129</v>
      </c>
    </row>
    <row r="828" spans="1:3" x14ac:dyDescent="0.3">
      <c r="A828" s="2" t="s">
        <v>5140</v>
      </c>
      <c r="B828" s="2" t="s">
        <v>5049</v>
      </c>
      <c r="C828" s="2" t="s">
        <v>5129</v>
      </c>
    </row>
    <row r="829" spans="1:3" x14ac:dyDescent="0.3">
      <c r="A829" s="2" t="s">
        <v>5141</v>
      </c>
      <c r="B829" s="2" t="s">
        <v>5051</v>
      </c>
      <c r="C829" s="2" t="s">
        <v>5051</v>
      </c>
    </row>
    <row r="830" spans="1:3" x14ac:dyDescent="0.3">
      <c r="A830" s="2" t="s">
        <v>5142</v>
      </c>
      <c r="B830" s="2" t="s">
        <v>5051</v>
      </c>
      <c r="C830" s="2" t="s">
        <v>5051</v>
      </c>
    </row>
    <row r="831" spans="1:3" x14ac:dyDescent="0.3">
      <c r="A831" s="2" t="s">
        <v>5143</v>
      </c>
      <c r="B831" s="2" t="s">
        <v>5051</v>
      </c>
      <c r="C831" s="2" t="s">
        <v>5051</v>
      </c>
    </row>
    <row r="832" spans="1:3" x14ac:dyDescent="0.3">
      <c r="A832" s="2" t="s">
        <v>5144</v>
      </c>
      <c r="B832" s="2" t="s">
        <v>5051</v>
      </c>
      <c r="C832" s="2" t="s">
        <v>5051</v>
      </c>
    </row>
    <row r="833" spans="1:3" x14ac:dyDescent="0.3">
      <c r="A833" s="2" t="s">
        <v>5145</v>
      </c>
      <c r="B833" s="2" t="s">
        <v>5052</v>
      </c>
      <c r="C833" s="2" t="s">
        <v>5052</v>
      </c>
    </row>
    <row r="834" spans="1:3" x14ac:dyDescent="0.3">
      <c r="A834" s="2" t="s">
        <v>5146</v>
      </c>
      <c r="B834" s="2" t="s">
        <v>5052</v>
      </c>
      <c r="C834" s="2" t="s">
        <v>5052</v>
      </c>
    </row>
    <row r="835" spans="1:3" x14ac:dyDescent="0.3">
      <c r="A835" s="2" t="s">
        <v>5147</v>
      </c>
      <c r="B835" s="2" t="s">
        <v>5052</v>
      </c>
      <c r="C835" s="2" t="s">
        <v>5052</v>
      </c>
    </row>
    <row r="836" spans="1:3" x14ac:dyDescent="0.3">
      <c r="A836" s="2" t="s">
        <v>5148</v>
      </c>
      <c r="B836" s="2" t="s">
        <v>5052</v>
      </c>
      <c r="C836" s="2" t="s">
        <v>5052</v>
      </c>
    </row>
    <row r="837" spans="1:3" x14ac:dyDescent="0.3">
      <c r="A837" s="2" t="s">
        <v>5149</v>
      </c>
      <c r="B837" s="2" t="s">
        <v>5052</v>
      </c>
      <c r="C837" s="2" t="s">
        <v>5052</v>
      </c>
    </row>
    <row r="838" spans="1:3" x14ac:dyDescent="0.3">
      <c r="A838" s="2" t="s">
        <v>5150</v>
      </c>
      <c r="B838" s="2" t="s">
        <v>5052</v>
      </c>
      <c r="C838" s="2" t="s">
        <v>5052</v>
      </c>
    </row>
    <row r="839" spans="1:3" x14ac:dyDescent="0.3">
      <c r="A839" s="2" t="s">
        <v>5151</v>
      </c>
      <c r="B839" s="2" t="s">
        <v>5052</v>
      </c>
      <c r="C839" s="2" t="s">
        <v>5052</v>
      </c>
    </row>
    <row r="840" spans="1:3" x14ac:dyDescent="0.3">
      <c r="A840" s="2" t="s">
        <v>5152</v>
      </c>
      <c r="B840" s="2" t="s">
        <v>5052</v>
      </c>
      <c r="C840" s="2" t="s">
        <v>5052</v>
      </c>
    </row>
    <row r="841" spans="1:3" x14ac:dyDescent="0.3">
      <c r="A841" s="2" t="s">
        <v>5153</v>
      </c>
      <c r="B841" s="2" t="s">
        <v>5052</v>
      </c>
      <c r="C841" s="2" t="s">
        <v>5052</v>
      </c>
    </row>
    <row r="842" spans="1:3" x14ac:dyDescent="0.3">
      <c r="A842" s="2" t="s">
        <v>5154</v>
      </c>
      <c r="B842" s="2" t="s">
        <v>5052</v>
      </c>
      <c r="C842" s="2" t="s">
        <v>5052</v>
      </c>
    </row>
    <row r="843" spans="1:3" x14ac:dyDescent="0.3">
      <c r="A843" s="2" t="s">
        <v>5155</v>
      </c>
      <c r="B843" s="2" t="s">
        <v>5052</v>
      </c>
      <c r="C843" s="2" t="s">
        <v>5052</v>
      </c>
    </row>
    <row r="844" spans="1:3" x14ac:dyDescent="0.3">
      <c r="A844" s="2" t="s">
        <v>5156</v>
      </c>
      <c r="B844" s="2" t="s">
        <v>5052</v>
      </c>
      <c r="C844" s="2" t="s">
        <v>5052</v>
      </c>
    </row>
    <row r="845" spans="1:3" x14ac:dyDescent="0.3">
      <c r="A845" s="2" t="s">
        <v>5157</v>
      </c>
      <c r="B845" s="2" t="s">
        <v>5052</v>
      </c>
      <c r="C845" s="2" t="s">
        <v>5052</v>
      </c>
    </row>
    <row r="846" spans="1:3" x14ac:dyDescent="0.3">
      <c r="A846" s="2" t="s">
        <v>5158</v>
      </c>
      <c r="B846" s="2" t="s">
        <v>5052</v>
      </c>
      <c r="C846" s="2" t="s">
        <v>5052</v>
      </c>
    </row>
    <row r="847" spans="1:3" x14ac:dyDescent="0.3">
      <c r="A847" s="2" t="s">
        <v>5159</v>
      </c>
      <c r="B847" s="2" t="s">
        <v>5052</v>
      </c>
      <c r="C847" s="2" t="s">
        <v>5052</v>
      </c>
    </row>
    <row r="848" spans="1:3" x14ac:dyDescent="0.3">
      <c r="A848" s="2" t="s">
        <v>5160</v>
      </c>
      <c r="B848" s="2" t="s">
        <v>5052</v>
      </c>
      <c r="C848" s="2" t="s">
        <v>5052</v>
      </c>
    </row>
    <row r="849" spans="1:3" x14ac:dyDescent="0.3">
      <c r="A849" s="2" t="s">
        <v>5161</v>
      </c>
      <c r="B849" s="2" t="s">
        <v>5052</v>
      </c>
      <c r="C849" s="2" t="s">
        <v>5052</v>
      </c>
    </row>
    <row r="850" spans="1:3" x14ac:dyDescent="0.3">
      <c r="A850" s="2" t="s">
        <v>5162</v>
      </c>
      <c r="B850" s="2" t="s">
        <v>5052</v>
      </c>
      <c r="C850" s="2" t="s">
        <v>5052</v>
      </c>
    </row>
    <row r="851" spans="1:3" x14ac:dyDescent="0.3">
      <c r="A851" s="2" t="s">
        <v>5163</v>
      </c>
      <c r="B851" s="2" t="s">
        <v>5052</v>
      </c>
      <c r="C851" s="2" t="s">
        <v>5052</v>
      </c>
    </row>
    <row r="852" spans="1:3" x14ac:dyDescent="0.3">
      <c r="A852" s="2" t="s">
        <v>5164</v>
      </c>
      <c r="B852" s="2" t="s">
        <v>5052</v>
      </c>
      <c r="C852" s="2" t="s">
        <v>5052</v>
      </c>
    </row>
    <row r="853" spans="1:3" x14ac:dyDescent="0.3">
      <c r="A853" s="2" t="s">
        <v>5165</v>
      </c>
      <c r="B853" s="2" t="s">
        <v>5052</v>
      </c>
      <c r="C853" s="2" t="s">
        <v>5052</v>
      </c>
    </row>
    <row r="854" spans="1:3" x14ac:dyDescent="0.3">
      <c r="A854" s="2" t="s">
        <v>5166</v>
      </c>
      <c r="B854" s="2" t="s">
        <v>5052</v>
      </c>
      <c r="C854" s="2" t="s">
        <v>5052</v>
      </c>
    </row>
    <row r="855" spans="1:3" x14ac:dyDescent="0.3">
      <c r="A855" s="2" t="s">
        <v>5167</v>
      </c>
      <c r="B855" s="2" t="s">
        <v>5052</v>
      </c>
      <c r="C855" s="2" t="s">
        <v>5052</v>
      </c>
    </row>
    <row r="856" spans="1:3" x14ac:dyDescent="0.3">
      <c r="A856" s="2" t="s">
        <v>5168</v>
      </c>
      <c r="B856" s="2" t="s">
        <v>5052</v>
      </c>
      <c r="C856" s="2" t="s">
        <v>5052</v>
      </c>
    </row>
    <row r="857" spans="1:3" x14ac:dyDescent="0.3">
      <c r="A857" s="2" t="s">
        <v>5169</v>
      </c>
      <c r="B857" s="2" t="s">
        <v>5052</v>
      </c>
      <c r="C857" s="2" t="s">
        <v>5052</v>
      </c>
    </row>
    <row r="858" spans="1:3" x14ac:dyDescent="0.3">
      <c r="A858" s="2" t="s">
        <v>5170</v>
      </c>
      <c r="B858" s="2" t="s">
        <v>5052</v>
      </c>
      <c r="C858" s="2" t="s">
        <v>5052</v>
      </c>
    </row>
    <row r="859" spans="1:3" x14ac:dyDescent="0.3">
      <c r="A859" s="2" t="s">
        <v>5171</v>
      </c>
      <c r="B859" s="2" t="s">
        <v>5052</v>
      </c>
      <c r="C859" s="2" t="s">
        <v>5052</v>
      </c>
    </row>
    <row r="860" spans="1:3" x14ac:dyDescent="0.3">
      <c r="A860" s="2" t="s">
        <v>5172</v>
      </c>
      <c r="B860" s="2" t="s">
        <v>5052</v>
      </c>
      <c r="C860" s="2" t="s">
        <v>5052</v>
      </c>
    </row>
    <row r="861" spans="1:3" x14ac:dyDescent="0.3">
      <c r="A861" s="2" t="s">
        <v>5173</v>
      </c>
      <c r="B861" s="2" t="s">
        <v>5052</v>
      </c>
      <c r="C861" s="2" t="s">
        <v>5052</v>
      </c>
    </row>
    <row r="862" spans="1:3" x14ac:dyDescent="0.3">
      <c r="A862" s="2" t="s">
        <v>5174</v>
      </c>
      <c r="B862" s="2" t="s">
        <v>5052</v>
      </c>
      <c r="C862" s="2" t="s">
        <v>5052</v>
      </c>
    </row>
    <row r="863" spans="1:3" x14ac:dyDescent="0.3">
      <c r="A863" s="2" t="s">
        <v>5175</v>
      </c>
      <c r="B863" s="2" t="s">
        <v>5052</v>
      </c>
      <c r="C863" s="2" t="s">
        <v>5052</v>
      </c>
    </row>
    <row r="864" spans="1:3" x14ac:dyDescent="0.3">
      <c r="A864" s="2" t="s">
        <v>5176</v>
      </c>
      <c r="B864" s="2" t="s">
        <v>5052</v>
      </c>
      <c r="C864" s="2" t="s">
        <v>5052</v>
      </c>
    </row>
    <row r="865" spans="1:3" x14ac:dyDescent="0.3">
      <c r="A865" s="2" t="s">
        <v>5177</v>
      </c>
      <c r="B865" s="2" t="s">
        <v>5052</v>
      </c>
      <c r="C865" s="2" t="s">
        <v>5052</v>
      </c>
    </row>
    <row r="866" spans="1:3" x14ac:dyDescent="0.3">
      <c r="A866" s="2" t="s">
        <v>5178</v>
      </c>
      <c r="B866" s="2" t="s">
        <v>5052</v>
      </c>
      <c r="C866" s="2" t="s">
        <v>5052</v>
      </c>
    </row>
    <row r="867" spans="1:3" x14ac:dyDescent="0.3">
      <c r="A867" s="2" t="s">
        <v>5179</v>
      </c>
      <c r="B867" s="2" t="s">
        <v>5052</v>
      </c>
      <c r="C867" s="2" t="s">
        <v>5052</v>
      </c>
    </row>
    <row r="868" spans="1:3" x14ac:dyDescent="0.3">
      <c r="A868" s="2" t="s">
        <v>5180</v>
      </c>
      <c r="B868" s="2" t="s">
        <v>5052</v>
      </c>
      <c r="C868" s="2" t="s">
        <v>5052</v>
      </c>
    </row>
    <row r="869" spans="1:3" x14ac:dyDescent="0.3">
      <c r="A869" s="2" t="s">
        <v>5181</v>
      </c>
      <c r="B869" s="2" t="s">
        <v>5052</v>
      </c>
      <c r="C869" s="2" t="s">
        <v>5052</v>
      </c>
    </row>
    <row r="870" spans="1:3" x14ac:dyDescent="0.3">
      <c r="A870" s="2" t="s">
        <v>5182</v>
      </c>
      <c r="B870" s="2" t="s">
        <v>5052</v>
      </c>
      <c r="C870" s="2" t="s">
        <v>5052</v>
      </c>
    </row>
    <row r="871" spans="1:3" x14ac:dyDescent="0.3">
      <c r="A871" s="2" t="s">
        <v>5183</v>
      </c>
      <c r="B871" s="2" t="s">
        <v>5052</v>
      </c>
      <c r="C871" s="2" t="s">
        <v>5052</v>
      </c>
    </row>
    <row r="872" spans="1:3" x14ac:dyDescent="0.3">
      <c r="A872" s="2" t="s">
        <v>5184</v>
      </c>
      <c r="B872" s="2" t="s">
        <v>5052</v>
      </c>
      <c r="C872" s="2" t="s">
        <v>5052</v>
      </c>
    </row>
    <row r="873" spans="1:3" x14ac:dyDescent="0.3">
      <c r="A873" s="2" t="s">
        <v>5185</v>
      </c>
      <c r="B873" s="2" t="s">
        <v>5052</v>
      </c>
      <c r="C873" s="2" t="s">
        <v>5052</v>
      </c>
    </row>
    <row r="874" spans="1:3" x14ac:dyDescent="0.3">
      <c r="A874" s="2" t="s">
        <v>5186</v>
      </c>
      <c r="B874" s="2" t="s">
        <v>5052</v>
      </c>
      <c r="C874" s="2" t="s">
        <v>5052</v>
      </c>
    </row>
    <row r="875" spans="1:3" x14ac:dyDescent="0.3">
      <c r="A875" s="2" t="s">
        <v>5187</v>
      </c>
      <c r="B875" s="2" t="s">
        <v>5052</v>
      </c>
      <c r="C875" s="2" t="s">
        <v>5052</v>
      </c>
    </row>
    <row r="876" spans="1:3" x14ac:dyDescent="0.3">
      <c r="A876" s="2" t="s">
        <v>5188</v>
      </c>
      <c r="B876" s="2" t="s">
        <v>5052</v>
      </c>
      <c r="C876" s="2" t="s">
        <v>5052</v>
      </c>
    </row>
    <row r="877" spans="1:3" x14ac:dyDescent="0.3">
      <c r="A877" s="2" t="s">
        <v>5189</v>
      </c>
      <c r="B877" s="2" t="s">
        <v>5052</v>
      </c>
      <c r="C877" s="2" t="s">
        <v>5052</v>
      </c>
    </row>
    <row r="878" spans="1:3" x14ac:dyDescent="0.3">
      <c r="A878" s="2" t="s">
        <v>5190</v>
      </c>
      <c r="B878" s="2" t="s">
        <v>5052</v>
      </c>
      <c r="C878" s="2" t="s">
        <v>5052</v>
      </c>
    </row>
    <row r="879" spans="1:3" x14ac:dyDescent="0.3">
      <c r="A879" s="2" t="s">
        <v>5191</v>
      </c>
      <c r="B879" s="2" t="s">
        <v>5052</v>
      </c>
      <c r="C879" s="2" t="s">
        <v>5052</v>
      </c>
    </row>
    <row r="880" spans="1:3" x14ac:dyDescent="0.3">
      <c r="A880" s="2" t="s">
        <v>5192</v>
      </c>
      <c r="B880" s="2" t="s">
        <v>5052</v>
      </c>
      <c r="C880" s="2" t="s">
        <v>5052</v>
      </c>
    </row>
    <row r="881" spans="1:3" x14ac:dyDescent="0.3">
      <c r="A881" s="2" t="s">
        <v>5193</v>
      </c>
      <c r="B881" s="2" t="s">
        <v>5052</v>
      </c>
      <c r="C881" s="2" t="s">
        <v>5052</v>
      </c>
    </row>
    <row r="882" spans="1:3" x14ac:dyDescent="0.3">
      <c r="A882" s="2" t="s">
        <v>5194</v>
      </c>
      <c r="B882" s="2" t="s">
        <v>5052</v>
      </c>
      <c r="C882" s="2" t="s">
        <v>5052</v>
      </c>
    </row>
    <row r="883" spans="1:3" x14ac:dyDescent="0.3">
      <c r="A883" s="2" t="s">
        <v>5195</v>
      </c>
      <c r="B883" s="2" t="s">
        <v>5052</v>
      </c>
      <c r="C883" s="2" t="s">
        <v>5052</v>
      </c>
    </row>
    <row r="884" spans="1:3" x14ac:dyDescent="0.3">
      <c r="A884" s="2" t="s">
        <v>5196</v>
      </c>
      <c r="B884" s="2" t="s">
        <v>5052</v>
      </c>
      <c r="C884" s="2" t="s">
        <v>5052</v>
      </c>
    </row>
    <row r="885" spans="1:3" x14ac:dyDescent="0.3">
      <c r="A885" s="2" t="s">
        <v>5197</v>
      </c>
      <c r="B885" s="2" t="s">
        <v>5052</v>
      </c>
      <c r="C885" s="2" t="s">
        <v>5052</v>
      </c>
    </row>
    <row r="886" spans="1:3" x14ac:dyDescent="0.3">
      <c r="A886" s="2" t="s">
        <v>5198</v>
      </c>
      <c r="B886" s="2" t="s">
        <v>5052</v>
      </c>
      <c r="C886" s="2" t="s">
        <v>5052</v>
      </c>
    </row>
    <row r="887" spans="1:3" x14ac:dyDescent="0.3">
      <c r="A887" s="2" t="s">
        <v>5199</v>
      </c>
      <c r="B887" s="2" t="s">
        <v>5052</v>
      </c>
      <c r="C887" s="2" t="s">
        <v>5052</v>
      </c>
    </row>
    <row r="888" spans="1:3" x14ac:dyDescent="0.3">
      <c r="A888" s="2" t="s">
        <v>5200</v>
      </c>
      <c r="B888" s="2" t="s">
        <v>5052</v>
      </c>
      <c r="C888" s="2" t="s">
        <v>5052</v>
      </c>
    </row>
    <row r="889" spans="1:3" x14ac:dyDescent="0.3">
      <c r="A889" s="2" t="s">
        <v>5201</v>
      </c>
      <c r="B889" s="2" t="s">
        <v>5052</v>
      </c>
      <c r="C889" s="2" t="s">
        <v>5052</v>
      </c>
    </row>
    <row r="890" spans="1:3" x14ac:dyDescent="0.3">
      <c r="A890" s="2" t="s">
        <v>5202</v>
      </c>
      <c r="B890" s="2" t="s">
        <v>5052</v>
      </c>
      <c r="C890" s="2" t="s">
        <v>5052</v>
      </c>
    </row>
    <row r="891" spans="1:3" x14ac:dyDescent="0.3">
      <c r="A891" s="2" t="s">
        <v>5203</v>
      </c>
      <c r="B891" s="2" t="s">
        <v>5052</v>
      </c>
      <c r="C891" s="2" t="s">
        <v>5052</v>
      </c>
    </row>
    <row r="892" spans="1:3" x14ac:dyDescent="0.3">
      <c r="A892" s="2" t="s">
        <v>5204</v>
      </c>
      <c r="B892" s="2" t="s">
        <v>5052</v>
      </c>
      <c r="C892" s="2" t="s">
        <v>5052</v>
      </c>
    </row>
    <row r="893" spans="1:3" x14ac:dyDescent="0.3">
      <c r="A893" s="2" t="s">
        <v>5205</v>
      </c>
      <c r="B893" s="2" t="s">
        <v>5044</v>
      </c>
      <c r="C893" s="2" t="s">
        <v>5206</v>
      </c>
    </row>
    <row r="894" spans="1:3" x14ac:dyDescent="0.3">
      <c r="A894" s="2" t="s">
        <v>5207</v>
      </c>
      <c r="B894" s="2" t="s">
        <v>5044</v>
      </c>
      <c r="C894" s="2" t="s">
        <v>5206</v>
      </c>
    </row>
    <row r="895" spans="1:3" x14ac:dyDescent="0.3">
      <c r="A895" s="2" t="s">
        <v>5208</v>
      </c>
      <c r="B895" s="2" t="s">
        <v>5044</v>
      </c>
      <c r="C895" s="2" t="s">
        <v>5206</v>
      </c>
    </row>
    <row r="896" spans="1:3" x14ac:dyDescent="0.3">
      <c r="A896" s="2" t="s">
        <v>5209</v>
      </c>
      <c r="B896" s="2" t="s">
        <v>5044</v>
      </c>
      <c r="C896" s="2" t="s">
        <v>5206</v>
      </c>
    </row>
    <row r="897" spans="1:3" x14ac:dyDescent="0.3">
      <c r="A897" s="2" t="s">
        <v>5210</v>
      </c>
      <c r="B897" s="2" t="s">
        <v>5053</v>
      </c>
      <c r="C897" s="2" t="s">
        <v>5211</v>
      </c>
    </row>
    <row r="898" spans="1:3" x14ac:dyDescent="0.3">
      <c r="A898" s="2" t="s">
        <v>5212</v>
      </c>
      <c r="B898" s="2" t="s">
        <v>5053</v>
      </c>
      <c r="C898" s="2" t="s">
        <v>5211</v>
      </c>
    </row>
    <row r="899" spans="1:3" x14ac:dyDescent="0.3">
      <c r="A899" s="2" t="s">
        <v>5213</v>
      </c>
      <c r="B899" s="2" t="s">
        <v>5053</v>
      </c>
      <c r="C899" s="2" t="s">
        <v>5211</v>
      </c>
    </row>
    <row r="900" spans="1:3" x14ac:dyDescent="0.3">
      <c r="A900" s="2" t="s">
        <v>5214</v>
      </c>
      <c r="B900" s="2" t="s">
        <v>5053</v>
      </c>
      <c r="C900" s="2" t="s">
        <v>5211</v>
      </c>
    </row>
    <row r="901" spans="1:3" x14ac:dyDescent="0.3">
      <c r="A901" s="2" t="s">
        <v>5215</v>
      </c>
      <c r="B901" s="2" t="s">
        <v>5053</v>
      </c>
      <c r="C901" s="2" t="s">
        <v>5211</v>
      </c>
    </row>
    <row r="902" spans="1:3" x14ac:dyDescent="0.3">
      <c r="A902" s="2" t="s">
        <v>5216</v>
      </c>
      <c r="B902" s="2" t="s">
        <v>5053</v>
      </c>
      <c r="C902" s="2" t="s">
        <v>5211</v>
      </c>
    </row>
    <row r="903" spans="1:3" x14ac:dyDescent="0.3">
      <c r="A903" s="2" t="s">
        <v>5217</v>
      </c>
      <c r="B903" s="2" t="s">
        <v>5053</v>
      </c>
      <c r="C903" s="2" t="s">
        <v>5211</v>
      </c>
    </row>
    <row r="904" spans="1:3" x14ac:dyDescent="0.3">
      <c r="A904" s="2" t="s">
        <v>5218</v>
      </c>
      <c r="B904" s="2" t="s">
        <v>5053</v>
      </c>
      <c r="C904" s="2" t="s">
        <v>5211</v>
      </c>
    </row>
    <row r="905" spans="1:3" x14ac:dyDescent="0.3">
      <c r="A905" s="2" t="s">
        <v>5219</v>
      </c>
      <c r="B905" s="2" t="s">
        <v>5053</v>
      </c>
      <c r="C905" s="2" t="s">
        <v>5211</v>
      </c>
    </row>
    <row r="906" spans="1:3" x14ac:dyDescent="0.3">
      <c r="A906" s="2" t="s">
        <v>5220</v>
      </c>
      <c r="B906" s="2" t="s">
        <v>5053</v>
      </c>
      <c r="C906" s="2" t="s">
        <v>5211</v>
      </c>
    </row>
    <row r="907" spans="1:3" x14ac:dyDescent="0.3">
      <c r="A907" s="2" t="s">
        <v>5221</v>
      </c>
      <c r="B907" s="2" t="s">
        <v>5053</v>
      </c>
      <c r="C907" s="2" t="s">
        <v>5211</v>
      </c>
    </row>
    <row r="908" spans="1:3" x14ac:dyDescent="0.3">
      <c r="A908" s="2" t="s">
        <v>5222</v>
      </c>
      <c r="B908" s="2" t="s">
        <v>5053</v>
      </c>
      <c r="C908" s="2" t="s">
        <v>5211</v>
      </c>
    </row>
    <row r="909" spans="1:3" x14ac:dyDescent="0.3">
      <c r="A909" s="2" t="s">
        <v>5223</v>
      </c>
      <c r="B909" s="2" t="s">
        <v>5053</v>
      </c>
      <c r="C909" s="2" t="s">
        <v>5211</v>
      </c>
    </row>
    <row r="910" spans="1:3" x14ac:dyDescent="0.3">
      <c r="A910" s="2" t="s">
        <v>5224</v>
      </c>
      <c r="B910" s="2" t="s">
        <v>5053</v>
      </c>
      <c r="C910" s="2" t="s">
        <v>5211</v>
      </c>
    </row>
    <row r="911" spans="1:3" x14ac:dyDescent="0.3">
      <c r="A911" s="2" t="s">
        <v>5225</v>
      </c>
      <c r="B911" s="2" t="s">
        <v>5053</v>
      </c>
      <c r="C911" s="2" t="s">
        <v>5211</v>
      </c>
    </row>
    <row r="912" spans="1:3" x14ac:dyDescent="0.3">
      <c r="A912" s="2" t="s">
        <v>5226</v>
      </c>
      <c r="B912" s="2" t="s">
        <v>5053</v>
      </c>
      <c r="C912" s="2" t="s">
        <v>5211</v>
      </c>
    </row>
    <row r="913" spans="1:3" x14ac:dyDescent="0.3">
      <c r="A913" s="2" t="s">
        <v>5227</v>
      </c>
      <c r="B913" s="2" t="s">
        <v>5054</v>
      </c>
      <c r="C913" s="2" t="s">
        <v>5054</v>
      </c>
    </row>
    <row r="914" spans="1:3" x14ac:dyDescent="0.3">
      <c r="A914" s="2" t="s">
        <v>5228</v>
      </c>
      <c r="B914" s="2" t="s">
        <v>5054</v>
      </c>
      <c r="C914" s="2" t="s">
        <v>5054</v>
      </c>
    </row>
  </sheetData>
  <mergeCells count="26">
    <mergeCell ref="A1:D1"/>
    <mergeCell ref="G30:G31"/>
    <mergeCell ref="F38:F39"/>
    <mergeCell ref="I42:I43"/>
    <mergeCell ref="F28:F29"/>
    <mergeCell ref="I38:I39"/>
    <mergeCell ref="I34:I35"/>
    <mergeCell ref="G32:G33"/>
    <mergeCell ref="F34:F35"/>
    <mergeCell ref="G40:G41"/>
    <mergeCell ref="G36:G37"/>
    <mergeCell ref="I40:I41"/>
    <mergeCell ref="F6:G6"/>
    <mergeCell ref="G38:G39"/>
    <mergeCell ref="G34:G35"/>
    <mergeCell ref="F30:F31"/>
    <mergeCell ref="G42:G43"/>
    <mergeCell ref="I36:I37"/>
    <mergeCell ref="F42:F43"/>
    <mergeCell ref="I28:I29"/>
    <mergeCell ref="F32:F33"/>
    <mergeCell ref="G28:G29"/>
    <mergeCell ref="F40:F41"/>
    <mergeCell ref="I32:I33"/>
    <mergeCell ref="I30:I31"/>
    <mergeCell ref="F36:F37"/>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553"/>
  <sheetViews>
    <sheetView topLeftCell="A477" workbookViewId="0">
      <selection activeCell="A483" sqref="A483:B553"/>
    </sheetView>
  </sheetViews>
  <sheetFormatPr defaultColWidth="8.6640625" defaultRowHeight="14.4" x14ac:dyDescent="0.3"/>
  <cols>
    <col min="1" max="1" width="39.5546875" bestFit="1" customWidth="1"/>
    <col min="2" max="2" width="54.5546875" customWidth="1"/>
    <col min="3" max="3" width="60" customWidth="1"/>
    <col min="4" max="4" width="67" customWidth="1"/>
    <col min="8" max="8" width="27.109375" customWidth="1"/>
    <col min="9" max="10" width="29" customWidth="1"/>
    <col min="11" max="11" width="63.33203125" bestFit="1" customWidth="1"/>
  </cols>
  <sheetData>
    <row r="1" spans="1:9" ht="19.2" customHeight="1" x14ac:dyDescent="0.3">
      <c r="A1" s="35" t="s">
        <v>5039</v>
      </c>
      <c r="B1" s="36"/>
      <c r="C1" s="36"/>
      <c r="D1" s="36"/>
    </row>
    <row r="2" spans="1:9" ht="30" customHeight="1" x14ac:dyDescent="0.3">
      <c r="A2" s="1" t="s">
        <v>1</v>
      </c>
      <c r="B2" s="1" t="s">
        <v>2</v>
      </c>
      <c r="C2" s="1" t="s">
        <v>5040</v>
      </c>
      <c r="D2" s="1" t="s">
        <v>5041</v>
      </c>
    </row>
    <row r="3" spans="1:9" ht="18" customHeight="1" x14ac:dyDescent="0.3">
      <c r="A3" s="2" t="s">
        <v>1369</v>
      </c>
      <c r="B3" s="2" t="s">
        <v>7</v>
      </c>
      <c r="C3" s="2" t="s">
        <v>5042</v>
      </c>
      <c r="D3" s="2"/>
    </row>
    <row r="4" spans="1:9" ht="18" customHeight="1" x14ac:dyDescent="0.3">
      <c r="A4" s="2" t="s">
        <v>1371</v>
      </c>
      <c r="B4" s="2" t="s">
        <v>7</v>
      </c>
      <c r="C4" s="2" t="s">
        <v>5042</v>
      </c>
      <c r="D4" s="2"/>
    </row>
    <row r="5" spans="1:9" ht="18" customHeight="1" x14ac:dyDescent="0.3">
      <c r="A5" s="2" t="s">
        <v>1373</v>
      </c>
      <c r="B5" s="2" t="s">
        <v>7</v>
      </c>
      <c r="C5" s="2" t="s">
        <v>5042</v>
      </c>
      <c r="D5" s="2"/>
    </row>
    <row r="6" spans="1:9" ht="18" customHeight="1" x14ac:dyDescent="0.3">
      <c r="A6" s="2" t="s">
        <v>1375</v>
      </c>
      <c r="B6" s="2" t="s">
        <v>7</v>
      </c>
      <c r="C6" s="2" t="s">
        <v>5042</v>
      </c>
      <c r="D6" s="2"/>
      <c r="H6" s="40" t="s">
        <v>5043</v>
      </c>
      <c r="I6" s="41"/>
    </row>
    <row r="7" spans="1:9" ht="18" customHeight="1" x14ac:dyDescent="0.3">
      <c r="A7" s="2" t="s">
        <v>1377</v>
      </c>
      <c r="B7" s="2" t="s">
        <v>7</v>
      </c>
      <c r="C7" s="2" t="s">
        <v>5042</v>
      </c>
      <c r="D7" s="2"/>
      <c r="H7" s="3" t="s">
        <v>7</v>
      </c>
      <c r="I7" s="4">
        <f>COUNTIF(B:B,"AHU")</f>
        <v>15</v>
      </c>
    </row>
    <row r="8" spans="1:9" ht="18" customHeight="1" x14ac:dyDescent="0.3">
      <c r="A8" s="2" t="s">
        <v>1378</v>
      </c>
      <c r="B8" s="2" t="s">
        <v>7</v>
      </c>
      <c r="C8" s="2" t="s">
        <v>5042</v>
      </c>
      <c r="D8" s="2"/>
      <c r="H8" s="3" t="s">
        <v>45</v>
      </c>
      <c r="I8" s="4">
        <f>COUNTIF(B:B,"FCU")</f>
        <v>137</v>
      </c>
    </row>
    <row r="9" spans="1:9" ht="18" customHeight="1" x14ac:dyDescent="0.3">
      <c r="A9" s="2" t="s">
        <v>1379</v>
      </c>
      <c r="B9" s="2" t="s">
        <v>7</v>
      </c>
      <c r="C9" s="2" t="s">
        <v>5042</v>
      </c>
      <c r="D9" s="2"/>
      <c r="H9" s="3" t="s">
        <v>5044</v>
      </c>
      <c r="I9" s="4">
        <f>COUNTIF(B:B,"CHW Pump")</f>
        <v>6</v>
      </c>
    </row>
    <row r="10" spans="1:9" ht="18" customHeight="1" x14ac:dyDescent="0.3">
      <c r="A10" s="2" t="s">
        <v>1380</v>
      </c>
      <c r="B10" s="2" t="s">
        <v>7</v>
      </c>
      <c r="C10" s="2" t="s">
        <v>5042</v>
      </c>
      <c r="D10" s="2"/>
      <c r="H10" s="3" t="s">
        <v>5045</v>
      </c>
      <c r="I10" s="4">
        <f>COUNTIF(B:B,"VAV")</f>
        <v>248</v>
      </c>
    </row>
    <row r="11" spans="1:9" ht="18" customHeight="1" x14ac:dyDescent="0.3">
      <c r="A11" s="2" t="s">
        <v>1381</v>
      </c>
      <c r="B11" s="2" t="s">
        <v>7</v>
      </c>
      <c r="C11" s="2" t="s">
        <v>5042</v>
      </c>
      <c r="D11" s="2"/>
      <c r="H11" s="3" t="s">
        <v>5229</v>
      </c>
      <c r="I11" s="4">
        <f>COUNTIF(B:B,"CAV")</f>
        <v>51</v>
      </c>
    </row>
    <row r="12" spans="1:9" ht="18" customHeight="1" x14ac:dyDescent="0.3">
      <c r="A12" s="2" t="s">
        <v>1382</v>
      </c>
      <c r="B12" s="2" t="s">
        <v>7</v>
      </c>
      <c r="C12" s="2" t="s">
        <v>5042</v>
      </c>
      <c r="D12" s="2"/>
      <c r="H12" s="3" t="s">
        <v>5046</v>
      </c>
      <c r="I12" s="4">
        <f>COUNTIF(B:B,"DX Unit")</f>
        <v>24</v>
      </c>
    </row>
    <row r="13" spans="1:9" ht="18" customHeight="1" x14ac:dyDescent="0.3">
      <c r="A13" s="2" t="s">
        <v>1383</v>
      </c>
      <c r="B13" s="2" t="s">
        <v>7</v>
      </c>
      <c r="C13" s="2" t="s">
        <v>5042</v>
      </c>
      <c r="D13" s="2"/>
      <c r="H13" s="3" t="s">
        <v>5047</v>
      </c>
      <c r="I13" s="4">
        <f>COUNTIF(B:B,"HEX")</f>
        <v>5</v>
      </c>
    </row>
    <row r="14" spans="1:9" ht="18" customHeight="1" x14ac:dyDescent="0.3">
      <c r="A14" s="2" t="s">
        <v>1384</v>
      </c>
      <c r="B14" s="2" t="s">
        <v>7</v>
      </c>
      <c r="C14" s="2" t="s">
        <v>5042</v>
      </c>
      <c r="D14" s="2"/>
      <c r="H14" s="3" t="s">
        <v>5048</v>
      </c>
      <c r="I14" s="4">
        <f>COUNTIF(B:B,"CCU")</f>
        <v>22</v>
      </c>
    </row>
    <row r="15" spans="1:9" ht="18" customHeight="1" x14ac:dyDescent="0.3">
      <c r="A15" s="2" t="s">
        <v>1385</v>
      </c>
      <c r="B15" s="2" t="s">
        <v>7</v>
      </c>
      <c r="C15" s="2" t="s">
        <v>5042</v>
      </c>
      <c r="D15" s="2"/>
      <c r="H15" s="3" t="s">
        <v>5049</v>
      </c>
      <c r="I15" s="4">
        <f>COUNTIF(B:B,"EF")</f>
        <v>18</v>
      </c>
    </row>
    <row r="16" spans="1:9" ht="18" customHeight="1" x14ac:dyDescent="0.3">
      <c r="A16" s="2" t="s">
        <v>1386</v>
      </c>
      <c r="B16" s="2" t="s">
        <v>7</v>
      </c>
      <c r="C16" s="2" t="s">
        <v>5042</v>
      </c>
      <c r="D16" s="2"/>
      <c r="H16" s="3" t="s">
        <v>5230</v>
      </c>
      <c r="I16" s="4">
        <f>COUNTIF(B:B,"SEF")</f>
        <v>12</v>
      </c>
    </row>
    <row r="17" spans="1:11" ht="18" customHeight="1" x14ac:dyDescent="0.3">
      <c r="A17" s="2" t="s">
        <v>1387</v>
      </c>
      <c r="B17" s="2" t="s">
        <v>7</v>
      </c>
      <c r="C17" s="2" t="s">
        <v>5042</v>
      </c>
      <c r="D17" s="2"/>
      <c r="H17" s="3" t="s">
        <v>5051</v>
      </c>
      <c r="I17" s="4">
        <f>COUNTIF(B:B,"TEF")</f>
        <v>8</v>
      </c>
    </row>
    <row r="18" spans="1:11" ht="18" customHeight="1" x14ac:dyDescent="0.3">
      <c r="A18" s="2" t="s">
        <v>5231</v>
      </c>
      <c r="B18" s="2" t="s">
        <v>5046</v>
      </c>
      <c r="C18" s="2" t="s">
        <v>5046</v>
      </c>
      <c r="D18" s="2"/>
      <c r="H18" s="3" t="s">
        <v>5232</v>
      </c>
      <c r="I18" s="4">
        <f>COUNTIF(B:B,"KEF")</f>
        <v>4</v>
      </c>
    </row>
    <row r="19" spans="1:11" ht="18" customHeight="1" x14ac:dyDescent="0.3">
      <c r="A19" s="2" t="s">
        <v>5233</v>
      </c>
      <c r="B19" s="2" t="s">
        <v>5046</v>
      </c>
      <c r="C19" s="2" t="s">
        <v>5046</v>
      </c>
      <c r="D19" s="2"/>
      <c r="H19" s="3" t="s">
        <v>5054</v>
      </c>
      <c r="I19" s="4">
        <f>COUNTIF(B:B,"Generator")</f>
        <v>1</v>
      </c>
    </row>
    <row r="20" spans="1:11" ht="18" customHeight="1" x14ac:dyDescent="0.3">
      <c r="A20" s="2" t="s">
        <v>5234</v>
      </c>
      <c r="B20" s="2" t="s">
        <v>5046</v>
      </c>
      <c r="C20" s="2" t="s">
        <v>5046</v>
      </c>
      <c r="D20" s="2"/>
      <c r="H20" s="5" t="s">
        <v>5055</v>
      </c>
      <c r="I20" s="5">
        <f>SUM(I7:I18)</f>
        <v>550</v>
      </c>
    </row>
    <row r="21" spans="1:11" ht="18" customHeight="1" x14ac:dyDescent="0.3">
      <c r="A21" s="2" t="s">
        <v>5235</v>
      </c>
      <c r="B21" s="2" t="s">
        <v>5046</v>
      </c>
      <c r="C21" s="2" t="s">
        <v>5046</v>
      </c>
      <c r="D21" s="2"/>
    </row>
    <row r="22" spans="1:11" ht="18" customHeight="1" x14ac:dyDescent="0.3">
      <c r="A22" s="2" t="s">
        <v>5236</v>
      </c>
      <c r="B22" s="2" t="s">
        <v>5046</v>
      </c>
      <c r="C22" s="2" t="s">
        <v>5046</v>
      </c>
      <c r="D22" s="2"/>
    </row>
    <row r="23" spans="1:11" ht="18" customHeight="1" x14ac:dyDescent="0.3">
      <c r="A23" s="2" t="s">
        <v>5237</v>
      </c>
      <c r="B23" s="2" t="s">
        <v>5046</v>
      </c>
      <c r="C23" s="2" t="s">
        <v>5046</v>
      </c>
      <c r="D23" s="2"/>
    </row>
    <row r="24" spans="1:11" ht="18" customHeight="1" x14ac:dyDescent="0.3">
      <c r="A24" s="2" t="s">
        <v>5238</v>
      </c>
      <c r="B24" s="2" t="s">
        <v>5046</v>
      </c>
      <c r="C24" s="2" t="s">
        <v>5046</v>
      </c>
      <c r="D24" s="2"/>
      <c r="H24" s="6" t="s">
        <v>5056</v>
      </c>
      <c r="I24" s="6" t="s">
        <v>5057</v>
      </c>
      <c r="J24" s="6" t="s">
        <v>5058</v>
      </c>
      <c r="K24" s="6" t="s">
        <v>5059</v>
      </c>
    </row>
    <row r="25" spans="1:11" ht="18" customHeight="1" x14ac:dyDescent="0.3">
      <c r="A25" s="2" t="s">
        <v>5239</v>
      </c>
      <c r="B25" s="2" t="s">
        <v>5046</v>
      </c>
      <c r="C25" s="2" t="s">
        <v>5046</v>
      </c>
      <c r="D25" s="2"/>
      <c r="H25" s="2">
        <v>1</v>
      </c>
      <c r="I25" s="2" t="s">
        <v>5049</v>
      </c>
      <c r="J25" s="2" t="s">
        <v>5240</v>
      </c>
      <c r="K25" s="2" t="s">
        <v>5241</v>
      </c>
    </row>
    <row r="26" spans="1:11" ht="18" customHeight="1" x14ac:dyDescent="0.3">
      <c r="A26" s="2" t="s">
        <v>5242</v>
      </c>
      <c r="B26" s="2" t="s">
        <v>5046</v>
      </c>
      <c r="C26" s="2" t="s">
        <v>5046</v>
      </c>
      <c r="D26" s="2"/>
      <c r="H26" s="2">
        <v>2</v>
      </c>
      <c r="I26" s="2" t="s">
        <v>5049</v>
      </c>
      <c r="J26" s="2" t="s">
        <v>5243</v>
      </c>
      <c r="K26" s="2" t="s">
        <v>5244</v>
      </c>
    </row>
    <row r="27" spans="1:11" ht="18" customHeight="1" x14ac:dyDescent="0.3">
      <c r="A27" s="2" t="s">
        <v>5245</v>
      </c>
      <c r="B27" s="2" t="s">
        <v>5046</v>
      </c>
      <c r="C27" s="2" t="s">
        <v>5046</v>
      </c>
      <c r="D27" s="2"/>
      <c r="H27" s="2">
        <v>3</v>
      </c>
      <c r="I27" s="2" t="s">
        <v>5049</v>
      </c>
      <c r="J27" s="2" t="s">
        <v>5246</v>
      </c>
      <c r="K27" s="2" t="s">
        <v>5247</v>
      </c>
    </row>
    <row r="28" spans="1:11" ht="18" customHeight="1" x14ac:dyDescent="0.3">
      <c r="A28" s="2" t="s">
        <v>5248</v>
      </c>
      <c r="B28" s="2" t="s">
        <v>5046</v>
      </c>
      <c r="C28" s="2" t="s">
        <v>5046</v>
      </c>
      <c r="D28" s="2"/>
      <c r="H28" s="2">
        <v>4</v>
      </c>
      <c r="I28" s="2" t="s">
        <v>5049</v>
      </c>
      <c r="J28" s="2" t="s">
        <v>5249</v>
      </c>
      <c r="K28" s="2" t="s">
        <v>5250</v>
      </c>
    </row>
    <row r="29" spans="1:11" ht="18" customHeight="1" x14ac:dyDescent="0.3">
      <c r="A29" s="2" t="s">
        <v>5251</v>
      </c>
      <c r="B29" s="2" t="s">
        <v>5046</v>
      </c>
      <c r="C29" s="2" t="s">
        <v>5046</v>
      </c>
      <c r="D29" s="2"/>
      <c r="H29" s="2">
        <v>5</v>
      </c>
      <c r="I29" s="2" t="s">
        <v>5049</v>
      </c>
      <c r="J29" s="2" t="s">
        <v>5252</v>
      </c>
      <c r="K29" s="2" t="s">
        <v>5253</v>
      </c>
    </row>
    <row r="30" spans="1:11" ht="18" customHeight="1" x14ac:dyDescent="0.3">
      <c r="A30" s="2" t="s">
        <v>5254</v>
      </c>
      <c r="B30" s="2" t="s">
        <v>5046</v>
      </c>
      <c r="C30" s="2" t="s">
        <v>5046</v>
      </c>
      <c r="D30" s="2"/>
      <c r="H30" s="2">
        <v>6</v>
      </c>
      <c r="I30" s="2" t="s">
        <v>5046</v>
      </c>
      <c r="J30" s="2" t="s">
        <v>5076</v>
      </c>
      <c r="K30" s="2" t="s">
        <v>5255</v>
      </c>
    </row>
    <row r="31" spans="1:11" ht="18" customHeight="1" x14ac:dyDescent="0.3">
      <c r="A31" s="2" t="s">
        <v>5256</v>
      </c>
      <c r="B31" s="2" t="s">
        <v>5046</v>
      </c>
      <c r="C31" s="2" t="s">
        <v>5046</v>
      </c>
      <c r="D31" s="2"/>
      <c r="H31" s="2">
        <v>7</v>
      </c>
      <c r="I31" s="2" t="s">
        <v>5046</v>
      </c>
      <c r="J31" s="2" t="s">
        <v>5078</v>
      </c>
      <c r="K31" s="2" t="s">
        <v>5257</v>
      </c>
    </row>
    <row r="32" spans="1:11" ht="18" customHeight="1" x14ac:dyDescent="0.3">
      <c r="A32" s="2" t="s">
        <v>5258</v>
      </c>
      <c r="B32" s="2" t="s">
        <v>5046</v>
      </c>
      <c r="C32" s="2" t="s">
        <v>5046</v>
      </c>
      <c r="D32" s="2"/>
      <c r="H32" s="2">
        <v>8</v>
      </c>
      <c r="I32" s="2" t="s">
        <v>5046</v>
      </c>
      <c r="J32" s="2" t="s">
        <v>5079</v>
      </c>
      <c r="K32" s="2" t="s">
        <v>5259</v>
      </c>
    </row>
    <row r="33" spans="1:11" ht="18" customHeight="1" x14ac:dyDescent="0.3">
      <c r="A33" s="2" t="s">
        <v>5260</v>
      </c>
      <c r="B33" s="2" t="s">
        <v>5046</v>
      </c>
      <c r="C33" s="2" t="s">
        <v>5046</v>
      </c>
      <c r="D33" s="2"/>
      <c r="H33" s="2">
        <v>9</v>
      </c>
      <c r="I33" s="2" t="s">
        <v>5046</v>
      </c>
      <c r="J33" s="2" t="s">
        <v>5261</v>
      </c>
      <c r="K33" s="2" t="s">
        <v>5262</v>
      </c>
    </row>
    <row r="34" spans="1:11" ht="18" customHeight="1" x14ac:dyDescent="0.3">
      <c r="A34" s="2" t="s">
        <v>5263</v>
      </c>
      <c r="B34" s="2" t="s">
        <v>5046</v>
      </c>
      <c r="C34" s="2" t="s">
        <v>5046</v>
      </c>
      <c r="D34" s="2"/>
      <c r="H34" s="2">
        <v>10</v>
      </c>
      <c r="I34" s="2" t="s">
        <v>5046</v>
      </c>
      <c r="J34" s="2" t="s">
        <v>5264</v>
      </c>
      <c r="K34" s="2" t="s">
        <v>5265</v>
      </c>
    </row>
    <row r="35" spans="1:11" ht="18" customHeight="1" x14ac:dyDescent="0.3">
      <c r="A35" s="2" t="s">
        <v>5266</v>
      </c>
      <c r="B35" s="2" t="s">
        <v>5046</v>
      </c>
      <c r="C35" s="2" t="s">
        <v>5046</v>
      </c>
      <c r="D35" s="2"/>
      <c r="H35" s="2">
        <v>11</v>
      </c>
      <c r="I35" s="2" t="s">
        <v>5046</v>
      </c>
      <c r="J35" s="2" t="s">
        <v>5267</v>
      </c>
      <c r="K35" s="2" t="s">
        <v>5268</v>
      </c>
    </row>
    <row r="36" spans="1:11" ht="18" customHeight="1" x14ac:dyDescent="0.3">
      <c r="A36" s="2" t="s">
        <v>5269</v>
      </c>
      <c r="B36" s="2" t="s">
        <v>5046</v>
      </c>
      <c r="C36" s="2" t="s">
        <v>5046</v>
      </c>
      <c r="D36" s="2"/>
      <c r="H36" s="2">
        <v>12</v>
      </c>
      <c r="I36" s="2" t="s">
        <v>5046</v>
      </c>
      <c r="J36" s="2" t="s">
        <v>5270</v>
      </c>
      <c r="K36" s="2" t="s">
        <v>5087</v>
      </c>
    </row>
    <row r="37" spans="1:11" ht="18" customHeight="1" x14ac:dyDescent="0.3">
      <c r="A37" s="2" t="s">
        <v>5271</v>
      </c>
      <c r="B37" s="2" t="s">
        <v>5046</v>
      </c>
      <c r="C37" s="2" t="s">
        <v>5046</v>
      </c>
      <c r="D37" s="2"/>
      <c r="H37" s="2">
        <v>13</v>
      </c>
      <c r="I37" s="2" t="s">
        <v>5046</v>
      </c>
      <c r="J37" s="2" t="s">
        <v>5272</v>
      </c>
      <c r="K37" s="2" t="s">
        <v>5087</v>
      </c>
    </row>
    <row r="38" spans="1:11" ht="18" customHeight="1" x14ac:dyDescent="0.3">
      <c r="A38" s="2" t="s">
        <v>5273</v>
      </c>
      <c r="B38" s="2" t="s">
        <v>5046</v>
      </c>
      <c r="C38" s="2" t="s">
        <v>5046</v>
      </c>
      <c r="D38" s="2"/>
      <c r="H38" s="2">
        <v>14</v>
      </c>
      <c r="I38" s="2" t="s">
        <v>5046</v>
      </c>
      <c r="J38" s="2" t="s">
        <v>5274</v>
      </c>
      <c r="K38" s="2" t="s">
        <v>5087</v>
      </c>
    </row>
    <row r="39" spans="1:11" ht="18" customHeight="1" x14ac:dyDescent="0.3">
      <c r="A39" s="2" t="s">
        <v>5270</v>
      </c>
      <c r="B39" s="2" t="s">
        <v>5046</v>
      </c>
      <c r="C39" s="2" t="s">
        <v>5046</v>
      </c>
      <c r="D39" s="7" t="s">
        <v>5275</v>
      </c>
      <c r="H39" s="2">
        <v>15</v>
      </c>
      <c r="I39" s="2" t="s">
        <v>5099</v>
      </c>
      <c r="J39" s="2" t="s">
        <v>5103</v>
      </c>
      <c r="K39" s="2" t="s">
        <v>5276</v>
      </c>
    </row>
    <row r="40" spans="1:11" ht="18" customHeight="1" x14ac:dyDescent="0.3">
      <c r="A40" s="2" t="s">
        <v>5272</v>
      </c>
      <c r="B40" s="2" t="s">
        <v>5046</v>
      </c>
      <c r="C40" s="2" t="s">
        <v>5046</v>
      </c>
      <c r="D40" s="7" t="s">
        <v>5275</v>
      </c>
      <c r="H40" s="2">
        <v>16</v>
      </c>
      <c r="I40" s="2" t="s">
        <v>5048</v>
      </c>
      <c r="J40" s="2" t="s">
        <v>5277</v>
      </c>
      <c r="K40" s="2" t="s">
        <v>5278</v>
      </c>
    </row>
    <row r="41" spans="1:11" ht="18" customHeight="1" x14ac:dyDescent="0.3">
      <c r="A41" s="2" t="s">
        <v>5274</v>
      </c>
      <c r="B41" s="2" t="s">
        <v>5046</v>
      </c>
      <c r="C41" s="2" t="s">
        <v>5046</v>
      </c>
      <c r="D41" s="7" t="s">
        <v>5275</v>
      </c>
    </row>
    <row r="42" spans="1:11" ht="18" customHeight="1" x14ac:dyDescent="0.3">
      <c r="A42" s="2" t="s">
        <v>1388</v>
      </c>
      <c r="B42" s="2" t="s">
        <v>45</v>
      </c>
      <c r="C42" s="2" t="s">
        <v>5096</v>
      </c>
      <c r="D42" s="2"/>
    </row>
    <row r="43" spans="1:11" ht="18" customHeight="1" x14ac:dyDescent="0.3">
      <c r="A43" s="2" t="s">
        <v>1389</v>
      </c>
      <c r="B43" s="2" t="s">
        <v>45</v>
      </c>
      <c r="C43" s="2" t="s">
        <v>5096</v>
      </c>
      <c r="D43" s="2"/>
    </row>
    <row r="44" spans="1:11" ht="18" customHeight="1" x14ac:dyDescent="0.3">
      <c r="A44" s="2" t="s">
        <v>1391</v>
      </c>
      <c r="B44" s="2" t="s">
        <v>45</v>
      </c>
      <c r="C44" s="2" t="s">
        <v>5096</v>
      </c>
      <c r="D44" s="2"/>
    </row>
    <row r="45" spans="1:11" ht="18" customHeight="1" x14ac:dyDescent="0.3">
      <c r="A45" s="2" t="s">
        <v>1393</v>
      </c>
      <c r="B45" s="2" t="s">
        <v>45</v>
      </c>
      <c r="C45" s="2" t="s">
        <v>5096</v>
      </c>
      <c r="D45" s="2"/>
    </row>
    <row r="46" spans="1:11" ht="18" customHeight="1" x14ac:dyDescent="0.3">
      <c r="A46" s="2" t="s">
        <v>1394</v>
      </c>
      <c r="B46" s="2" t="s">
        <v>45</v>
      </c>
      <c r="C46" s="2" t="s">
        <v>5096</v>
      </c>
      <c r="D46" s="2"/>
    </row>
    <row r="47" spans="1:11" ht="18" customHeight="1" x14ac:dyDescent="0.3">
      <c r="A47" s="2" t="s">
        <v>1395</v>
      </c>
      <c r="B47" s="2" t="s">
        <v>45</v>
      </c>
      <c r="C47" s="2" t="s">
        <v>5096</v>
      </c>
      <c r="D47" s="2"/>
    </row>
    <row r="48" spans="1:11" ht="18" customHeight="1" x14ac:dyDescent="0.3">
      <c r="A48" s="2" t="s">
        <v>1396</v>
      </c>
      <c r="B48" s="2" t="s">
        <v>45</v>
      </c>
      <c r="C48" s="2" t="s">
        <v>5096</v>
      </c>
      <c r="D48" s="2"/>
    </row>
    <row r="49" spans="1:4" ht="18" customHeight="1" x14ac:dyDescent="0.3">
      <c r="A49" s="2" t="s">
        <v>1397</v>
      </c>
      <c r="B49" s="2" t="s">
        <v>45</v>
      </c>
      <c r="C49" s="2" t="s">
        <v>5096</v>
      </c>
      <c r="D49" s="2"/>
    </row>
    <row r="50" spans="1:4" ht="18" customHeight="1" x14ac:dyDescent="0.3">
      <c r="A50" s="2" t="s">
        <v>1398</v>
      </c>
      <c r="B50" s="2" t="s">
        <v>45</v>
      </c>
      <c r="C50" s="2" t="s">
        <v>5096</v>
      </c>
      <c r="D50" s="2"/>
    </row>
    <row r="51" spans="1:4" ht="18" customHeight="1" x14ac:dyDescent="0.3">
      <c r="A51" s="2" t="s">
        <v>1399</v>
      </c>
      <c r="B51" s="2" t="s">
        <v>45</v>
      </c>
      <c r="C51" s="2" t="s">
        <v>5096</v>
      </c>
      <c r="D51" s="2"/>
    </row>
    <row r="52" spans="1:4" ht="18" customHeight="1" x14ac:dyDescent="0.3">
      <c r="A52" s="2" t="s">
        <v>1400</v>
      </c>
      <c r="B52" s="2" t="s">
        <v>45</v>
      </c>
      <c r="C52" s="2" t="s">
        <v>5096</v>
      </c>
      <c r="D52" s="2"/>
    </row>
    <row r="53" spans="1:4" ht="18" customHeight="1" x14ac:dyDescent="0.3">
      <c r="A53" s="2" t="s">
        <v>1401</v>
      </c>
      <c r="B53" s="2" t="s">
        <v>45</v>
      </c>
      <c r="C53" s="2" t="s">
        <v>5096</v>
      </c>
      <c r="D53" s="2"/>
    </row>
    <row r="54" spans="1:4" ht="18" customHeight="1" x14ac:dyDescent="0.3">
      <c r="A54" s="2" t="s">
        <v>1402</v>
      </c>
      <c r="B54" s="2" t="s">
        <v>45</v>
      </c>
      <c r="C54" s="2" t="s">
        <v>5096</v>
      </c>
      <c r="D54" s="2"/>
    </row>
    <row r="55" spans="1:4" ht="18" customHeight="1" x14ac:dyDescent="0.3">
      <c r="A55" s="2" t="s">
        <v>1403</v>
      </c>
      <c r="B55" s="2" t="s">
        <v>45</v>
      </c>
      <c r="C55" s="2" t="s">
        <v>5096</v>
      </c>
      <c r="D55" s="2"/>
    </row>
    <row r="56" spans="1:4" ht="18" customHeight="1" x14ac:dyDescent="0.3">
      <c r="A56" s="2" t="s">
        <v>1404</v>
      </c>
      <c r="B56" s="2" t="s">
        <v>45</v>
      </c>
      <c r="C56" s="2" t="s">
        <v>5096</v>
      </c>
      <c r="D56" s="2"/>
    </row>
    <row r="57" spans="1:4" ht="18" customHeight="1" x14ac:dyDescent="0.3">
      <c r="A57" s="2" t="s">
        <v>1405</v>
      </c>
      <c r="B57" s="2" t="s">
        <v>45</v>
      </c>
      <c r="C57" s="2" t="s">
        <v>5096</v>
      </c>
      <c r="D57" s="2"/>
    </row>
    <row r="58" spans="1:4" ht="18" customHeight="1" x14ac:dyDescent="0.3">
      <c r="A58" s="2" t="s">
        <v>1406</v>
      </c>
      <c r="B58" s="2" t="s">
        <v>45</v>
      </c>
      <c r="C58" s="2" t="s">
        <v>5096</v>
      </c>
      <c r="D58" s="2"/>
    </row>
    <row r="59" spans="1:4" ht="18" customHeight="1" x14ac:dyDescent="0.3">
      <c r="A59" s="2" t="s">
        <v>1407</v>
      </c>
      <c r="B59" s="2" t="s">
        <v>45</v>
      </c>
      <c r="C59" s="2" t="s">
        <v>5096</v>
      </c>
      <c r="D59" s="2"/>
    </row>
    <row r="60" spans="1:4" ht="18" customHeight="1" x14ac:dyDescent="0.3">
      <c r="A60" s="2" t="s">
        <v>1408</v>
      </c>
      <c r="B60" s="2" t="s">
        <v>45</v>
      </c>
      <c r="C60" s="2" t="s">
        <v>5096</v>
      </c>
      <c r="D60" s="2"/>
    </row>
    <row r="61" spans="1:4" ht="18" customHeight="1" x14ac:dyDescent="0.3">
      <c r="A61" s="2" t="s">
        <v>1409</v>
      </c>
      <c r="B61" s="2" t="s">
        <v>45</v>
      </c>
      <c r="C61" s="2" t="s">
        <v>5096</v>
      </c>
      <c r="D61" s="2"/>
    </row>
    <row r="62" spans="1:4" ht="18" customHeight="1" x14ac:dyDescent="0.3">
      <c r="A62" s="2" t="s">
        <v>1410</v>
      </c>
      <c r="B62" s="2" t="s">
        <v>45</v>
      </c>
      <c r="C62" s="2" t="s">
        <v>5096</v>
      </c>
      <c r="D62" s="2"/>
    </row>
    <row r="63" spans="1:4" ht="18" customHeight="1" x14ac:dyDescent="0.3">
      <c r="A63" s="2" t="s">
        <v>1411</v>
      </c>
      <c r="B63" s="2" t="s">
        <v>45</v>
      </c>
      <c r="C63" s="2" t="s">
        <v>5096</v>
      </c>
      <c r="D63" s="2"/>
    </row>
    <row r="64" spans="1:4" ht="18" customHeight="1" x14ac:dyDescent="0.3">
      <c r="A64" s="2" t="s">
        <v>1412</v>
      </c>
      <c r="B64" s="2" t="s">
        <v>45</v>
      </c>
      <c r="C64" s="2" t="s">
        <v>5096</v>
      </c>
      <c r="D64" s="2"/>
    </row>
    <row r="65" spans="1:4" ht="18" customHeight="1" x14ac:dyDescent="0.3">
      <c r="A65" s="2" t="s">
        <v>1413</v>
      </c>
      <c r="B65" s="2" t="s">
        <v>45</v>
      </c>
      <c r="C65" s="2" t="s">
        <v>5096</v>
      </c>
      <c r="D65" s="2"/>
    </row>
    <row r="66" spans="1:4" ht="18" customHeight="1" x14ac:dyDescent="0.3">
      <c r="A66" s="2" t="s">
        <v>1414</v>
      </c>
      <c r="B66" s="2" t="s">
        <v>45</v>
      </c>
      <c r="C66" s="2" t="s">
        <v>5096</v>
      </c>
      <c r="D66" s="2"/>
    </row>
    <row r="67" spans="1:4" ht="18" customHeight="1" x14ac:dyDescent="0.3">
      <c r="A67" s="2" t="s">
        <v>1415</v>
      </c>
      <c r="B67" s="2" t="s">
        <v>45</v>
      </c>
      <c r="C67" s="2" t="s">
        <v>5096</v>
      </c>
      <c r="D67" s="2"/>
    </row>
    <row r="68" spans="1:4" ht="18" customHeight="1" x14ac:dyDescent="0.3">
      <c r="A68" s="2" t="s">
        <v>1416</v>
      </c>
      <c r="B68" s="2" t="s">
        <v>45</v>
      </c>
      <c r="C68" s="2" t="s">
        <v>5096</v>
      </c>
      <c r="D68" s="2"/>
    </row>
    <row r="69" spans="1:4" ht="18" customHeight="1" x14ac:dyDescent="0.3">
      <c r="A69" s="2" t="s">
        <v>1417</v>
      </c>
      <c r="B69" s="2" t="s">
        <v>45</v>
      </c>
      <c r="C69" s="2" t="s">
        <v>5096</v>
      </c>
      <c r="D69" s="2"/>
    </row>
    <row r="70" spans="1:4" ht="18" customHeight="1" x14ac:dyDescent="0.3">
      <c r="A70" s="2" t="s">
        <v>1418</v>
      </c>
      <c r="B70" s="2" t="s">
        <v>45</v>
      </c>
      <c r="C70" s="2" t="s">
        <v>5096</v>
      </c>
      <c r="D70" s="2"/>
    </row>
    <row r="71" spans="1:4" ht="18" customHeight="1" x14ac:dyDescent="0.3">
      <c r="A71" s="2" t="s">
        <v>1419</v>
      </c>
      <c r="B71" s="2" t="s">
        <v>45</v>
      </c>
      <c r="C71" s="2" t="s">
        <v>5096</v>
      </c>
      <c r="D71" s="2"/>
    </row>
    <row r="72" spans="1:4" ht="18" customHeight="1" x14ac:dyDescent="0.3">
      <c r="A72" s="2" t="s">
        <v>1420</v>
      </c>
      <c r="B72" s="2" t="s">
        <v>45</v>
      </c>
      <c r="C72" s="2" t="s">
        <v>5096</v>
      </c>
      <c r="D72" s="2"/>
    </row>
    <row r="73" spans="1:4" ht="18" customHeight="1" x14ac:dyDescent="0.3">
      <c r="A73" s="2" t="s">
        <v>1421</v>
      </c>
      <c r="B73" s="2" t="s">
        <v>45</v>
      </c>
      <c r="C73" s="2" t="s">
        <v>5096</v>
      </c>
      <c r="D73" s="2"/>
    </row>
    <row r="74" spans="1:4" ht="18" customHeight="1" x14ac:dyDescent="0.3">
      <c r="A74" s="2" t="s">
        <v>1422</v>
      </c>
      <c r="B74" s="2" t="s">
        <v>45</v>
      </c>
      <c r="C74" s="2" t="s">
        <v>5096</v>
      </c>
      <c r="D74" s="2"/>
    </row>
    <row r="75" spans="1:4" ht="18" customHeight="1" x14ac:dyDescent="0.3">
      <c r="A75" s="2" t="s">
        <v>1423</v>
      </c>
      <c r="B75" s="2" t="s">
        <v>45</v>
      </c>
      <c r="C75" s="2" t="s">
        <v>5096</v>
      </c>
      <c r="D75" s="2"/>
    </row>
    <row r="76" spans="1:4" ht="18" customHeight="1" x14ac:dyDescent="0.3">
      <c r="A76" s="2" t="s">
        <v>1424</v>
      </c>
      <c r="B76" s="2" t="s">
        <v>45</v>
      </c>
      <c r="C76" s="2" t="s">
        <v>5096</v>
      </c>
      <c r="D76" s="2"/>
    </row>
    <row r="77" spans="1:4" ht="18" customHeight="1" x14ac:dyDescent="0.3">
      <c r="A77" s="2" t="s">
        <v>1425</v>
      </c>
      <c r="B77" s="2" t="s">
        <v>45</v>
      </c>
      <c r="C77" s="2" t="s">
        <v>5096</v>
      </c>
      <c r="D77" s="2"/>
    </row>
    <row r="78" spans="1:4" ht="18" customHeight="1" x14ac:dyDescent="0.3">
      <c r="A78" s="2" t="s">
        <v>1426</v>
      </c>
      <c r="B78" s="2" t="s">
        <v>45</v>
      </c>
      <c r="C78" s="2" t="s">
        <v>5096</v>
      </c>
      <c r="D78" s="2"/>
    </row>
    <row r="79" spans="1:4" ht="18" customHeight="1" x14ac:dyDescent="0.3">
      <c r="A79" s="2" t="s">
        <v>1427</v>
      </c>
      <c r="B79" s="2" t="s">
        <v>45</v>
      </c>
      <c r="C79" s="2" t="s">
        <v>5096</v>
      </c>
      <c r="D79" s="2"/>
    </row>
    <row r="80" spans="1:4" ht="18" customHeight="1" x14ac:dyDescent="0.3">
      <c r="A80" s="2" t="s">
        <v>1428</v>
      </c>
      <c r="B80" s="2" t="s">
        <v>45</v>
      </c>
      <c r="C80" s="2" t="s">
        <v>5096</v>
      </c>
      <c r="D80" s="2"/>
    </row>
    <row r="81" spans="1:4" ht="18" customHeight="1" x14ac:dyDescent="0.3">
      <c r="A81" s="2" t="s">
        <v>1429</v>
      </c>
      <c r="B81" s="2" t="s">
        <v>45</v>
      </c>
      <c r="C81" s="2" t="s">
        <v>5096</v>
      </c>
      <c r="D81" s="2"/>
    </row>
    <row r="82" spans="1:4" ht="18" customHeight="1" x14ac:dyDescent="0.3">
      <c r="A82" s="2" t="s">
        <v>1430</v>
      </c>
      <c r="B82" s="2" t="s">
        <v>45</v>
      </c>
      <c r="C82" s="2" t="s">
        <v>5096</v>
      </c>
      <c r="D82" s="2"/>
    </row>
    <row r="83" spans="1:4" ht="18" customHeight="1" x14ac:dyDescent="0.3">
      <c r="A83" s="2" t="s">
        <v>1431</v>
      </c>
      <c r="B83" s="2" t="s">
        <v>45</v>
      </c>
      <c r="C83" s="2" t="s">
        <v>5096</v>
      </c>
      <c r="D83" s="2"/>
    </row>
    <row r="84" spans="1:4" ht="18" customHeight="1" x14ac:dyDescent="0.3">
      <c r="A84" s="2" t="s">
        <v>1432</v>
      </c>
      <c r="B84" s="2" t="s">
        <v>45</v>
      </c>
      <c r="C84" s="2" t="s">
        <v>5096</v>
      </c>
      <c r="D84" s="2"/>
    </row>
    <row r="85" spans="1:4" ht="18" customHeight="1" x14ac:dyDescent="0.3">
      <c r="A85" s="2" t="s">
        <v>1433</v>
      </c>
      <c r="B85" s="2" t="s">
        <v>45</v>
      </c>
      <c r="C85" s="2" t="s">
        <v>5096</v>
      </c>
      <c r="D85" s="2"/>
    </row>
    <row r="86" spans="1:4" ht="18" customHeight="1" x14ac:dyDescent="0.3">
      <c r="A86" s="2" t="s">
        <v>1434</v>
      </c>
      <c r="B86" s="2" t="s">
        <v>45</v>
      </c>
      <c r="C86" s="2" t="s">
        <v>5096</v>
      </c>
      <c r="D86" s="2"/>
    </row>
    <row r="87" spans="1:4" ht="18" customHeight="1" x14ac:dyDescent="0.3">
      <c r="A87" s="2" t="s">
        <v>1435</v>
      </c>
      <c r="B87" s="2" t="s">
        <v>45</v>
      </c>
      <c r="C87" s="2" t="s">
        <v>5096</v>
      </c>
      <c r="D87" s="2"/>
    </row>
    <row r="88" spans="1:4" ht="18" customHeight="1" x14ac:dyDescent="0.3">
      <c r="A88" s="2" t="s">
        <v>1436</v>
      </c>
      <c r="B88" s="2" t="s">
        <v>45</v>
      </c>
      <c r="C88" s="2" t="s">
        <v>5096</v>
      </c>
      <c r="D88" s="2"/>
    </row>
    <row r="89" spans="1:4" ht="18" customHeight="1" x14ac:dyDescent="0.3">
      <c r="A89" s="2" t="s">
        <v>1437</v>
      </c>
      <c r="B89" s="2" t="s">
        <v>45</v>
      </c>
      <c r="C89" s="2" t="s">
        <v>5096</v>
      </c>
      <c r="D89" s="2"/>
    </row>
    <row r="90" spans="1:4" ht="18" customHeight="1" x14ac:dyDescent="0.3">
      <c r="A90" s="2" t="s">
        <v>1438</v>
      </c>
      <c r="B90" s="2" t="s">
        <v>45</v>
      </c>
      <c r="C90" s="2" t="s">
        <v>5096</v>
      </c>
      <c r="D90" s="2"/>
    </row>
    <row r="91" spans="1:4" ht="18" customHeight="1" x14ac:dyDescent="0.3">
      <c r="A91" s="2" t="s">
        <v>1439</v>
      </c>
      <c r="B91" s="2" t="s">
        <v>45</v>
      </c>
      <c r="C91" s="2" t="s">
        <v>5096</v>
      </c>
      <c r="D91" s="2"/>
    </row>
    <row r="92" spans="1:4" ht="18" customHeight="1" x14ac:dyDescent="0.3">
      <c r="A92" s="2" t="s">
        <v>1440</v>
      </c>
      <c r="B92" s="2" t="s">
        <v>45</v>
      </c>
      <c r="C92" s="2" t="s">
        <v>5096</v>
      </c>
      <c r="D92" s="2"/>
    </row>
    <row r="93" spans="1:4" ht="18" customHeight="1" x14ac:dyDescent="0.3">
      <c r="A93" s="2" t="s">
        <v>1441</v>
      </c>
      <c r="B93" s="2" t="s">
        <v>45</v>
      </c>
      <c r="C93" s="2" t="s">
        <v>5096</v>
      </c>
      <c r="D93" s="2"/>
    </row>
    <row r="94" spans="1:4" ht="18" customHeight="1" x14ac:dyDescent="0.3">
      <c r="A94" s="2" t="s">
        <v>1442</v>
      </c>
      <c r="B94" s="2" t="s">
        <v>45</v>
      </c>
      <c r="C94" s="2" t="s">
        <v>5096</v>
      </c>
      <c r="D94" s="2"/>
    </row>
    <row r="95" spans="1:4" ht="18" customHeight="1" x14ac:dyDescent="0.3">
      <c r="A95" s="2" t="s">
        <v>1443</v>
      </c>
      <c r="B95" s="2" t="s">
        <v>45</v>
      </c>
      <c r="C95" s="2" t="s">
        <v>5096</v>
      </c>
      <c r="D95" s="2"/>
    </row>
    <row r="96" spans="1:4" ht="18" customHeight="1" x14ac:dyDescent="0.3">
      <c r="A96" s="2" t="s">
        <v>1444</v>
      </c>
      <c r="B96" s="2" t="s">
        <v>45</v>
      </c>
      <c r="C96" s="2" t="s">
        <v>5096</v>
      </c>
      <c r="D96" s="2"/>
    </row>
    <row r="97" spans="1:4" ht="18" customHeight="1" x14ac:dyDescent="0.3">
      <c r="A97" s="2" t="s">
        <v>1446</v>
      </c>
      <c r="B97" s="2" t="s">
        <v>45</v>
      </c>
      <c r="C97" s="2" t="s">
        <v>5096</v>
      </c>
      <c r="D97" s="2"/>
    </row>
    <row r="98" spans="1:4" ht="18" customHeight="1" x14ac:dyDescent="0.3">
      <c r="A98" s="2" t="s">
        <v>1448</v>
      </c>
      <c r="B98" s="2" t="s">
        <v>45</v>
      </c>
      <c r="C98" s="2" t="s">
        <v>5096</v>
      </c>
      <c r="D98" s="2"/>
    </row>
    <row r="99" spans="1:4" ht="18" customHeight="1" x14ac:dyDescent="0.3">
      <c r="A99" s="2" t="s">
        <v>1449</v>
      </c>
      <c r="B99" s="2" t="s">
        <v>45</v>
      </c>
      <c r="C99" s="2" t="s">
        <v>5096</v>
      </c>
      <c r="D99" s="2"/>
    </row>
    <row r="100" spans="1:4" ht="18" customHeight="1" x14ac:dyDescent="0.3">
      <c r="A100" s="2" t="s">
        <v>1450</v>
      </c>
      <c r="B100" s="2" t="s">
        <v>45</v>
      </c>
      <c r="C100" s="2" t="s">
        <v>5096</v>
      </c>
      <c r="D100" s="2"/>
    </row>
    <row r="101" spans="1:4" ht="18" customHeight="1" x14ac:dyDescent="0.3">
      <c r="A101" s="2" t="s">
        <v>1452</v>
      </c>
      <c r="B101" s="2" t="s">
        <v>45</v>
      </c>
      <c r="C101" s="2" t="s">
        <v>5096</v>
      </c>
      <c r="D101" s="2"/>
    </row>
    <row r="102" spans="1:4" ht="18" customHeight="1" x14ac:dyDescent="0.3">
      <c r="A102" s="2" t="s">
        <v>1453</v>
      </c>
      <c r="B102" s="2" t="s">
        <v>45</v>
      </c>
      <c r="C102" s="2" t="s">
        <v>5096</v>
      </c>
      <c r="D102" s="2"/>
    </row>
    <row r="103" spans="1:4" ht="18" customHeight="1" x14ac:dyDescent="0.3">
      <c r="A103" s="2" t="s">
        <v>1454</v>
      </c>
      <c r="B103" s="2" t="s">
        <v>45</v>
      </c>
      <c r="C103" s="2" t="s">
        <v>5096</v>
      </c>
      <c r="D103" s="2"/>
    </row>
    <row r="104" spans="1:4" ht="18" customHeight="1" x14ac:dyDescent="0.3">
      <c r="A104" s="2" t="s">
        <v>1455</v>
      </c>
      <c r="B104" s="2" t="s">
        <v>45</v>
      </c>
      <c r="C104" s="2" t="s">
        <v>5096</v>
      </c>
      <c r="D104" s="2"/>
    </row>
    <row r="105" spans="1:4" ht="18" customHeight="1" x14ac:dyDescent="0.3">
      <c r="A105" s="2" t="s">
        <v>1456</v>
      </c>
      <c r="B105" s="2" t="s">
        <v>45</v>
      </c>
      <c r="C105" s="2" t="s">
        <v>5096</v>
      </c>
      <c r="D105" s="2"/>
    </row>
    <row r="106" spans="1:4" ht="18" customHeight="1" x14ac:dyDescent="0.3">
      <c r="A106" s="2" t="s">
        <v>1457</v>
      </c>
      <c r="B106" s="2" t="s">
        <v>45</v>
      </c>
      <c r="C106" s="2" t="s">
        <v>5096</v>
      </c>
      <c r="D106" s="2"/>
    </row>
    <row r="107" spans="1:4" ht="18" customHeight="1" x14ac:dyDescent="0.3">
      <c r="A107" s="2" t="s">
        <v>1458</v>
      </c>
      <c r="B107" s="2" t="s">
        <v>45</v>
      </c>
      <c r="C107" s="2" t="s">
        <v>5096</v>
      </c>
      <c r="D107" s="2"/>
    </row>
    <row r="108" spans="1:4" ht="18" customHeight="1" x14ac:dyDescent="0.3">
      <c r="A108" s="2" t="s">
        <v>1459</v>
      </c>
      <c r="B108" s="2" t="s">
        <v>45</v>
      </c>
      <c r="C108" s="2" t="s">
        <v>5096</v>
      </c>
      <c r="D108" s="2"/>
    </row>
    <row r="109" spans="1:4" ht="18" customHeight="1" x14ac:dyDescent="0.3">
      <c r="A109" s="2" t="s">
        <v>1460</v>
      </c>
      <c r="B109" s="2" t="s">
        <v>45</v>
      </c>
      <c r="C109" s="2" t="s">
        <v>5096</v>
      </c>
      <c r="D109" s="2"/>
    </row>
    <row r="110" spans="1:4" ht="18" customHeight="1" x14ac:dyDescent="0.3">
      <c r="A110" s="2" t="s">
        <v>1461</v>
      </c>
      <c r="B110" s="2" t="s">
        <v>45</v>
      </c>
      <c r="C110" s="2" t="s">
        <v>5096</v>
      </c>
      <c r="D110" s="2"/>
    </row>
    <row r="111" spans="1:4" ht="18" customHeight="1" x14ac:dyDescent="0.3">
      <c r="A111" s="2" t="s">
        <v>1462</v>
      </c>
      <c r="B111" s="2" t="s">
        <v>45</v>
      </c>
      <c r="C111" s="2" t="s">
        <v>5096</v>
      </c>
      <c r="D111" s="2"/>
    </row>
    <row r="112" spans="1:4" ht="18" customHeight="1" x14ac:dyDescent="0.3">
      <c r="A112" s="2" t="s">
        <v>1464</v>
      </c>
      <c r="B112" s="2" t="s">
        <v>45</v>
      </c>
      <c r="C112" s="2" t="s">
        <v>5096</v>
      </c>
      <c r="D112" s="2"/>
    </row>
    <row r="113" spans="1:4" ht="18" customHeight="1" x14ac:dyDescent="0.3">
      <c r="A113" s="2" t="s">
        <v>1466</v>
      </c>
      <c r="B113" s="2" t="s">
        <v>45</v>
      </c>
      <c r="C113" s="2" t="s">
        <v>5096</v>
      </c>
      <c r="D113" s="2"/>
    </row>
    <row r="114" spans="1:4" ht="18" customHeight="1" x14ac:dyDescent="0.3">
      <c r="A114" s="2" t="s">
        <v>1467</v>
      </c>
      <c r="B114" s="2" t="s">
        <v>45</v>
      </c>
      <c r="C114" s="2" t="s">
        <v>5096</v>
      </c>
      <c r="D114" s="2"/>
    </row>
    <row r="115" spans="1:4" ht="18" customHeight="1" x14ac:dyDescent="0.3">
      <c r="A115" s="2" t="s">
        <v>1468</v>
      </c>
      <c r="B115" s="2" t="s">
        <v>45</v>
      </c>
      <c r="C115" s="2" t="s">
        <v>5096</v>
      </c>
      <c r="D115" s="2"/>
    </row>
    <row r="116" spans="1:4" ht="18" customHeight="1" x14ac:dyDescent="0.3">
      <c r="A116" s="2" t="s">
        <v>1469</v>
      </c>
      <c r="B116" s="2" t="s">
        <v>45</v>
      </c>
      <c r="C116" s="2" t="s">
        <v>5096</v>
      </c>
      <c r="D116" s="2"/>
    </row>
    <row r="117" spans="1:4" ht="18" customHeight="1" x14ac:dyDescent="0.3">
      <c r="A117" s="2" t="s">
        <v>1471</v>
      </c>
      <c r="B117" s="2" t="s">
        <v>45</v>
      </c>
      <c r="C117" s="2" t="s">
        <v>5096</v>
      </c>
      <c r="D117" s="2"/>
    </row>
    <row r="118" spans="1:4" ht="18" customHeight="1" x14ac:dyDescent="0.3">
      <c r="A118" s="2" t="s">
        <v>1472</v>
      </c>
      <c r="B118" s="2" t="s">
        <v>45</v>
      </c>
      <c r="C118" s="2" t="s">
        <v>5096</v>
      </c>
      <c r="D118" s="2"/>
    </row>
    <row r="119" spans="1:4" ht="18" customHeight="1" x14ac:dyDescent="0.3">
      <c r="A119" s="2" t="s">
        <v>1473</v>
      </c>
      <c r="B119" s="2" t="s">
        <v>45</v>
      </c>
      <c r="C119" s="2" t="s">
        <v>5096</v>
      </c>
      <c r="D119" s="2"/>
    </row>
    <row r="120" spans="1:4" ht="18" customHeight="1" x14ac:dyDescent="0.3">
      <c r="A120" s="2" t="s">
        <v>1475</v>
      </c>
      <c r="B120" s="2" t="s">
        <v>45</v>
      </c>
      <c r="C120" s="2" t="s">
        <v>5096</v>
      </c>
      <c r="D120" s="2"/>
    </row>
    <row r="121" spans="1:4" ht="18" customHeight="1" x14ac:dyDescent="0.3">
      <c r="A121" s="2" t="s">
        <v>1477</v>
      </c>
      <c r="B121" s="2" t="s">
        <v>45</v>
      </c>
      <c r="C121" s="2" t="s">
        <v>5096</v>
      </c>
      <c r="D121" s="2"/>
    </row>
    <row r="122" spans="1:4" ht="18" customHeight="1" x14ac:dyDescent="0.3">
      <c r="A122" s="2" t="s">
        <v>1479</v>
      </c>
      <c r="B122" s="2" t="s">
        <v>45</v>
      </c>
      <c r="C122" s="2" t="s">
        <v>5096</v>
      </c>
      <c r="D122" s="2"/>
    </row>
    <row r="123" spans="1:4" ht="18" customHeight="1" x14ac:dyDescent="0.3">
      <c r="A123" s="2" t="s">
        <v>1480</v>
      </c>
      <c r="B123" s="2" t="s">
        <v>45</v>
      </c>
      <c r="C123" s="2" t="s">
        <v>5096</v>
      </c>
      <c r="D123" s="2"/>
    </row>
    <row r="124" spans="1:4" ht="18" customHeight="1" x14ac:dyDescent="0.3">
      <c r="A124" s="2" t="s">
        <v>1482</v>
      </c>
      <c r="B124" s="2" t="s">
        <v>45</v>
      </c>
      <c r="C124" s="2" t="s">
        <v>5096</v>
      </c>
      <c r="D124" s="2"/>
    </row>
    <row r="125" spans="1:4" ht="18" customHeight="1" x14ac:dyDescent="0.3">
      <c r="A125" s="2" t="s">
        <v>1484</v>
      </c>
      <c r="B125" s="2" t="s">
        <v>45</v>
      </c>
      <c r="C125" s="2" t="s">
        <v>5096</v>
      </c>
      <c r="D125" s="2"/>
    </row>
    <row r="126" spans="1:4" ht="18" customHeight="1" x14ac:dyDescent="0.3">
      <c r="A126" s="2" t="s">
        <v>1485</v>
      </c>
      <c r="B126" s="2" t="s">
        <v>45</v>
      </c>
      <c r="C126" s="2" t="s">
        <v>5096</v>
      </c>
      <c r="D126" s="2"/>
    </row>
    <row r="127" spans="1:4" ht="18" customHeight="1" x14ac:dyDescent="0.3">
      <c r="A127" s="2" t="s">
        <v>1487</v>
      </c>
      <c r="B127" s="2" t="s">
        <v>45</v>
      </c>
      <c r="C127" s="2" t="s">
        <v>5096</v>
      </c>
      <c r="D127" s="2"/>
    </row>
    <row r="128" spans="1:4" ht="18" customHeight="1" x14ac:dyDescent="0.3">
      <c r="A128" s="2" t="s">
        <v>1488</v>
      </c>
      <c r="B128" s="2" t="s">
        <v>45</v>
      </c>
      <c r="C128" s="2" t="s">
        <v>5096</v>
      </c>
      <c r="D128" s="2"/>
    </row>
    <row r="129" spans="1:4" ht="18" customHeight="1" x14ac:dyDescent="0.3">
      <c r="A129" s="2" t="s">
        <v>1489</v>
      </c>
      <c r="B129" s="2" t="s">
        <v>45</v>
      </c>
      <c r="C129" s="2" t="s">
        <v>5096</v>
      </c>
      <c r="D129" s="2"/>
    </row>
    <row r="130" spans="1:4" ht="18" customHeight="1" x14ac:dyDescent="0.3">
      <c r="A130" s="2" t="s">
        <v>1491</v>
      </c>
      <c r="B130" s="2" t="s">
        <v>45</v>
      </c>
      <c r="C130" s="2" t="s">
        <v>5096</v>
      </c>
      <c r="D130" s="2"/>
    </row>
    <row r="131" spans="1:4" ht="18" customHeight="1" x14ac:dyDescent="0.3">
      <c r="A131" s="2" t="s">
        <v>1492</v>
      </c>
      <c r="B131" s="2" t="s">
        <v>45</v>
      </c>
      <c r="C131" s="2" t="s">
        <v>5096</v>
      </c>
      <c r="D131" s="2"/>
    </row>
    <row r="132" spans="1:4" ht="18" customHeight="1" x14ac:dyDescent="0.3">
      <c r="A132" s="2" t="s">
        <v>1493</v>
      </c>
      <c r="B132" s="2" t="s">
        <v>45</v>
      </c>
      <c r="C132" s="2" t="s">
        <v>5096</v>
      </c>
      <c r="D132" s="2"/>
    </row>
    <row r="133" spans="1:4" ht="18" customHeight="1" x14ac:dyDescent="0.3">
      <c r="A133" s="2" t="s">
        <v>1494</v>
      </c>
      <c r="B133" s="2" t="s">
        <v>45</v>
      </c>
      <c r="C133" s="2" t="s">
        <v>5096</v>
      </c>
      <c r="D133" s="2"/>
    </row>
    <row r="134" spans="1:4" ht="18" customHeight="1" x14ac:dyDescent="0.3">
      <c r="A134" s="2" t="s">
        <v>1495</v>
      </c>
      <c r="B134" s="2" t="s">
        <v>45</v>
      </c>
      <c r="C134" s="2" t="s">
        <v>5096</v>
      </c>
      <c r="D134" s="2"/>
    </row>
    <row r="135" spans="1:4" ht="18" customHeight="1" x14ac:dyDescent="0.3">
      <c r="A135" s="2" t="s">
        <v>1496</v>
      </c>
      <c r="B135" s="2" t="s">
        <v>45</v>
      </c>
      <c r="C135" s="2" t="s">
        <v>5096</v>
      </c>
      <c r="D135" s="2"/>
    </row>
    <row r="136" spans="1:4" ht="18" customHeight="1" x14ac:dyDescent="0.3">
      <c r="A136" s="2" t="s">
        <v>1498</v>
      </c>
      <c r="B136" s="2" t="s">
        <v>45</v>
      </c>
      <c r="C136" s="2" t="s">
        <v>5096</v>
      </c>
      <c r="D136" s="2"/>
    </row>
    <row r="137" spans="1:4" ht="18" customHeight="1" x14ac:dyDescent="0.3">
      <c r="A137" s="2" t="s">
        <v>1499</v>
      </c>
      <c r="B137" s="2" t="s">
        <v>45</v>
      </c>
      <c r="C137" s="2" t="s">
        <v>5096</v>
      </c>
      <c r="D137" s="2"/>
    </row>
    <row r="138" spans="1:4" ht="18" customHeight="1" x14ac:dyDescent="0.3">
      <c r="A138" s="2" t="s">
        <v>1500</v>
      </c>
      <c r="B138" s="2" t="s">
        <v>45</v>
      </c>
      <c r="C138" s="2" t="s">
        <v>5096</v>
      </c>
      <c r="D138" s="2"/>
    </row>
    <row r="139" spans="1:4" ht="18" customHeight="1" x14ac:dyDescent="0.3">
      <c r="A139" s="2" t="s">
        <v>1502</v>
      </c>
      <c r="B139" s="2" t="s">
        <v>45</v>
      </c>
      <c r="C139" s="2" t="s">
        <v>5096</v>
      </c>
      <c r="D139" s="2"/>
    </row>
    <row r="140" spans="1:4" ht="18" customHeight="1" x14ac:dyDescent="0.3">
      <c r="A140" s="2" t="s">
        <v>1503</v>
      </c>
      <c r="B140" s="2" t="s">
        <v>45</v>
      </c>
      <c r="C140" s="2" t="s">
        <v>5096</v>
      </c>
      <c r="D140" s="2"/>
    </row>
    <row r="141" spans="1:4" ht="18" customHeight="1" x14ac:dyDescent="0.3">
      <c r="A141" s="2" t="s">
        <v>1504</v>
      </c>
      <c r="B141" s="2" t="s">
        <v>45</v>
      </c>
      <c r="C141" s="2" t="s">
        <v>5096</v>
      </c>
      <c r="D141" s="2"/>
    </row>
    <row r="142" spans="1:4" ht="18" customHeight="1" x14ac:dyDescent="0.3">
      <c r="A142" s="2" t="s">
        <v>1506</v>
      </c>
      <c r="B142" s="2" t="s">
        <v>45</v>
      </c>
      <c r="C142" s="2" t="s">
        <v>5096</v>
      </c>
      <c r="D142" s="2"/>
    </row>
    <row r="143" spans="1:4" ht="18" customHeight="1" x14ac:dyDescent="0.3">
      <c r="A143" s="2" t="s">
        <v>1508</v>
      </c>
      <c r="B143" s="2" t="s">
        <v>45</v>
      </c>
      <c r="C143" s="2" t="s">
        <v>5096</v>
      </c>
      <c r="D143" s="2"/>
    </row>
    <row r="144" spans="1:4" ht="18" customHeight="1" x14ac:dyDescent="0.3">
      <c r="A144" s="2" t="s">
        <v>1510</v>
      </c>
      <c r="B144" s="2" t="s">
        <v>45</v>
      </c>
      <c r="C144" s="2" t="s">
        <v>5096</v>
      </c>
      <c r="D144" s="2"/>
    </row>
    <row r="145" spans="1:4" ht="18" customHeight="1" x14ac:dyDescent="0.3">
      <c r="A145" s="2" t="s">
        <v>1512</v>
      </c>
      <c r="B145" s="2" t="s">
        <v>45</v>
      </c>
      <c r="C145" s="2" t="s">
        <v>5096</v>
      </c>
      <c r="D145" s="2"/>
    </row>
    <row r="146" spans="1:4" ht="18" customHeight="1" x14ac:dyDescent="0.3">
      <c r="A146" s="2" t="s">
        <v>1514</v>
      </c>
      <c r="B146" s="2" t="s">
        <v>45</v>
      </c>
      <c r="C146" s="2" t="s">
        <v>5096</v>
      </c>
      <c r="D146" s="2"/>
    </row>
    <row r="147" spans="1:4" ht="18" customHeight="1" x14ac:dyDescent="0.3">
      <c r="A147" s="2" t="s">
        <v>1516</v>
      </c>
      <c r="B147" s="2" t="s">
        <v>45</v>
      </c>
      <c r="C147" s="2" t="s">
        <v>5096</v>
      </c>
      <c r="D147" s="2"/>
    </row>
    <row r="148" spans="1:4" ht="18" customHeight="1" x14ac:dyDescent="0.3">
      <c r="A148" s="2" t="s">
        <v>1518</v>
      </c>
      <c r="B148" s="2" t="s">
        <v>45</v>
      </c>
      <c r="C148" s="2" t="s">
        <v>5096</v>
      </c>
      <c r="D148" s="2"/>
    </row>
    <row r="149" spans="1:4" ht="18" customHeight="1" x14ac:dyDescent="0.3">
      <c r="A149" s="2" t="s">
        <v>1520</v>
      </c>
      <c r="B149" s="2" t="s">
        <v>45</v>
      </c>
      <c r="C149" s="2" t="s">
        <v>5096</v>
      </c>
      <c r="D149" s="2"/>
    </row>
    <row r="150" spans="1:4" ht="18" customHeight="1" x14ac:dyDescent="0.3">
      <c r="A150" s="2" t="s">
        <v>1522</v>
      </c>
      <c r="B150" s="2" t="s">
        <v>45</v>
      </c>
      <c r="C150" s="2" t="s">
        <v>5096</v>
      </c>
      <c r="D150" s="2"/>
    </row>
    <row r="151" spans="1:4" ht="18" customHeight="1" x14ac:dyDescent="0.3">
      <c r="A151" s="2" t="s">
        <v>1524</v>
      </c>
      <c r="B151" s="2" t="s">
        <v>45</v>
      </c>
      <c r="C151" s="2" t="s">
        <v>5096</v>
      </c>
      <c r="D151" s="2"/>
    </row>
    <row r="152" spans="1:4" ht="18" customHeight="1" x14ac:dyDescent="0.3">
      <c r="A152" s="2" t="s">
        <v>1526</v>
      </c>
      <c r="B152" s="2" t="s">
        <v>45</v>
      </c>
      <c r="C152" s="2" t="s">
        <v>5096</v>
      </c>
      <c r="D152" s="2"/>
    </row>
    <row r="153" spans="1:4" ht="18" customHeight="1" x14ac:dyDescent="0.3">
      <c r="A153" s="2" t="s">
        <v>1527</v>
      </c>
      <c r="B153" s="2" t="s">
        <v>45</v>
      </c>
      <c r="C153" s="2" t="s">
        <v>5096</v>
      </c>
      <c r="D153" s="2"/>
    </row>
    <row r="154" spans="1:4" ht="18" customHeight="1" x14ac:dyDescent="0.3">
      <c r="A154" s="2" t="s">
        <v>1529</v>
      </c>
      <c r="B154" s="2" t="s">
        <v>45</v>
      </c>
      <c r="C154" s="2" t="s">
        <v>5096</v>
      </c>
      <c r="D154" s="2"/>
    </row>
    <row r="155" spans="1:4" ht="18" customHeight="1" x14ac:dyDescent="0.3">
      <c r="A155" s="2" t="s">
        <v>1530</v>
      </c>
      <c r="B155" s="2" t="s">
        <v>45</v>
      </c>
      <c r="C155" s="2" t="s">
        <v>5096</v>
      </c>
      <c r="D155" s="2"/>
    </row>
    <row r="156" spans="1:4" ht="18" customHeight="1" x14ac:dyDescent="0.3">
      <c r="A156" s="2" t="s">
        <v>1532</v>
      </c>
      <c r="B156" s="2" t="s">
        <v>45</v>
      </c>
      <c r="C156" s="2" t="s">
        <v>5096</v>
      </c>
      <c r="D156" s="2"/>
    </row>
    <row r="157" spans="1:4" ht="18" customHeight="1" x14ac:dyDescent="0.3">
      <c r="A157" s="2" t="s">
        <v>1533</v>
      </c>
      <c r="B157" s="2" t="s">
        <v>45</v>
      </c>
      <c r="C157" s="2" t="s">
        <v>5096</v>
      </c>
      <c r="D157" s="2"/>
    </row>
    <row r="158" spans="1:4" ht="18" customHeight="1" x14ac:dyDescent="0.3">
      <c r="A158" s="2" t="s">
        <v>1534</v>
      </c>
      <c r="B158" s="2" t="s">
        <v>45</v>
      </c>
      <c r="C158" s="2" t="s">
        <v>5096</v>
      </c>
      <c r="D158" s="2"/>
    </row>
    <row r="159" spans="1:4" ht="18" customHeight="1" x14ac:dyDescent="0.3">
      <c r="A159" s="2" t="s">
        <v>1536</v>
      </c>
      <c r="B159" s="2" t="s">
        <v>45</v>
      </c>
      <c r="C159" s="2" t="s">
        <v>5096</v>
      </c>
      <c r="D159" s="2"/>
    </row>
    <row r="160" spans="1:4" ht="18" customHeight="1" x14ac:dyDescent="0.3">
      <c r="A160" s="2" t="s">
        <v>1537</v>
      </c>
      <c r="B160" s="2" t="s">
        <v>45</v>
      </c>
      <c r="C160" s="2" t="s">
        <v>5096</v>
      </c>
      <c r="D160" s="2"/>
    </row>
    <row r="161" spans="1:4" ht="18" customHeight="1" x14ac:dyDescent="0.3">
      <c r="A161" s="2" t="s">
        <v>1538</v>
      </c>
      <c r="B161" s="2" t="s">
        <v>45</v>
      </c>
      <c r="C161" s="2" t="s">
        <v>5096</v>
      </c>
      <c r="D161" s="2"/>
    </row>
    <row r="162" spans="1:4" ht="18" customHeight="1" x14ac:dyDescent="0.3">
      <c r="A162" s="2" t="s">
        <v>1539</v>
      </c>
      <c r="B162" s="2" t="s">
        <v>45</v>
      </c>
      <c r="C162" s="2" t="s">
        <v>5096</v>
      </c>
      <c r="D162" s="2"/>
    </row>
    <row r="163" spans="1:4" ht="18" customHeight="1" x14ac:dyDescent="0.3">
      <c r="A163" s="2" t="s">
        <v>1541</v>
      </c>
      <c r="B163" s="2" t="s">
        <v>45</v>
      </c>
      <c r="C163" s="2" t="s">
        <v>5096</v>
      </c>
      <c r="D163" s="2"/>
    </row>
    <row r="164" spans="1:4" ht="18" customHeight="1" x14ac:dyDescent="0.3">
      <c r="A164" s="2" t="s">
        <v>1542</v>
      </c>
      <c r="B164" s="2" t="s">
        <v>45</v>
      </c>
      <c r="C164" s="2" t="s">
        <v>5096</v>
      </c>
      <c r="D164" s="2"/>
    </row>
    <row r="165" spans="1:4" ht="18" customHeight="1" x14ac:dyDescent="0.3">
      <c r="A165" s="2" t="s">
        <v>1544</v>
      </c>
      <c r="B165" s="2" t="s">
        <v>45</v>
      </c>
      <c r="C165" s="2" t="s">
        <v>5096</v>
      </c>
      <c r="D165" s="2"/>
    </row>
    <row r="166" spans="1:4" ht="18" customHeight="1" x14ac:dyDescent="0.3">
      <c r="A166" s="2" t="s">
        <v>1546</v>
      </c>
      <c r="B166" s="2" t="s">
        <v>45</v>
      </c>
      <c r="C166" s="2" t="s">
        <v>5096</v>
      </c>
      <c r="D166" s="2"/>
    </row>
    <row r="167" spans="1:4" ht="18" customHeight="1" x14ac:dyDescent="0.3">
      <c r="A167" s="2" t="s">
        <v>1547</v>
      </c>
      <c r="B167" s="2" t="s">
        <v>45</v>
      </c>
      <c r="C167" s="2" t="s">
        <v>5096</v>
      </c>
      <c r="D167" s="2"/>
    </row>
    <row r="168" spans="1:4" ht="18" customHeight="1" x14ac:dyDescent="0.3">
      <c r="A168" s="2" t="s">
        <v>1549</v>
      </c>
      <c r="B168" s="2" t="s">
        <v>45</v>
      </c>
      <c r="C168" s="2" t="s">
        <v>5096</v>
      </c>
      <c r="D168" s="2"/>
    </row>
    <row r="169" spans="1:4" ht="18" customHeight="1" x14ac:dyDescent="0.3">
      <c r="A169" s="2" t="s">
        <v>1550</v>
      </c>
      <c r="B169" s="2" t="s">
        <v>45</v>
      </c>
      <c r="C169" s="2" t="s">
        <v>5096</v>
      </c>
      <c r="D169" s="2"/>
    </row>
    <row r="170" spans="1:4" ht="18" customHeight="1" x14ac:dyDescent="0.3">
      <c r="A170" s="2" t="s">
        <v>1552</v>
      </c>
      <c r="B170" s="2" t="s">
        <v>45</v>
      </c>
      <c r="C170" s="2" t="s">
        <v>5096</v>
      </c>
      <c r="D170" s="2"/>
    </row>
    <row r="171" spans="1:4" ht="18" customHeight="1" x14ac:dyDescent="0.3">
      <c r="A171" s="2" t="s">
        <v>1554</v>
      </c>
      <c r="B171" s="2" t="s">
        <v>45</v>
      </c>
      <c r="C171" s="2" t="s">
        <v>5096</v>
      </c>
      <c r="D171" s="2"/>
    </row>
    <row r="172" spans="1:4" ht="18" customHeight="1" x14ac:dyDescent="0.3">
      <c r="A172" s="2" t="s">
        <v>1556</v>
      </c>
      <c r="B172" s="2" t="s">
        <v>45</v>
      </c>
      <c r="C172" s="2" t="s">
        <v>5096</v>
      </c>
      <c r="D172" s="2"/>
    </row>
    <row r="173" spans="1:4" ht="18" customHeight="1" x14ac:dyDescent="0.3">
      <c r="A173" s="2" t="s">
        <v>1558</v>
      </c>
      <c r="B173" s="2" t="s">
        <v>45</v>
      </c>
      <c r="C173" s="2" t="s">
        <v>5096</v>
      </c>
      <c r="D173" s="2"/>
    </row>
    <row r="174" spans="1:4" ht="18" customHeight="1" x14ac:dyDescent="0.3">
      <c r="A174" s="2" t="s">
        <v>1559</v>
      </c>
      <c r="B174" s="2" t="s">
        <v>45</v>
      </c>
      <c r="C174" s="2" t="s">
        <v>5096</v>
      </c>
      <c r="D174" s="2"/>
    </row>
    <row r="175" spans="1:4" ht="18" customHeight="1" x14ac:dyDescent="0.3">
      <c r="A175" s="2" t="s">
        <v>1560</v>
      </c>
      <c r="B175" s="2" t="s">
        <v>45</v>
      </c>
      <c r="C175" s="2" t="s">
        <v>5096</v>
      </c>
      <c r="D175" s="2"/>
    </row>
    <row r="176" spans="1:4" ht="18" customHeight="1" x14ac:dyDescent="0.3">
      <c r="A176" s="2" t="s">
        <v>1561</v>
      </c>
      <c r="B176" s="2" t="s">
        <v>45</v>
      </c>
      <c r="C176" s="2" t="s">
        <v>5096</v>
      </c>
      <c r="D176" s="2"/>
    </row>
    <row r="177" spans="1:4" ht="18" customHeight="1" x14ac:dyDescent="0.3">
      <c r="A177" s="2" t="s">
        <v>1563</v>
      </c>
      <c r="B177" s="2" t="s">
        <v>45</v>
      </c>
      <c r="C177" s="2" t="s">
        <v>5096</v>
      </c>
      <c r="D177" s="2"/>
    </row>
    <row r="178" spans="1:4" ht="18" customHeight="1" x14ac:dyDescent="0.3">
      <c r="A178" s="2" t="s">
        <v>1565</v>
      </c>
      <c r="B178" s="2" t="s">
        <v>45</v>
      </c>
      <c r="C178" s="2" t="s">
        <v>5096</v>
      </c>
      <c r="D178" s="2"/>
    </row>
    <row r="179" spans="1:4" ht="18" customHeight="1" x14ac:dyDescent="0.3">
      <c r="A179" s="2" t="s">
        <v>5098</v>
      </c>
      <c r="B179" s="2" t="s">
        <v>5099</v>
      </c>
      <c r="C179" s="2" t="s">
        <v>5047</v>
      </c>
      <c r="D179" s="2"/>
    </row>
    <row r="180" spans="1:4" ht="18" customHeight="1" x14ac:dyDescent="0.3">
      <c r="A180" s="2" t="s">
        <v>5100</v>
      </c>
      <c r="B180" s="2" t="s">
        <v>5099</v>
      </c>
      <c r="C180" s="2" t="s">
        <v>5047</v>
      </c>
      <c r="D180" s="2"/>
    </row>
    <row r="181" spans="1:4" ht="18" customHeight="1" x14ac:dyDescent="0.3">
      <c r="A181" s="2" t="s">
        <v>5101</v>
      </c>
      <c r="B181" s="2" t="s">
        <v>5099</v>
      </c>
      <c r="C181" s="2" t="s">
        <v>5047</v>
      </c>
      <c r="D181" s="2"/>
    </row>
    <row r="182" spans="1:4" ht="18" customHeight="1" x14ac:dyDescent="0.3">
      <c r="A182" s="2" t="s">
        <v>5102</v>
      </c>
      <c r="B182" s="2" t="s">
        <v>5099</v>
      </c>
      <c r="C182" s="2" t="s">
        <v>5047</v>
      </c>
      <c r="D182" s="2"/>
    </row>
    <row r="183" spans="1:4" ht="18" customHeight="1" x14ac:dyDescent="0.3">
      <c r="A183" s="2" t="s">
        <v>5103</v>
      </c>
      <c r="B183" s="2" t="s">
        <v>5099</v>
      </c>
      <c r="C183" s="2" t="s">
        <v>5047</v>
      </c>
      <c r="D183" s="7" t="s">
        <v>5275</v>
      </c>
    </row>
    <row r="184" spans="1:4" ht="18" customHeight="1" x14ac:dyDescent="0.3">
      <c r="A184" s="2" t="s">
        <v>265</v>
      </c>
      <c r="B184" s="2" t="s">
        <v>266</v>
      </c>
      <c r="C184" s="2" t="s">
        <v>5045</v>
      </c>
      <c r="D184" s="2"/>
    </row>
    <row r="185" spans="1:4" ht="18" customHeight="1" x14ac:dyDescent="0.3">
      <c r="A185" s="2" t="s">
        <v>1567</v>
      </c>
      <c r="B185" s="2" t="s">
        <v>266</v>
      </c>
      <c r="C185" s="2" t="s">
        <v>5045</v>
      </c>
      <c r="D185" s="2"/>
    </row>
    <row r="186" spans="1:4" ht="18" customHeight="1" x14ac:dyDescent="0.3">
      <c r="A186" s="2" t="s">
        <v>1569</v>
      </c>
      <c r="B186" s="2" t="s">
        <v>266</v>
      </c>
      <c r="C186" s="2" t="s">
        <v>5045</v>
      </c>
      <c r="D186" s="2"/>
    </row>
    <row r="187" spans="1:4" ht="18" customHeight="1" x14ac:dyDescent="0.3">
      <c r="A187" s="2" t="s">
        <v>1571</v>
      </c>
      <c r="B187" s="2" t="s">
        <v>266</v>
      </c>
      <c r="C187" s="2" t="s">
        <v>5045</v>
      </c>
      <c r="D187" s="2"/>
    </row>
    <row r="188" spans="1:4" ht="18" customHeight="1" x14ac:dyDescent="0.3">
      <c r="A188" s="2" t="s">
        <v>1573</v>
      </c>
      <c r="B188" s="2" t="s">
        <v>266</v>
      </c>
      <c r="C188" s="2" t="s">
        <v>5045</v>
      </c>
      <c r="D188" s="2"/>
    </row>
    <row r="189" spans="1:4" ht="18" customHeight="1" x14ac:dyDescent="0.3">
      <c r="A189" s="2" t="s">
        <v>1575</v>
      </c>
      <c r="B189" s="2" t="s">
        <v>266</v>
      </c>
      <c r="C189" s="2" t="s">
        <v>5045</v>
      </c>
      <c r="D189" s="2"/>
    </row>
    <row r="190" spans="1:4" ht="18" customHeight="1" x14ac:dyDescent="0.3">
      <c r="A190" s="2" t="s">
        <v>1576</v>
      </c>
      <c r="B190" s="2" t="s">
        <v>266</v>
      </c>
      <c r="C190" s="2" t="s">
        <v>5045</v>
      </c>
      <c r="D190" s="2"/>
    </row>
    <row r="191" spans="1:4" ht="18" customHeight="1" x14ac:dyDescent="0.3">
      <c r="A191" s="2" t="s">
        <v>1578</v>
      </c>
      <c r="B191" s="2" t="s">
        <v>266</v>
      </c>
      <c r="C191" s="2" t="s">
        <v>5045</v>
      </c>
      <c r="D191" s="2"/>
    </row>
    <row r="192" spans="1:4" ht="18" customHeight="1" x14ac:dyDescent="0.3">
      <c r="A192" s="2" t="s">
        <v>1579</v>
      </c>
      <c r="B192" s="2" t="s">
        <v>266</v>
      </c>
      <c r="C192" s="2" t="s">
        <v>5045</v>
      </c>
      <c r="D192" s="2"/>
    </row>
    <row r="193" spans="1:4" ht="18" customHeight="1" x14ac:dyDescent="0.3">
      <c r="A193" s="2" t="s">
        <v>1580</v>
      </c>
      <c r="B193" s="2" t="s">
        <v>266</v>
      </c>
      <c r="C193" s="2" t="s">
        <v>5045</v>
      </c>
      <c r="D193" s="2"/>
    </row>
    <row r="194" spans="1:4" ht="18" customHeight="1" x14ac:dyDescent="0.3">
      <c r="A194" s="2" t="s">
        <v>1581</v>
      </c>
      <c r="B194" s="2" t="s">
        <v>266</v>
      </c>
      <c r="C194" s="2" t="s">
        <v>5045</v>
      </c>
      <c r="D194" s="2"/>
    </row>
    <row r="195" spans="1:4" ht="18" customHeight="1" x14ac:dyDescent="0.3">
      <c r="A195" s="2" t="s">
        <v>1582</v>
      </c>
      <c r="B195" s="2" t="s">
        <v>266</v>
      </c>
      <c r="C195" s="2" t="s">
        <v>5045</v>
      </c>
      <c r="D195" s="2"/>
    </row>
    <row r="196" spans="1:4" ht="18" customHeight="1" x14ac:dyDescent="0.3">
      <c r="A196" s="2" t="s">
        <v>1583</v>
      </c>
      <c r="B196" s="2" t="s">
        <v>266</v>
      </c>
      <c r="C196" s="2" t="s">
        <v>5045</v>
      </c>
      <c r="D196" s="2"/>
    </row>
    <row r="197" spans="1:4" ht="18" customHeight="1" x14ac:dyDescent="0.3">
      <c r="A197" s="2" t="s">
        <v>1584</v>
      </c>
      <c r="B197" s="2" t="s">
        <v>266</v>
      </c>
      <c r="C197" s="2" t="s">
        <v>5045</v>
      </c>
      <c r="D197" s="2"/>
    </row>
    <row r="198" spans="1:4" ht="18" customHeight="1" x14ac:dyDescent="0.3">
      <c r="A198" s="2" t="s">
        <v>1585</v>
      </c>
      <c r="B198" s="2" t="s">
        <v>266</v>
      </c>
      <c r="C198" s="2" t="s">
        <v>5045</v>
      </c>
      <c r="D198" s="2"/>
    </row>
    <row r="199" spans="1:4" ht="18" customHeight="1" x14ac:dyDescent="0.3">
      <c r="A199" s="2" t="s">
        <v>1587</v>
      </c>
      <c r="B199" s="2" t="s">
        <v>266</v>
      </c>
      <c r="C199" s="2" t="s">
        <v>5045</v>
      </c>
      <c r="D199" s="2"/>
    </row>
    <row r="200" spans="1:4" ht="18" customHeight="1" x14ac:dyDescent="0.3">
      <c r="A200" s="2" t="s">
        <v>1588</v>
      </c>
      <c r="B200" s="2" t="s">
        <v>266</v>
      </c>
      <c r="C200" s="2" t="s">
        <v>5045</v>
      </c>
      <c r="D200" s="2"/>
    </row>
    <row r="201" spans="1:4" ht="18" customHeight="1" x14ac:dyDescent="0.3">
      <c r="A201" s="2" t="s">
        <v>1589</v>
      </c>
      <c r="B201" s="2" t="s">
        <v>266</v>
      </c>
      <c r="C201" s="2" t="s">
        <v>5045</v>
      </c>
      <c r="D201" s="2"/>
    </row>
    <row r="202" spans="1:4" ht="18" customHeight="1" x14ac:dyDescent="0.3">
      <c r="A202" s="2" t="s">
        <v>1590</v>
      </c>
      <c r="B202" s="2" t="s">
        <v>266</v>
      </c>
      <c r="C202" s="2" t="s">
        <v>5045</v>
      </c>
      <c r="D202" s="2"/>
    </row>
    <row r="203" spans="1:4" ht="18" customHeight="1" x14ac:dyDescent="0.3">
      <c r="A203" s="2" t="s">
        <v>1591</v>
      </c>
      <c r="B203" s="2" t="s">
        <v>266</v>
      </c>
      <c r="C203" s="2" t="s">
        <v>5045</v>
      </c>
      <c r="D203" s="2"/>
    </row>
    <row r="204" spans="1:4" ht="18" customHeight="1" x14ac:dyDescent="0.3">
      <c r="A204" s="2" t="s">
        <v>1592</v>
      </c>
      <c r="B204" s="2" t="s">
        <v>266</v>
      </c>
      <c r="C204" s="2" t="s">
        <v>5045</v>
      </c>
      <c r="D204" s="2"/>
    </row>
    <row r="205" spans="1:4" ht="18" customHeight="1" x14ac:dyDescent="0.3">
      <c r="A205" s="2" t="s">
        <v>1593</v>
      </c>
      <c r="B205" s="2" t="s">
        <v>266</v>
      </c>
      <c r="C205" s="2" t="s">
        <v>5045</v>
      </c>
      <c r="D205" s="2"/>
    </row>
    <row r="206" spans="1:4" ht="18" customHeight="1" x14ac:dyDescent="0.3">
      <c r="A206" s="2" t="s">
        <v>1594</v>
      </c>
      <c r="B206" s="2" t="s">
        <v>266</v>
      </c>
      <c r="C206" s="2" t="s">
        <v>5045</v>
      </c>
      <c r="D206" s="2"/>
    </row>
    <row r="207" spans="1:4" ht="18" customHeight="1" x14ac:dyDescent="0.3">
      <c r="A207" s="2" t="s">
        <v>1596</v>
      </c>
      <c r="B207" s="2" t="s">
        <v>266</v>
      </c>
      <c r="C207" s="2" t="s">
        <v>5045</v>
      </c>
      <c r="D207" s="2"/>
    </row>
    <row r="208" spans="1:4" ht="18" customHeight="1" x14ac:dyDescent="0.3">
      <c r="A208" s="2" t="s">
        <v>1598</v>
      </c>
      <c r="B208" s="2" t="s">
        <v>266</v>
      </c>
      <c r="C208" s="2" t="s">
        <v>5045</v>
      </c>
      <c r="D208" s="2"/>
    </row>
    <row r="209" spans="1:4" ht="18" customHeight="1" x14ac:dyDescent="0.3">
      <c r="A209" s="2" t="s">
        <v>1599</v>
      </c>
      <c r="B209" s="2" t="s">
        <v>266</v>
      </c>
      <c r="C209" s="2" t="s">
        <v>5045</v>
      </c>
      <c r="D209" s="2"/>
    </row>
    <row r="210" spans="1:4" ht="18" customHeight="1" x14ac:dyDescent="0.3">
      <c r="A210" s="2" t="s">
        <v>1600</v>
      </c>
      <c r="B210" s="2" t="s">
        <v>266</v>
      </c>
      <c r="C210" s="2" t="s">
        <v>5045</v>
      </c>
      <c r="D210" s="2"/>
    </row>
    <row r="211" spans="1:4" ht="18" customHeight="1" x14ac:dyDescent="0.3">
      <c r="A211" s="2" t="s">
        <v>1601</v>
      </c>
      <c r="B211" s="2" t="s">
        <v>266</v>
      </c>
      <c r="C211" s="2" t="s">
        <v>5045</v>
      </c>
      <c r="D211" s="2"/>
    </row>
    <row r="212" spans="1:4" ht="18" customHeight="1" x14ac:dyDescent="0.3">
      <c r="A212" s="2" t="s">
        <v>1603</v>
      </c>
      <c r="B212" s="2" t="s">
        <v>266</v>
      </c>
      <c r="C212" s="2" t="s">
        <v>5045</v>
      </c>
      <c r="D212" s="2"/>
    </row>
    <row r="213" spans="1:4" ht="18" customHeight="1" x14ac:dyDescent="0.3">
      <c r="A213" s="2" t="s">
        <v>1604</v>
      </c>
      <c r="B213" s="2" t="s">
        <v>266</v>
      </c>
      <c r="C213" s="2" t="s">
        <v>5045</v>
      </c>
      <c r="D213" s="2"/>
    </row>
    <row r="214" spans="1:4" ht="18" customHeight="1" x14ac:dyDescent="0.3">
      <c r="A214" s="2" t="s">
        <v>1606</v>
      </c>
      <c r="B214" s="2" t="s">
        <v>266</v>
      </c>
      <c r="C214" s="2" t="s">
        <v>5045</v>
      </c>
      <c r="D214" s="2"/>
    </row>
    <row r="215" spans="1:4" ht="18" customHeight="1" x14ac:dyDescent="0.3">
      <c r="A215" s="2" t="s">
        <v>1607</v>
      </c>
      <c r="B215" s="2" t="s">
        <v>266</v>
      </c>
      <c r="C215" s="2" t="s">
        <v>5045</v>
      </c>
      <c r="D215" s="2"/>
    </row>
    <row r="216" spans="1:4" ht="18" customHeight="1" x14ac:dyDescent="0.3">
      <c r="A216" s="2" t="s">
        <v>1609</v>
      </c>
      <c r="B216" s="2" t="s">
        <v>266</v>
      </c>
      <c r="C216" s="2" t="s">
        <v>5045</v>
      </c>
      <c r="D216" s="2"/>
    </row>
    <row r="217" spans="1:4" ht="18" customHeight="1" x14ac:dyDescent="0.3">
      <c r="A217" s="2" t="s">
        <v>1611</v>
      </c>
      <c r="B217" s="2" t="s">
        <v>266</v>
      </c>
      <c r="C217" s="2" t="s">
        <v>5045</v>
      </c>
      <c r="D217" s="2"/>
    </row>
    <row r="218" spans="1:4" ht="18" customHeight="1" x14ac:dyDescent="0.3">
      <c r="A218" s="2" t="s">
        <v>1612</v>
      </c>
      <c r="B218" s="2" t="s">
        <v>266</v>
      </c>
      <c r="C218" s="2" t="s">
        <v>5045</v>
      </c>
      <c r="D218" s="2"/>
    </row>
    <row r="219" spans="1:4" ht="18" customHeight="1" x14ac:dyDescent="0.3">
      <c r="A219" s="2" t="s">
        <v>1613</v>
      </c>
      <c r="B219" s="2" t="s">
        <v>266</v>
      </c>
      <c r="C219" s="2" t="s">
        <v>5045</v>
      </c>
      <c r="D219" s="2"/>
    </row>
    <row r="220" spans="1:4" ht="18" customHeight="1" x14ac:dyDescent="0.3">
      <c r="A220" s="2" t="s">
        <v>1615</v>
      </c>
      <c r="B220" s="2" t="s">
        <v>266</v>
      </c>
      <c r="C220" s="2" t="s">
        <v>5045</v>
      </c>
      <c r="D220" s="2"/>
    </row>
    <row r="221" spans="1:4" ht="18" customHeight="1" x14ac:dyDescent="0.3">
      <c r="A221" s="2" t="s">
        <v>1616</v>
      </c>
      <c r="B221" s="2" t="s">
        <v>266</v>
      </c>
      <c r="C221" s="2" t="s">
        <v>5045</v>
      </c>
      <c r="D221" s="2"/>
    </row>
    <row r="222" spans="1:4" ht="18" customHeight="1" x14ac:dyDescent="0.3">
      <c r="A222" s="2" t="s">
        <v>1617</v>
      </c>
      <c r="B222" s="2" t="s">
        <v>266</v>
      </c>
      <c r="C222" s="2" t="s">
        <v>5045</v>
      </c>
      <c r="D222" s="2"/>
    </row>
    <row r="223" spans="1:4" ht="18" customHeight="1" x14ac:dyDescent="0.3">
      <c r="A223" s="2" t="s">
        <v>1619</v>
      </c>
      <c r="B223" s="2" t="s">
        <v>266</v>
      </c>
      <c r="C223" s="2" t="s">
        <v>5045</v>
      </c>
      <c r="D223" s="2"/>
    </row>
    <row r="224" spans="1:4" ht="18" customHeight="1" x14ac:dyDescent="0.3">
      <c r="A224" s="2" t="s">
        <v>1621</v>
      </c>
      <c r="B224" s="2" t="s">
        <v>266</v>
      </c>
      <c r="C224" s="2" t="s">
        <v>5045</v>
      </c>
      <c r="D224" s="2"/>
    </row>
    <row r="225" spans="1:4" ht="18" customHeight="1" x14ac:dyDescent="0.3">
      <c r="A225" s="2" t="s">
        <v>1622</v>
      </c>
      <c r="B225" s="2" t="s">
        <v>266</v>
      </c>
      <c r="C225" s="2" t="s">
        <v>5045</v>
      </c>
      <c r="D225" s="2"/>
    </row>
    <row r="226" spans="1:4" ht="18" customHeight="1" x14ac:dyDescent="0.3">
      <c r="A226" s="2" t="s">
        <v>1624</v>
      </c>
      <c r="B226" s="2" t="s">
        <v>266</v>
      </c>
      <c r="C226" s="2" t="s">
        <v>5045</v>
      </c>
      <c r="D226" s="2"/>
    </row>
    <row r="227" spans="1:4" ht="18" customHeight="1" x14ac:dyDescent="0.3">
      <c r="A227" s="2" t="s">
        <v>1625</v>
      </c>
      <c r="B227" s="2" t="s">
        <v>266</v>
      </c>
      <c r="C227" s="2" t="s">
        <v>5045</v>
      </c>
      <c r="D227" s="2"/>
    </row>
    <row r="228" spans="1:4" ht="18" customHeight="1" x14ac:dyDescent="0.3">
      <c r="A228" s="2" t="s">
        <v>1627</v>
      </c>
      <c r="B228" s="2" t="s">
        <v>266</v>
      </c>
      <c r="C228" s="2" t="s">
        <v>5045</v>
      </c>
      <c r="D228" s="2"/>
    </row>
    <row r="229" spans="1:4" ht="18" customHeight="1" x14ac:dyDescent="0.3">
      <c r="A229" s="2" t="s">
        <v>1629</v>
      </c>
      <c r="B229" s="2" t="s">
        <v>266</v>
      </c>
      <c r="C229" s="2" t="s">
        <v>5045</v>
      </c>
      <c r="D229" s="2"/>
    </row>
    <row r="230" spans="1:4" ht="18" customHeight="1" x14ac:dyDescent="0.3">
      <c r="A230" s="2" t="s">
        <v>1631</v>
      </c>
      <c r="B230" s="2" t="s">
        <v>266</v>
      </c>
      <c r="C230" s="2" t="s">
        <v>5045</v>
      </c>
      <c r="D230" s="2"/>
    </row>
    <row r="231" spans="1:4" ht="18" customHeight="1" x14ac:dyDescent="0.3">
      <c r="A231" s="2" t="s">
        <v>1632</v>
      </c>
      <c r="B231" s="2" t="s">
        <v>266</v>
      </c>
      <c r="C231" s="2" t="s">
        <v>5045</v>
      </c>
      <c r="D231" s="2"/>
    </row>
    <row r="232" spans="1:4" ht="18" customHeight="1" x14ac:dyDescent="0.3">
      <c r="A232" s="2" t="s">
        <v>1633</v>
      </c>
      <c r="B232" s="2" t="s">
        <v>266</v>
      </c>
      <c r="C232" s="2" t="s">
        <v>5045</v>
      </c>
      <c r="D232" s="2"/>
    </row>
    <row r="233" spans="1:4" ht="18" customHeight="1" x14ac:dyDescent="0.3">
      <c r="A233" s="2" t="s">
        <v>1635</v>
      </c>
      <c r="B233" s="2" t="s">
        <v>266</v>
      </c>
      <c r="C233" s="2" t="s">
        <v>5045</v>
      </c>
      <c r="D233" s="2"/>
    </row>
    <row r="234" spans="1:4" ht="18" customHeight="1" x14ac:dyDescent="0.3">
      <c r="A234" s="2" t="s">
        <v>1636</v>
      </c>
      <c r="B234" s="2" t="s">
        <v>266</v>
      </c>
      <c r="C234" s="2" t="s">
        <v>5045</v>
      </c>
      <c r="D234" s="2"/>
    </row>
    <row r="235" spans="1:4" ht="18" customHeight="1" x14ac:dyDescent="0.3">
      <c r="A235" s="2" t="s">
        <v>1637</v>
      </c>
      <c r="B235" s="2" t="s">
        <v>266</v>
      </c>
      <c r="C235" s="2" t="s">
        <v>5045</v>
      </c>
      <c r="D235" s="2"/>
    </row>
    <row r="236" spans="1:4" ht="18" customHeight="1" x14ac:dyDescent="0.3">
      <c r="A236" s="2" t="s">
        <v>1638</v>
      </c>
      <c r="B236" s="2" t="s">
        <v>266</v>
      </c>
      <c r="C236" s="2" t="s">
        <v>5045</v>
      </c>
      <c r="D236" s="2"/>
    </row>
    <row r="237" spans="1:4" ht="18" customHeight="1" x14ac:dyDescent="0.3">
      <c r="A237" s="2" t="s">
        <v>1639</v>
      </c>
      <c r="B237" s="2" t="s">
        <v>266</v>
      </c>
      <c r="C237" s="2" t="s">
        <v>5045</v>
      </c>
      <c r="D237" s="2"/>
    </row>
    <row r="238" spans="1:4" ht="18" customHeight="1" x14ac:dyDescent="0.3">
      <c r="A238" s="2" t="s">
        <v>1640</v>
      </c>
      <c r="B238" s="2" t="s">
        <v>266</v>
      </c>
      <c r="C238" s="2" t="s">
        <v>5045</v>
      </c>
      <c r="D238" s="2"/>
    </row>
    <row r="239" spans="1:4" ht="18" customHeight="1" x14ac:dyDescent="0.3">
      <c r="A239" s="2" t="s">
        <v>1641</v>
      </c>
      <c r="B239" s="2" t="s">
        <v>266</v>
      </c>
      <c r="C239" s="2" t="s">
        <v>5045</v>
      </c>
      <c r="D239" s="2"/>
    </row>
    <row r="240" spans="1:4" ht="18" customHeight="1" x14ac:dyDescent="0.3">
      <c r="A240" s="2" t="s">
        <v>1642</v>
      </c>
      <c r="B240" s="2" t="s">
        <v>266</v>
      </c>
      <c r="C240" s="2" t="s">
        <v>5045</v>
      </c>
      <c r="D240" s="2"/>
    </row>
    <row r="241" spans="1:4" ht="18" customHeight="1" x14ac:dyDescent="0.3">
      <c r="A241" s="2" t="s">
        <v>1643</v>
      </c>
      <c r="B241" s="2" t="s">
        <v>266</v>
      </c>
      <c r="C241" s="2" t="s">
        <v>5045</v>
      </c>
      <c r="D241" s="2"/>
    </row>
    <row r="242" spans="1:4" ht="18" customHeight="1" x14ac:dyDescent="0.3">
      <c r="A242" s="2" t="s">
        <v>1645</v>
      </c>
      <c r="B242" s="2" t="s">
        <v>266</v>
      </c>
      <c r="C242" s="2" t="s">
        <v>5045</v>
      </c>
      <c r="D242" s="2"/>
    </row>
    <row r="243" spans="1:4" ht="18" customHeight="1" x14ac:dyDescent="0.3">
      <c r="A243" s="2" t="s">
        <v>1646</v>
      </c>
      <c r="B243" s="2" t="s">
        <v>266</v>
      </c>
      <c r="C243" s="2" t="s">
        <v>5045</v>
      </c>
      <c r="D243" s="2"/>
    </row>
    <row r="244" spans="1:4" ht="18" customHeight="1" x14ac:dyDescent="0.3">
      <c r="A244" s="2" t="s">
        <v>1647</v>
      </c>
      <c r="B244" s="2" t="s">
        <v>266</v>
      </c>
      <c r="C244" s="2" t="s">
        <v>5045</v>
      </c>
      <c r="D244" s="2"/>
    </row>
    <row r="245" spans="1:4" ht="18" customHeight="1" x14ac:dyDescent="0.3">
      <c r="A245" s="2" t="s">
        <v>1648</v>
      </c>
      <c r="B245" s="2" t="s">
        <v>266</v>
      </c>
      <c r="C245" s="2" t="s">
        <v>5045</v>
      </c>
      <c r="D245" s="2"/>
    </row>
    <row r="246" spans="1:4" ht="18" customHeight="1" x14ac:dyDescent="0.3">
      <c r="A246" s="2" t="s">
        <v>1649</v>
      </c>
      <c r="B246" s="2" t="s">
        <v>266</v>
      </c>
      <c r="C246" s="2" t="s">
        <v>5045</v>
      </c>
      <c r="D246" s="2"/>
    </row>
    <row r="247" spans="1:4" ht="18" customHeight="1" x14ac:dyDescent="0.3">
      <c r="A247" s="2" t="s">
        <v>1650</v>
      </c>
      <c r="B247" s="2" t="s">
        <v>266</v>
      </c>
      <c r="C247" s="2" t="s">
        <v>5045</v>
      </c>
      <c r="D247" s="2"/>
    </row>
    <row r="248" spans="1:4" ht="18" customHeight="1" x14ac:dyDescent="0.3">
      <c r="A248" s="2" t="s">
        <v>1651</v>
      </c>
      <c r="B248" s="2" t="s">
        <v>266</v>
      </c>
      <c r="C248" s="2" t="s">
        <v>5045</v>
      </c>
      <c r="D248" s="2"/>
    </row>
    <row r="249" spans="1:4" ht="18" customHeight="1" x14ac:dyDescent="0.3">
      <c r="A249" s="2" t="s">
        <v>1652</v>
      </c>
      <c r="B249" s="2" t="s">
        <v>266</v>
      </c>
      <c r="C249" s="2" t="s">
        <v>5045</v>
      </c>
      <c r="D249" s="2"/>
    </row>
    <row r="250" spans="1:4" ht="18" customHeight="1" x14ac:dyDescent="0.3">
      <c r="A250" s="2" t="s">
        <v>1653</v>
      </c>
      <c r="B250" s="2" t="s">
        <v>266</v>
      </c>
      <c r="C250" s="2" t="s">
        <v>5045</v>
      </c>
      <c r="D250" s="2"/>
    </row>
    <row r="251" spans="1:4" ht="18" customHeight="1" x14ac:dyDescent="0.3">
      <c r="A251" s="2" t="s">
        <v>1655</v>
      </c>
      <c r="B251" s="2" t="s">
        <v>266</v>
      </c>
      <c r="C251" s="2" t="s">
        <v>5045</v>
      </c>
      <c r="D251" s="2"/>
    </row>
    <row r="252" spans="1:4" ht="18" customHeight="1" x14ac:dyDescent="0.3">
      <c r="A252" s="2" t="s">
        <v>1656</v>
      </c>
      <c r="B252" s="2" t="s">
        <v>266</v>
      </c>
      <c r="C252" s="2" t="s">
        <v>5045</v>
      </c>
      <c r="D252" s="2"/>
    </row>
    <row r="253" spans="1:4" ht="18" customHeight="1" x14ac:dyDescent="0.3">
      <c r="A253" s="2" t="s">
        <v>1658</v>
      </c>
      <c r="B253" s="2" t="s">
        <v>266</v>
      </c>
      <c r="C253" s="2" t="s">
        <v>5045</v>
      </c>
      <c r="D253" s="2"/>
    </row>
    <row r="254" spans="1:4" ht="18" customHeight="1" x14ac:dyDescent="0.3">
      <c r="A254" s="2" t="s">
        <v>1660</v>
      </c>
      <c r="B254" s="2" t="s">
        <v>266</v>
      </c>
      <c r="C254" s="2" t="s">
        <v>5045</v>
      </c>
      <c r="D254" s="2"/>
    </row>
    <row r="255" spans="1:4" ht="18" customHeight="1" x14ac:dyDescent="0.3">
      <c r="A255" s="2" t="s">
        <v>1662</v>
      </c>
      <c r="B255" s="2" t="s">
        <v>266</v>
      </c>
      <c r="C255" s="2" t="s">
        <v>5045</v>
      </c>
      <c r="D255" s="2"/>
    </row>
    <row r="256" spans="1:4" ht="18" customHeight="1" x14ac:dyDescent="0.3">
      <c r="A256" s="2" t="s">
        <v>1664</v>
      </c>
      <c r="B256" s="2" t="s">
        <v>266</v>
      </c>
      <c r="C256" s="2" t="s">
        <v>5045</v>
      </c>
      <c r="D256" s="2"/>
    </row>
    <row r="257" spans="1:4" ht="18" customHeight="1" x14ac:dyDescent="0.3">
      <c r="A257" s="2" t="s">
        <v>1666</v>
      </c>
      <c r="B257" s="2" t="s">
        <v>266</v>
      </c>
      <c r="C257" s="2" t="s">
        <v>5045</v>
      </c>
      <c r="D257" s="2"/>
    </row>
    <row r="258" spans="1:4" ht="18" customHeight="1" x14ac:dyDescent="0.3">
      <c r="A258" s="2" t="s">
        <v>1667</v>
      </c>
      <c r="B258" s="2" t="s">
        <v>266</v>
      </c>
      <c r="C258" s="2" t="s">
        <v>5045</v>
      </c>
      <c r="D258" s="2"/>
    </row>
    <row r="259" spans="1:4" ht="18" customHeight="1" x14ac:dyDescent="0.3">
      <c r="A259" s="2" t="s">
        <v>1668</v>
      </c>
      <c r="B259" s="2" t="s">
        <v>266</v>
      </c>
      <c r="C259" s="2" t="s">
        <v>5045</v>
      </c>
      <c r="D259" s="2"/>
    </row>
    <row r="260" spans="1:4" ht="18" customHeight="1" x14ac:dyDescent="0.3">
      <c r="A260" s="2" t="s">
        <v>1669</v>
      </c>
      <c r="B260" s="2" t="s">
        <v>266</v>
      </c>
      <c r="C260" s="2" t="s">
        <v>5045</v>
      </c>
      <c r="D260" s="2"/>
    </row>
    <row r="261" spans="1:4" ht="18" customHeight="1" x14ac:dyDescent="0.3">
      <c r="A261" s="2" t="s">
        <v>1670</v>
      </c>
      <c r="B261" s="2" t="s">
        <v>266</v>
      </c>
      <c r="C261" s="2" t="s">
        <v>5045</v>
      </c>
      <c r="D261" s="2"/>
    </row>
    <row r="262" spans="1:4" ht="18" customHeight="1" x14ac:dyDescent="0.3">
      <c r="A262" s="2" t="s">
        <v>1672</v>
      </c>
      <c r="B262" s="2" t="s">
        <v>266</v>
      </c>
      <c r="C262" s="2" t="s">
        <v>5045</v>
      </c>
      <c r="D262" s="2"/>
    </row>
    <row r="263" spans="1:4" ht="18" customHeight="1" x14ac:dyDescent="0.3">
      <c r="A263" s="2" t="s">
        <v>1674</v>
      </c>
      <c r="B263" s="2" t="s">
        <v>266</v>
      </c>
      <c r="C263" s="2" t="s">
        <v>5045</v>
      </c>
      <c r="D263" s="2"/>
    </row>
    <row r="264" spans="1:4" ht="18" customHeight="1" x14ac:dyDescent="0.3">
      <c r="A264" s="2" t="s">
        <v>1676</v>
      </c>
      <c r="B264" s="2" t="s">
        <v>266</v>
      </c>
      <c r="C264" s="2" t="s">
        <v>5045</v>
      </c>
      <c r="D264" s="2"/>
    </row>
    <row r="265" spans="1:4" ht="18" customHeight="1" x14ac:dyDescent="0.3">
      <c r="A265" s="2" t="s">
        <v>1678</v>
      </c>
      <c r="B265" s="2" t="s">
        <v>266</v>
      </c>
      <c r="C265" s="2" t="s">
        <v>5045</v>
      </c>
      <c r="D265" s="2"/>
    </row>
    <row r="266" spans="1:4" ht="18" customHeight="1" x14ac:dyDescent="0.3">
      <c r="A266" s="2" t="s">
        <v>1680</v>
      </c>
      <c r="B266" s="2" t="s">
        <v>266</v>
      </c>
      <c r="C266" s="2" t="s">
        <v>5045</v>
      </c>
      <c r="D266" s="2"/>
    </row>
    <row r="267" spans="1:4" ht="18" customHeight="1" x14ac:dyDescent="0.3">
      <c r="A267" s="2" t="s">
        <v>1682</v>
      </c>
      <c r="B267" s="2" t="s">
        <v>266</v>
      </c>
      <c r="C267" s="2" t="s">
        <v>5045</v>
      </c>
      <c r="D267" s="2"/>
    </row>
    <row r="268" spans="1:4" ht="18" customHeight="1" x14ac:dyDescent="0.3">
      <c r="A268" s="2" t="s">
        <v>1684</v>
      </c>
      <c r="B268" s="2" t="s">
        <v>266</v>
      </c>
      <c r="C268" s="2" t="s">
        <v>5045</v>
      </c>
      <c r="D268" s="2"/>
    </row>
    <row r="269" spans="1:4" ht="18" customHeight="1" x14ac:dyDescent="0.3">
      <c r="A269" s="2" t="s">
        <v>1686</v>
      </c>
      <c r="B269" s="2" t="s">
        <v>266</v>
      </c>
      <c r="C269" s="2" t="s">
        <v>5045</v>
      </c>
      <c r="D269" s="2"/>
    </row>
    <row r="270" spans="1:4" ht="18" customHeight="1" x14ac:dyDescent="0.3">
      <c r="A270" s="2" t="s">
        <v>1688</v>
      </c>
      <c r="B270" s="2" t="s">
        <v>266</v>
      </c>
      <c r="C270" s="2" t="s">
        <v>5045</v>
      </c>
      <c r="D270" s="2"/>
    </row>
    <row r="271" spans="1:4" ht="18" customHeight="1" x14ac:dyDescent="0.3">
      <c r="A271" s="2" t="s">
        <v>1690</v>
      </c>
      <c r="B271" s="2" t="s">
        <v>266</v>
      </c>
      <c r="C271" s="2" t="s">
        <v>5045</v>
      </c>
      <c r="D271" s="2"/>
    </row>
    <row r="272" spans="1:4" ht="18" customHeight="1" x14ac:dyDescent="0.3">
      <c r="A272" s="2" t="s">
        <v>1692</v>
      </c>
      <c r="B272" s="2" t="s">
        <v>266</v>
      </c>
      <c r="C272" s="2" t="s">
        <v>5045</v>
      </c>
      <c r="D272" s="2"/>
    </row>
    <row r="273" spans="1:4" ht="18" customHeight="1" x14ac:dyDescent="0.3">
      <c r="A273" s="2" t="s">
        <v>1693</v>
      </c>
      <c r="B273" s="2" t="s">
        <v>266</v>
      </c>
      <c r="C273" s="2" t="s">
        <v>5045</v>
      </c>
      <c r="D273" s="2"/>
    </row>
    <row r="274" spans="1:4" ht="18" customHeight="1" x14ac:dyDescent="0.3">
      <c r="A274" s="2" t="s">
        <v>1695</v>
      </c>
      <c r="B274" s="2" t="s">
        <v>266</v>
      </c>
      <c r="C274" s="2" t="s">
        <v>5045</v>
      </c>
      <c r="D274" s="2"/>
    </row>
    <row r="275" spans="1:4" ht="18" customHeight="1" x14ac:dyDescent="0.3">
      <c r="A275" s="2" t="s">
        <v>1697</v>
      </c>
      <c r="B275" s="2" t="s">
        <v>266</v>
      </c>
      <c r="C275" s="2" t="s">
        <v>5045</v>
      </c>
      <c r="D275" s="2"/>
    </row>
    <row r="276" spans="1:4" ht="18" customHeight="1" x14ac:dyDescent="0.3">
      <c r="A276" s="2" t="s">
        <v>1699</v>
      </c>
      <c r="B276" s="2" t="s">
        <v>266</v>
      </c>
      <c r="C276" s="2" t="s">
        <v>5045</v>
      </c>
      <c r="D276" s="2"/>
    </row>
    <row r="277" spans="1:4" ht="18" customHeight="1" x14ac:dyDescent="0.3">
      <c r="A277" s="2" t="s">
        <v>1701</v>
      </c>
      <c r="B277" s="2" t="s">
        <v>266</v>
      </c>
      <c r="C277" s="2" t="s">
        <v>5045</v>
      </c>
      <c r="D277" s="2"/>
    </row>
    <row r="278" spans="1:4" ht="18" customHeight="1" x14ac:dyDescent="0.3">
      <c r="A278" s="2" t="s">
        <v>1703</v>
      </c>
      <c r="B278" s="2" t="s">
        <v>266</v>
      </c>
      <c r="C278" s="2" t="s">
        <v>5045</v>
      </c>
      <c r="D278" s="2"/>
    </row>
    <row r="279" spans="1:4" ht="18" customHeight="1" x14ac:dyDescent="0.3">
      <c r="A279" s="2" t="s">
        <v>1705</v>
      </c>
      <c r="B279" s="2" t="s">
        <v>266</v>
      </c>
      <c r="C279" s="2" t="s">
        <v>5045</v>
      </c>
      <c r="D279" s="2"/>
    </row>
    <row r="280" spans="1:4" ht="18" customHeight="1" x14ac:dyDescent="0.3">
      <c r="A280" s="2" t="s">
        <v>1706</v>
      </c>
      <c r="B280" s="2" t="s">
        <v>266</v>
      </c>
      <c r="C280" s="2" t="s">
        <v>5045</v>
      </c>
      <c r="D280" s="2"/>
    </row>
    <row r="281" spans="1:4" ht="18" customHeight="1" x14ac:dyDescent="0.3">
      <c r="A281" s="2" t="s">
        <v>1707</v>
      </c>
      <c r="B281" s="2" t="s">
        <v>266</v>
      </c>
      <c r="C281" s="2" t="s">
        <v>5045</v>
      </c>
      <c r="D281" s="2"/>
    </row>
    <row r="282" spans="1:4" ht="18" customHeight="1" x14ac:dyDescent="0.3">
      <c r="A282" s="2" t="s">
        <v>1708</v>
      </c>
      <c r="B282" s="2" t="s">
        <v>266</v>
      </c>
      <c r="C282" s="2" t="s">
        <v>5045</v>
      </c>
      <c r="D282" s="2"/>
    </row>
    <row r="283" spans="1:4" ht="18" customHeight="1" x14ac:dyDescent="0.3">
      <c r="A283" s="2" t="s">
        <v>1709</v>
      </c>
      <c r="B283" s="2" t="s">
        <v>266</v>
      </c>
      <c r="C283" s="2" t="s">
        <v>5045</v>
      </c>
      <c r="D283" s="2"/>
    </row>
    <row r="284" spans="1:4" ht="18" customHeight="1" x14ac:dyDescent="0.3">
      <c r="A284" s="2" t="s">
        <v>1710</v>
      </c>
      <c r="B284" s="2" t="s">
        <v>266</v>
      </c>
      <c r="C284" s="2" t="s">
        <v>5045</v>
      </c>
      <c r="D284" s="2"/>
    </row>
    <row r="285" spans="1:4" ht="18" customHeight="1" x14ac:dyDescent="0.3">
      <c r="A285" s="2" t="s">
        <v>1711</v>
      </c>
      <c r="B285" s="2" t="s">
        <v>266</v>
      </c>
      <c r="C285" s="2" t="s">
        <v>5045</v>
      </c>
      <c r="D285" s="2"/>
    </row>
    <row r="286" spans="1:4" ht="18" customHeight="1" x14ac:dyDescent="0.3">
      <c r="A286" s="2" t="s">
        <v>1712</v>
      </c>
      <c r="B286" s="2" t="s">
        <v>266</v>
      </c>
      <c r="C286" s="2" t="s">
        <v>5045</v>
      </c>
      <c r="D286" s="2"/>
    </row>
    <row r="287" spans="1:4" ht="18" customHeight="1" x14ac:dyDescent="0.3">
      <c r="A287" s="2" t="s">
        <v>1714</v>
      </c>
      <c r="B287" s="2" t="s">
        <v>266</v>
      </c>
      <c r="C287" s="2" t="s">
        <v>5045</v>
      </c>
      <c r="D287" s="2"/>
    </row>
    <row r="288" spans="1:4" ht="18" customHeight="1" x14ac:dyDescent="0.3">
      <c r="A288" s="2" t="s">
        <v>1716</v>
      </c>
      <c r="B288" s="2" t="s">
        <v>266</v>
      </c>
      <c r="C288" s="2" t="s">
        <v>5045</v>
      </c>
      <c r="D288" s="2"/>
    </row>
    <row r="289" spans="1:4" ht="18" customHeight="1" x14ac:dyDescent="0.3">
      <c r="A289" s="2" t="s">
        <v>1717</v>
      </c>
      <c r="B289" s="2" t="s">
        <v>266</v>
      </c>
      <c r="C289" s="2" t="s">
        <v>5045</v>
      </c>
      <c r="D289" s="2"/>
    </row>
    <row r="290" spans="1:4" ht="18" customHeight="1" x14ac:dyDescent="0.3">
      <c r="A290" s="2" t="s">
        <v>1718</v>
      </c>
      <c r="B290" s="2" t="s">
        <v>266</v>
      </c>
      <c r="C290" s="2" t="s">
        <v>5045</v>
      </c>
      <c r="D290" s="2"/>
    </row>
    <row r="291" spans="1:4" ht="18" customHeight="1" x14ac:dyDescent="0.3">
      <c r="A291" s="2" t="s">
        <v>1719</v>
      </c>
      <c r="B291" s="2" t="s">
        <v>266</v>
      </c>
      <c r="C291" s="2" t="s">
        <v>5045</v>
      </c>
      <c r="D291" s="2"/>
    </row>
    <row r="292" spans="1:4" ht="18" customHeight="1" x14ac:dyDescent="0.3">
      <c r="A292" s="2" t="s">
        <v>1720</v>
      </c>
      <c r="B292" s="2" t="s">
        <v>266</v>
      </c>
      <c r="C292" s="2" t="s">
        <v>5045</v>
      </c>
      <c r="D292" s="2"/>
    </row>
    <row r="293" spans="1:4" ht="18" customHeight="1" x14ac:dyDescent="0.3">
      <c r="A293" s="2" t="s">
        <v>1721</v>
      </c>
      <c r="B293" s="2" t="s">
        <v>266</v>
      </c>
      <c r="C293" s="2" t="s">
        <v>5045</v>
      </c>
      <c r="D293" s="2"/>
    </row>
    <row r="294" spans="1:4" ht="18" customHeight="1" x14ac:dyDescent="0.3">
      <c r="A294" s="2" t="s">
        <v>1723</v>
      </c>
      <c r="B294" s="2" t="s">
        <v>266</v>
      </c>
      <c r="C294" s="2" t="s">
        <v>5045</v>
      </c>
      <c r="D294" s="2"/>
    </row>
    <row r="295" spans="1:4" ht="18" customHeight="1" x14ac:dyDescent="0.3">
      <c r="A295" s="2" t="s">
        <v>1725</v>
      </c>
      <c r="B295" s="2" t="s">
        <v>266</v>
      </c>
      <c r="C295" s="2" t="s">
        <v>5045</v>
      </c>
      <c r="D295" s="2"/>
    </row>
    <row r="296" spans="1:4" ht="18" customHeight="1" x14ac:dyDescent="0.3">
      <c r="A296" s="2" t="s">
        <v>1727</v>
      </c>
      <c r="B296" s="2" t="s">
        <v>266</v>
      </c>
      <c r="C296" s="2" t="s">
        <v>5045</v>
      </c>
      <c r="D296" s="2"/>
    </row>
    <row r="297" spans="1:4" ht="18" customHeight="1" x14ac:dyDescent="0.3">
      <c r="A297" s="2" t="s">
        <v>1729</v>
      </c>
      <c r="B297" s="2" t="s">
        <v>266</v>
      </c>
      <c r="C297" s="2" t="s">
        <v>5045</v>
      </c>
      <c r="D297" s="2"/>
    </row>
    <row r="298" spans="1:4" ht="18" customHeight="1" x14ac:dyDescent="0.3">
      <c r="A298" s="2" t="s">
        <v>1731</v>
      </c>
      <c r="B298" s="2" t="s">
        <v>266</v>
      </c>
      <c r="C298" s="2" t="s">
        <v>5045</v>
      </c>
      <c r="D298" s="2"/>
    </row>
    <row r="299" spans="1:4" ht="18" customHeight="1" x14ac:dyDescent="0.3">
      <c r="A299" s="2" t="s">
        <v>1733</v>
      </c>
      <c r="B299" s="2" t="s">
        <v>266</v>
      </c>
      <c r="C299" s="2" t="s">
        <v>5045</v>
      </c>
      <c r="D299" s="2"/>
    </row>
    <row r="300" spans="1:4" ht="18" customHeight="1" x14ac:dyDescent="0.3">
      <c r="A300" s="2" t="s">
        <v>1735</v>
      </c>
      <c r="B300" s="2" t="s">
        <v>266</v>
      </c>
      <c r="C300" s="2" t="s">
        <v>5045</v>
      </c>
      <c r="D300" s="2"/>
    </row>
    <row r="301" spans="1:4" x14ac:dyDescent="0.3">
      <c r="A301" s="2" t="s">
        <v>1737</v>
      </c>
      <c r="B301" s="2" t="s">
        <v>266</v>
      </c>
      <c r="C301" s="2" t="s">
        <v>5045</v>
      </c>
      <c r="D301" s="2"/>
    </row>
    <row r="302" spans="1:4" x14ac:dyDescent="0.3">
      <c r="A302" s="2" t="s">
        <v>1739</v>
      </c>
      <c r="B302" s="2" t="s">
        <v>266</v>
      </c>
      <c r="C302" s="2" t="s">
        <v>5045</v>
      </c>
      <c r="D302" s="2"/>
    </row>
    <row r="303" spans="1:4" x14ac:dyDescent="0.3">
      <c r="A303" s="2" t="s">
        <v>1741</v>
      </c>
      <c r="B303" s="2" t="s">
        <v>266</v>
      </c>
      <c r="C303" s="2" t="s">
        <v>5045</v>
      </c>
      <c r="D303" s="2"/>
    </row>
    <row r="304" spans="1:4" x14ac:dyDescent="0.3">
      <c r="A304" s="2" t="s">
        <v>1743</v>
      </c>
      <c r="B304" s="2" t="s">
        <v>266</v>
      </c>
      <c r="C304" s="2" t="s">
        <v>5045</v>
      </c>
      <c r="D304" s="2"/>
    </row>
    <row r="305" spans="1:4" x14ac:dyDescent="0.3">
      <c r="A305" s="2" t="s">
        <v>1745</v>
      </c>
      <c r="B305" s="2" t="s">
        <v>266</v>
      </c>
      <c r="C305" s="2" t="s">
        <v>5045</v>
      </c>
      <c r="D305" s="2"/>
    </row>
    <row r="306" spans="1:4" x14ac:dyDescent="0.3">
      <c r="A306" s="2" t="s">
        <v>1747</v>
      </c>
      <c r="B306" s="2" t="s">
        <v>266</v>
      </c>
      <c r="C306" s="2" t="s">
        <v>5045</v>
      </c>
      <c r="D306" s="2"/>
    </row>
    <row r="307" spans="1:4" x14ac:dyDescent="0.3">
      <c r="A307" s="2" t="s">
        <v>1749</v>
      </c>
      <c r="B307" s="2" t="s">
        <v>266</v>
      </c>
      <c r="C307" s="2" t="s">
        <v>5045</v>
      </c>
      <c r="D307" s="2"/>
    </row>
    <row r="308" spans="1:4" x14ac:dyDescent="0.3">
      <c r="A308" s="2" t="s">
        <v>1751</v>
      </c>
      <c r="B308" s="2" t="s">
        <v>266</v>
      </c>
      <c r="C308" s="2" t="s">
        <v>5045</v>
      </c>
      <c r="D308" s="2"/>
    </row>
    <row r="309" spans="1:4" x14ac:dyDescent="0.3">
      <c r="A309" s="2" t="s">
        <v>1753</v>
      </c>
      <c r="B309" s="2" t="s">
        <v>266</v>
      </c>
      <c r="C309" s="2" t="s">
        <v>5045</v>
      </c>
      <c r="D309" s="2"/>
    </row>
    <row r="310" spans="1:4" x14ac:dyDescent="0.3">
      <c r="A310" s="2" t="s">
        <v>1754</v>
      </c>
      <c r="B310" s="2" t="s">
        <v>266</v>
      </c>
      <c r="C310" s="2" t="s">
        <v>5045</v>
      </c>
      <c r="D310" s="2"/>
    </row>
    <row r="311" spans="1:4" x14ac:dyDescent="0.3">
      <c r="A311" s="2" t="s">
        <v>1755</v>
      </c>
      <c r="B311" s="2" t="s">
        <v>266</v>
      </c>
      <c r="C311" s="2" t="s">
        <v>5045</v>
      </c>
      <c r="D311" s="2"/>
    </row>
    <row r="312" spans="1:4" x14ac:dyDescent="0.3">
      <c r="A312" s="2" t="s">
        <v>1756</v>
      </c>
      <c r="B312" s="2" t="s">
        <v>266</v>
      </c>
      <c r="C312" s="2" t="s">
        <v>5045</v>
      </c>
      <c r="D312" s="2"/>
    </row>
    <row r="313" spans="1:4" x14ac:dyDescent="0.3">
      <c r="A313" s="2" t="s">
        <v>1758</v>
      </c>
      <c r="B313" s="2" t="s">
        <v>266</v>
      </c>
      <c r="C313" s="2" t="s">
        <v>5045</v>
      </c>
      <c r="D313" s="2"/>
    </row>
    <row r="314" spans="1:4" x14ac:dyDescent="0.3">
      <c r="A314" s="2" t="s">
        <v>1760</v>
      </c>
      <c r="B314" s="2" t="s">
        <v>266</v>
      </c>
      <c r="C314" s="2" t="s">
        <v>5045</v>
      </c>
      <c r="D314" s="2"/>
    </row>
    <row r="315" spans="1:4" x14ac:dyDescent="0.3">
      <c r="A315" s="2" t="s">
        <v>1761</v>
      </c>
      <c r="B315" s="2" t="s">
        <v>266</v>
      </c>
      <c r="C315" s="2" t="s">
        <v>5045</v>
      </c>
      <c r="D315" s="2"/>
    </row>
    <row r="316" spans="1:4" x14ac:dyDescent="0.3">
      <c r="A316" s="2" t="s">
        <v>1762</v>
      </c>
      <c r="B316" s="2" t="s">
        <v>266</v>
      </c>
      <c r="C316" s="2" t="s">
        <v>5045</v>
      </c>
      <c r="D316" s="2"/>
    </row>
    <row r="317" spans="1:4" x14ac:dyDescent="0.3">
      <c r="A317" s="2" t="s">
        <v>1763</v>
      </c>
      <c r="B317" s="2" t="s">
        <v>266</v>
      </c>
      <c r="C317" s="2" t="s">
        <v>5045</v>
      </c>
      <c r="D317" s="2"/>
    </row>
    <row r="318" spans="1:4" x14ac:dyDescent="0.3">
      <c r="A318" s="2" t="s">
        <v>1764</v>
      </c>
      <c r="B318" s="2" t="s">
        <v>266</v>
      </c>
      <c r="C318" s="2" t="s">
        <v>5045</v>
      </c>
      <c r="D318" s="2"/>
    </row>
    <row r="319" spans="1:4" x14ac:dyDescent="0.3">
      <c r="A319" s="2" t="s">
        <v>1765</v>
      </c>
      <c r="B319" s="2" t="s">
        <v>266</v>
      </c>
      <c r="C319" s="2" t="s">
        <v>5045</v>
      </c>
      <c r="D319" s="2"/>
    </row>
    <row r="320" spans="1:4" x14ac:dyDescent="0.3">
      <c r="A320" s="2" t="s">
        <v>1766</v>
      </c>
      <c r="B320" s="2" t="s">
        <v>266</v>
      </c>
      <c r="C320" s="2" t="s">
        <v>5045</v>
      </c>
      <c r="D320" s="2"/>
    </row>
    <row r="321" spans="1:4" x14ac:dyDescent="0.3">
      <c r="A321" s="2" t="s">
        <v>1767</v>
      </c>
      <c r="B321" s="2" t="s">
        <v>266</v>
      </c>
      <c r="C321" s="2" t="s">
        <v>5045</v>
      </c>
      <c r="D321" s="2"/>
    </row>
    <row r="322" spans="1:4" x14ac:dyDescent="0.3">
      <c r="A322" s="2" t="s">
        <v>1768</v>
      </c>
      <c r="B322" s="2" t="s">
        <v>266</v>
      </c>
      <c r="C322" s="2" t="s">
        <v>5045</v>
      </c>
      <c r="D322" s="2"/>
    </row>
    <row r="323" spans="1:4" x14ac:dyDescent="0.3">
      <c r="A323" s="2" t="s">
        <v>1770</v>
      </c>
      <c r="B323" s="2" t="s">
        <v>266</v>
      </c>
      <c r="C323" s="2" t="s">
        <v>5045</v>
      </c>
      <c r="D323" s="2"/>
    </row>
    <row r="324" spans="1:4" x14ac:dyDescent="0.3">
      <c r="A324" s="2" t="s">
        <v>1771</v>
      </c>
      <c r="B324" s="2" t="s">
        <v>266</v>
      </c>
      <c r="C324" s="2" t="s">
        <v>5045</v>
      </c>
      <c r="D324" s="2"/>
    </row>
    <row r="325" spans="1:4" x14ac:dyDescent="0.3">
      <c r="A325" s="2" t="s">
        <v>1773</v>
      </c>
      <c r="B325" s="2" t="s">
        <v>266</v>
      </c>
      <c r="C325" s="2" t="s">
        <v>5045</v>
      </c>
      <c r="D325" s="2"/>
    </row>
    <row r="326" spans="1:4" x14ac:dyDescent="0.3">
      <c r="A326" s="2" t="s">
        <v>1774</v>
      </c>
      <c r="B326" s="2" t="s">
        <v>266</v>
      </c>
      <c r="C326" s="2" t="s">
        <v>5045</v>
      </c>
      <c r="D326" s="2"/>
    </row>
    <row r="327" spans="1:4" x14ac:dyDescent="0.3">
      <c r="A327" s="2" t="s">
        <v>1775</v>
      </c>
      <c r="B327" s="2" t="s">
        <v>266</v>
      </c>
      <c r="C327" s="2" t="s">
        <v>5045</v>
      </c>
      <c r="D327" s="2"/>
    </row>
    <row r="328" spans="1:4" x14ac:dyDescent="0.3">
      <c r="A328" s="2" t="s">
        <v>1777</v>
      </c>
      <c r="B328" s="2" t="s">
        <v>266</v>
      </c>
      <c r="C328" s="2" t="s">
        <v>5045</v>
      </c>
      <c r="D328" s="2"/>
    </row>
    <row r="329" spans="1:4" x14ac:dyDescent="0.3">
      <c r="A329" s="2" t="s">
        <v>1779</v>
      </c>
      <c r="B329" s="2" t="s">
        <v>266</v>
      </c>
      <c r="C329" s="2" t="s">
        <v>5045</v>
      </c>
      <c r="D329" s="2"/>
    </row>
    <row r="330" spans="1:4" x14ac:dyDescent="0.3">
      <c r="A330" s="2" t="s">
        <v>1780</v>
      </c>
      <c r="B330" s="2" t="s">
        <v>266</v>
      </c>
      <c r="C330" s="2" t="s">
        <v>5045</v>
      </c>
      <c r="D330" s="2"/>
    </row>
    <row r="331" spans="1:4" x14ac:dyDescent="0.3">
      <c r="A331" s="2" t="s">
        <v>1781</v>
      </c>
      <c r="B331" s="2" t="s">
        <v>266</v>
      </c>
      <c r="C331" s="2" t="s">
        <v>5045</v>
      </c>
      <c r="D331" s="2"/>
    </row>
    <row r="332" spans="1:4" x14ac:dyDescent="0.3">
      <c r="A332" s="2" t="s">
        <v>1783</v>
      </c>
      <c r="B332" s="2" t="s">
        <v>266</v>
      </c>
      <c r="C332" s="2" t="s">
        <v>5045</v>
      </c>
      <c r="D332" s="2"/>
    </row>
    <row r="333" spans="1:4" x14ac:dyDescent="0.3">
      <c r="A333" s="2" t="s">
        <v>1785</v>
      </c>
      <c r="B333" s="2" t="s">
        <v>266</v>
      </c>
      <c r="C333" s="2" t="s">
        <v>5045</v>
      </c>
      <c r="D333" s="2"/>
    </row>
    <row r="334" spans="1:4" x14ac:dyDescent="0.3">
      <c r="A334" s="2" t="s">
        <v>1786</v>
      </c>
      <c r="B334" s="2" t="s">
        <v>266</v>
      </c>
      <c r="C334" s="2" t="s">
        <v>5045</v>
      </c>
      <c r="D334" s="2"/>
    </row>
    <row r="335" spans="1:4" x14ac:dyDescent="0.3">
      <c r="A335" s="2" t="s">
        <v>1787</v>
      </c>
      <c r="B335" s="2" t="s">
        <v>266</v>
      </c>
      <c r="C335" s="2" t="s">
        <v>5045</v>
      </c>
      <c r="D335" s="2"/>
    </row>
    <row r="336" spans="1:4" x14ac:dyDescent="0.3">
      <c r="A336" s="2" t="s">
        <v>1788</v>
      </c>
      <c r="B336" s="2" t="s">
        <v>266</v>
      </c>
      <c r="C336" s="2" t="s">
        <v>5045</v>
      </c>
      <c r="D336" s="2"/>
    </row>
    <row r="337" spans="1:4" x14ac:dyDescent="0.3">
      <c r="A337" s="2" t="s">
        <v>1789</v>
      </c>
      <c r="B337" s="2" t="s">
        <v>266</v>
      </c>
      <c r="C337" s="2" t="s">
        <v>5045</v>
      </c>
      <c r="D337" s="2"/>
    </row>
    <row r="338" spans="1:4" x14ac:dyDescent="0.3">
      <c r="A338" s="2" t="s">
        <v>1791</v>
      </c>
      <c r="B338" s="2" t="s">
        <v>266</v>
      </c>
      <c r="C338" s="2" t="s">
        <v>5045</v>
      </c>
      <c r="D338" s="2"/>
    </row>
    <row r="339" spans="1:4" x14ac:dyDescent="0.3">
      <c r="A339" s="2" t="s">
        <v>1792</v>
      </c>
      <c r="B339" s="2" t="s">
        <v>266</v>
      </c>
      <c r="C339" s="2" t="s">
        <v>5045</v>
      </c>
      <c r="D339" s="2"/>
    </row>
    <row r="340" spans="1:4" x14ac:dyDescent="0.3">
      <c r="A340" s="2" t="s">
        <v>1794</v>
      </c>
      <c r="B340" s="2" t="s">
        <v>266</v>
      </c>
      <c r="C340" s="2" t="s">
        <v>5045</v>
      </c>
      <c r="D340" s="2"/>
    </row>
    <row r="341" spans="1:4" x14ac:dyDescent="0.3">
      <c r="A341" s="2" t="s">
        <v>1795</v>
      </c>
      <c r="B341" s="2" t="s">
        <v>266</v>
      </c>
      <c r="C341" s="2" t="s">
        <v>5045</v>
      </c>
      <c r="D341" s="2"/>
    </row>
    <row r="342" spans="1:4" x14ac:dyDescent="0.3">
      <c r="A342" s="2" t="s">
        <v>1796</v>
      </c>
      <c r="B342" s="2" t="s">
        <v>266</v>
      </c>
      <c r="C342" s="2" t="s">
        <v>5045</v>
      </c>
      <c r="D342" s="2"/>
    </row>
    <row r="343" spans="1:4" x14ac:dyDescent="0.3">
      <c r="A343" s="2" t="s">
        <v>1797</v>
      </c>
      <c r="B343" s="2" t="s">
        <v>266</v>
      </c>
      <c r="C343" s="2" t="s">
        <v>5045</v>
      </c>
      <c r="D343" s="2"/>
    </row>
    <row r="344" spans="1:4" x14ac:dyDescent="0.3">
      <c r="A344" s="2" t="s">
        <v>1798</v>
      </c>
      <c r="B344" s="2" t="s">
        <v>266</v>
      </c>
      <c r="C344" s="2" t="s">
        <v>5045</v>
      </c>
      <c r="D344" s="2"/>
    </row>
    <row r="345" spans="1:4" x14ac:dyDescent="0.3">
      <c r="A345" s="2" t="s">
        <v>1799</v>
      </c>
      <c r="B345" s="2" t="s">
        <v>266</v>
      </c>
      <c r="C345" s="2" t="s">
        <v>5045</v>
      </c>
      <c r="D345" s="2"/>
    </row>
    <row r="346" spans="1:4" x14ac:dyDescent="0.3">
      <c r="A346" s="2" t="s">
        <v>1800</v>
      </c>
      <c r="B346" s="2" t="s">
        <v>266</v>
      </c>
      <c r="C346" s="2" t="s">
        <v>5045</v>
      </c>
      <c r="D346" s="2"/>
    </row>
    <row r="347" spans="1:4" x14ac:dyDescent="0.3">
      <c r="A347" s="2" t="s">
        <v>1801</v>
      </c>
      <c r="B347" s="2" t="s">
        <v>266</v>
      </c>
      <c r="C347" s="2" t="s">
        <v>5045</v>
      </c>
      <c r="D347" s="2"/>
    </row>
    <row r="348" spans="1:4" x14ac:dyDescent="0.3">
      <c r="A348" s="2" t="s">
        <v>1802</v>
      </c>
      <c r="B348" s="2" t="s">
        <v>266</v>
      </c>
      <c r="C348" s="2" t="s">
        <v>5045</v>
      </c>
      <c r="D348" s="2"/>
    </row>
    <row r="349" spans="1:4" x14ac:dyDescent="0.3">
      <c r="A349" s="2" t="s">
        <v>1803</v>
      </c>
      <c r="B349" s="2" t="s">
        <v>266</v>
      </c>
      <c r="C349" s="2" t="s">
        <v>5045</v>
      </c>
      <c r="D349" s="2"/>
    </row>
    <row r="350" spans="1:4" x14ac:dyDescent="0.3">
      <c r="A350" s="2" t="s">
        <v>1804</v>
      </c>
      <c r="B350" s="2" t="s">
        <v>266</v>
      </c>
      <c r="C350" s="2" t="s">
        <v>5045</v>
      </c>
      <c r="D350" s="2"/>
    </row>
    <row r="351" spans="1:4" x14ac:dyDescent="0.3">
      <c r="A351" s="2" t="s">
        <v>1805</v>
      </c>
      <c r="B351" s="2" t="s">
        <v>266</v>
      </c>
      <c r="C351" s="2" t="s">
        <v>5045</v>
      </c>
      <c r="D351" s="2"/>
    </row>
    <row r="352" spans="1:4" x14ac:dyDescent="0.3">
      <c r="A352" s="2" t="s">
        <v>1806</v>
      </c>
      <c r="B352" s="2" t="s">
        <v>266</v>
      </c>
      <c r="C352" s="2" t="s">
        <v>5045</v>
      </c>
      <c r="D352" s="2"/>
    </row>
    <row r="353" spans="1:4" x14ac:dyDescent="0.3">
      <c r="A353" s="2" t="s">
        <v>1807</v>
      </c>
      <c r="B353" s="2" t="s">
        <v>266</v>
      </c>
      <c r="C353" s="2" t="s">
        <v>5045</v>
      </c>
      <c r="D353" s="2"/>
    </row>
    <row r="354" spans="1:4" x14ac:dyDescent="0.3">
      <c r="A354" s="2" t="s">
        <v>1808</v>
      </c>
      <c r="B354" s="2" t="s">
        <v>266</v>
      </c>
      <c r="C354" s="2" t="s">
        <v>5045</v>
      </c>
      <c r="D354" s="2"/>
    </row>
    <row r="355" spans="1:4" x14ac:dyDescent="0.3">
      <c r="A355" s="2" t="s">
        <v>1809</v>
      </c>
      <c r="B355" s="2" t="s">
        <v>266</v>
      </c>
      <c r="C355" s="2" t="s">
        <v>5045</v>
      </c>
      <c r="D355" s="2"/>
    </row>
    <row r="356" spans="1:4" x14ac:dyDescent="0.3">
      <c r="A356" s="2" t="s">
        <v>1810</v>
      </c>
      <c r="B356" s="2" t="s">
        <v>266</v>
      </c>
      <c r="C356" s="2" t="s">
        <v>5045</v>
      </c>
      <c r="D356" s="2"/>
    </row>
    <row r="357" spans="1:4" x14ac:dyDescent="0.3">
      <c r="A357" s="2" t="s">
        <v>1811</v>
      </c>
      <c r="B357" s="2" t="s">
        <v>266</v>
      </c>
      <c r="C357" s="2" t="s">
        <v>5045</v>
      </c>
      <c r="D357" s="2"/>
    </row>
    <row r="358" spans="1:4" x14ac:dyDescent="0.3">
      <c r="A358" s="2" t="s">
        <v>1813</v>
      </c>
      <c r="B358" s="2" t="s">
        <v>266</v>
      </c>
      <c r="C358" s="2" t="s">
        <v>5045</v>
      </c>
      <c r="D358" s="2"/>
    </row>
    <row r="359" spans="1:4" x14ac:dyDescent="0.3">
      <c r="A359" s="2" t="s">
        <v>1815</v>
      </c>
      <c r="B359" s="2" t="s">
        <v>266</v>
      </c>
      <c r="C359" s="2" t="s">
        <v>5045</v>
      </c>
      <c r="D359" s="2"/>
    </row>
    <row r="360" spans="1:4" x14ac:dyDescent="0.3">
      <c r="A360" s="2" t="s">
        <v>1816</v>
      </c>
      <c r="B360" s="2" t="s">
        <v>266</v>
      </c>
      <c r="C360" s="2" t="s">
        <v>5045</v>
      </c>
      <c r="D360" s="2"/>
    </row>
    <row r="361" spans="1:4" x14ac:dyDescent="0.3">
      <c r="A361" s="2" t="s">
        <v>1818</v>
      </c>
      <c r="B361" s="2" t="s">
        <v>266</v>
      </c>
      <c r="C361" s="2" t="s">
        <v>5045</v>
      </c>
      <c r="D361" s="2"/>
    </row>
    <row r="362" spans="1:4" x14ac:dyDescent="0.3">
      <c r="A362" s="2" t="s">
        <v>1820</v>
      </c>
      <c r="B362" s="2" t="s">
        <v>266</v>
      </c>
      <c r="C362" s="2" t="s">
        <v>5045</v>
      </c>
      <c r="D362" s="2"/>
    </row>
    <row r="363" spans="1:4" x14ac:dyDescent="0.3">
      <c r="A363" s="2" t="s">
        <v>1822</v>
      </c>
      <c r="B363" s="2" t="s">
        <v>266</v>
      </c>
      <c r="C363" s="2" t="s">
        <v>5045</v>
      </c>
      <c r="D363" s="2"/>
    </row>
    <row r="364" spans="1:4" x14ac:dyDescent="0.3">
      <c r="A364" s="2" t="s">
        <v>1823</v>
      </c>
      <c r="B364" s="2" t="s">
        <v>266</v>
      </c>
      <c r="C364" s="2" t="s">
        <v>5045</v>
      </c>
      <c r="D364" s="2"/>
    </row>
    <row r="365" spans="1:4" x14ac:dyDescent="0.3">
      <c r="A365" s="2" t="s">
        <v>1825</v>
      </c>
      <c r="B365" s="2" t="s">
        <v>266</v>
      </c>
      <c r="C365" s="2" t="s">
        <v>5045</v>
      </c>
      <c r="D365" s="2"/>
    </row>
    <row r="366" spans="1:4" x14ac:dyDescent="0.3">
      <c r="A366" s="2" t="s">
        <v>1827</v>
      </c>
      <c r="B366" s="2" t="s">
        <v>266</v>
      </c>
      <c r="C366" s="2" t="s">
        <v>5045</v>
      </c>
      <c r="D366" s="2"/>
    </row>
    <row r="367" spans="1:4" x14ac:dyDescent="0.3">
      <c r="A367" s="2" t="s">
        <v>1829</v>
      </c>
      <c r="B367" s="2" t="s">
        <v>266</v>
      </c>
      <c r="C367" s="2" t="s">
        <v>5045</v>
      </c>
      <c r="D367" s="2"/>
    </row>
    <row r="368" spans="1:4" x14ac:dyDescent="0.3">
      <c r="A368" s="2" t="s">
        <v>1831</v>
      </c>
      <c r="B368" s="2" t="s">
        <v>266</v>
      </c>
      <c r="C368" s="2" t="s">
        <v>5045</v>
      </c>
      <c r="D368" s="2"/>
    </row>
    <row r="369" spans="1:4" x14ac:dyDescent="0.3">
      <c r="A369" s="2" t="s">
        <v>1833</v>
      </c>
      <c r="B369" s="2" t="s">
        <v>266</v>
      </c>
      <c r="C369" s="2" t="s">
        <v>5045</v>
      </c>
      <c r="D369" s="2"/>
    </row>
    <row r="370" spans="1:4" x14ac:dyDescent="0.3">
      <c r="A370" s="2" t="s">
        <v>1834</v>
      </c>
      <c r="B370" s="2" t="s">
        <v>266</v>
      </c>
      <c r="C370" s="2" t="s">
        <v>5045</v>
      </c>
      <c r="D370" s="2"/>
    </row>
    <row r="371" spans="1:4" x14ac:dyDescent="0.3">
      <c r="A371" s="2" t="s">
        <v>1836</v>
      </c>
      <c r="B371" s="2" t="s">
        <v>266</v>
      </c>
      <c r="C371" s="2" t="s">
        <v>5045</v>
      </c>
      <c r="D371" s="2"/>
    </row>
    <row r="372" spans="1:4" x14ac:dyDescent="0.3">
      <c r="A372" s="2" t="s">
        <v>1838</v>
      </c>
      <c r="B372" s="2" t="s">
        <v>266</v>
      </c>
      <c r="C372" s="2" t="s">
        <v>5045</v>
      </c>
      <c r="D372" s="2"/>
    </row>
    <row r="373" spans="1:4" x14ac:dyDescent="0.3">
      <c r="A373" s="2" t="s">
        <v>1840</v>
      </c>
      <c r="B373" s="2" t="s">
        <v>266</v>
      </c>
      <c r="C373" s="2" t="s">
        <v>5045</v>
      </c>
      <c r="D373" s="2"/>
    </row>
    <row r="374" spans="1:4" x14ac:dyDescent="0.3">
      <c r="A374" s="2" t="s">
        <v>1842</v>
      </c>
      <c r="B374" s="2" t="s">
        <v>266</v>
      </c>
      <c r="C374" s="2" t="s">
        <v>5045</v>
      </c>
      <c r="D374" s="2"/>
    </row>
    <row r="375" spans="1:4" x14ac:dyDescent="0.3">
      <c r="A375" s="2" t="s">
        <v>1844</v>
      </c>
      <c r="B375" s="2" t="s">
        <v>266</v>
      </c>
      <c r="C375" s="2" t="s">
        <v>5045</v>
      </c>
      <c r="D375" s="2"/>
    </row>
    <row r="376" spans="1:4" x14ac:dyDescent="0.3">
      <c r="A376" s="2" t="s">
        <v>1846</v>
      </c>
      <c r="B376" s="2" t="s">
        <v>266</v>
      </c>
      <c r="C376" s="2" t="s">
        <v>5045</v>
      </c>
      <c r="D376" s="2"/>
    </row>
    <row r="377" spans="1:4" x14ac:dyDescent="0.3">
      <c r="A377" s="2" t="s">
        <v>1848</v>
      </c>
      <c r="B377" s="2" t="s">
        <v>266</v>
      </c>
      <c r="C377" s="2" t="s">
        <v>5045</v>
      </c>
      <c r="D377" s="2"/>
    </row>
    <row r="378" spans="1:4" x14ac:dyDescent="0.3">
      <c r="A378" s="2" t="s">
        <v>1850</v>
      </c>
      <c r="B378" s="2" t="s">
        <v>266</v>
      </c>
      <c r="C378" s="2" t="s">
        <v>5045</v>
      </c>
      <c r="D378" s="2"/>
    </row>
    <row r="379" spans="1:4" x14ac:dyDescent="0.3">
      <c r="A379" s="2" t="s">
        <v>1852</v>
      </c>
      <c r="B379" s="2" t="s">
        <v>266</v>
      </c>
      <c r="C379" s="2" t="s">
        <v>5045</v>
      </c>
      <c r="D379" s="2"/>
    </row>
    <row r="380" spans="1:4" x14ac:dyDescent="0.3">
      <c r="A380" s="2" t="s">
        <v>1854</v>
      </c>
      <c r="B380" s="2" t="s">
        <v>266</v>
      </c>
      <c r="C380" s="2" t="s">
        <v>5045</v>
      </c>
      <c r="D380" s="2"/>
    </row>
    <row r="381" spans="1:4" x14ac:dyDescent="0.3">
      <c r="A381" s="2" t="s">
        <v>1855</v>
      </c>
      <c r="B381" s="2" t="s">
        <v>266</v>
      </c>
      <c r="C381" s="2" t="s">
        <v>5045</v>
      </c>
      <c r="D381" s="2"/>
    </row>
    <row r="382" spans="1:4" x14ac:dyDescent="0.3">
      <c r="A382" s="2" t="s">
        <v>1856</v>
      </c>
      <c r="B382" s="2" t="s">
        <v>266</v>
      </c>
      <c r="C382" s="2" t="s">
        <v>5045</v>
      </c>
      <c r="D382" s="2"/>
    </row>
    <row r="383" spans="1:4" x14ac:dyDescent="0.3">
      <c r="A383" s="2" t="s">
        <v>1857</v>
      </c>
      <c r="B383" s="2" t="s">
        <v>266</v>
      </c>
      <c r="C383" s="2" t="s">
        <v>5045</v>
      </c>
      <c r="D383" s="2"/>
    </row>
    <row r="384" spans="1:4" x14ac:dyDescent="0.3">
      <c r="A384" s="2" t="s">
        <v>1859</v>
      </c>
      <c r="B384" s="2" t="s">
        <v>266</v>
      </c>
      <c r="C384" s="2" t="s">
        <v>5045</v>
      </c>
      <c r="D384" s="2"/>
    </row>
    <row r="385" spans="1:4" x14ac:dyDescent="0.3">
      <c r="A385" s="2" t="s">
        <v>1860</v>
      </c>
      <c r="B385" s="2" t="s">
        <v>266</v>
      </c>
      <c r="C385" s="2" t="s">
        <v>5045</v>
      </c>
      <c r="D385" s="2"/>
    </row>
    <row r="386" spans="1:4" x14ac:dyDescent="0.3">
      <c r="A386" s="2" t="s">
        <v>1862</v>
      </c>
      <c r="B386" s="2" t="s">
        <v>266</v>
      </c>
      <c r="C386" s="2" t="s">
        <v>5045</v>
      </c>
      <c r="D386" s="2"/>
    </row>
    <row r="387" spans="1:4" x14ac:dyDescent="0.3">
      <c r="A387" s="2" t="s">
        <v>1863</v>
      </c>
      <c r="B387" s="2" t="s">
        <v>266</v>
      </c>
      <c r="C387" s="2" t="s">
        <v>5045</v>
      </c>
      <c r="D387" s="2"/>
    </row>
    <row r="388" spans="1:4" x14ac:dyDescent="0.3">
      <c r="A388" s="2" t="s">
        <v>1864</v>
      </c>
      <c r="B388" s="2" t="s">
        <v>266</v>
      </c>
      <c r="C388" s="2" t="s">
        <v>5045</v>
      </c>
      <c r="D388" s="2"/>
    </row>
    <row r="389" spans="1:4" x14ac:dyDescent="0.3">
      <c r="A389" s="2" t="s">
        <v>1866</v>
      </c>
      <c r="B389" s="2" t="s">
        <v>266</v>
      </c>
      <c r="C389" s="2" t="s">
        <v>5045</v>
      </c>
      <c r="D389" s="2"/>
    </row>
    <row r="390" spans="1:4" x14ac:dyDescent="0.3">
      <c r="A390" s="2" t="s">
        <v>1868</v>
      </c>
      <c r="B390" s="2" t="s">
        <v>266</v>
      </c>
      <c r="C390" s="2" t="s">
        <v>5045</v>
      </c>
      <c r="D390" s="2"/>
    </row>
    <row r="391" spans="1:4" x14ac:dyDescent="0.3">
      <c r="A391" s="2" t="s">
        <v>1870</v>
      </c>
      <c r="B391" s="2" t="s">
        <v>266</v>
      </c>
      <c r="C391" s="2" t="s">
        <v>5045</v>
      </c>
      <c r="D391" s="2"/>
    </row>
    <row r="392" spans="1:4" x14ac:dyDescent="0.3">
      <c r="A392" s="2" t="s">
        <v>1872</v>
      </c>
      <c r="B392" s="2" t="s">
        <v>266</v>
      </c>
      <c r="C392" s="2" t="s">
        <v>5045</v>
      </c>
      <c r="D392" s="2"/>
    </row>
    <row r="393" spans="1:4" x14ac:dyDescent="0.3">
      <c r="A393" s="2" t="s">
        <v>1874</v>
      </c>
      <c r="B393" s="2" t="s">
        <v>266</v>
      </c>
      <c r="C393" s="2" t="s">
        <v>5045</v>
      </c>
      <c r="D393" s="2"/>
    </row>
    <row r="394" spans="1:4" x14ac:dyDescent="0.3">
      <c r="A394" s="2" t="s">
        <v>1876</v>
      </c>
      <c r="B394" s="2" t="s">
        <v>266</v>
      </c>
      <c r="C394" s="2" t="s">
        <v>5045</v>
      </c>
      <c r="D394" s="2"/>
    </row>
    <row r="395" spans="1:4" x14ac:dyDescent="0.3">
      <c r="A395" s="2" t="s">
        <v>1878</v>
      </c>
      <c r="B395" s="2" t="s">
        <v>266</v>
      </c>
      <c r="C395" s="2" t="s">
        <v>5045</v>
      </c>
      <c r="D395" s="2"/>
    </row>
    <row r="396" spans="1:4" x14ac:dyDescent="0.3">
      <c r="A396" s="2" t="s">
        <v>1879</v>
      </c>
      <c r="B396" s="2" t="s">
        <v>266</v>
      </c>
      <c r="C396" s="2" t="s">
        <v>5045</v>
      </c>
      <c r="D396" s="2"/>
    </row>
    <row r="397" spans="1:4" x14ac:dyDescent="0.3">
      <c r="A397" s="2" t="s">
        <v>1880</v>
      </c>
      <c r="B397" s="2" t="s">
        <v>266</v>
      </c>
      <c r="C397" s="2" t="s">
        <v>5045</v>
      </c>
      <c r="D397" s="2"/>
    </row>
    <row r="398" spans="1:4" x14ac:dyDescent="0.3">
      <c r="A398" s="2" t="s">
        <v>1882</v>
      </c>
      <c r="B398" s="2" t="s">
        <v>266</v>
      </c>
      <c r="C398" s="2" t="s">
        <v>5045</v>
      </c>
      <c r="D398" s="2"/>
    </row>
    <row r="399" spans="1:4" x14ac:dyDescent="0.3">
      <c r="A399" s="2" t="s">
        <v>1884</v>
      </c>
      <c r="B399" s="2" t="s">
        <v>266</v>
      </c>
      <c r="C399" s="2" t="s">
        <v>5045</v>
      </c>
      <c r="D399" s="2"/>
    </row>
    <row r="400" spans="1:4" x14ac:dyDescent="0.3">
      <c r="A400" s="2" t="s">
        <v>1885</v>
      </c>
      <c r="B400" s="2" t="s">
        <v>266</v>
      </c>
      <c r="C400" s="2" t="s">
        <v>5045</v>
      </c>
      <c r="D400" s="2"/>
    </row>
    <row r="401" spans="1:4" x14ac:dyDescent="0.3">
      <c r="A401" s="2" t="s">
        <v>1886</v>
      </c>
      <c r="B401" s="2" t="s">
        <v>266</v>
      </c>
      <c r="C401" s="2" t="s">
        <v>5045</v>
      </c>
      <c r="D401" s="2"/>
    </row>
    <row r="402" spans="1:4" x14ac:dyDescent="0.3">
      <c r="A402" s="2" t="s">
        <v>1887</v>
      </c>
      <c r="B402" s="2" t="s">
        <v>266</v>
      </c>
      <c r="C402" s="2" t="s">
        <v>5045</v>
      </c>
      <c r="D402" s="2"/>
    </row>
    <row r="403" spans="1:4" x14ac:dyDescent="0.3">
      <c r="A403" s="2" t="s">
        <v>1888</v>
      </c>
      <c r="B403" s="2" t="s">
        <v>266</v>
      </c>
      <c r="C403" s="2" t="s">
        <v>5045</v>
      </c>
      <c r="D403" s="2"/>
    </row>
    <row r="404" spans="1:4" x14ac:dyDescent="0.3">
      <c r="A404" s="2" t="s">
        <v>1889</v>
      </c>
      <c r="B404" s="2" t="s">
        <v>266</v>
      </c>
      <c r="C404" s="2" t="s">
        <v>5045</v>
      </c>
      <c r="D404" s="2"/>
    </row>
    <row r="405" spans="1:4" x14ac:dyDescent="0.3">
      <c r="A405" s="2" t="s">
        <v>1890</v>
      </c>
      <c r="B405" s="2" t="s">
        <v>266</v>
      </c>
      <c r="C405" s="2" t="s">
        <v>5045</v>
      </c>
      <c r="D405" s="2"/>
    </row>
    <row r="406" spans="1:4" x14ac:dyDescent="0.3">
      <c r="A406" s="2" t="s">
        <v>1891</v>
      </c>
      <c r="B406" s="2" t="s">
        <v>266</v>
      </c>
      <c r="C406" s="2" t="s">
        <v>5045</v>
      </c>
      <c r="D406" s="2"/>
    </row>
    <row r="407" spans="1:4" x14ac:dyDescent="0.3">
      <c r="A407" s="2" t="s">
        <v>1892</v>
      </c>
      <c r="B407" s="2" t="s">
        <v>266</v>
      </c>
      <c r="C407" s="2" t="s">
        <v>5045</v>
      </c>
      <c r="D407" s="2"/>
    </row>
    <row r="408" spans="1:4" x14ac:dyDescent="0.3">
      <c r="A408" s="2" t="s">
        <v>1894</v>
      </c>
      <c r="B408" s="2" t="s">
        <v>266</v>
      </c>
      <c r="C408" s="2" t="s">
        <v>5045</v>
      </c>
      <c r="D408" s="2"/>
    </row>
    <row r="409" spans="1:4" x14ac:dyDescent="0.3">
      <c r="A409" s="2" t="s">
        <v>1896</v>
      </c>
      <c r="B409" s="2" t="s">
        <v>266</v>
      </c>
      <c r="C409" s="2" t="s">
        <v>5045</v>
      </c>
      <c r="D409" s="2"/>
    </row>
    <row r="410" spans="1:4" x14ac:dyDescent="0.3">
      <c r="A410" s="2" t="s">
        <v>1898</v>
      </c>
      <c r="B410" s="2" t="s">
        <v>266</v>
      </c>
      <c r="C410" s="2" t="s">
        <v>5045</v>
      </c>
      <c r="D410" s="2"/>
    </row>
    <row r="411" spans="1:4" x14ac:dyDescent="0.3">
      <c r="A411" s="2" t="s">
        <v>1899</v>
      </c>
      <c r="B411" s="2" t="s">
        <v>266</v>
      </c>
      <c r="C411" s="2" t="s">
        <v>5045</v>
      </c>
      <c r="D411" s="2"/>
    </row>
    <row r="412" spans="1:4" x14ac:dyDescent="0.3">
      <c r="A412" s="2" t="s">
        <v>1900</v>
      </c>
      <c r="B412" s="2" t="s">
        <v>266</v>
      </c>
      <c r="C412" s="2" t="s">
        <v>5045</v>
      </c>
      <c r="D412" s="2"/>
    </row>
    <row r="413" spans="1:4" x14ac:dyDescent="0.3">
      <c r="A413" s="2" t="s">
        <v>1901</v>
      </c>
      <c r="B413" s="2" t="s">
        <v>266</v>
      </c>
      <c r="C413" s="2" t="s">
        <v>5045</v>
      </c>
      <c r="D413" s="2"/>
    </row>
    <row r="414" spans="1:4" x14ac:dyDescent="0.3">
      <c r="A414" s="2" t="s">
        <v>1902</v>
      </c>
      <c r="B414" s="2" t="s">
        <v>266</v>
      </c>
      <c r="C414" s="2" t="s">
        <v>5045</v>
      </c>
      <c r="D414" s="2"/>
    </row>
    <row r="415" spans="1:4" x14ac:dyDescent="0.3">
      <c r="A415" s="2" t="s">
        <v>1904</v>
      </c>
      <c r="B415" s="2" t="s">
        <v>266</v>
      </c>
      <c r="C415" s="2" t="s">
        <v>5045</v>
      </c>
      <c r="D415" s="2"/>
    </row>
    <row r="416" spans="1:4" x14ac:dyDescent="0.3">
      <c r="A416" s="2" t="s">
        <v>1905</v>
      </c>
      <c r="B416" s="2" t="s">
        <v>266</v>
      </c>
      <c r="C416" s="2" t="s">
        <v>5045</v>
      </c>
      <c r="D416" s="2"/>
    </row>
    <row r="417" spans="1:4" x14ac:dyDescent="0.3">
      <c r="A417" s="2" t="s">
        <v>1906</v>
      </c>
      <c r="B417" s="2" t="s">
        <v>266</v>
      </c>
      <c r="C417" s="2" t="s">
        <v>5045</v>
      </c>
      <c r="D417" s="2"/>
    </row>
    <row r="418" spans="1:4" x14ac:dyDescent="0.3">
      <c r="A418" s="2" t="s">
        <v>1907</v>
      </c>
      <c r="B418" s="2" t="s">
        <v>266</v>
      </c>
      <c r="C418" s="2" t="s">
        <v>5045</v>
      </c>
      <c r="D418" s="2"/>
    </row>
    <row r="419" spans="1:4" x14ac:dyDescent="0.3">
      <c r="A419" s="2" t="s">
        <v>1908</v>
      </c>
      <c r="B419" s="2" t="s">
        <v>266</v>
      </c>
      <c r="C419" s="2" t="s">
        <v>5045</v>
      </c>
      <c r="D419" s="2"/>
    </row>
    <row r="420" spans="1:4" x14ac:dyDescent="0.3">
      <c r="A420" s="2" t="s">
        <v>1910</v>
      </c>
      <c r="B420" s="2" t="s">
        <v>266</v>
      </c>
      <c r="C420" s="2" t="s">
        <v>5045</v>
      </c>
      <c r="D420" s="2"/>
    </row>
    <row r="421" spans="1:4" x14ac:dyDescent="0.3">
      <c r="A421" s="2" t="s">
        <v>1912</v>
      </c>
      <c r="B421" s="2" t="s">
        <v>266</v>
      </c>
      <c r="C421" s="2" t="s">
        <v>5045</v>
      </c>
      <c r="D421" s="2"/>
    </row>
    <row r="422" spans="1:4" x14ac:dyDescent="0.3">
      <c r="A422" s="2" t="s">
        <v>1913</v>
      </c>
      <c r="B422" s="2" t="s">
        <v>266</v>
      </c>
      <c r="C422" s="2" t="s">
        <v>5045</v>
      </c>
      <c r="D422" s="2"/>
    </row>
    <row r="423" spans="1:4" x14ac:dyDescent="0.3">
      <c r="A423" s="2" t="s">
        <v>1914</v>
      </c>
      <c r="B423" s="2" t="s">
        <v>266</v>
      </c>
      <c r="C423" s="2" t="s">
        <v>5045</v>
      </c>
      <c r="D423" s="2"/>
    </row>
    <row r="424" spans="1:4" x14ac:dyDescent="0.3">
      <c r="A424" s="2" t="s">
        <v>1915</v>
      </c>
      <c r="B424" s="2" t="s">
        <v>266</v>
      </c>
      <c r="C424" s="2" t="s">
        <v>5045</v>
      </c>
      <c r="D424" s="2"/>
    </row>
    <row r="425" spans="1:4" x14ac:dyDescent="0.3">
      <c r="A425" s="2" t="s">
        <v>1916</v>
      </c>
      <c r="B425" s="2" t="s">
        <v>266</v>
      </c>
      <c r="C425" s="2" t="s">
        <v>5045</v>
      </c>
      <c r="D425" s="2"/>
    </row>
    <row r="426" spans="1:4" x14ac:dyDescent="0.3">
      <c r="A426" s="2" t="s">
        <v>1918</v>
      </c>
      <c r="B426" s="2" t="s">
        <v>266</v>
      </c>
      <c r="C426" s="2" t="s">
        <v>5045</v>
      </c>
      <c r="D426" s="2"/>
    </row>
    <row r="427" spans="1:4" x14ac:dyDescent="0.3">
      <c r="A427" s="2" t="s">
        <v>1920</v>
      </c>
      <c r="B427" s="2" t="s">
        <v>266</v>
      </c>
      <c r="C427" s="2" t="s">
        <v>5045</v>
      </c>
      <c r="D427" s="2"/>
    </row>
    <row r="428" spans="1:4" x14ac:dyDescent="0.3">
      <c r="A428" s="2" t="s">
        <v>1922</v>
      </c>
      <c r="B428" s="2" t="s">
        <v>266</v>
      </c>
      <c r="C428" s="2" t="s">
        <v>5045</v>
      </c>
      <c r="D428" s="2"/>
    </row>
    <row r="429" spans="1:4" x14ac:dyDescent="0.3">
      <c r="A429" s="2" t="s">
        <v>1923</v>
      </c>
      <c r="B429" s="2" t="s">
        <v>266</v>
      </c>
      <c r="C429" s="2" t="s">
        <v>5045</v>
      </c>
      <c r="D429" s="2"/>
    </row>
    <row r="430" spans="1:4" x14ac:dyDescent="0.3">
      <c r="A430" s="2" t="s">
        <v>1925</v>
      </c>
      <c r="B430" s="2" t="s">
        <v>266</v>
      </c>
      <c r="C430" s="2" t="s">
        <v>5045</v>
      </c>
      <c r="D430" s="2"/>
    </row>
    <row r="431" spans="1:4" x14ac:dyDescent="0.3">
      <c r="A431" s="2" t="s">
        <v>1926</v>
      </c>
      <c r="B431" s="2" t="s">
        <v>266</v>
      </c>
      <c r="C431" s="2" t="s">
        <v>5045</v>
      </c>
      <c r="D431" s="2"/>
    </row>
    <row r="432" spans="1:4" x14ac:dyDescent="0.3">
      <c r="A432" s="2" t="s">
        <v>1927</v>
      </c>
      <c r="B432" s="2" t="s">
        <v>1928</v>
      </c>
      <c r="C432" s="2" t="s">
        <v>5229</v>
      </c>
      <c r="D432" s="2"/>
    </row>
    <row r="433" spans="1:4" x14ac:dyDescent="0.3">
      <c r="A433" s="2" t="s">
        <v>1930</v>
      </c>
      <c r="B433" s="2" t="s">
        <v>1928</v>
      </c>
      <c r="C433" s="2" t="s">
        <v>5229</v>
      </c>
      <c r="D433" s="2"/>
    </row>
    <row r="434" spans="1:4" x14ac:dyDescent="0.3">
      <c r="A434" s="2" t="s">
        <v>1931</v>
      </c>
      <c r="B434" s="2" t="s">
        <v>1928</v>
      </c>
      <c r="C434" s="2" t="s">
        <v>5229</v>
      </c>
      <c r="D434" s="2"/>
    </row>
    <row r="435" spans="1:4" x14ac:dyDescent="0.3">
      <c r="A435" s="2" t="s">
        <v>1933</v>
      </c>
      <c r="B435" s="2" t="s">
        <v>1928</v>
      </c>
      <c r="C435" s="2" t="s">
        <v>5229</v>
      </c>
      <c r="D435" s="2"/>
    </row>
    <row r="436" spans="1:4" x14ac:dyDescent="0.3">
      <c r="A436" s="2" t="s">
        <v>1934</v>
      </c>
      <c r="B436" s="2" t="s">
        <v>1928</v>
      </c>
      <c r="C436" s="2" t="s">
        <v>5229</v>
      </c>
      <c r="D436" s="2"/>
    </row>
    <row r="437" spans="1:4" x14ac:dyDescent="0.3">
      <c r="A437" s="2" t="s">
        <v>1935</v>
      </c>
      <c r="B437" s="2" t="s">
        <v>1928</v>
      </c>
      <c r="C437" s="2" t="s">
        <v>5229</v>
      </c>
      <c r="D437" s="2"/>
    </row>
    <row r="438" spans="1:4" x14ac:dyDescent="0.3">
      <c r="A438" s="2" t="s">
        <v>5279</v>
      </c>
      <c r="B438" s="2" t="s">
        <v>1928</v>
      </c>
      <c r="C438" s="2" t="s">
        <v>5229</v>
      </c>
      <c r="D438" s="2"/>
    </row>
    <row r="439" spans="1:4" x14ac:dyDescent="0.3">
      <c r="A439" s="2" t="s">
        <v>1936</v>
      </c>
      <c r="B439" s="2" t="s">
        <v>1928</v>
      </c>
      <c r="C439" s="2" t="s">
        <v>5229</v>
      </c>
      <c r="D439" s="2"/>
    </row>
    <row r="440" spans="1:4" x14ac:dyDescent="0.3">
      <c r="A440" s="2" t="s">
        <v>1937</v>
      </c>
      <c r="B440" s="2" t="s">
        <v>1928</v>
      </c>
      <c r="C440" s="2" t="s">
        <v>5229</v>
      </c>
      <c r="D440" s="2"/>
    </row>
    <row r="441" spans="1:4" x14ac:dyDescent="0.3">
      <c r="A441" s="2" t="s">
        <v>1939</v>
      </c>
      <c r="B441" s="2" t="s">
        <v>1928</v>
      </c>
      <c r="C441" s="2" t="s">
        <v>5229</v>
      </c>
      <c r="D441" s="2"/>
    </row>
    <row r="442" spans="1:4" x14ac:dyDescent="0.3">
      <c r="A442" s="2" t="s">
        <v>1940</v>
      </c>
      <c r="B442" s="2" t="s">
        <v>1928</v>
      </c>
      <c r="C442" s="2" t="s">
        <v>5229</v>
      </c>
      <c r="D442" s="2"/>
    </row>
    <row r="443" spans="1:4" x14ac:dyDescent="0.3">
      <c r="A443" s="2" t="s">
        <v>1941</v>
      </c>
      <c r="B443" s="2" t="s">
        <v>1928</v>
      </c>
      <c r="C443" s="2" t="s">
        <v>5229</v>
      </c>
      <c r="D443" s="2"/>
    </row>
    <row r="444" spans="1:4" x14ac:dyDescent="0.3">
      <c r="A444" s="2" t="s">
        <v>1942</v>
      </c>
      <c r="B444" s="2" t="s">
        <v>1928</v>
      </c>
      <c r="C444" s="2" t="s">
        <v>5229</v>
      </c>
      <c r="D444" s="2"/>
    </row>
    <row r="445" spans="1:4" x14ac:dyDescent="0.3">
      <c r="A445" s="2" t="s">
        <v>1943</v>
      </c>
      <c r="B445" s="2" t="s">
        <v>1928</v>
      </c>
      <c r="C445" s="2" t="s">
        <v>5229</v>
      </c>
      <c r="D445" s="2"/>
    </row>
    <row r="446" spans="1:4" x14ac:dyDescent="0.3">
      <c r="A446" s="2" t="s">
        <v>1944</v>
      </c>
      <c r="B446" s="2" t="s">
        <v>1928</v>
      </c>
      <c r="C446" s="2" t="s">
        <v>5229</v>
      </c>
      <c r="D446" s="2"/>
    </row>
    <row r="447" spans="1:4" x14ac:dyDescent="0.3">
      <c r="A447" s="2" t="s">
        <v>1945</v>
      </c>
      <c r="B447" s="2" t="s">
        <v>1928</v>
      </c>
      <c r="C447" s="2" t="s">
        <v>5229</v>
      </c>
      <c r="D447" s="2"/>
    </row>
    <row r="448" spans="1:4" x14ac:dyDescent="0.3">
      <c r="A448" s="2" t="s">
        <v>1946</v>
      </c>
      <c r="B448" s="2" t="s">
        <v>1928</v>
      </c>
      <c r="C448" s="2" t="s">
        <v>5229</v>
      </c>
      <c r="D448" s="2"/>
    </row>
    <row r="449" spans="1:4" x14ac:dyDescent="0.3">
      <c r="A449" s="2" t="s">
        <v>1947</v>
      </c>
      <c r="B449" s="2" t="s">
        <v>1928</v>
      </c>
      <c r="C449" s="2" t="s">
        <v>5229</v>
      </c>
      <c r="D449" s="2"/>
    </row>
    <row r="450" spans="1:4" x14ac:dyDescent="0.3">
      <c r="A450" s="2" t="s">
        <v>1948</v>
      </c>
      <c r="B450" s="2" t="s">
        <v>1928</v>
      </c>
      <c r="C450" s="2" t="s">
        <v>5229</v>
      </c>
      <c r="D450" s="2"/>
    </row>
    <row r="451" spans="1:4" x14ac:dyDescent="0.3">
      <c r="A451" s="2" t="s">
        <v>1949</v>
      </c>
      <c r="B451" s="2" t="s">
        <v>1928</v>
      </c>
      <c r="C451" s="2" t="s">
        <v>5229</v>
      </c>
      <c r="D451" s="2"/>
    </row>
    <row r="452" spans="1:4" x14ac:dyDescent="0.3">
      <c r="A452" s="2" t="s">
        <v>1951</v>
      </c>
      <c r="B452" s="2" t="s">
        <v>1928</v>
      </c>
      <c r="C452" s="2" t="s">
        <v>5229</v>
      </c>
      <c r="D452" s="2"/>
    </row>
    <row r="453" spans="1:4" x14ac:dyDescent="0.3">
      <c r="A453" s="2" t="s">
        <v>1953</v>
      </c>
      <c r="B453" s="2" t="s">
        <v>1928</v>
      </c>
      <c r="C453" s="2" t="s">
        <v>5229</v>
      </c>
      <c r="D453" s="2"/>
    </row>
    <row r="454" spans="1:4" x14ac:dyDescent="0.3">
      <c r="A454" s="2" t="s">
        <v>1955</v>
      </c>
      <c r="B454" s="2" t="s">
        <v>1928</v>
      </c>
      <c r="C454" s="2" t="s">
        <v>5229</v>
      </c>
      <c r="D454" s="2"/>
    </row>
    <row r="455" spans="1:4" x14ac:dyDescent="0.3">
      <c r="A455" s="2" t="s">
        <v>1956</v>
      </c>
      <c r="B455" s="2" t="s">
        <v>1928</v>
      </c>
      <c r="C455" s="2" t="s">
        <v>5229</v>
      </c>
      <c r="D455" s="2"/>
    </row>
    <row r="456" spans="1:4" x14ac:dyDescent="0.3">
      <c r="A456" s="2" t="s">
        <v>1957</v>
      </c>
      <c r="B456" s="2" t="s">
        <v>1928</v>
      </c>
      <c r="C456" s="2" t="s">
        <v>5229</v>
      </c>
      <c r="D456" s="2"/>
    </row>
    <row r="457" spans="1:4" x14ac:dyDescent="0.3">
      <c r="A457" s="2" t="s">
        <v>1959</v>
      </c>
      <c r="B457" s="2" t="s">
        <v>1928</v>
      </c>
      <c r="C457" s="2" t="s">
        <v>5229</v>
      </c>
      <c r="D457" s="2"/>
    </row>
    <row r="458" spans="1:4" x14ac:dyDescent="0.3">
      <c r="A458" s="2" t="s">
        <v>1960</v>
      </c>
      <c r="B458" s="2" t="s">
        <v>1928</v>
      </c>
      <c r="C458" s="2" t="s">
        <v>5229</v>
      </c>
      <c r="D458" s="2"/>
    </row>
    <row r="459" spans="1:4" x14ac:dyDescent="0.3">
      <c r="A459" s="2" t="s">
        <v>1961</v>
      </c>
      <c r="B459" s="2" t="s">
        <v>1928</v>
      </c>
      <c r="C459" s="2" t="s">
        <v>5229</v>
      </c>
      <c r="D459" s="2"/>
    </row>
    <row r="460" spans="1:4" x14ac:dyDescent="0.3">
      <c r="A460" s="2" t="s">
        <v>1962</v>
      </c>
      <c r="B460" s="2" t="s">
        <v>1928</v>
      </c>
      <c r="C460" s="2" t="s">
        <v>5229</v>
      </c>
      <c r="D460" s="2"/>
    </row>
    <row r="461" spans="1:4" x14ac:dyDescent="0.3">
      <c r="A461" s="2" t="s">
        <v>1963</v>
      </c>
      <c r="B461" s="2" t="s">
        <v>1928</v>
      </c>
      <c r="C461" s="2" t="s">
        <v>5229</v>
      </c>
      <c r="D461" s="2"/>
    </row>
    <row r="462" spans="1:4" x14ac:dyDescent="0.3">
      <c r="A462" s="2" t="s">
        <v>1965</v>
      </c>
      <c r="B462" s="2" t="s">
        <v>1928</v>
      </c>
      <c r="C462" s="2" t="s">
        <v>5229</v>
      </c>
      <c r="D462" s="2"/>
    </row>
    <row r="463" spans="1:4" x14ac:dyDescent="0.3">
      <c r="A463" s="2" t="s">
        <v>1966</v>
      </c>
      <c r="B463" s="2" t="s">
        <v>1928</v>
      </c>
      <c r="C463" s="2" t="s">
        <v>5229</v>
      </c>
      <c r="D463" s="2"/>
    </row>
    <row r="464" spans="1:4" x14ac:dyDescent="0.3">
      <c r="A464" s="2" t="s">
        <v>1967</v>
      </c>
      <c r="B464" s="2" t="s">
        <v>1928</v>
      </c>
      <c r="C464" s="2" t="s">
        <v>5229</v>
      </c>
      <c r="D464" s="2"/>
    </row>
    <row r="465" spans="1:4" x14ac:dyDescent="0.3">
      <c r="A465" s="2" t="s">
        <v>1969</v>
      </c>
      <c r="B465" s="2" t="s">
        <v>1928</v>
      </c>
      <c r="C465" s="2" t="s">
        <v>5229</v>
      </c>
      <c r="D465" s="2"/>
    </row>
    <row r="466" spans="1:4" x14ac:dyDescent="0.3">
      <c r="A466" s="2" t="s">
        <v>1970</v>
      </c>
      <c r="B466" s="2" t="s">
        <v>1928</v>
      </c>
      <c r="C466" s="2" t="s">
        <v>5229</v>
      </c>
      <c r="D466" s="2"/>
    </row>
    <row r="467" spans="1:4" x14ac:dyDescent="0.3">
      <c r="A467" s="2" t="s">
        <v>1971</v>
      </c>
      <c r="B467" s="2" t="s">
        <v>1928</v>
      </c>
      <c r="C467" s="2" t="s">
        <v>5229</v>
      </c>
      <c r="D467" s="2"/>
    </row>
    <row r="468" spans="1:4" x14ac:dyDescent="0.3">
      <c r="A468" s="2" t="s">
        <v>1973</v>
      </c>
      <c r="B468" s="2" t="s">
        <v>1928</v>
      </c>
      <c r="C468" s="2" t="s">
        <v>5229</v>
      </c>
      <c r="D468" s="2"/>
    </row>
    <row r="469" spans="1:4" x14ac:dyDescent="0.3">
      <c r="A469" s="2" t="s">
        <v>1975</v>
      </c>
      <c r="B469" s="2" t="s">
        <v>1928</v>
      </c>
      <c r="C469" s="2" t="s">
        <v>5229</v>
      </c>
      <c r="D469" s="2"/>
    </row>
    <row r="470" spans="1:4" x14ac:dyDescent="0.3">
      <c r="A470" s="2" t="s">
        <v>1977</v>
      </c>
      <c r="B470" s="2" t="s">
        <v>1928</v>
      </c>
      <c r="C470" s="2" t="s">
        <v>5229</v>
      </c>
      <c r="D470" s="2"/>
    </row>
    <row r="471" spans="1:4" x14ac:dyDescent="0.3">
      <c r="A471" s="2" t="s">
        <v>1979</v>
      </c>
      <c r="B471" s="2" t="s">
        <v>1928</v>
      </c>
      <c r="C471" s="2" t="s">
        <v>5229</v>
      </c>
      <c r="D471" s="2"/>
    </row>
    <row r="472" spans="1:4" x14ac:dyDescent="0.3">
      <c r="A472" s="2" t="s">
        <v>1981</v>
      </c>
      <c r="B472" s="2" t="s">
        <v>1928</v>
      </c>
      <c r="C472" s="2" t="s">
        <v>5229</v>
      </c>
      <c r="D472" s="2"/>
    </row>
    <row r="473" spans="1:4" x14ac:dyDescent="0.3">
      <c r="A473" s="2" t="s">
        <v>1985</v>
      </c>
      <c r="B473" s="2" t="s">
        <v>1928</v>
      </c>
      <c r="C473" s="2" t="s">
        <v>5229</v>
      </c>
      <c r="D473" s="2"/>
    </row>
    <row r="474" spans="1:4" x14ac:dyDescent="0.3">
      <c r="A474" s="2" t="s">
        <v>1987</v>
      </c>
      <c r="B474" s="2" t="s">
        <v>1928</v>
      </c>
      <c r="C474" s="2" t="s">
        <v>5229</v>
      </c>
      <c r="D474" s="2"/>
    </row>
    <row r="475" spans="1:4" x14ac:dyDescent="0.3">
      <c r="A475" s="2" t="s">
        <v>1989</v>
      </c>
      <c r="B475" s="2" t="s">
        <v>1928</v>
      </c>
      <c r="C475" s="2" t="s">
        <v>5229</v>
      </c>
      <c r="D475" s="2"/>
    </row>
    <row r="476" spans="1:4" x14ac:dyDescent="0.3">
      <c r="A476" s="2" t="s">
        <v>1991</v>
      </c>
      <c r="B476" s="2" t="s">
        <v>1928</v>
      </c>
      <c r="C476" s="2" t="s">
        <v>5229</v>
      </c>
      <c r="D476" s="2"/>
    </row>
    <row r="477" spans="1:4" x14ac:dyDescent="0.3">
      <c r="A477" s="2" t="s">
        <v>1992</v>
      </c>
      <c r="B477" s="2" t="s">
        <v>1928</v>
      </c>
      <c r="C477" s="2" t="s">
        <v>5229</v>
      </c>
      <c r="D477" s="2"/>
    </row>
    <row r="478" spans="1:4" x14ac:dyDescent="0.3">
      <c r="A478" s="2" t="s">
        <v>1993</v>
      </c>
      <c r="B478" s="2" t="s">
        <v>1928</v>
      </c>
      <c r="C478" s="2" t="s">
        <v>5229</v>
      </c>
      <c r="D478" s="2"/>
    </row>
    <row r="479" spans="1:4" x14ac:dyDescent="0.3">
      <c r="A479" s="2" t="s">
        <v>1995</v>
      </c>
      <c r="B479" s="2" t="s">
        <v>1928</v>
      </c>
      <c r="C479" s="2" t="s">
        <v>5229</v>
      </c>
      <c r="D479" s="2"/>
    </row>
    <row r="480" spans="1:4" x14ac:dyDescent="0.3">
      <c r="A480" s="2" t="s">
        <v>1997</v>
      </c>
      <c r="B480" s="2" t="s">
        <v>1928</v>
      </c>
      <c r="C480" s="2" t="s">
        <v>5229</v>
      </c>
      <c r="D480" s="2"/>
    </row>
    <row r="481" spans="1:4" x14ac:dyDescent="0.3">
      <c r="A481" s="2" t="s">
        <v>1999</v>
      </c>
      <c r="B481" s="2" t="s">
        <v>1928</v>
      </c>
      <c r="C481" s="2" t="s">
        <v>5229</v>
      </c>
      <c r="D481" s="2"/>
    </row>
    <row r="482" spans="1:4" x14ac:dyDescent="0.3">
      <c r="A482" s="2" t="s">
        <v>2000</v>
      </c>
      <c r="B482" s="2" t="s">
        <v>1928</v>
      </c>
      <c r="C482" s="2" t="s">
        <v>5229</v>
      </c>
      <c r="D482" s="2"/>
    </row>
    <row r="483" spans="1:4" x14ac:dyDescent="0.3">
      <c r="A483" s="2" t="s">
        <v>5280</v>
      </c>
      <c r="B483" s="2" t="s">
        <v>5049</v>
      </c>
      <c r="C483" s="2" t="s">
        <v>5049</v>
      </c>
      <c r="D483" s="2"/>
    </row>
    <row r="484" spans="1:4" x14ac:dyDescent="0.3">
      <c r="A484" s="2" t="s">
        <v>5281</v>
      </c>
      <c r="B484" s="2" t="s">
        <v>5049</v>
      </c>
      <c r="C484" s="2" t="s">
        <v>5049</v>
      </c>
      <c r="D484" s="2"/>
    </row>
    <row r="485" spans="1:4" x14ac:dyDescent="0.3">
      <c r="A485" s="2" t="s">
        <v>5282</v>
      </c>
      <c r="B485" s="2" t="s">
        <v>5049</v>
      </c>
      <c r="C485" s="2" t="s">
        <v>5049</v>
      </c>
      <c r="D485" s="2"/>
    </row>
    <row r="486" spans="1:4" x14ac:dyDescent="0.3">
      <c r="A486" s="2" t="s">
        <v>5283</v>
      </c>
      <c r="B486" s="2" t="s">
        <v>5049</v>
      </c>
      <c r="C486" s="2" t="s">
        <v>5049</v>
      </c>
      <c r="D486" s="2"/>
    </row>
    <row r="487" spans="1:4" x14ac:dyDescent="0.3">
      <c r="A487" s="2" t="s">
        <v>5284</v>
      </c>
      <c r="B487" s="2" t="s">
        <v>5049</v>
      </c>
      <c r="C487" s="2" t="s">
        <v>5049</v>
      </c>
      <c r="D487" s="2"/>
    </row>
    <row r="488" spans="1:4" x14ac:dyDescent="0.3">
      <c r="A488" s="2" t="s">
        <v>5285</v>
      </c>
      <c r="B488" s="2" t="s">
        <v>5049</v>
      </c>
      <c r="C488" s="2" t="s">
        <v>5049</v>
      </c>
      <c r="D488" s="2"/>
    </row>
    <row r="489" spans="1:4" x14ac:dyDescent="0.3">
      <c r="A489" s="2" t="s">
        <v>5286</v>
      </c>
      <c r="B489" s="2" t="s">
        <v>5049</v>
      </c>
      <c r="C489" s="2" t="s">
        <v>5049</v>
      </c>
      <c r="D489" s="2"/>
    </row>
    <row r="490" spans="1:4" x14ac:dyDescent="0.3">
      <c r="A490" s="2" t="s">
        <v>5287</v>
      </c>
      <c r="B490" s="2" t="s">
        <v>5049</v>
      </c>
      <c r="C490" s="2" t="s">
        <v>5049</v>
      </c>
      <c r="D490" s="2"/>
    </row>
    <row r="491" spans="1:4" x14ac:dyDescent="0.3">
      <c r="A491" s="2" t="s">
        <v>5288</v>
      </c>
      <c r="B491" s="2" t="s">
        <v>5049</v>
      </c>
      <c r="C491" s="2" t="s">
        <v>5049</v>
      </c>
      <c r="D491" s="2"/>
    </row>
    <row r="492" spans="1:4" x14ac:dyDescent="0.3">
      <c r="A492" s="2" t="s">
        <v>5289</v>
      </c>
      <c r="B492" s="2" t="s">
        <v>5049</v>
      </c>
      <c r="C492" s="2" t="s">
        <v>5049</v>
      </c>
      <c r="D492" s="2"/>
    </row>
    <row r="493" spans="1:4" x14ac:dyDescent="0.3">
      <c r="A493" s="2" t="s">
        <v>5290</v>
      </c>
      <c r="B493" s="2" t="s">
        <v>5049</v>
      </c>
      <c r="C493" s="2" t="s">
        <v>5049</v>
      </c>
      <c r="D493" s="2"/>
    </row>
    <row r="494" spans="1:4" x14ac:dyDescent="0.3">
      <c r="A494" s="2" t="s">
        <v>5291</v>
      </c>
      <c r="B494" s="2" t="s">
        <v>5049</v>
      </c>
      <c r="C494" s="2" t="s">
        <v>5049</v>
      </c>
      <c r="D494" s="2"/>
    </row>
    <row r="495" spans="1:4" x14ac:dyDescent="0.3">
      <c r="A495" s="2" t="s">
        <v>5292</v>
      </c>
      <c r="B495" s="2" t="s">
        <v>5049</v>
      </c>
      <c r="C495" s="2" t="s">
        <v>5049</v>
      </c>
      <c r="D495" s="2"/>
    </row>
    <row r="496" spans="1:4" x14ac:dyDescent="0.3">
      <c r="A496" s="2" t="s">
        <v>5293</v>
      </c>
      <c r="B496" s="2" t="s">
        <v>5049</v>
      </c>
      <c r="C496" s="2" t="s">
        <v>5049</v>
      </c>
      <c r="D496" s="2"/>
    </row>
    <row r="497" spans="1:4" x14ac:dyDescent="0.3">
      <c r="A497" s="2" t="s">
        <v>5294</v>
      </c>
      <c r="B497" s="2" t="s">
        <v>5049</v>
      </c>
      <c r="C497" s="2" t="s">
        <v>5049</v>
      </c>
      <c r="D497" s="2"/>
    </row>
    <row r="498" spans="1:4" x14ac:dyDescent="0.3">
      <c r="A498" s="2" t="s">
        <v>5295</v>
      </c>
      <c r="B498" s="2" t="s">
        <v>5049</v>
      </c>
      <c r="C498" s="2" t="s">
        <v>5049</v>
      </c>
      <c r="D498" s="2"/>
    </row>
    <row r="499" spans="1:4" x14ac:dyDescent="0.3">
      <c r="A499" s="2" t="s">
        <v>5296</v>
      </c>
      <c r="B499" s="2" t="s">
        <v>5049</v>
      </c>
      <c r="C499" s="2" t="s">
        <v>5049</v>
      </c>
      <c r="D499" s="2"/>
    </row>
    <row r="500" spans="1:4" x14ac:dyDescent="0.3">
      <c r="A500" s="2" t="s">
        <v>5297</v>
      </c>
      <c r="B500" s="2" t="s">
        <v>5049</v>
      </c>
      <c r="C500" s="2" t="s">
        <v>5049</v>
      </c>
      <c r="D500" s="2"/>
    </row>
    <row r="501" spans="1:4" x14ac:dyDescent="0.3">
      <c r="A501" s="2" t="s">
        <v>5298</v>
      </c>
      <c r="B501" s="2" t="s">
        <v>5232</v>
      </c>
      <c r="C501" s="2" t="s">
        <v>5232</v>
      </c>
      <c r="D501" s="2"/>
    </row>
    <row r="502" spans="1:4" x14ac:dyDescent="0.3">
      <c r="A502" s="2" t="s">
        <v>5299</v>
      </c>
      <c r="B502" s="2" t="s">
        <v>5232</v>
      </c>
      <c r="C502" s="2" t="s">
        <v>5232</v>
      </c>
      <c r="D502" s="2"/>
    </row>
    <row r="503" spans="1:4" x14ac:dyDescent="0.3">
      <c r="A503" s="2" t="s">
        <v>5300</v>
      </c>
      <c r="B503" s="2" t="s">
        <v>5232</v>
      </c>
      <c r="C503" s="2" t="s">
        <v>5232</v>
      </c>
      <c r="D503" s="2"/>
    </row>
    <row r="504" spans="1:4" x14ac:dyDescent="0.3">
      <c r="A504" s="2" t="s">
        <v>5301</v>
      </c>
      <c r="B504" s="2" t="s">
        <v>5232</v>
      </c>
      <c r="C504" s="2" t="s">
        <v>5232</v>
      </c>
      <c r="D504" s="2"/>
    </row>
    <row r="505" spans="1:4" x14ac:dyDescent="0.3">
      <c r="A505" s="2" t="s">
        <v>5302</v>
      </c>
      <c r="B505" s="2" t="s">
        <v>5230</v>
      </c>
      <c r="C505" s="2" t="s">
        <v>5230</v>
      </c>
      <c r="D505" s="2"/>
    </row>
    <row r="506" spans="1:4" x14ac:dyDescent="0.3">
      <c r="A506" s="2" t="s">
        <v>5303</v>
      </c>
      <c r="B506" s="2" t="s">
        <v>5230</v>
      </c>
      <c r="C506" s="2" t="s">
        <v>5230</v>
      </c>
      <c r="D506" s="2"/>
    </row>
    <row r="507" spans="1:4" x14ac:dyDescent="0.3">
      <c r="A507" s="2" t="s">
        <v>5304</v>
      </c>
      <c r="B507" s="2" t="s">
        <v>5230</v>
      </c>
      <c r="C507" s="2" t="s">
        <v>5230</v>
      </c>
      <c r="D507" s="2"/>
    </row>
    <row r="508" spans="1:4" x14ac:dyDescent="0.3">
      <c r="A508" s="2" t="s">
        <v>5305</v>
      </c>
      <c r="B508" s="2" t="s">
        <v>5230</v>
      </c>
      <c r="C508" s="2" t="s">
        <v>5230</v>
      </c>
      <c r="D508" s="2"/>
    </row>
    <row r="509" spans="1:4" x14ac:dyDescent="0.3">
      <c r="A509" s="2" t="s">
        <v>5306</v>
      </c>
      <c r="B509" s="2" t="s">
        <v>5230</v>
      </c>
      <c r="C509" s="2" t="s">
        <v>5230</v>
      </c>
      <c r="D509" s="2"/>
    </row>
    <row r="510" spans="1:4" x14ac:dyDescent="0.3">
      <c r="A510" s="2" t="s">
        <v>5307</v>
      </c>
      <c r="B510" s="2" t="s">
        <v>5230</v>
      </c>
      <c r="C510" s="2" t="s">
        <v>5230</v>
      </c>
      <c r="D510" s="2"/>
    </row>
    <row r="511" spans="1:4" x14ac:dyDescent="0.3">
      <c r="A511" s="2" t="s">
        <v>5308</v>
      </c>
      <c r="B511" s="2" t="s">
        <v>5230</v>
      </c>
      <c r="C511" s="2" t="s">
        <v>5230</v>
      </c>
      <c r="D511" s="2"/>
    </row>
    <row r="512" spans="1:4" x14ac:dyDescent="0.3">
      <c r="A512" s="2" t="s">
        <v>5309</v>
      </c>
      <c r="B512" s="2" t="s">
        <v>5230</v>
      </c>
      <c r="C512" s="2" t="s">
        <v>5230</v>
      </c>
      <c r="D512" s="2"/>
    </row>
    <row r="513" spans="1:4" x14ac:dyDescent="0.3">
      <c r="A513" s="2" t="s">
        <v>5310</v>
      </c>
      <c r="B513" s="2" t="s">
        <v>5230</v>
      </c>
      <c r="C513" s="2" t="s">
        <v>5230</v>
      </c>
      <c r="D513" s="2"/>
    </row>
    <row r="514" spans="1:4" x14ac:dyDescent="0.3">
      <c r="A514" s="2" t="s">
        <v>5311</v>
      </c>
      <c r="B514" s="2" t="s">
        <v>5230</v>
      </c>
      <c r="C514" s="2" t="s">
        <v>5230</v>
      </c>
      <c r="D514" s="2"/>
    </row>
    <row r="515" spans="1:4" x14ac:dyDescent="0.3">
      <c r="A515" s="2" t="s">
        <v>5312</v>
      </c>
      <c r="B515" s="2" t="s">
        <v>5230</v>
      </c>
      <c r="C515" s="2" t="s">
        <v>5230</v>
      </c>
      <c r="D515" s="2"/>
    </row>
    <row r="516" spans="1:4" x14ac:dyDescent="0.3">
      <c r="A516" s="2" t="s">
        <v>5313</v>
      </c>
      <c r="B516" s="2" t="s">
        <v>5230</v>
      </c>
      <c r="C516" s="2" t="s">
        <v>5230</v>
      </c>
      <c r="D516" s="2"/>
    </row>
    <row r="517" spans="1:4" x14ac:dyDescent="0.3">
      <c r="A517" s="2" t="s">
        <v>5314</v>
      </c>
      <c r="B517" s="2" t="s">
        <v>5051</v>
      </c>
      <c r="C517" s="2" t="s">
        <v>5051</v>
      </c>
      <c r="D517" s="2"/>
    </row>
    <row r="518" spans="1:4" x14ac:dyDescent="0.3">
      <c r="A518" s="2" t="s">
        <v>5315</v>
      </c>
      <c r="B518" s="2" t="s">
        <v>5051</v>
      </c>
      <c r="C518" s="2" t="s">
        <v>5051</v>
      </c>
      <c r="D518" s="2"/>
    </row>
    <row r="519" spans="1:4" x14ac:dyDescent="0.3">
      <c r="A519" s="2" t="s">
        <v>5316</v>
      </c>
      <c r="B519" s="2" t="s">
        <v>5051</v>
      </c>
      <c r="C519" s="2" t="s">
        <v>5051</v>
      </c>
      <c r="D519" s="2"/>
    </row>
    <row r="520" spans="1:4" x14ac:dyDescent="0.3">
      <c r="A520" s="2" t="s">
        <v>5317</v>
      </c>
      <c r="B520" s="2" t="s">
        <v>5051</v>
      </c>
      <c r="C520" s="2" t="s">
        <v>5051</v>
      </c>
      <c r="D520" s="2"/>
    </row>
    <row r="521" spans="1:4" x14ac:dyDescent="0.3">
      <c r="A521" s="2" t="s">
        <v>5318</v>
      </c>
      <c r="B521" s="2" t="s">
        <v>5051</v>
      </c>
      <c r="C521" s="2" t="s">
        <v>5051</v>
      </c>
      <c r="D521" s="2"/>
    </row>
    <row r="522" spans="1:4" x14ac:dyDescent="0.3">
      <c r="A522" s="2" t="s">
        <v>5319</v>
      </c>
      <c r="B522" s="2" t="s">
        <v>5051</v>
      </c>
      <c r="C522" s="2" t="s">
        <v>5051</v>
      </c>
      <c r="D522" s="2"/>
    </row>
    <row r="523" spans="1:4" x14ac:dyDescent="0.3">
      <c r="A523" s="2" t="s">
        <v>5320</v>
      </c>
      <c r="B523" s="2" t="s">
        <v>5051</v>
      </c>
      <c r="C523" s="2" t="s">
        <v>5051</v>
      </c>
      <c r="D523" s="2"/>
    </row>
    <row r="524" spans="1:4" x14ac:dyDescent="0.3">
      <c r="A524" s="2" t="s">
        <v>5321</v>
      </c>
      <c r="B524" s="2" t="s">
        <v>5051</v>
      </c>
      <c r="C524" s="2" t="s">
        <v>5051</v>
      </c>
      <c r="D524" s="2"/>
    </row>
    <row r="525" spans="1:4" x14ac:dyDescent="0.3">
      <c r="A525" s="2" t="s">
        <v>5322</v>
      </c>
      <c r="B525" s="2" t="s">
        <v>5048</v>
      </c>
      <c r="C525" s="2" t="s">
        <v>5048</v>
      </c>
      <c r="D525" s="2"/>
    </row>
    <row r="526" spans="1:4" x14ac:dyDescent="0.3">
      <c r="A526" s="2" t="s">
        <v>5323</v>
      </c>
      <c r="B526" s="2" t="s">
        <v>5048</v>
      </c>
      <c r="C526" s="2" t="s">
        <v>5048</v>
      </c>
      <c r="D526" s="2"/>
    </row>
    <row r="527" spans="1:4" x14ac:dyDescent="0.3">
      <c r="A527" s="2" t="s">
        <v>5324</v>
      </c>
      <c r="B527" s="2" t="s">
        <v>5048</v>
      </c>
      <c r="C527" s="2" t="s">
        <v>5048</v>
      </c>
      <c r="D527" s="2"/>
    </row>
    <row r="528" spans="1:4" x14ac:dyDescent="0.3">
      <c r="A528" s="2" t="s">
        <v>5325</v>
      </c>
      <c r="B528" s="2" t="s">
        <v>5048</v>
      </c>
      <c r="C528" s="2" t="s">
        <v>5048</v>
      </c>
      <c r="D528" s="2"/>
    </row>
    <row r="529" spans="1:4" x14ac:dyDescent="0.3">
      <c r="A529" s="2" t="s">
        <v>5326</v>
      </c>
      <c r="B529" s="2" t="s">
        <v>5048</v>
      </c>
      <c r="C529" s="2" t="s">
        <v>5048</v>
      </c>
      <c r="D529" s="2"/>
    </row>
    <row r="530" spans="1:4" x14ac:dyDescent="0.3">
      <c r="A530" s="2" t="s">
        <v>5327</v>
      </c>
      <c r="B530" s="2" t="s">
        <v>5048</v>
      </c>
      <c r="C530" s="2" t="s">
        <v>5048</v>
      </c>
      <c r="D530" s="2"/>
    </row>
    <row r="531" spans="1:4" x14ac:dyDescent="0.3">
      <c r="A531" s="2" t="s">
        <v>5328</v>
      </c>
      <c r="B531" s="2" t="s">
        <v>5048</v>
      </c>
      <c r="C531" s="2" t="s">
        <v>5048</v>
      </c>
      <c r="D531" s="2"/>
    </row>
    <row r="532" spans="1:4" x14ac:dyDescent="0.3">
      <c r="A532" s="2" t="s">
        <v>5329</v>
      </c>
      <c r="B532" s="2" t="s">
        <v>5048</v>
      </c>
      <c r="C532" s="2" t="s">
        <v>5048</v>
      </c>
      <c r="D532" s="2"/>
    </row>
    <row r="533" spans="1:4" x14ac:dyDescent="0.3">
      <c r="A533" s="2" t="s">
        <v>5330</v>
      </c>
      <c r="B533" s="2" t="s">
        <v>5048</v>
      </c>
      <c r="C533" s="2" t="s">
        <v>5048</v>
      </c>
      <c r="D533" s="2"/>
    </row>
    <row r="534" spans="1:4" x14ac:dyDescent="0.3">
      <c r="A534" s="2" t="s">
        <v>5331</v>
      </c>
      <c r="B534" s="2" t="s">
        <v>5048</v>
      </c>
      <c r="C534" s="2" t="s">
        <v>5048</v>
      </c>
      <c r="D534" s="2"/>
    </row>
    <row r="535" spans="1:4" x14ac:dyDescent="0.3">
      <c r="A535" s="2" t="s">
        <v>5332</v>
      </c>
      <c r="B535" s="2" t="s">
        <v>5048</v>
      </c>
      <c r="C535" s="2" t="s">
        <v>5048</v>
      </c>
      <c r="D535" s="2"/>
    </row>
    <row r="536" spans="1:4" x14ac:dyDescent="0.3">
      <c r="A536" s="2" t="s">
        <v>5333</v>
      </c>
      <c r="B536" s="2" t="s">
        <v>5048</v>
      </c>
      <c r="C536" s="2" t="s">
        <v>5048</v>
      </c>
      <c r="D536" s="2"/>
    </row>
    <row r="537" spans="1:4" x14ac:dyDescent="0.3">
      <c r="A537" s="2" t="s">
        <v>5334</v>
      </c>
      <c r="B537" s="2" t="s">
        <v>5048</v>
      </c>
      <c r="C537" s="2" t="s">
        <v>5048</v>
      </c>
      <c r="D537" s="2"/>
    </row>
    <row r="538" spans="1:4" x14ac:dyDescent="0.3">
      <c r="A538" s="2" t="s">
        <v>5335</v>
      </c>
      <c r="B538" s="2" t="s">
        <v>5048</v>
      </c>
      <c r="C538" s="2" t="s">
        <v>5048</v>
      </c>
      <c r="D538" s="2"/>
    </row>
    <row r="539" spans="1:4" x14ac:dyDescent="0.3">
      <c r="A539" s="2" t="s">
        <v>5336</v>
      </c>
      <c r="B539" s="2" t="s">
        <v>5048</v>
      </c>
      <c r="C539" s="2" t="s">
        <v>5048</v>
      </c>
      <c r="D539" s="2"/>
    </row>
    <row r="540" spans="1:4" x14ac:dyDescent="0.3">
      <c r="A540" s="2" t="s">
        <v>5337</v>
      </c>
      <c r="B540" s="2" t="s">
        <v>5048</v>
      </c>
      <c r="C540" s="2" t="s">
        <v>5048</v>
      </c>
      <c r="D540" s="2"/>
    </row>
    <row r="541" spans="1:4" x14ac:dyDescent="0.3">
      <c r="A541" s="2" t="s">
        <v>5338</v>
      </c>
      <c r="B541" s="2" t="s">
        <v>5048</v>
      </c>
      <c r="C541" s="2" t="s">
        <v>5048</v>
      </c>
      <c r="D541" s="2"/>
    </row>
    <row r="542" spans="1:4" x14ac:dyDescent="0.3">
      <c r="A542" s="2" t="s">
        <v>5339</v>
      </c>
      <c r="B542" s="2" t="s">
        <v>5048</v>
      </c>
      <c r="C542" s="2" t="s">
        <v>5048</v>
      </c>
      <c r="D542" s="2"/>
    </row>
    <row r="543" spans="1:4" x14ac:dyDescent="0.3">
      <c r="A543" s="2" t="s">
        <v>5340</v>
      </c>
      <c r="B543" s="2" t="s">
        <v>5048</v>
      </c>
      <c r="C543" s="2" t="s">
        <v>5048</v>
      </c>
      <c r="D543" s="2"/>
    </row>
    <row r="544" spans="1:4" x14ac:dyDescent="0.3">
      <c r="A544" s="2" t="s">
        <v>5341</v>
      </c>
      <c r="B544" s="2" t="s">
        <v>5048</v>
      </c>
      <c r="C544" s="2" t="s">
        <v>5048</v>
      </c>
      <c r="D544" s="2"/>
    </row>
    <row r="545" spans="1:4" x14ac:dyDescent="0.3">
      <c r="A545" s="2" t="s">
        <v>5277</v>
      </c>
      <c r="B545" s="2" t="s">
        <v>5048</v>
      </c>
      <c r="C545" s="2" t="s">
        <v>5048</v>
      </c>
      <c r="D545" s="2" t="s">
        <v>5342</v>
      </c>
    </row>
    <row r="546" spans="1:4" x14ac:dyDescent="0.3">
      <c r="A546" s="2" t="s">
        <v>5343</v>
      </c>
      <c r="B546" s="2" t="s">
        <v>5048</v>
      </c>
      <c r="C546" s="2" t="s">
        <v>5048</v>
      </c>
      <c r="D546" s="2"/>
    </row>
    <row r="547" spans="1:4" x14ac:dyDescent="0.3">
      <c r="A547" s="2" t="s">
        <v>5344</v>
      </c>
      <c r="B547" s="2" t="s">
        <v>5044</v>
      </c>
      <c r="C547" s="2" t="s">
        <v>5345</v>
      </c>
      <c r="D547" s="2"/>
    </row>
    <row r="548" spans="1:4" x14ac:dyDescent="0.3">
      <c r="A548" s="2" t="s">
        <v>5346</v>
      </c>
      <c r="B548" s="2" t="s">
        <v>5044</v>
      </c>
      <c r="C548" s="2" t="s">
        <v>5345</v>
      </c>
      <c r="D548" s="2"/>
    </row>
    <row r="549" spans="1:4" x14ac:dyDescent="0.3">
      <c r="A549" s="2" t="s">
        <v>5347</v>
      </c>
      <c r="B549" s="2" t="s">
        <v>5044</v>
      </c>
      <c r="C549" s="2" t="s">
        <v>5345</v>
      </c>
      <c r="D549" s="2"/>
    </row>
    <row r="550" spans="1:4" x14ac:dyDescent="0.3">
      <c r="A550" s="2" t="s">
        <v>5348</v>
      </c>
      <c r="B550" s="2" t="s">
        <v>5044</v>
      </c>
      <c r="C550" s="2" t="s">
        <v>5345</v>
      </c>
      <c r="D550" s="2"/>
    </row>
    <row r="551" spans="1:4" x14ac:dyDescent="0.3">
      <c r="A551" s="2" t="s">
        <v>5349</v>
      </c>
      <c r="B551" s="2" t="s">
        <v>5044</v>
      </c>
      <c r="C551" s="2" t="s">
        <v>5350</v>
      </c>
      <c r="D551" s="2"/>
    </row>
    <row r="552" spans="1:4" x14ac:dyDescent="0.3">
      <c r="A552" s="2" t="s">
        <v>5351</v>
      </c>
      <c r="B552" s="2" t="s">
        <v>5044</v>
      </c>
      <c r="C552" s="2" t="s">
        <v>5350</v>
      </c>
      <c r="D552" s="2"/>
    </row>
    <row r="553" spans="1:4" x14ac:dyDescent="0.3">
      <c r="A553" s="2" t="s">
        <v>5352</v>
      </c>
      <c r="B553" s="2" t="s">
        <v>5054</v>
      </c>
      <c r="C553" s="2" t="s">
        <v>5054</v>
      </c>
      <c r="D553" s="2"/>
    </row>
  </sheetData>
  <mergeCells count="2">
    <mergeCell ref="A1:D1"/>
    <mergeCell ref="H6:I6"/>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172"/>
  <sheetViews>
    <sheetView workbookViewId="0">
      <selection sqref="A1:D1"/>
    </sheetView>
  </sheetViews>
  <sheetFormatPr defaultColWidth="8.6640625" defaultRowHeight="14.4" x14ac:dyDescent="0.3"/>
  <cols>
    <col min="1" max="1" width="23.5546875" customWidth="1"/>
    <col min="2" max="2" width="54.5546875" customWidth="1"/>
    <col min="3" max="3" width="24.6640625" bestFit="1" customWidth="1"/>
    <col min="4" max="4" width="78" bestFit="1" customWidth="1"/>
    <col min="6" max="6" width="20.109375" bestFit="1" customWidth="1"/>
    <col min="7" max="7" width="15.6640625" bestFit="1" customWidth="1"/>
    <col min="8" max="8" width="25.33203125" bestFit="1" customWidth="1"/>
    <col min="9" max="9" width="67.6640625" bestFit="1" customWidth="1"/>
  </cols>
  <sheetData>
    <row r="1" spans="1:7" ht="19.2" customHeight="1" x14ac:dyDescent="0.3">
      <c r="A1" s="35" t="s">
        <v>5039</v>
      </c>
      <c r="B1" s="36"/>
      <c r="C1" s="36"/>
      <c r="D1" s="36"/>
    </row>
    <row r="2" spans="1:7" ht="30" customHeight="1" x14ac:dyDescent="0.3">
      <c r="A2" s="1" t="s">
        <v>1</v>
      </c>
      <c r="B2" s="1" t="s">
        <v>2</v>
      </c>
      <c r="C2" s="1" t="s">
        <v>5040</v>
      </c>
      <c r="D2" s="1" t="s">
        <v>5041</v>
      </c>
    </row>
    <row r="3" spans="1:7" ht="18" customHeight="1" x14ac:dyDescent="0.3">
      <c r="A3" s="2" t="s">
        <v>28</v>
      </c>
      <c r="B3" s="2" t="s">
        <v>7</v>
      </c>
      <c r="C3" s="2" t="s">
        <v>5042</v>
      </c>
      <c r="D3" s="2"/>
    </row>
    <row r="4" spans="1:7" ht="18" customHeight="1" x14ac:dyDescent="0.3">
      <c r="A4" s="2" t="s">
        <v>30</v>
      </c>
      <c r="B4" s="2" t="s">
        <v>7</v>
      </c>
      <c r="C4" s="2" t="s">
        <v>5042</v>
      </c>
      <c r="D4" s="2"/>
    </row>
    <row r="5" spans="1:7" ht="18" customHeight="1" x14ac:dyDescent="0.3">
      <c r="A5" s="2" t="s">
        <v>31</v>
      </c>
      <c r="B5" s="2" t="s">
        <v>7</v>
      </c>
      <c r="C5" s="2" t="s">
        <v>5042</v>
      </c>
      <c r="D5" s="2"/>
    </row>
    <row r="6" spans="1:7" ht="18" customHeight="1" x14ac:dyDescent="0.3">
      <c r="A6" s="2" t="s">
        <v>33</v>
      </c>
      <c r="B6" s="2" t="s">
        <v>7</v>
      </c>
      <c r="C6" s="2" t="s">
        <v>5042</v>
      </c>
      <c r="D6" s="2"/>
      <c r="F6" s="40" t="s">
        <v>5043</v>
      </c>
      <c r="G6" s="41"/>
    </row>
    <row r="7" spans="1:7" ht="18" customHeight="1" x14ac:dyDescent="0.3">
      <c r="A7" s="2" t="s">
        <v>34</v>
      </c>
      <c r="B7" s="2" t="s">
        <v>7</v>
      </c>
      <c r="C7" s="2" t="s">
        <v>5042</v>
      </c>
      <c r="D7" s="2"/>
      <c r="F7" s="3" t="s">
        <v>7</v>
      </c>
      <c r="G7" s="4">
        <f>COUNTIF(B:B,"AHU")</f>
        <v>5</v>
      </c>
    </row>
    <row r="8" spans="1:7" ht="18" customHeight="1" x14ac:dyDescent="0.3">
      <c r="A8" s="2" t="s">
        <v>44</v>
      </c>
      <c r="B8" s="2" t="s">
        <v>45</v>
      </c>
      <c r="C8" s="2" t="s">
        <v>5096</v>
      </c>
      <c r="D8" s="2"/>
      <c r="F8" s="3" t="s">
        <v>45</v>
      </c>
      <c r="G8" s="4">
        <f>COUNTIF(B:B,"FCU")</f>
        <v>11</v>
      </c>
    </row>
    <row r="9" spans="1:7" ht="18" customHeight="1" x14ac:dyDescent="0.3">
      <c r="A9" s="2" t="s">
        <v>47</v>
      </c>
      <c r="B9" s="2" t="s">
        <v>45</v>
      </c>
      <c r="C9" s="2" t="s">
        <v>5096</v>
      </c>
      <c r="D9" s="2"/>
      <c r="F9" s="3" t="s">
        <v>5044</v>
      </c>
      <c r="G9" s="4">
        <f>COUNTIF(B:B,"CHW Pump")</f>
        <v>8</v>
      </c>
    </row>
    <row r="10" spans="1:7" ht="18" customHeight="1" x14ac:dyDescent="0.3">
      <c r="A10" s="2" t="s">
        <v>49</v>
      </c>
      <c r="B10" s="2" t="s">
        <v>45</v>
      </c>
      <c r="C10" s="2" t="s">
        <v>5096</v>
      </c>
      <c r="D10" s="2"/>
      <c r="F10" s="3" t="s">
        <v>5045</v>
      </c>
      <c r="G10" s="4">
        <f>COUNTIF(B:B,"VAV")</f>
        <v>108</v>
      </c>
    </row>
    <row r="11" spans="1:7" ht="18" customHeight="1" x14ac:dyDescent="0.3">
      <c r="A11" s="2" t="s">
        <v>51</v>
      </c>
      <c r="B11" s="2" t="s">
        <v>45</v>
      </c>
      <c r="C11" s="2" t="s">
        <v>5096</v>
      </c>
      <c r="D11" s="2"/>
      <c r="F11" s="3" t="s">
        <v>5046</v>
      </c>
      <c r="G11" s="4">
        <f>COUNTIF(B:B,"DX Unit")</f>
        <v>10</v>
      </c>
    </row>
    <row r="12" spans="1:7" ht="18" customHeight="1" x14ac:dyDescent="0.3">
      <c r="A12" s="2" t="s">
        <v>53</v>
      </c>
      <c r="B12" s="2" t="s">
        <v>45</v>
      </c>
      <c r="C12" s="2" t="s">
        <v>5096</v>
      </c>
      <c r="D12" s="2"/>
      <c r="F12" s="3" t="s">
        <v>5047</v>
      </c>
      <c r="G12" s="4">
        <f>COUNTIF(B:B,"HEX")</f>
        <v>5</v>
      </c>
    </row>
    <row r="13" spans="1:7" ht="18" customHeight="1" x14ac:dyDescent="0.3">
      <c r="A13" s="2" t="s">
        <v>55</v>
      </c>
      <c r="B13" s="2" t="s">
        <v>45</v>
      </c>
      <c r="C13" s="2" t="s">
        <v>5096</v>
      </c>
      <c r="D13" s="2"/>
      <c r="F13" s="3" t="s">
        <v>5048</v>
      </c>
      <c r="G13" s="4">
        <f>COUNTIF(B:B,"CCU")</f>
        <v>14</v>
      </c>
    </row>
    <row r="14" spans="1:7" ht="18" customHeight="1" x14ac:dyDescent="0.3">
      <c r="A14" s="2" t="s">
        <v>57</v>
      </c>
      <c r="B14" s="2" t="s">
        <v>45</v>
      </c>
      <c r="C14" s="2" t="s">
        <v>5096</v>
      </c>
      <c r="D14" s="2"/>
      <c r="F14" s="3" t="s">
        <v>5049</v>
      </c>
      <c r="G14" s="4">
        <f>COUNTIF(B:B,"EF")</f>
        <v>1</v>
      </c>
    </row>
    <row r="15" spans="1:7" ht="18" customHeight="1" x14ac:dyDescent="0.3">
      <c r="A15" s="2" t="s">
        <v>59</v>
      </c>
      <c r="B15" s="2" t="s">
        <v>45</v>
      </c>
      <c r="C15" s="2" t="s">
        <v>5096</v>
      </c>
      <c r="D15" s="2"/>
      <c r="F15" s="3" t="s">
        <v>5232</v>
      </c>
      <c r="G15" s="4">
        <f>COUNTIF(B:B,"KEF")</f>
        <v>2</v>
      </c>
    </row>
    <row r="16" spans="1:7" ht="18" customHeight="1" x14ac:dyDescent="0.3">
      <c r="A16" s="2" t="s">
        <v>61</v>
      </c>
      <c r="B16" s="2" t="s">
        <v>45</v>
      </c>
      <c r="C16" s="2" t="s">
        <v>5096</v>
      </c>
      <c r="D16" s="2"/>
      <c r="F16" s="3" t="s">
        <v>5051</v>
      </c>
      <c r="G16" s="4">
        <f>COUNTIF(B:B,"TEF")</f>
        <v>4</v>
      </c>
    </row>
    <row r="17" spans="1:9" ht="18" customHeight="1" x14ac:dyDescent="0.3">
      <c r="A17" s="2" t="s">
        <v>62</v>
      </c>
      <c r="B17" s="2" t="s">
        <v>45</v>
      </c>
      <c r="C17" s="2" t="s">
        <v>5096</v>
      </c>
      <c r="D17" s="2"/>
      <c r="F17" s="3" t="s">
        <v>5050</v>
      </c>
      <c r="G17" s="4">
        <f>COUNTIF(B:B,"GEF")</f>
        <v>1</v>
      </c>
    </row>
    <row r="18" spans="1:9" ht="18" customHeight="1" x14ac:dyDescent="0.3">
      <c r="A18" s="2" t="s">
        <v>64</v>
      </c>
      <c r="B18" s="2" t="s">
        <v>45</v>
      </c>
      <c r="C18" s="2" t="s">
        <v>5096</v>
      </c>
      <c r="D18" s="2"/>
      <c r="F18" s="3" t="s">
        <v>5054</v>
      </c>
      <c r="G18" s="4">
        <f>COUNTIF(B:B,"Generator")</f>
        <v>1</v>
      </c>
    </row>
    <row r="19" spans="1:9" ht="18" customHeight="1" x14ac:dyDescent="0.3">
      <c r="A19" s="2" t="s">
        <v>265</v>
      </c>
      <c r="B19" s="2" t="s">
        <v>266</v>
      </c>
      <c r="C19" s="2" t="s">
        <v>5045</v>
      </c>
      <c r="D19" s="2"/>
      <c r="F19" s="5" t="s">
        <v>5055</v>
      </c>
      <c r="G19" s="5">
        <f>SUM(G7:G18)</f>
        <v>170</v>
      </c>
    </row>
    <row r="20" spans="1:9" ht="18" customHeight="1" x14ac:dyDescent="0.3">
      <c r="A20" s="2" t="s">
        <v>268</v>
      </c>
      <c r="B20" s="2" t="s">
        <v>266</v>
      </c>
      <c r="C20" s="2" t="s">
        <v>5045</v>
      </c>
      <c r="D20" s="2"/>
    </row>
    <row r="21" spans="1:9" ht="18" customHeight="1" x14ac:dyDescent="0.3">
      <c r="A21" s="2" t="s">
        <v>270</v>
      </c>
      <c r="B21" s="2" t="s">
        <v>266</v>
      </c>
      <c r="C21" s="2" t="s">
        <v>5045</v>
      </c>
      <c r="D21" s="2"/>
    </row>
    <row r="22" spans="1:9" ht="18" customHeight="1" x14ac:dyDescent="0.3">
      <c r="A22" s="2" t="s">
        <v>271</v>
      </c>
      <c r="B22" s="2" t="s">
        <v>266</v>
      </c>
      <c r="C22" s="2" t="s">
        <v>5045</v>
      </c>
      <c r="D22" s="2"/>
    </row>
    <row r="23" spans="1:9" ht="18" customHeight="1" x14ac:dyDescent="0.3">
      <c r="A23" s="2" t="s">
        <v>273</v>
      </c>
      <c r="B23" s="2" t="s">
        <v>266</v>
      </c>
      <c r="C23" s="2" t="s">
        <v>5045</v>
      </c>
      <c r="D23" s="2"/>
    </row>
    <row r="24" spans="1:9" ht="18" customHeight="1" x14ac:dyDescent="0.3">
      <c r="A24" s="2" t="s">
        <v>275</v>
      </c>
      <c r="B24" s="2" t="s">
        <v>266</v>
      </c>
      <c r="C24" s="2" t="s">
        <v>5045</v>
      </c>
      <c r="D24" s="2"/>
    </row>
    <row r="25" spans="1:9" ht="18" customHeight="1" x14ac:dyDescent="0.3">
      <c r="A25" s="2" t="s">
        <v>276</v>
      </c>
      <c r="B25" s="2" t="s">
        <v>266</v>
      </c>
      <c r="C25" s="2" t="s">
        <v>5045</v>
      </c>
      <c r="D25" s="2"/>
    </row>
    <row r="26" spans="1:9" ht="18" customHeight="1" x14ac:dyDescent="0.3">
      <c r="A26" s="2" t="s">
        <v>278</v>
      </c>
      <c r="B26" s="2" t="s">
        <v>266</v>
      </c>
      <c r="C26" s="2" t="s">
        <v>5045</v>
      </c>
      <c r="D26" s="2"/>
      <c r="F26" s="6" t="s">
        <v>5056</v>
      </c>
      <c r="G26" s="6" t="s">
        <v>5057</v>
      </c>
      <c r="H26" s="6" t="s">
        <v>5058</v>
      </c>
      <c r="I26" s="6" t="s">
        <v>5059</v>
      </c>
    </row>
    <row r="27" spans="1:9" ht="18" customHeight="1" x14ac:dyDescent="0.3">
      <c r="A27" s="2" t="s">
        <v>280</v>
      </c>
      <c r="B27" s="2" t="s">
        <v>266</v>
      </c>
      <c r="C27" s="2" t="s">
        <v>5045</v>
      </c>
      <c r="D27" s="2"/>
      <c r="F27" s="2">
        <v>1</v>
      </c>
      <c r="G27" s="2" t="s">
        <v>5046</v>
      </c>
      <c r="H27" s="2" t="s">
        <v>5353</v>
      </c>
      <c r="I27" s="2" t="s">
        <v>5354</v>
      </c>
    </row>
    <row r="28" spans="1:9" ht="18" customHeight="1" x14ac:dyDescent="0.3">
      <c r="A28" s="2" t="s">
        <v>2036</v>
      </c>
      <c r="B28" s="2" t="s">
        <v>266</v>
      </c>
      <c r="C28" s="2" t="s">
        <v>5045</v>
      </c>
      <c r="D28" s="2"/>
      <c r="F28" s="2">
        <v>2</v>
      </c>
      <c r="G28" s="2" t="s">
        <v>5046</v>
      </c>
      <c r="H28" s="2" t="s">
        <v>5355</v>
      </c>
      <c r="I28" s="2" t="s">
        <v>5354</v>
      </c>
    </row>
    <row r="29" spans="1:9" ht="18" customHeight="1" x14ac:dyDescent="0.3">
      <c r="A29" s="2" t="s">
        <v>282</v>
      </c>
      <c r="B29" s="2" t="s">
        <v>266</v>
      </c>
      <c r="C29" s="2" t="s">
        <v>5045</v>
      </c>
      <c r="D29" s="2"/>
      <c r="F29" s="2">
        <v>3</v>
      </c>
      <c r="G29" s="2" t="s">
        <v>5046</v>
      </c>
      <c r="H29" s="2" t="s">
        <v>5356</v>
      </c>
      <c r="I29" s="2" t="s">
        <v>5354</v>
      </c>
    </row>
    <row r="30" spans="1:9" ht="18" customHeight="1" x14ac:dyDescent="0.3">
      <c r="A30" s="2" t="s">
        <v>284</v>
      </c>
      <c r="B30" s="2" t="s">
        <v>266</v>
      </c>
      <c r="C30" s="2" t="s">
        <v>5045</v>
      </c>
      <c r="D30" s="2"/>
      <c r="F30" s="2">
        <v>4</v>
      </c>
      <c r="G30" s="2" t="s">
        <v>5046</v>
      </c>
      <c r="H30" s="2" t="s">
        <v>5357</v>
      </c>
      <c r="I30" s="2" t="s">
        <v>5354</v>
      </c>
    </row>
    <row r="31" spans="1:9" ht="18" customHeight="1" x14ac:dyDescent="0.3">
      <c r="A31" s="2" t="s">
        <v>286</v>
      </c>
      <c r="B31" s="2" t="s">
        <v>266</v>
      </c>
      <c r="C31" s="2" t="s">
        <v>5045</v>
      </c>
      <c r="D31" s="2"/>
      <c r="F31" s="2">
        <v>5</v>
      </c>
      <c r="G31" s="2" t="s">
        <v>5046</v>
      </c>
      <c r="H31" s="2" t="s">
        <v>5358</v>
      </c>
      <c r="I31" s="2" t="s">
        <v>5354</v>
      </c>
    </row>
    <row r="32" spans="1:9" ht="18" customHeight="1" x14ac:dyDescent="0.3">
      <c r="A32" s="2" t="s">
        <v>288</v>
      </c>
      <c r="B32" s="2" t="s">
        <v>266</v>
      </c>
      <c r="C32" s="2" t="s">
        <v>5045</v>
      </c>
      <c r="D32" s="2"/>
      <c r="F32" s="2">
        <v>6</v>
      </c>
      <c r="G32" s="2" t="s">
        <v>5046</v>
      </c>
      <c r="H32" s="2" t="s">
        <v>5359</v>
      </c>
      <c r="I32" s="2" t="s">
        <v>5354</v>
      </c>
    </row>
    <row r="33" spans="1:9" ht="18" customHeight="1" x14ac:dyDescent="0.3">
      <c r="A33" s="2" t="s">
        <v>290</v>
      </c>
      <c r="B33" s="2" t="s">
        <v>266</v>
      </c>
      <c r="C33" s="2" t="s">
        <v>5045</v>
      </c>
      <c r="D33" s="2"/>
      <c r="F33" s="2">
        <v>7</v>
      </c>
      <c r="G33" s="2" t="s">
        <v>5046</v>
      </c>
      <c r="H33" s="2" t="s">
        <v>5360</v>
      </c>
      <c r="I33" s="2" t="s">
        <v>5354</v>
      </c>
    </row>
    <row r="34" spans="1:9" ht="18" customHeight="1" x14ac:dyDescent="0.3">
      <c r="A34" s="2" t="s">
        <v>292</v>
      </c>
      <c r="B34" s="2" t="s">
        <v>266</v>
      </c>
      <c r="C34" s="2" t="s">
        <v>5045</v>
      </c>
      <c r="D34" s="2"/>
      <c r="F34" s="2">
        <v>8</v>
      </c>
      <c r="G34" s="2" t="s">
        <v>5046</v>
      </c>
      <c r="H34" s="2" t="s">
        <v>5361</v>
      </c>
      <c r="I34" s="2" t="s">
        <v>5354</v>
      </c>
    </row>
    <row r="35" spans="1:9" ht="18" customHeight="1" x14ac:dyDescent="0.3">
      <c r="A35" s="2" t="s">
        <v>294</v>
      </c>
      <c r="B35" s="2" t="s">
        <v>266</v>
      </c>
      <c r="C35" s="2" t="s">
        <v>5045</v>
      </c>
      <c r="D35" s="2"/>
      <c r="F35" s="2">
        <v>9</v>
      </c>
      <c r="G35" s="2" t="s">
        <v>5046</v>
      </c>
      <c r="H35" s="2" t="s">
        <v>5362</v>
      </c>
      <c r="I35" s="2" t="s">
        <v>5354</v>
      </c>
    </row>
    <row r="36" spans="1:9" ht="18" customHeight="1" x14ac:dyDescent="0.3">
      <c r="A36" s="2" t="s">
        <v>296</v>
      </c>
      <c r="B36" s="2" t="s">
        <v>266</v>
      </c>
      <c r="C36" s="2" t="s">
        <v>5045</v>
      </c>
      <c r="D36" s="2"/>
    </row>
    <row r="37" spans="1:9" ht="18" customHeight="1" x14ac:dyDescent="0.3">
      <c r="A37" s="2" t="s">
        <v>298</v>
      </c>
      <c r="B37" s="2" t="s">
        <v>266</v>
      </c>
      <c r="C37" s="2" t="s">
        <v>5045</v>
      </c>
      <c r="D37" s="2"/>
    </row>
    <row r="38" spans="1:9" ht="18" customHeight="1" x14ac:dyDescent="0.3">
      <c r="A38" s="2" t="s">
        <v>300</v>
      </c>
      <c r="B38" s="2" t="s">
        <v>266</v>
      </c>
      <c r="C38" s="2" t="s">
        <v>5045</v>
      </c>
      <c r="D38" s="2"/>
    </row>
    <row r="39" spans="1:9" ht="18" customHeight="1" x14ac:dyDescent="0.3">
      <c r="A39" s="2" t="s">
        <v>302</v>
      </c>
      <c r="B39" s="2" t="s">
        <v>266</v>
      </c>
      <c r="C39" s="2" t="s">
        <v>5045</v>
      </c>
      <c r="D39" s="2"/>
    </row>
    <row r="40" spans="1:9" ht="18" customHeight="1" x14ac:dyDescent="0.3">
      <c r="A40" s="2" t="s">
        <v>304</v>
      </c>
      <c r="B40" s="2" t="s">
        <v>266</v>
      </c>
      <c r="C40" s="2" t="s">
        <v>5045</v>
      </c>
      <c r="D40" s="2"/>
    </row>
    <row r="41" spans="1:9" ht="18" customHeight="1" x14ac:dyDescent="0.3">
      <c r="A41" s="2" t="s">
        <v>305</v>
      </c>
      <c r="B41" s="2" t="s">
        <v>266</v>
      </c>
      <c r="C41" s="2" t="s">
        <v>5045</v>
      </c>
      <c r="D41" s="2"/>
    </row>
    <row r="42" spans="1:9" ht="18" customHeight="1" x14ac:dyDescent="0.3">
      <c r="A42" s="2" t="s">
        <v>307</v>
      </c>
      <c r="B42" s="2" t="s">
        <v>266</v>
      </c>
      <c r="C42" s="2" t="s">
        <v>5045</v>
      </c>
      <c r="D42" s="2"/>
    </row>
    <row r="43" spans="1:9" ht="18" customHeight="1" x14ac:dyDescent="0.3">
      <c r="A43" s="2" t="s">
        <v>309</v>
      </c>
      <c r="B43" s="2" t="s">
        <v>266</v>
      </c>
      <c r="C43" s="2" t="s">
        <v>5045</v>
      </c>
      <c r="D43" s="2"/>
    </row>
    <row r="44" spans="1:9" ht="18" customHeight="1" x14ac:dyDescent="0.3">
      <c r="A44" s="2" t="s">
        <v>310</v>
      </c>
      <c r="B44" s="2" t="s">
        <v>266</v>
      </c>
      <c r="C44" s="2" t="s">
        <v>5045</v>
      </c>
      <c r="D44" s="2"/>
    </row>
    <row r="45" spans="1:9" ht="18" customHeight="1" x14ac:dyDescent="0.3">
      <c r="A45" s="2" t="s">
        <v>312</v>
      </c>
      <c r="B45" s="2" t="s">
        <v>266</v>
      </c>
      <c r="C45" s="2" t="s">
        <v>5045</v>
      </c>
      <c r="D45" s="2"/>
    </row>
    <row r="46" spans="1:9" ht="18" customHeight="1" x14ac:dyDescent="0.3">
      <c r="A46" s="2" t="s">
        <v>314</v>
      </c>
      <c r="B46" s="2" t="s">
        <v>266</v>
      </c>
      <c r="C46" s="2" t="s">
        <v>5045</v>
      </c>
      <c r="D46" s="2"/>
    </row>
    <row r="47" spans="1:9" ht="18" customHeight="1" x14ac:dyDescent="0.3">
      <c r="A47" s="2" t="s">
        <v>316</v>
      </c>
      <c r="B47" s="2" t="s">
        <v>266</v>
      </c>
      <c r="C47" s="2" t="s">
        <v>5045</v>
      </c>
      <c r="D47" s="2"/>
    </row>
    <row r="48" spans="1:9" ht="18" customHeight="1" x14ac:dyDescent="0.3">
      <c r="A48" s="2" t="s">
        <v>318</v>
      </c>
      <c r="B48" s="2" t="s">
        <v>266</v>
      </c>
      <c r="C48" s="2" t="s">
        <v>5045</v>
      </c>
      <c r="D48" s="2"/>
    </row>
    <row r="49" spans="1:4" ht="18" customHeight="1" x14ac:dyDescent="0.3">
      <c r="A49" s="2" t="s">
        <v>320</v>
      </c>
      <c r="B49" s="2" t="s">
        <v>266</v>
      </c>
      <c r="C49" s="2" t="s">
        <v>5045</v>
      </c>
      <c r="D49" s="2"/>
    </row>
    <row r="50" spans="1:4" ht="18" customHeight="1" x14ac:dyDescent="0.3">
      <c r="A50" s="2" t="s">
        <v>322</v>
      </c>
      <c r="B50" s="2" t="s">
        <v>266</v>
      </c>
      <c r="C50" s="2" t="s">
        <v>5045</v>
      </c>
      <c r="D50" s="2"/>
    </row>
    <row r="51" spans="1:4" ht="18" customHeight="1" x14ac:dyDescent="0.3">
      <c r="A51" s="2" t="s">
        <v>324</v>
      </c>
      <c r="B51" s="2" t="s">
        <v>266</v>
      </c>
      <c r="C51" s="2" t="s">
        <v>5045</v>
      </c>
      <c r="D51" s="2"/>
    </row>
    <row r="52" spans="1:4" ht="18" customHeight="1" x14ac:dyDescent="0.3">
      <c r="A52" s="2" t="s">
        <v>326</v>
      </c>
      <c r="B52" s="2" t="s">
        <v>266</v>
      </c>
      <c r="C52" s="2" t="s">
        <v>5045</v>
      </c>
      <c r="D52" s="2"/>
    </row>
    <row r="53" spans="1:4" ht="18" customHeight="1" x14ac:dyDescent="0.3">
      <c r="A53" s="2" t="s">
        <v>328</v>
      </c>
      <c r="B53" s="2" t="s">
        <v>266</v>
      </c>
      <c r="C53" s="2" t="s">
        <v>5045</v>
      </c>
      <c r="D53" s="2"/>
    </row>
    <row r="54" spans="1:4" ht="18" customHeight="1" x14ac:dyDescent="0.3">
      <c r="A54" s="2" t="s">
        <v>330</v>
      </c>
      <c r="B54" s="2" t="s">
        <v>266</v>
      </c>
      <c r="C54" s="2" t="s">
        <v>5045</v>
      </c>
      <c r="D54" s="2"/>
    </row>
    <row r="55" spans="1:4" ht="18" customHeight="1" x14ac:dyDescent="0.3">
      <c r="A55" s="2" t="s">
        <v>332</v>
      </c>
      <c r="B55" s="2" t="s">
        <v>266</v>
      </c>
      <c r="C55" s="2" t="s">
        <v>5045</v>
      </c>
      <c r="D55" s="2"/>
    </row>
    <row r="56" spans="1:4" ht="18" customHeight="1" x14ac:dyDescent="0.3">
      <c r="A56" s="2" t="s">
        <v>334</v>
      </c>
      <c r="B56" s="2" t="s">
        <v>266</v>
      </c>
      <c r="C56" s="2" t="s">
        <v>5045</v>
      </c>
      <c r="D56" s="2"/>
    </row>
    <row r="57" spans="1:4" ht="18" customHeight="1" x14ac:dyDescent="0.3">
      <c r="A57" s="2" t="s">
        <v>336</v>
      </c>
      <c r="B57" s="2" t="s">
        <v>266</v>
      </c>
      <c r="C57" s="2" t="s">
        <v>5045</v>
      </c>
      <c r="D57" s="2"/>
    </row>
    <row r="58" spans="1:4" ht="18" customHeight="1" x14ac:dyDescent="0.3">
      <c r="A58" s="2" t="s">
        <v>338</v>
      </c>
      <c r="B58" s="2" t="s">
        <v>266</v>
      </c>
      <c r="C58" s="2" t="s">
        <v>5045</v>
      </c>
      <c r="D58" s="2"/>
    </row>
    <row r="59" spans="1:4" ht="18" customHeight="1" x14ac:dyDescent="0.3">
      <c r="A59" s="2" t="s">
        <v>340</v>
      </c>
      <c r="B59" s="2" t="s">
        <v>266</v>
      </c>
      <c r="C59" s="2" t="s">
        <v>5045</v>
      </c>
      <c r="D59" s="2"/>
    </row>
    <row r="60" spans="1:4" ht="18" customHeight="1" x14ac:dyDescent="0.3">
      <c r="A60" s="2" t="s">
        <v>341</v>
      </c>
      <c r="B60" s="2" t="s">
        <v>266</v>
      </c>
      <c r="C60" s="2" t="s">
        <v>5045</v>
      </c>
      <c r="D60" s="2"/>
    </row>
    <row r="61" spans="1:4" ht="18" customHeight="1" x14ac:dyDescent="0.3">
      <c r="A61" s="2" t="s">
        <v>343</v>
      </c>
      <c r="B61" s="2" t="s">
        <v>266</v>
      </c>
      <c r="C61" s="2" t="s">
        <v>5045</v>
      </c>
      <c r="D61" s="2"/>
    </row>
    <row r="62" spans="1:4" ht="18" customHeight="1" x14ac:dyDescent="0.3">
      <c r="A62" s="2" t="s">
        <v>345</v>
      </c>
      <c r="B62" s="2" t="s">
        <v>266</v>
      </c>
      <c r="C62" s="2" t="s">
        <v>5045</v>
      </c>
      <c r="D62" s="2"/>
    </row>
    <row r="63" spans="1:4" ht="18" customHeight="1" x14ac:dyDescent="0.3">
      <c r="A63" s="2" t="s">
        <v>347</v>
      </c>
      <c r="B63" s="2" t="s">
        <v>266</v>
      </c>
      <c r="C63" s="2" t="s">
        <v>5045</v>
      </c>
      <c r="D63" s="2"/>
    </row>
    <row r="64" spans="1:4" ht="18" customHeight="1" x14ac:dyDescent="0.3">
      <c r="A64" s="2" t="s">
        <v>349</v>
      </c>
      <c r="B64" s="2" t="s">
        <v>266</v>
      </c>
      <c r="C64" s="2" t="s">
        <v>5045</v>
      </c>
      <c r="D64" s="2"/>
    </row>
    <row r="65" spans="1:4" ht="18" customHeight="1" x14ac:dyDescent="0.3">
      <c r="A65" s="2" t="s">
        <v>351</v>
      </c>
      <c r="B65" s="2" t="s">
        <v>266</v>
      </c>
      <c r="C65" s="2" t="s">
        <v>5045</v>
      </c>
      <c r="D65" s="2"/>
    </row>
    <row r="66" spans="1:4" ht="18" customHeight="1" x14ac:dyDescent="0.3">
      <c r="A66" s="2" t="s">
        <v>353</v>
      </c>
      <c r="B66" s="2" t="s">
        <v>266</v>
      </c>
      <c r="C66" s="2" t="s">
        <v>5045</v>
      </c>
      <c r="D66" s="2"/>
    </row>
    <row r="67" spans="1:4" ht="18" customHeight="1" x14ac:dyDescent="0.3">
      <c r="A67" s="2" t="s">
        <v>355</v>
      </c>
      <c r="B67" s="2" t="s">
        <v>266</v>
      </c>
      <c r="C67" s="2" t="s">
        <v>5045</v>
      </c>
      <c r="D67" s="2"/>
    </row>
    <row r="68" spans="1:4" ht="18" customHeight="1" x14ac:dyDescent="0.3">
      <c r="A68" s="2" t="s">
        <v>356</v>
      </c>
      <c r="B68" s="2" t="s">
        <v>266</v>
      </c>
      <c r="C68" s="2" t="s">
        <v>5045</v>
      </c>
      <c r="D68" s="2"/>
    </row>
    <row r="69" spans="1:4" ht="18" customHeight="1" x14ac:dyDescent="0.3">
      <c r="A69" s="2" t="s">
        <v>357</v>
      </c>
      <c r="B69" s="2" t="s">
        <v>266</v>
      </c>
      <c r="C69" s="2" t="s">
        <v>5045</v>
      </c>
      <c r="D69" s="2"/>
    </row>
    <row r="70" spans="1:4" ht="18" customHeight="1" x14ac:dyDescent="0.3">
      <c r="A70" s="2" t="s">
        <v>358</v>
      </c>
      <c r="B70" s="2" t="s">
        <v>266</v>
      </c>
      <c r="C70" s="2" t="s">
        <v>5045</v>
      </c>
      <c r="D70" s="2"/>
    </row>
    <row r="71" spans="1:4" ht="18" customHeight="1" x14ac:dyDescent="0.3">
      <c r="A71" s="2" t="s">
        <v>360</v>
      </c>
      <c r="B71" s="2" t="s">
        <v>266</v>
      </c>
      <c r="C71" s="2" t="s">
        <v>5045</v>
      </c>
      <c r="D71" s="2"/>
    </row>
    <row r="72" spans="1:4" ht="18" customHeight="1" x14ac:dyDescent="0.3">
      <c r="A72" s="2" t="s">
        <v>361</v>
      </c>
      <c r="B72" s="2" t="s">
        <v>266</v>
      </c>
      <c r="C72" s="2" t="s">
        <v>5045</v>
      </c>
      <c r="D72" s="2"/>
    </row>
    <row r="73" spans="1:4" ht="18" customHeight="1" x14ac:dyDescent="0.3">
      <c r="A73" s="2" t="s">
        <v>363</v>
      </c>
      <c r="B73" s="2" t="s">
        <v>266</v>
      </c>
      <c r="C73" s="2" t="s">
        <v>5045</v>
      </c>
      <c r="D73" s="2"/>
    </row>
    <row r="74" spans="1:4" ht="18" customHeight="1" x14ac:dyDescent="0.3">
      <c r="A74" s="2" t="s">
        <v>365</v>
      </c>
      <c r="B74" s="2" t="s">
        <v>266</v>
      </c>
      <c r="C74" s="2" t="s">
        <v>5045</v>
      </c>
      <c r="D74" s="2"/>
    </row>
    <row r="75" spans="1:4" ht="18" customHeight="1" x14ac:dyDescent="0.3">
      <c r="A75" s="2" t="s">
        <v>367</v>
      </c>
      <c r="B75" s="2" t="s">
        <v>266</v>
      </c>
      <c r="C75" s="2" t="s">
        <v>5045</v>
      </c>
      <c r="D75" s="2"/>
    </row>
    <row r="76" spans="1:4" ht="18" customHeight="1" x14ac:dyDescent="0.3">
      <c r="A76" s="2" t="s">
        <v>369</v>
      </c>
      <c r="B76" s="2" t="s">
        <v>266</v>
      </c>
      <c r="C76" s="2" t="s">
        <v>5045</v>
      </c>
      <c r="D76" s="2"/>
    </row>
    <row r="77" spans="1:4" ht="18" customHeight="1" x14ac:dyDescent="0.3">
      <c r="A77" s="2" t="s">
        <v>371</v>
      </c>
      <c r="B77" s="2" t="s">
        <v>266</v>
      </c>
      <c r="C77" s="2" t="s">
        <v>5045</v>
      </c>
      <c r="D77" s="2"/>
    </row>
    <row r="78" spans="1:4" ht="18" customHeight="1" x14ac:dyDescent="0.3">
      <c r="A78" s="2" t="s">
        <v>373</v>
      </c>
      <c r="B78" s="2" t="s">
        <v>266</v>
      </c>
      <c r="C78" s="2" t="s">
        <v>5045</v>
      </c>
      <c r="D78" s="2"/>
    </row>
    <row r="79" spans="1:4" ht="18" customHeight="1" x14ac:dyDescent="0.3">
      <c r="A79" s="2" t="s">
        <v>375</v>
      </c>
      <c r="B79" s="2" t="s">
        <v>266</v>
      </c>
      <c r="C79" s="2" t="s">
        <v>5045</v>
      </c>
      <c r="D79" s="2"/>
    </row>
    <row r="80" spans="1:4" ht="18" customHeight="1" x14ac:dyDescent="0.3">
      <c r="A80" s="2" t="s">
        <v>377</v>
      </c>
      <c r="B80" s="2" t="s">
        <v>266</v>
      </c>
      <c r="C80" s="2" t="s">
        <v>5045</v>
      </c>
      <c r="D80" s="2"/>
    </row>
    <row r="81" spans="1:4" ht="18" customHeight="1" x14ac:dyDescent="0.3">
      <c r="A81" s="2" t="s">
        <v>379</v>
      </c>
      <c r="B81" s="2" t="s">
        <v>266</v>
      </c>
      <c r="C81" s="2" t="s">
        <v>5045</v>
      </c>
      <c r="D81" s="2"/>
    </row>
    <row r="82" spans="1:4" ht="18" customHeight="1" x14ac:dyDescent="0.3">
      <c r="A82" s="2" t="s">
        <v>381</v>
      </c>
      <c r="B82" s="2" t="s">
        <v>266</v>
      </c>
      <c r="C82" s="2" t="s">
        <v>5045</v>
      </c>
      <c r="D82" s="2"/>
    </row>
    <row r="83" spans="1:4" ht="18" customHeight="1" x14ac:dyDescent="0.3">
      <c r="A83" s="2" t="s">
        <v>383</v>
      </c>
      <c r="B83" s="2" t="s">
        <v>266</v>
      </c>
      <c r="C83" s="2" t="s">
        <v>5045</v>
      </c>
      <c r="D83" s="2"/>
    </row>
    <row r="84" spans="1:4" ht="18" customHeight="1" x14ac:dyDescent="0.3">
      <c r="A84" s="2" t="s">
        <v>385</v>
      </c>
      <c r="B84" s="2" t="s">
        <v>266</v>
      </c>
      <c r="C84" s="2" t="s">
        <v>5045</v>
      </c>
      <c r="D84" s="2"/>
    </row>
    <row r="85" spans="1:4" ht="18" customHeight="1" x14ac:dyDescent="0.3">
      <c r="A85" s="2" t="s">
        <v>387</v>
      </c>
      <c r="B85" s="2" t="s">
        <v>266</v>
      </c>
      <c r="C85" s="2" t="s">
        <v>5045</v>
      </c>
      <c r="D85" s="2"/>
    </row>
    <row r="86" spans="1:4" ht="18" customHeight="1" x14ac:dyDescent="0.3">
      <c r="A86" s="2" t="s">
        <v>389</v>
      </c>
      <c r="B86" s="2" t="s">
        <v>266</v>
      </c>
      <c r="C86" s="2" t="s">
        <v>5045</v>
      </c>
      <c r="D86" s="2"/>
    </row>
    <row r="87" spans="1:4" ht="18" customHeight="1" x14ac:dyDescent="0.3">
      <c r="A87" s="2" t="s">
        <v>391</v>
      </c>
      <c r="B87" s="2" t="s">
        <v>266</v>
      </c>
      <c r="C87" s="2" t="s">
        <v>5045</v>
      </c>
      <c r="D87" s="2"/>
    </row>
    <row r="88" spans="1:4" ht="18" customHeight="1" x14ac:dyDescent="0.3">
      <c r="A88" s="2" t="s">
        <v>393</v>
      </c>
      <c r="B88" s="2" t="s">
        <v>266</v>
      </c>
      <c r="C88" s="2" t="s">
        <v>5045</v>
      </c>
      <c r="D88" s="2"/>
    </row>
    <row r="89" spans="1:4" ht="18" customHeight="1" x14ac:dyDescent="0.3">
      <c r="A89" s="2" t="s">
        <v>395</v>
      </c>
      <c r="B89" s="2" t="s">
        <v>266</v>
      </c>
      <c r="C89" s="2" t="s">
        <v>5045</v>
      </c>
      <c r="D89" s="2"/>
    </row>
    <row r="90" spans="1:4" ht="18" customHeight="1" x14ac:dyDescent="0.3">
      <c r="A90" s="2" t="s">
        <v>397</v>
      </c>
      <c r="B90" s="2" t="s">
        <v>266</v>
      </c>
      <c r="C90" s="2" t="s">
        <v>5045</v>
      </c>
      <c r="D90" s="2"/>
    </row>
    <row r="91" spans="1:4" ht="18" customHeight="1" x14ac:dyDescent="0.3">
      <c r="A91" s="2" t="s">
        <v>399</v>
      </c>
      <c r="B91" s="2" t="s">
        <v>266</v>
      </c>
      <c r="C91" s="2" t="s">
        <v>5045</v>
      </c>
      <c r="D91" s="2"/>
    </row>
    <row r="92" spans="1:4" ht="18" customHeight="1" x14ac:dyDescent="0.3">
      <c r="A92" s="2" t="s">
        <v>401</v>
      </c>
      <c r="B92" s="2" t="s">
        <v>266</v>
      </c>
      <c r="C92" s="2" t="s">
        <v>5045</v>
      </c>
      <c r="D92" s="2"/>
    </row>
    <row r="93" spans="1:4" ht="18" customHeight="1" x14ac:dyDescent="0.3">
      <c r="A93" s="2" t="s">
        <v>403</v>
      </c>
      <c r="B93" s="2" t="s">
        <v>266</v>
      </c>
      <c r="C93" s="2" t="s">
        <v>5045</v>
      </c>
      <c r="D93" s="2"/>
    </row>
    <row r="94" spans="1:4" ht="18" customHeight="1" x14ac:dyDescent="0.3">
      <c r="A94" s="2" t="s">
        <v>405</v>
      </c>
      <c r="B94" s="2" t="s">
        <v>266</v>
      </c>
      <c r="C94" s="2" t="s">
        <v>5045</v>
      </c>
      <c r="D94" s="2"/>
    </row>
    <row r="95" spans="1:4" ht="18" customHeight="1" x14ac:dyDescent="0.3">
      <c r="A95" s="2" t="s">
        <v>407</v>
      </c>
      <c r="B95" s="2" t="s">
        <v>266</v>
      </c>
      <c r="C95" s="2" t="s">
        <v>5045</v>
      </c>
      <c r="D95" s="2"/>
    </row>
    <row r="96" spans="1:4" ht="18" customHeight="1" x14ac:dyDescent="0.3">
      <c r="A96" s="2" t="s">
        <v>409</v>
      </c>
      <c r="B96" s="2" t="s">
        <v>266</v>
      </c>
      <c r="C96" s="2" t="s">
        <v>5045</v>
      </c>
      <c r="D96" s="2"/>
    </row>
    <row r="97" spans="1:4" ht="18" customHeight="1" x14ac:dyDescent="0.3">
      <c r="A97" s="2" t="s">
        <v>411</v>
      </c>
      <c r="B97" s="2" t="s">
        <v>266</v>
      </c>
      <c r="C97" s="2" t="s">
        <v>5045</v>
      </c>
      <c r="D97" s="2"/>
    </row>
    <row r="98" spans="1:4" ht="18" customHeight="1" x14ac:dyDescent="0.3">
      <c r="A98" s="2" t="s">
        <v>413</v>
      </c>
      <c r="B98" s="2" t="s">
        <v>266</v>
      </c>
      <c r="C98" s="2" t="s">
        <v>5045</v>
      </c>
      <c r="D98" s="2"/>
    </row>
    <row r="99" spans="1:4" ht="18" customHeight="1" x14ac:dyDescent="0.3">
      <c r="A99" s="2" t="s">
        <v>415</v>
      </c>
      <c r="B99" s="2" t="s">
        <v>266</v>
      </c>
      <c r="C99" s="2" t="s">
        <v>5045</v>
      </c>
      <c r="D99" s="2"/>
    </row>
    <row r="100" spans="1:4" ht="18" customHeight="1" x14ac:dyDescent="0.3">
      <c r="A100" s="2" t="s">
        <v>416</v>
      </c>
      <c r="B100" s="2" t="s">
        <v>266</v>
      </c>
      <c r="C100" s="2" t="s">
        <v>5045</v>
      </c>
      <c r="D100" s="2"/>
    </row>
    <row r="101" spans="1:4" ht="18" customHeight="1" x14ac:dyDescent="0.3">
      <c r="A101" s="2" t="s">
        <v>417</v>
      </c>
      <c r="B101" s="2" t="s">
        <v>266</v>
      </c>
      <c r="C101" s="2" t="s">
        <v>5045</v>
      </c>
      <c r="D101" s="2"/>
    </row>
    <row r="102" spans="1:4" ht="18" customHeight="1" x14ac:dyDescent="0.3">
      <c r="A102" s="2" t="s">
        <v>419</v>
      </c>
      <c r="B102" s="2" t="s">
        <v>266</v>
      </c>
      <c r="C102" s="2" t="s">
        <v>5045</v>
      </c>
      <c r="D102" s="2"/>
    </row>
    <row r="103" spans="1:4" ht="18" customHeight="1" x14ac:dyDescent="0.3">
      <c r="A103" s="2" t="s">
        <v>420</v>
      </c>
      <c r="B103" s="2" t="s">
        <v>266</v>
      </c>
      <c r="C103" s="2" t="s">
        <v>5045</v>
      </c>
      <c r="D103" s="2"/>
    </row>
    <row r="104" spans="1:4" ht="18" customHeight="1" x14ac:dyDescent="0.3">
      <c r="A104" s="2" t="s">
        <v>421</v>
      </c>
      <c r="B104" s="2" t="s">
        <v>266</v>
      </c>
      <c r="C104" s="2" t="s">
        <v>5045</v>
      </c>
      <c r="D104" s="2"/>
    </row>
    <row r="105" spans="1:4" ht="18" customHeight="1" x14ac:dyDescent="0.3">
      <c r="A105" s="2" t="s">
        <v>422</v>
      </c>
      <c r="B105" s="2" t="s">
        <v>266</v>
      </c>
      <c r="C105" s="2" t="s">
        <v>5045</v>
      </c>
      <c r="D105" s="2"/>
    </row>
    <row r="106" spans="1:4" ht="18" customHeight="1" x14ac:dyDescent="0.3">
      <c r="A106" s="2" t="s">
        <v>424</v>
      </c>
      <c r="B106" s="2" t="s">
        <v>266</v>
      </c>
      <c r="C106" s="2" t="s">
        <v>5045</v>
      </c>
      <c r="D106" s="2"/>
    </row>
    <row r="107" spans="1:4" ht="18" customHeight="1" x14ac:dyDescent="0.3">
      <c r="A107" s="2" t="s">
        <v>426</v>
      </c>
      <c r="B107" s="2" t="s">
        <v>266</v>
      </c>
      <c r="C107" s="2" t="s">
        <v>5045</v>
      </c>
      <c r="D107" s="2"/>
    </row>
    <row r="108" spans="1:4" ht="18" customHeight="1" x14ac:dyDescent="0.3">
      <c r="A108" s="2" t="s">
        <v>427</v>
      </c>
      <c r="B108" s="2" t="s">
        <v>266</v>
      </c>
      <c r="C108" s="2" t="s">
        <v>5045</v>
      </c>
      <c r="D108" s="2"/>
    </row>
    <row r="109" spans="1:4" ht="18" customHeight="1" x14ac:dyDescent="0.3">
      <c r="A109" s="2" t="s">
        <v>429</v>
      </c>
      <c r="B109" s="2" t="s">
        <v>266</v>
      </c>
      <c r="C109" s="2" t="s">
        <v>5045</v>
      </c>
      <c r="D109" s="2"/>
    </row>
    <row r="110" spans="1:4" ht="18" customHeight="1" x14ac:dyDescent="0.3">
      <c r="A110" s="2" t="s">
        <v>431</v>
      </c>
      <c r="B110" s="2" t="s">
        <v>266</v>
      </c>
      <c r="C110" s="2" t="s">
        <v>5045</v>
      </c>
      <c r="D110" s="2"/>
    </row>
    <row r="111" spans="1:4" ht="18" customHeight="1" x14ac:dyDescent="0.3">
      <c r="A111" s="2" t="s">
        <v>433</v>
      </c>
      <c r="B111" s="2" t="s">
        <v>266</v>
      </c>
      <c r="C111" s="2" t="s">
        <v>5045</v>
      </c>
      <c r="D111" s="2"/>
    </row>
    <row r="112" spans="1:4" ht="18" customHeight="1" x14ac:dyDescent="0.3">
      <c r="A112" s="2" t="s">
        <v>435</v>
      </c>
      <c r="B112" s="2" t="s">
        <v>266</v>
      </c>
      <c r="C112" s="2" t="s">
        <v>5045</v>
      </c>
      <c r="D112" s="2"/>
    </row>
    <row r="113" spans="1:4" ht="18" customHeight="1" x14ac:dyDescent="0.3">
      <c r="A113" s="2" t="s">
        <v>437</v>
      </c>
      <c r="B113" s="2" t="s">
        <v>266</v>
      </c>
      <c r="C113" s="2" t="s">
        <v>5045</v>
      </c>
      <c r="D113" s="2"/>
    </row>
    <row r="114" spans="1:4" ht="18" customHeight="1" x14ac:dyDescent="0.3">
      <c r="A114" s="2" t="s">
        <v>439</v>
      </c>
      <c r="B114" s="2" t="s">
        <v>266</v>
      </c>
      <c r="C114" s="2" t="s">
        <v>5045</v>
      </c>
      <c r="D114" s="2"/>
    </row>
    <row r="115" spans="1:4" ht="18" customHeight="1" x14ac:dyDescent="0.3">
      <c r="A115" s="2" t="s">
        <v>440</v>
      </c>
      <c r="B115" s="2" t="s">
        <v>266</v>
      </c>
      <c r="C115" s="2" t="s">
        <v>5045</v>
      </c>
      <c r="D115" s="2"/>
    </row>
    <row r="116" spans="1:4" ht="18" customHeight="1" x14ac:dyDescent="0.3">
      <c r="A116" s="2" t="s">
        <v>442</v>
      </c>
      <c r="B116" s="2" t="s">
        <v>266</v>
      </c>
      <c r="C116" s="2" t="s">
        <v>5045</v>
      </c>
      <c r="D116" s="2"/>
    </row>
    <row r="117" spans="1:4" ht="18" customHeight="1" x14ac:dyDescent="0.3">
      <c r="A117" s="2" t="s">
        <v>443</v>
      </c>
      <c r="B117" s="2" t="s">
        <v>266</v>
      </c>
      <c r="C117" s="2" t="s">
        <v>5045</v>
      </c>
      <c r="D117" s="2"/>
    </row>
    <row r="118" spans="1:4" ht="18" customHeight="1" x14ac:dyDescent="0.3">
      <c r="A118" s="2" t="s">
        <v>445</v>
      </c>
      <c r="B118" s="2" t="s">
        <v>266</v>
      </c>
      <c r="C118" s="2" t="s">
        <v>5045</v>
      </c>
      <c r="D118" s="2"/>
    </row>
    <row r="119" spans="1:4" ht="18" customHeight="1" x14ac:dyDescent="0.3">
      <c r="A119" s="2" t="s">
        <v>447</v>
      </c>
      <c r="B119" s="2" t="s">
        <v>266</v>
      </c>
      <c r="C119" s="2" t="s">
        <v>5045</v>
      </c>
      <c r="D119" s="2"/>
    </row>
    <row r="120" spans="1:4" ht="18" customHeight="1" x14ac:dyDescent="0.3">
      <c r="A120" s="2" t="s">
        <v>449</v>
      </c>
      <c r="B120" s="2" t="s">
        <v>266</v>
      </c>
      <c r="C120" s="2" t="s">
        <v>5045</v>
      </c>
      <c r="D120" s="2"/>
    </row>
    <row r="121" spans="1:4" ht="18" customHeight="1" x14ac:dyDescent="0.3">
      <c r="A121" s="2" t="s">
        <v>451</v>
      </c>
      <c r="B121" s="2" t="s">
        <v>266</v>
      </c>
      <c r="C121" s="2" t="s">
        <v>5045</v>
      </c>
      <c r="D121" s="2"/>
    </row>
    <row r="122" spans="1:4" ht="18" customHeight="1" x14ac:dyDescent="0.3">
      <c r="A122" s="2" t="s">
        <v>453</v>
      </c>
      <c r="B122" s="2" t="s">
        <v>266</v>
      </c>
      <c r="C122" s="2" t="s">
        <v>5045</v>
      </c>
      <c r="D122" s="2"/>
    </row>
    <row r="123" spans="1:4" ht="18" customHeight="1" x14ac:dyDescent="0.3">
      <c r="A123" s="2" t="s">
        <v>454</v>
      </c>
      <c r="B123" s="2" t="s">
        <v>266</v>
      </c>
      <c r="C123" s="2" t="s">
        <v>5045</v>
      </c>
      <c r="D123" s="2"/>
    </row>
    <row r="124" spans="1:4" ht="18" customHeight="1" x14ac:dyDescent="0.3">
      <c r="A124" s="2" t="s">
        <v>455</v>
      </c>
      <c r="B124" s="2" t="s">
        <v>266</v>
      </c>
      <c r="C124" s="2" t="s">
        <v>5045</v>
      </c>
      <c r="D124" s="2"/>
    </row>
    <row r="125" spans="1:4" ht="18" customHeight="1" x14ac:dyDescent="0.3">
      <c r="A125" s="2" t="s">
        <v>456</v>
      </c>
      <c r="B125" s="2" t="s">
        <v>266</v>
      </c>
      <c r="C125" s="2" t="s">
        <v>5045</v>
      </c>
      <c r="D125" s="2"/>
    </row>
    <row r="126" spans="1:4" ht="18" customHeight="1" x14ac:dyDescent="0.3">
      <c r="A126" s="2" t="s">
        <v>458</v>
      </c>
      <c r="B126" s="2" t="s">
        <v>266</v>
      </c>
      <c r="C126" s="2" t="s">
        <v>5045</v>
      </c>
      <c r="D126" s="2"/>
    </row>
    <row r="127" spans="1:4" ht="18" customHeight="1" x14ac:dyDescent="0.3">
      <c r="A127" s="2" t="s">
        <v>5363</v>
      </c>
      <c r="B127" s="2" t="s">
        <v>5048</v>
      </c>
      <c r="C127" s="2" t="s">
        <v>5048</v>
      </c>
      <c r="D127" s="2"/>
    </row>
    <row r="128" spans="1:4" ht="18" customHeight="1" x14ac:dyDescent="0.3">
      <c r="A128" s="2" t="s">
        <v>5364</v>
      </c>
      <c r="B128" s="2" t="s">
        <v>5048</v>
      </c>
      <c r="C128" s="2" t="s">
        <v>5048</v>
      </c>
      <c r="D128" s="2"/>
    </row>
    <row r="129" spans="1:4" ht="18" customHeight="1" x14ac:dyDescent="0.3">
      <c r="A129" s="2" t="s">
        <v>5365</v>
      </c>
      <c r="B129" s="2" t="s">
        <v>5048</v>
      </c>
      <c r="C129" s="2" t="s">
        <v>5048</v>
      </c>
      <c r="D129" s="2"/>
    </row>
    <row r="130" spans="1:4" ht="18" customHeight="1" x14ac:dyDescent="0.3">
      <c r="A130" s="2" t="s">
        <v>5366</v>
      </c>
      <c r="B130" s="2" t="s">
        <v>5048</v>
      </c>
      <c r="C130" s="2" t="s">
        <v>5048</v>
      </c>
      <c r="D130" s="2"/>
    </row>
    <row r="131" spans="1:4" ht="18" customHeight="1" x14ac:dyDescent="0.3">
      <c r="A131" s="2" t="s">
        <v>5367</v>
      </c>
      <c r="B131" s="2" t="s">
        <v>5048</v>
      </c>
      <c r="C131" s="2" t="s">
        <v>5048</v>
      </c>
      <c r="D131" s="2"/>
    </row>
    <row r="132" spans="1:4" ht="18" customHeight="1" x14ac:dyDescent="0.3">
      <c r="A132" s="2" t="s">
        <v>5368</v>
      </c>
      <c r="B132" s="2" t="s">
        <v>5048</v>
      </c>
      <c r="C132" s="2" t="s">
        <v>5048</v>
      </c>
      <c r="D132" s="2"/>
    </row>
    <row r="133" spans="1:4" ht="18" customHeight="1" x14ac:dyDescent="0.3">
      <c r="A133" s="2" t="s">
        <v>5369</v>
      </c>
      <c r="B133" s="2" t="s">
        <v>5048</v>
      </c>
      <c r="C133" s="2" t="s">
        <v>5048</v>
      </c>
      <c r="D133" s="2"/>
    </row>
    <row r="134" spans="1:4" ht="18" customHeight="1" x14ac:dyDescent="0.3">
      <c r="A134" s="2" t="s">
        <v>5370</v>
      </c>
      <c r="B134" s="2" t="s">
        <v>5048</v>
      </c>
      <c r="C134" s="2" t="s">
        <v>5048</v>
      </c>
      <c r="D134" s="2"/>
    </row>
    <row r="135" spans="1:4" ht="18" customHeight="1" x14ac:dyDescent="0.3">
      <c r="A135" s="2" t="s">
        <v>5371</v>
      </c>
      <c r="B135" s="2" t="s">
        <v>5048</v>
      </c>
      <c r="C135" s="2" t="s">
        <v>5048</v>
      </c>
      <c r="D135" s="2"/>
    </row>
    <row r="136" spans="1:4" ht="18" customHeight="1" x14ac:dyDescent="0.3">
      <c r="A136" s="2" t="s">
        <v>5372</v>
      </c>
      <c r="B136" s="2" t="s">
        <v>5048</v>
      </c>
      <c r="C136" s="2" t="s">
        <v>5048</v>
      </c>
      <c r="D136" s="2"/>
    </row>
    <row r="137" spans="1:4" ht="18" customHeight="1" x14ac:dyDescent="0.3">
      <c r="A137" s="2" t="s">
        <v>5373</v>
      </c>
      <c r="B137" s="2" t="s">
        <v>5048</v>
      </c>
      <c r="C137" s="2" t="s">
        <v>5048</v>
      </c>
      <c r="D137" s="2"/>
    </row>
    <row r="138" spans="1:4" ht="18" customHeight="1" x14ac:dyDescent="0.3">
      <c r="A138" s="2" t="s">
        <v>5374</v>
      </c>
      <c r="B138" s="2" t="s">
        <v>5048</v>
      </c>
      <c r="C138" s="2" t="s">
        <v>5048</v>
      </c>
      <c r="D138" s="2"/>
    </row>
    <row r="139" spans="1:4" ht="18" customHeight="1" x14ac:dyDescent="0.3">
      <c r="A139" s="2" t="s">
        <v>5375</v>
      </c>
      <c r="B139" s="2" t="s">
        <v>5048</v>
      </c>
      <c r="C139" s="2" t="s">
        <v>5048</v>
      </c>
      <c r="D139" s="2"/>
    </row>
    <row r="140" spans="1:4" ht="18" customHeight="1" x14ac:dyDescent="0.3">
      <c r="A140" s="2" t="s">
        <v>5376</v>
      </c>
      <c r="B140" s="2" t="s">
        <v>5048</v>
      </c>
      <c r="C140" s="2" t="s">
        <v>5048</v>
      </c>
      <c r="D140" s="2"/>
    </row>
    <row r="141" spans="1:4" ht="18" customHeight="1" x14ac:dyDescent="0.3">
      <c r="A141" s="2" t="s">
        <v>5377</v>
      </c>
      <c r="B141" s="2" t="s">
        <v>5051</v>
      </c>
      <c r="C141" s="2" t="s">
        <v>5051</v>
      </c>
      <c r="D141" s="2"/>
    </row>
    <row r="142" spans="1:4" ht="18" customHeight="1" x14ac:dyDescent="0.3">
      <c r="A142" s="2" t="s">
        <v>5378</v>
      </c>
      <c r="B142" s="2" t="s">
        <v>5051</v>
      </c>
      <c r="C142" s="2" t="s">
        <v>5051</v>
      </c>
      <c r="D142" s="2"/>
    </row>
    <row r="143" spans="1:4" ht="18" customHeight="1" x14ac:dyDescent="0.3">
      <c r="A143" s="2" t="s">
        <v>5379</v>
      </c>
      <c r="B143" s="2" t="s">
        <v>5051</v>
      </c>
      <c r="C143" s="2" t="s">
        <v>5051</v>
      </c>
      <c r="D143" s="2"/>
    </row>
    <row r="144" spans="1:4" ht="18" customHeight="1" x14ac:dyDescent="0.3">
      <c r="A144" s="2" t="s">
        <v>5380</v>
      </c>
      <c r="B144" s="2" t="s">
        <v>5051</v>
      </c>
      <c r="C144" s="2" t="s">
        <v>5051</v>
      </c>
      <c r="D144" s="2"/>
    </row>
    <row r="145" spans="1:4" ht="18" customHeight="1" x14ac:dyDescent="0.3">
      <c r="A145" s="2" t="s">
        <v>5381</v>
      </c>
      <c r="B145" s="2" t="s">
        <v>5099</v>
      </c>
      <c r="C145" s="2" t="s">
        <v>5047</v>
      </c>
      <c r="D145" s="2"/>
    </row>
    <row r="146" spans="1:4" ht="18" customHeight="1" x14ac:dyDescent="0.3">
      <c r="A146" s="2" t="s">
        <v>5382</v>
      </c>
      <c r="B146" s="2" t="s">
        <v>5099</v>
      </c>
      <c r="C146" s="2" t="s">
        <v>5047</v>
      </c>
      <c r="D146" s="2"/>
    </row>
    <row r="147" spans="1:4" ht="18" customHeight="1" x14ac:dyDescent="0.3">
      <c r="A147" s="2" t="s">
        <v>5383</v>
      </c>
      <c r="B147" s="2" t="s">
        <v>5099</v>
      </c>
      <c r="C147" s="2" t="s">
        <v>5047</v>
      </c>
      <c r="D147" s="2"/>
    </row>
    <row r="148" spans="1:4" ht="18" customHeight="1" x14ac:dyDescent="0.3">
      <c r="A148" s="2" t="s">
        <v>5384</v>
      </c>
      <c r="B148" s="2" t="s">
        <v>5099</v>
      </c>
      <c r="C148" s="2" t="s">
        <v>5047</v>
      </c>
      <c r="D148" s="2"/>
    </row>
    <row r="149" spans="1:4" ht="18" customHeight="1" x14ac:dyDescent="0.3">
      <c r="A149" s="2" t="s">
        <v>5385</v>
      </c>
      <c r="B149" s="2" t="s">
        <v>5099</v>
      </c>
      <c r="C149" s="2" t="s">
        <v>5047</v>
      </c>
      <c r="D149" s="2"/>
    </row>
    <row r="150" spans="1:4" ht="18" customHeight="1" x14ac:dyDescent="0.3">
      <c r="A150" s="2" t="s">
        <v>5386</v>
      </c>
      <c r="B150" s="2" t="s">
        <v>5046</v>
      </c>
      <c r="C150" s="2" t="s">
        <v>5387</v>
      </c>
      <c r="D150" s="2"/>
    </row>
    <row r="151" spans="1:4" ht="18" customHeight="1" x14ac:dyDescent="0.3">
      <c r="A151" s="2" t="s">
        <v>5388</v>
      </c>
      <c r="B151" s="2" t="s">
        <v>5046</v>
      </c>
      <c r="C151" s="2" t="s">
        <v>5387</v>
      </c>
      <c r="D151" s="2"/>
    </row>
    <row r="152" spans="1:4" ht="18" customHeight="1" x14ac:dyDescent="0.3">
      <c r="A152" s="2" t="s">
        <v>5389</v>
      </c>
      <c r="B152" s="2" t="s">
        <v>5046</v>
      </c>
      <c r="C152" s="2" t="s">
        <v>5387</v>
      </c>
      <c r="D152" s="2"/>
    </row>
    <row r="153" spans="1:4" ht="18" customHeight="1" x14ac:dyDescent="0.3">
      <c r="A153" s="2" t="s">
        <v>5390</v>
      </c>
      <c r="B153" s="2" t="s">
        <v>5046</v>
      </c>
      <c r="C153" s="2" t="s">
        <v>5387</v>
      </c>
      <c r="D153" s="2"/>
    </row>
    <row r="154" spans="1:4" ht="18" customHeight="1" x14ac:dyDescent="0.3">
      <c r="A154" s="2" t="s">
        <v>5391</v>
      </c>
      <c r="B154" s="2" t="s">
        <v>5046</v>
      </c>
      <c r="C154" s="2" t="s">
        <v>5387</v>
      </c>
      <c r="D154" s="2"/>
    </row>
    <row r="155" spans="1:4" x14ac:dyDescent="0.3">
      <c r="A155" s="2" t="s">
        <v>5392</v>
      </c>
      <c r="B155" s="2" t="s">
        <v>5046</v>
      </c>
      <c r="C155" s="2" t="s">
        <v>5393</v>
      </c>
      <c r="D155" s="2"/>
    </row>
    <row r="156" spans="1:4" x14ac:dyDescent="0.3">
      <c r="A156" s="2" t="s">
        <v>5394</v>
      </c>
      <c r="B156" s="2" t="s">
        <v>5046</v>
      </c>
      <c r="C156" s="2" t="s">
        <v>5393</v>
      </c>
      <c r="D156" s="2"/>
    </row>
    <row r="157" spans="1:4" x14ac:dyDescent="0.3">
      <c r="A157" s="2" t="s">
        <v>5395</v>
      </c>
      <c r="B157" s="2" t="s">
        <v>5046</v>
      </c>
      <c r="C157" s="2" t="s">
        <v>5393</v>
      </c>
      <c r="D157" s="2"/>
    </row>
    <row r="158" spans="1:4" x14ac:dyDescent="0.3">
      <c r="A158" s="2" t="s">
        <v>5396</v>
      </c>
      <c r="B158" s="2" t="s">
        <v>5046</v>
      </c>
      <c r="C158" s="2" t="s">
        <v>5387</v>
      </c>
      <c r="D158" s="2"/>
    </row>
    <row r="159" spans="1:4" x14ac:dyDescent="0.3">
      <c r="A159" s="2" t="s">
        <v>5397</v>
      </c>
      <c r="B159" s="2" t="s">
        <v>5046</v>
      </c>
      <c r="C159" s="2" t="s">
        <v>5387</v>
      </c>
      <c r="D159" s="2"/>
    </row>
    <row r="160" spans="1:4" x14ac:dyDescent="0.3">
      <c r="A160" s="2" t="s">
        <v>5398</v>
      </c>
      <c r="B160" s="2" t="s">
        <v>5054</v>
      </c>
      <c r="C160" s="2" t="s">
        <v>5054</v>
      </c>
      <c r="D160" s="2"/>
    </row>
    <row r="161" spans="1:4" x14ac:dyDescent="0.3">
      <c r="A161" s="2" t="s">
        <v>5399</v>
      </c>
      <c r="B161" s="2" t="s">
        <v>5232</v>
      </c>
      <c r="C161" s="2" t="s">
        <v>5232</v>
      </c>
      <c r="D161" s="2"/>
    </row>
    <row r="162" spans="1:4" x14ac:dyDescent="0.3">
      <c r="A162" s="2" t="s">
        <v>5400</v>
      </c>
      <c r="B162" s="2" t="s">
        <v>5232</v>
      </c>
      <c r="C162" s="2" t="s">
        <v>5232</v>
      </c>
      <c r="D162" s="2"/>
    </row>
    <row r="163" spans="1:4" x14ac:dyDescent="0.3">
      <c r="A163" s="2" t="s">
        <v>5401</v>
      </c>
      <c r="B163" s="2" t="s">
        <v>5044</v>
      </c>
      <c r="C163" s="2" t="s">
        <v>5206</v>
      </c>
      <c r="D163" s="2"/>
    </row>
    <row r="164" spans="1:4" x14ac:dyDescent="0.3">
      <c r="A164" s="2" t="s">
        <v>5402</v>
      </c>
      <c r="B164" s="2" t="s">
        <v>5044</v>
      </c>
      <c r="C164" s="2" t="s">
        <v>5206</v>
      </c>
      <c r="D164" s="2"/>
    </row>
    <row r="165" spans="1:4" x14ac:dyDescent="0.3">
      <c r="A165" s="2" t="s">
        <v>5403</v>
      </c>
      <c r="B165" s="2" t="s">
        <v>5044</v>
      </c>
      <c r="C165" s="2" t="s">
        <v>5206</v>
      </c>
      <c r="D165" s="2"/>
    </row>
    <row r="166" spans="1:4" x14ac:dyDescent="0.3">
      <c r="A166" s="2" t="s">
        <v>5404</v>
      </c>
      <c r="B166" s="2" t="s">
        <v>5044</v>
      </c>
      <c r="C166" s="2" t="s">
        <v>5206</v>
      </c>
      <c r="D166" s="2"/>
    </row>
    <row r="167" spans="1:4" x14ac:dyDescent="0.3">
      <c r="A167" s="2" t="s">
        <v>5405</v>
      </c>
      <c r="B167" s="2" t="s">
        <v>5044</v>
      </c>
      <c r="C167" s="2" t="s">
        <v>5206</v>
      </c>
      <c r="D167" s="2"/>
    </row>
    <row r="168" spans="1:4" x14ac:dyDescent="0.3">
      <c r="A168" s="2" t="s">
        <v>5406</v>
      </c>
      <c r="B168" s="2" t="s">
        <v>5044</v>
      </c>
      <c r="C168" s="2" t="s">
        <v>5206</v>
      </c>
      <c r="D168" s="2"/>
    </row>
    <row r="169" spans="1:4" x14ac:dyDescent="0.3">
      <c r="A169" s="2" t="s">
        <v>5407</v>
      </c>
      <c r="B169" s="2" t="s">
        <v>5044</v>
      </c>
      <c r="C169" s="2" t="s">
        <v>5206</v>
      </c>
      <c r="D169" s="2"/>
    </row>
    <row r="170" spans="1:4" x14ac:dyDescent="0.3">
      <c r="A170" s="2" t="s">
        <v>5408</v>
      </c>
      <c r="B170" s="2" t="s">
        <v>5044</v>
      </c>
      <c r="C170" s="2" t="s">
        <v>5206</v>
      </c>
      <c r="D170" s="2"/>
    </row>
    <row r="171" spans="1:4" x14ac:dyDescent="0.3">
      <c r="A171" s="2" t="s">
        <v>5409</v>
      </c>
      <c r="B171" s="2" t="s">
        <v>5050</v>
      </c>
      <c r="C171" s="2" t="s">
        <v>5410</v>
      </c>
      <c r="D171" s="2"/>
    </row>
    <row r="172" spans="1:4" x14ac:dyDescent="0.3">
      <c r="A172" s="2" t="s">
        <v>5411</v>
      </c>
      <c r="B172" s="2" t="s">
        <v>5049</v>
      </c>
      <c r="C172" s="2" t="s">
        <v>5412</v>
      </c>
      <c r="D172" s="2"/>
    </row>
  </sheetData>
  <mergeCells count="2">
    <mergeCell ref="A1:D1"/>
    <mergeCell ref="F6:G6"/>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1230"/>
  <sheetViews>
    <sheetView workbookViewId="0">
      <selection sqref="A1:D1"/>
    </sheetView>
  </sheetViews>
  <sheetFormatPr defaultColWidth="8.6640625" defaultRowHeight="14.4" x14ac:dyDescent="0.3"/>
  <cols>
    <col min="1" max="1" width="32.5546875" bestFit="1" customWidth="1"/>
    <col min="2" max="2" width="54.5546875" customWidth="1"/>
    <col min="3" max="3" width="60" customWidth="1"/>
    <col min="4" max="4" width="40.5546875" customWidth="1"/>
    <col min="8" max="8" width="27.109375" customWidth="1"/>
    <col min="9" max="9" width="29" customWidth="1"/>
    <col min="10" max="10" width="34.109375" bestFit="1" customWidth="1"/>
    <col min="11" max="11" width="73.33203125" bestFit="1" customWidth="1"/>
  </cols>
  <sheetData>
    <row r="1" spans="1:9" ht="19.2" customHeight="1" x14ac:dyDescent="0.3">
      <c r="A1" s="35" t="s">
        <v>5039</v>
      </c>
      <c r="B1" s="36"/>
      <c r="C1" s="36"/>
      <c r="D1" s="36"/>
    </row>
    <row r="2" spans="1:9" ht="30" customHeight="1" x14ac:dyDescent="0.3">
      <c r="A2" s="1" t="s">
        <v>1</v>
      </c>
      <c r="B2" s="1" t="s">
        <v>2</v>
      </c>
      <c r="C2" s="1" t="s">
        <v>5040</v>
      </c>
      <c r="D2" s="1" t="s">
        <v>5041</v>
      </c>
    </row>
    <row r="3" spans="1:9" ht="18" customHeight="1" x14ac:dyDescent="0.3">
      <c r="A3" s="2" t="s">
        <v>5413</v>
      </c>
      <c r="B3" s="2" t="s">
        <v>7</v>
      </c>
      <c r="C3" s="2" t="s">
        <v>5042</v>
      </c>
      <c r="D3" s="2"/>
    </row>
    <row r="4" spans="1:9" ht="18" customHeight="1" x14ac:dyDescent="0.3">
      <c r="A4" s="2" t="s">
        <v>5414</v>
      </c>
      <c r="B4" s="2" t="s">
        <v>7</v>
      </c>
      <c r="C4" s="2" t="s">
        <v>5042</v>
      </c>
      <c r="D4" s="2"/>
    </row>
    <row r="5" spans="1:9" ht="18" customHeight="1" x14ac:dyDescent="0.3">
      <c r="A5" s="2" t="s">
        <v>5415</v>
      </c>
      <c r="B5" s="2" t="s">
        <v>7</v>
      </c>
      <c r="C5" s="2" t="s">
        <v>5042</v>
      </c>
      <c r="D5" s="2"/>
    </row>
    <row r="6" spans="1:9" ht="18" customHeight="1" x14ac:dyDescent="0.3">
      <c r="A6" s="2" t="s">
        <v>5416</v>
      </c>
      <c r="B6" s="2" t="s">
        <v>7</v>
      </c>
      <c r="C6" s="2" t="s">
        <v>5042</v>
      </c>
      <c r="D6" s="2"/>
      <c r="H6" s="40" t="s">
        <v>5043</v>
      </c>
      <c r="I6" s="41"/>
    </row>
    <row r="7" spans="1:9" ht="18" customHeight="1" x14ac:dyDescent="0.3">
      <c r="A7" s="2" t="s">
        <v>5417</v>
      </c>
      <c r="B7" s="2" t="s">
        <v>7</v>
      </c>
      <c r="C7" s="2" t="s">
        <v>5042</v>
      </c>
      <c r="D7" s="2"/>
      <c r="H7" s="3" t="s">
        <v>7</v>
      </c>
      <c r="I7" s="4">
        <f>COUNTIF(B:B,"AHU")</f>
        <v>37</v>
      </c>
    </row>
    <row r="8" spans="1:9" ht="18" customHeight="1" x14ac:dyDescent="0.3">
      <c r="A8" s="2" t="s">
        <v>5418</v>
      </c>
      <c r="B8" s="2" t="s">
        <v>7</v>
      </c>
      <c r="C8" s="2" t="s">
        <v>5042</v>
      </c>
      <c r="D8" s="2"/>
      <c r="H8" s="8" t="s">
        <v>5419</v>
      </c>
      <c r="I8" s="4">
        <f>COUNTIF(B:B,"ERU")</f>
        <v>11</v>
      </c>
    </row>
    <row r="9" spans="1:9" ht="18" customHeight="1" x14ac:dyDescent="0.3">
      <c r="A9" s="2" t="s">
        <v>5420</v>
      </c>
      <c r="B9" s="2" t="s">
        <v>7</v>
      </c>
      <c r="C9" s="2" t="s">
        <v>5042</v>
      </c>
      <c r="D9" s="2"/>
      <c r="H9" s="3" t="s">
        <v>45</v>
      </c>
      <c r="I9" s="4">
        <f>COUNTIF(B:B,"FCU")</f>
        <v>135</v>
      </c>
    </row>
    <row r="10" spans="1:9" ht="18" customHeight="1" x14ac:dyDescent="0.3">
      <c r="A10" s="2" t="s">
        <v>5421</v>
      </c>
      <c r="B10" s="2" t="s">
        <v>7</v>
      </c>
      <c r="C10" s="2" t="s">
        <v>5042</v>
      </c>
      <c r="D10" s="2"/>
      <c r="H10" s="3" t="s">
        <v>5044</v>
      </c>
      <c r="I10" s="4">
        <f>COUNTIF(B:B,"CHW Pump")</f>
        <v>9</v>
      </c>
    </row>
    <row r="11" spans="1:9" ht="18" customHeight="1" x14ac:dyDescent="0.3">
      <c r="A11" s="2" t="s">
        <v>5422</v>
      </c>
      <c r="B11" s="2" t="s">
        <v>7</v>
      </c>
      <c r="C11" s="2" t="s">
        <v>5042</v>
      </c>
      <c r="D11" s="2"/>
      <c r="H11" s="3" t="s">
        <v>5045</v>
      </c>
      <c r="I11" s="4">
        <f>COUNTIF(B:B,"VAV")</f>
        <v>739</v>
      </c>
    </row>
    <row r="12" spans="1:9" ht="18" customHeight="1" x14ac:dyDescent="0.3">
      <c r="A12" s="2" t="s">
        <v>5423</v>
      </c>
      <c r="B12" s="2" t="s">
        <v>7</v>
      </c>
      <c r="C12" s="2" t="s">
        <v>5042</v>
      </c>
      <c r="D12" s="2"/>
      <c r="H12" s="3" t="s">
        <v>5229</v>
      </c>
      <c r="I12" s="4">
        <f>COUNTIF(B:B,"CAV")</f>
        <v>78</v>
      </c>
    </row>
    <row r="13" spans="1:9" ht="18" customHeight="1" x14ac:dyDescent="0.3">
      <c r="A13" s="2" t="s">
        <v>5424</v>
      </c>
      <c r="B13" s="2" t="s">
        <v>7</v>
      </c>
      <c r="C13" s="2" t="s">
        <v>5042</v>
      </c>
      <c r="D13" s="2"/>
      <c r="H13" s="3" t="s">
        <v>3893</v>
      </c>
      <c r="I13" s="4">
        <f>COUNTIF(B:B,"FEV")</f>
        <v>76</v>
      </c>
    </row>
    <row r="14" spans="1:9" ht="18" customHeight="1" x14ac:dyDescent="0.3">
      <c r="A14" s="2" t="s">
        <v>5425</v>
      </c>
      <c r="B14" s="2" t="s">
        <v>5419</v>
      </c>
      <c r="C14" s="2" t="s">
        <v>5419</v>
      </c>
      <c r="D14" s="2"/>
      <c r="H14" s="3" t="s">
        <v>3891</v>
      </c>
      <c r="I14" s="4">
        <f>COUNTIF(B:B,"VEV")</f>
        <v>44</v>
      </c>
    </row>
    <row r="15" spans="1:9" x14ac:dyDescent="0.3">
      <c r="A15" s="2" t="s">
        <v>5426</v>
      </c>
      <c r="B15" s="2" t="s">
        <v>5419</v>
      </c>
      <c r="C15" s="2" t="s">
        <v>5419</v>
      </c>
      <c r="D15" s="2"/>
      <c r="H15" s="3" t="s">
        <v>5427</v>
      </c>
      <c r="I15" s="4">
        <f>COUNTIF(B:B,"EAV")</f>
        <v>51</v>
      </c>
    </row>
    <row r="16" spans="1:9" ht="18" customHeight="1" x14ac:dyDescent="0.3">
      <c r="A16" s="2" t="s">
        <v>5428</v>
      </c>
      <c r="B16" s="2" t="s">
        <v>5419</v>
      </c>
      <c r="C16" s="2" t="s">
        <v>5419</v>
      </c>
      <c r="D16" s="2"/>
      <c r="H16" s="3" t="s">
        <v>5047</v>
      </c>
      <c r="I16" s="4">
        <f>COUNTIF(B:B,"HEX")</f>
        <v>7</v>
      </c>
    </row>
    <row r="17" spans="1:11" ht="18" customHeight="1" x14ac:dyDescent="0.3">
      <c r="A17" s="2" t="s">
        <v>5429</v>
      </c>
      <c r="B17" s="2" t="s">
        <v>5419</v>
      </c>
      <c r="C17" s="2" t="s">
        <v>5419</v>
      </c>
      <c r="D17" s="2"/>
      <c r="H17" s="3" t="s">
        <v>5049</v>
      </c>
      <c r="I17" s="4">
        <f>COUNTIF(B:B,"EF")</f>
        <v>38</v>
      </c>
    </row>
    <row r="18" spans="1:11" ht="18" customHeight="1" x14ac:dyDescent="0.3">
      <c r="A18" s="2" t="s">
        <v>5430</v>
      </c>
      <c r="B18" s="2" t="s">
        <v>5419</v>
      </c>
      <c r="C18" s="2" t="s">
        <v>5419</v>
      </c>
      <c r="D18" s="2"/>
      <c r="H18" s="3" t="s">
        <v>5054</v>
      </c>
      <c r="I18" s="4">
        <f>COUNTIF(B:B,"Generator")</f>
        <v>3</v>
      </c>
    </row>
    <row r="19" spans="1:11" ht="18" customHeight="1" x14ac:dyDescent="0.3">
      <c r="A19" s="2" t="s">
        <v>5431</v>
      </c>
      <c r="B19" s="2" t="s">
        <v>5419</v>
      </c>
      <c r="C19" s="2" t="s">
        <v>5419</v>
      </c>
      <c r="D19" s="2"/>
      <c r="H19" s="5" t="s">
        <v>5055</v>
      </c>
      <c r="I19" s="5">
        <f>SUM(I7:I18)</f>
        <v>1228</v>
      </c>
    </row>
    <row r="20" spans="1:11" ht="18" customHeight="1" x14ac:dyDescent="0.3">
      <c r="A20" s="2" t="s">
        <v>5432</v>
      </c>
      <c r="B20" s="2" t="s">
        <v>5419</v>
      </c>
      <c r="C20" s="2" t="s">
        <v>5419</v>
      </c>
      <c r="D20" s="2"/>
    </row>
    <row r="21" spans="1:11" ht="18" customHeight="1" x14ac:dyDescent="0.3">
      <c r="A21" s="2" t="s">
        <v>5433</v>
      </c>
      <c r="B21" s="2" t="s">
        <v>5419</v>
      </c>
      <c r="C21" s="2" t="s">
        <v>5419</v>
      </c>
      <c r="D21" s="2"/>
    </row>
    <row r="22" spans="1:11" ht="18" customHeight="1" x14ac:dyDescent="0.3">
      <c r="A22" s="2" t="s">
        <v>5434</v>
      </c>
      <c r="B22" s="2" t="s">
        <v>5419</v>
      </c>
      <c r="C22" s="2" t="s">
        <v>5419</v>
      </c>
      <c r="D22" s="2"/>
    </row>
    <row r="23" spans="1:11" ht="18" customHeight="1" x14ac:dyDescent="0.3">
      <c r="A23" s="2" t="s">
        <v>5435</v>
      </c>
      <c r="B23" s="2" t="s">
        <v>5419</v>
      </c>
      <c r="C23" s="2" t="s">
        <v>5419</v>
      </c>
      <c r="D23" s="2"/>
    </row>
    <row r="24" spans="1:11" ht="18" customHeight="1" x14ac:dyDescent="0.3">
      <c r="A24" s="2" t="s">
        <v>5436</v>
      </c>
      <c r="B24" s="2" t="s">
        <v>5419</v>
      </c>
      <c r="C24" s="2" t="s">
        <v>5419</v>
      </c>
      <c r="D24" s="2"/>
    </row>
    <row r="25" spans="1:11" ht="18" customHeight="1" x14ac:dyDescent="0.3">
      <c r="A25" s="2" t="s">
        <v>5437</v>
      </c>
      <c r="B25" s="2" t="s">
        <v>7</v>
      </c>
      <c r="C25" s="2" t="s">
        <v>5042</v>
      </c>
      <c r="D25" s="2"/>
    </row>
    <row r="26" spans="1:11" ht="18" customHeight="1" x14ac:dyDescent="0.3">
      <c r="A26" s="2" t="s">
        <v>5438</v>
      </c>
      <c r="B26" s="2" t="s">
        <v>7</v>
      </c>
      <c r="C26" s="2" t="s">
        <v>5042</v>
      </c>
      <c r="D26" s="2"/>
    </row>
    <row r="27" spans="1:11" ht="18" customHeight="1" x14ac:dyDescent="0.3">
      <c r="A27" s="2" t="s">
        <v>5439</v>
      </c>
      <c r="B27" s="2" t="s">
        <v>7</v>
      </c>
      <c r="C27" s="2" t="s">
        <v>5042</v>
      </c>
      <c r="D27" s="2"/>
    </row>
    <row r="28" spans="1:11" ht="18" customHeight="1" x14ac:dyDescent="0.3">
      <c r="A28" s="2" t="s">
        <v>5440</v>
      </c>
      <c r="B28" s="2" t="s">
        <v>7</v>
      </c>
      <c r="C28" s="2" t="s">
        <v>5042</v>
      </c>
      <c r="D28" s="2"/>
    </row>
    <row r="29" spans="1:11" ht="18" customHeight="1" x14ac:dyDescent="0.3">
      <c r="A29" s="2" t="s">
        <v>5441</v>
      </c>
      <c r="B29" s="2" t="s">
        <v>7</v>
      </c>
      <c r="C29" s="2" t="s">
        <v>5042</v>
      </c>
      <c r="D29" s="2"/>
      <c r="H29" s="6" t="s">
        <v>5056</v>
      </c>
      <c r="I29" s="6" t="s">
        <v>5057</v>
      </c>
      <c r="J29" s="6" t="s">
        <v>5058</v>
      </c>
      <c r="K29" s="6" t="s">
        <v>5059</v>
      </c>
    </row>
    <row r="30" spans="1:11" ht="18" customHeight="1" x14ac:dyDescent="0.3">
      <c r="A30" s="2" t="s">
        <v>5442</v>
      </c>
      <c r="B30" s="2" t="s">
        <v>7</v>
      </c>
      <c r="C30" s="2" t="s">
        <v>5042</v>
      </c>
      <c r="D30" s="2"/>
      <c r="H30" s="2">
        <v>1</v>
      </c>
      <c r="I30" s="2" t="s">
        <v>5046</v>
      </c>
      <c r="J30" s="2" t="s">
        <v>5443</v>
      </c>
      <c r="K30" s="2" t="s">
        <v>5444</v>
      </c>
    </row>
    <row r="31" spans="1:11" ht="18" customHeight="1" x14ac:dyDescent="0.3">
      <c r="A31" s="2" t="s">
        <v>5445</v>
      </c>
      <c r="B31" s="2" t="s">
        <v>7</v>
      </c>
      <c r="C31" s="2" t="s">
        <v>5042</v>
      </c>
      <c r="D31" s="2"/>
      <c r="H31" s="2">
        <v>2</v>
      </c>
      <c r="I31" s="2" t="s">
        <v>5046</v>
      </c>
      <c r="J31" s="2" t="s">
        <v>5446</v>
      </c>
      <c r="K31" s="2" t="s">
        <v>5447</v>
      </c>
    </row>
    <row r="32" spans="1:11" ht="18" customHeight="1" x14ac:dyDescent="0.3">
      <c r="A32" s="2" t="s">
        <v>5448</v>
      </c>
      <c r="B32" s="2" t="s">
        <v>7</v>
      </c>
      <c r="C32" s="2" t="s">
        <v>5042</v>
      </c>
      <c r="D32" s="2"/>
      <c r="H32" s="2">
        <v>3</v>
      </c>
      <c r="I32" s="2" t="s">
        <v>5046</v>
      </c>
      <c r="J32" s="2" t="s">
        <v>5449</v>
      </c>
      <c r="K32" s="2" t="s">
        <v>5450</v>
      </c>
    </row>
    <row r="33" spans="1:11" ht="18" customHeight="1" x14ac:dyDescent="0.3">
      <c r="A33" s="2" t="s">
        <v>5451</v>
      </c>
      <c r="B33" s="2" t="s">
        <v>7</v>
      </c>
      <c r="C33" s="2" t="s">
        <v>5042</v>
      </c>
      <c r="D33" s="2"/>
      <c r="H33" s="2">
        <v>4</v>
      </c>
      <c r="I33" s="2" t="s">
        <v>5046</v>
      </c>
      <c r="J33" s="2" t="s">
        <v>5452</v>
      </c>
      <c r="K33" s="2" t="s">
        <v>5453</v>
      </c>
    </row>
    <row r="34" spans="1:11" ht="18" customHeight="1" x14ac:dyDescent="0.3">
      <c r="A34" s="2" t="s">
        <v>5454</v>
      </c>
      <c r="B34" s="2" t="s">
        <v>7</v>
      </c>
      <c r="C34" s="2" t="s">
        <v>5042</v>
      </c>
      <c r="D34" s="2"/>
      <c r="H34" s="2">
        <v>5</v>
      </c>
      <c r="I34" s="2" t="s">
        <v>5046</v>
      </c>
      <c r="J34" s="2" t="s">
        <v>5455</v>
      </c>
      <c r="K34" s="2" t="s">
        <v>5456</v>
      </c>
    </row>
    <row r="35" spans="1:11" ht="18" customHeight="1" x14ac:dyDescent="0.3">
      <c r="A35" s="2" t="s">
        <v>5457</v>
      </c>
      <c r="B35" s="2" t="s">
        <v>7</v>
      </c>
      <c r="C35" s="2" t="s">
        <v>5042</v>
      </c>
      <c r="D35" s="2"/>
      <c r="H35" s="2">
        <v>6</v>
      </c>
      <c r="I35" s="2" t="s">
        <v>5046</v>
      </c>
      <c r="J35" s="2" t="s">
        <v>5458</v>
      </c>
      <c r="K35" s="2" t="s">
        <v>5459</v>
      </c>
    </row>
    <row r="36" spans="1:11" ht="18" customHeight="1" x14ac:dyDescent="0.3">
      <c r="A36" s="2" t="s">
        <v>5460</v>
      </c>
      <c r="B36" s="2" t="s">
        <v>7</v>
      </c>
      <c r="C36" s="2" t="s">
        <v>5042</v>
      </c>
      <c r="D36" s="2"/>
      <c r="H36" s="2">
        <v>7</v>
      </c>
      <c r="I36" s="2" t="s">
        <v>5046</v>
      </c>
      <c r="J36" s="2" t="s">
        <v>5461</v>
      </c>
      <c r="K36" s="2" t="s">
        <v>5462</v>
      </c>
    </row>
    <row r="37" spans="1:11" ht="18" customHeight="1" x14ac:dyDescent="0.3">
      <c r="A37" s="2" t="s">
        <v>5463</v>
      </c>
      <c r="B37" s="2" t="s">
        <v>7</v>
      </c>
      <c r="C37" s="2" t="s">
        <v>5042</v>
      </c>
      <c r="D37" s="2"/>
      <c r="H37" s="2">
        <v>8</v>
      </c>
      <c r="I37" s="2" t="s">
        <v>5049</v>
      </c>
      <c r="J37" s="2" t="s">
        <v>5464</v>
      </c>
      <c r="K37" s="2" t="s">
        <v>5465</v>
      </c>
    </row>
    <row r="38" spans="1:11" ht="18" customHeight="1" x14ac:dyDescent="0.3">
      <c r="A38" s="2" t="s">
        <v>5466</v>
      </c>
      <c r="B38" s="2" t="s">
        <v>7</v>
      </c>
      <c r="C38" s="2" t="s">
        <v>5042</v>
      </c>
      <c r="D38" s="2"/>
      <c r="H38" s="2">
        <v>9</v>
      </c>
      <c r="I38" s="2" t="s">
        <v>5049</v>
      </c>
      <c r="J38" s="2" t="s">
        <v>5467</v>
      </c>
      <c r="K38" s="2" t="s">
        <v>5465</v>
      </c>
    </row>
    <row r="39" spans="1:11" ht="18" customHeight="1" x14ac:dyDescent="0.3">
      <c r="A39" s="2" t="s">
        <v>5468</v>
      </c>
      <c r="B39" s="2" t="s">
        <v>7</v>
      </c>
      <c r="C39" s="2" t="s">
        <v>5042</v>
      </c>
      <c r="D39" s="2"/>
      <c r="H39" s="2">
        <v>10</v>
      </c>
      <c r="I39" s="2" t="s">
        <v>5049</v>
      </c>
      <c r="J39" s="2" t="s">
        <v>5469</v>
      </c>
      <c r="K39" s="2" t="s">
        <v>5465</v>
      </c>
    </row>
    <row r="40" spans="1:11" ht="18" customHeight="1" x14ac:dyDescent="0.3">
      <c r="A40" s="2" t="s">
        <v>5470</v>
      </c>
      <c r="B40" s="2" t="s">
        <v>7</v>
      </c>
      <c r="C40" s="2" t="s">
        <v>5042</v>
      </c>
      <c r="D40" s="2"/>
      <c r="H40" s="2">
        <v>11</v>
      </c>
      <c r="I40" s="2" t="s">
        <v>5049</v>
      </c>
      <c r="J40" s="2" t="s">
        <v>5471</v>
      </c>
      <c r="K40" s="2" t="s">
        <v>5465</v>
      </c>
    </row>
    <row r="41" spans="1:11" ht="18" customHeight="1" x14ac:dyDescent="0.3">
      <c r="A41" s="2" t="s">
        <v>5472</v>
      </c>
      <c r="B41" s="2" t="s">
        <v>7</v>
      </c>
      <c r="C41" s="2" t="s">
        <v>5042</v>
      </c>
      <c r="D41" s="2"/>
      <c r="H41" s="2">
        <v>12</v>
      </c>
      <c r="I41" s="2" t="s">
        <v>5049</v>
      </c>
      <c r="J41" s="2" t="s">
        <v>5473</v>
      </c>
      <c r="K41" s="2" t="s">
        <v>5465</v>
      </c>
    </row>
    <row r="42" spans="1:11" ht="18" customHeight="1" x14ac:dyDescent="0.3">
      <c r="A42" s="2" t="s">
        <v>2182</v>
      </c>
      <c r="B42" s="2" t="s">
        <v>7</v>
      </c>
      <c r="C42" s="2" t="s">
        <v>5042</v>
      </c>
      <c r="D42" s="2"/>
      <c r="H42" s="2">
        <v>13</v>
      </c>
      <c r="I42" s="2" t="s">
        <v>5049</v>
      </c>
      <c r="J42" s="2" t="s">
        <v>5474</v>
      </c>
      <c r="K42" s="2" t="s">
        <v>5465</v>
      </c>
    </row>
    <row r="43" spans="1:11" ht="18" customHeight="1" x14ac:dyDescent="0.3">
      <c r="A43" s="2" t="s">
        <v>2184</v>
      </c>
      <c r="B43" s="2" t="s">
        <v>7</v>
      </c>
      <c r="C43" s="2" t="s">
        <v>5042</v>
      </c>
      <c r="D43" s="2"/>
      <c r="H43" s="2">
        <v>14</v>
      </c>
      <c r="I43" s="2" t="s">
        <v>5049</v>
      </c>
      <c r="J43" s="2" t="s">
        <v>5475</v>
      </c>
      <c r="K43" s="2" t="s">
        <v>5465</v>
      </c>
    </row>
    <row r="44" spans="1:11" ht="18" customHeight="1" x14ac:dyDescent="0.3">
      <c r="A44" s="2" t="s">
        <v>2185</v>
      </c>
      <c r="B44" s="2" t="s">
        <v>7</v>
      </c>
      <c r="C44" s="2" t="s">
        <v>5042</v>
      </c>
      <c r="D44" s="2"/>
      <c r="H44" s="2">
        <v>15</v>
      </c>
      <c r="I44" s="2" t="s">
        <v>5049</v>
      </c>
      <c r="J44" s="2" t="s">
        <v>5476</v>
      </c>
      <c r="K44" s="2" t="s">
        <v>5465</v>
      </c>
    </row>
    <row r="45" spans="1:11" ht="18" customHeight="1" x14ac:dyDescent="0.3">
      <c r="A45" s="2" t="s">
        <v>2186</v>
      </c>
      <c r="B45" s="2" t="s">
        <v>7</v>
      </c>
      <c r="C45" s="2" t="s">
        <v>5042</v>
      </c>
      <c r="D45" s="2"/>
      <c r="H45" s="2">
        <v>16</v>
      </c>
      <c r="I45" s="2" t="s">
        <v>5049</v>
      </c>
      <c r="J45" s="2" t="s">
        <v>5477</v>
      </c>
      <c r="K45" s="2" t="s">
        <v>5465</v>
      </c>
    </row>
    <row r="46" spans="1:11" ht="18" customHeight="1" x14ac:dyDescent="0.3">
      <c r="A46" s="2" t="s">
        <v>2187</v>
      </c>
      <c r="B46" s="2" t="s">
        <v>7</v>
      </c>
      <c r="C46" s="2" t="s">
        <v>5042</v>
      </c>
      <c r="D46" s="2"/>
      <c r="H46" s="2">
        <v>17</v>
      </c>
      <c r="I46" s="2" t="s">
        <v>5049</v>
      </c>
      <c r="J46" s="2" t="s">
        <v>5478</v>
      </c>
      <c r="K46" s="2" t="s">
        <v>5465</v>
      </c>
    </row>
    <row r="47" spans="1:11" ht="18" customHeight="1" x14ac:dyDescent="0.3">
      <c r="A47" s="2" t="s">
        <v>2188</v>
      </c>
      <c r="B47" s="2" t="s">
        <v>7</v>
      </c>
      <c r="C47" s="2" t="s">
        <v>5042</v>
      </c>
      <c r="D47" s="2"/>
      <c r="H47" s="2">
        <v>18</v>
      </c>
      <c r="I47" s="2" t="s">
        <v>5049</v>
      </c>
      <c r="J47" s="2" t="s">
        <v>5479</v>
      </c>
      <c r="K47" s="2" t="s">
        <v>5465</v>
      </c>
    </row>
    <row r="48" spans="1:11" ht="18" customHeight="1" x14ac:dyDescent="0.3">
      <c r="A48" s="2" t="s">
        <v>2189</v>
      </c>
      <c r="B48" s="2" t="s">
        <v>7</v>
      </c>
      <c r="C48" s="2" t="s">
        <v>5042</v>
      </c>
      <c r="D48" s="2"/>
      <c r="H48" s="2">
        <v>19</v>
      </c>
      <c r="I48" s="2" t="s">
        <v>5049</v>
      </c>
      <c r="J48" s="2" t="s">
        <v>5480</v>
      </c>
      <c r="K48" s="2" t="s">
        <v>5465</v>
      </c>
    </row>
    <row r="49" spans="1:11" ht="18" customHeight="1" x14ac:dyDescent="0.3">
      <c r="A49" s="2" t="s">
        <v>2190</v>
      </c>
      <c r="B49" s="2" t="s">
        <v>7</v>
      </c>
      <c r="C49" s="2" t="s">
        <v>5042</v>
      </c>
      <c r="D49" s="2"/>
      <c r="H49" s="2">
        <v>20</v>
      </c>
      <c r="I49" s="2" t="s">
        <v>5049</v>
      </c>
      <c r="J49" s="2" t="s">
        <v>5481</v>
      </c>
      <c r="K49" s="2" t="s">
        <v>5465</v>
      </c>
    </row>
    <row r="50" spans="1:11" ht="18" customHeight="1" x14ac:dyDescent="0.3">
      <c r="A50" s="2" t="s">
        <v>2191</v>
      </c>
      <c r="B50" s="2" t="s">
        <v>7</v>
      </c>
      <c r="C50" s="2" t="s">
        <v>5042</v>
      </c>
      <c r="D50" s="2"/>
      <c r="H50" s="2">
        <v>21</v>
      </c>
      <c r="I50" s="2" t="s">
        <v>5049</v>
      </c>
      <c r="J50" s="2" t="s">
        <v>5482</v>
      </c>
      <c r="K50" s="2" t="s">
        <v>5465</v>
      </c>
    </row>
    <row r="51" spans="1:11" ht="18" customHeight="1" x14ac:dyDescent="0.3">
      <c r="A51" s="2" t="s">
        <v>5483</v>
      </c>
      <c r="B51" s="2" t="s">
        <v>5049</v>
      </c>
      <c r="C51" s="2" t="s">
        <v>5049</v>
      </c>
      <c r="D51" s="2"/>
      <c r="H51" s="2">
        <v>22</v>
      </c>
      <c r="I51" s="2" t="s">
        <v>5049</v>
      </c>
      <c r="J51" s="2" t="s">
        <v>5484</v>
      </c>
      <c r="K51" s="2" t="s">
        <v>5465</v>
      </c>
    </row>
    <row r="52" spans="1:11" ht="18" customHeight="1" x14ac:dyDescent="0.3">
      <c r="A52" s="2" t="s">
        <v>5485</v>
      </c>
      <c r="B52" s="2" t="s">
        <v>5049</v>
      </c>
      <c r="C52" s="2" t="s">
        <v>5049</v>
      </c>
      <c r="D52" s="2"/>
      <c r="H52" s="2">
        <v>23</v>
      </c>
      <c r="I52" s="2" t="s">
        <v>5049</v>
      </c>
      <c r="J52" s="2" t="s">
        <v>5486</v>
      </c>
      <c r="K52" s="2" t="s">
        <v>5465</v>
      </c>
    </row>
    <row r="53" spans="1:11" ht="18" customHeight="1" x14ac:dyDescent="0.3">
      <c r="A53" s="2" t="s">
        <v>5487</v>
      </c>
      <c r="B53" s="2" t="s">
        <v>5049</v>
      </c>
      <c r="C53" s="2" t="s">
        <v>5049</v>
      </c>
      <c r="D53" s="2"/>
      <c r="H53" s="2">
        <v>24</v>
      </c>
      <c r="I53" s="2" t="s">
        <v>5049</v>
      </c>
      <c r="J53" s="2" t="s">
        <v>5488</v>
      </c>
      <c r="K53" s="2" t="s">
        <v>5465</v>
      </c>
    </row>
    <row r="54" spans="1:11" ht="18" customHeight="1" x14ac:dyDescent="0.3">
      <c r="A54" s="2" t="s">
        <v>5489</v>
      </c>
      <c r="B54" s="2" t="s">
        <v>5049</v>
      </c>
      <c r="C54" s="2" t="s">
        <v>5049</v>
      </c>
      <c r="D54" s="2"/>
      <c r="H54" s="2">
        <v>25</v>
      </c>
      <c r="I54" s="2" t="s">
        <v>5049</v>
      </c>
      <c r="J54" s="2" t="s">
        <v>5490</v>
      </c>
      <c r="K54" s="2" t="s">
        <v>5465</v>
      </c>
    </row>
    <row r="55" spans="1:11" ht="18" customHeight="1" x14ac:dyDescent="0.3">
      <c r="A55" s="2" t="s">
        <v>5491</v>
      </c>
      <c r="B55" s="2" t="s">
        <v>5049</v>
      </c>
      <c r="C55" s="2" t="s">
        <v>5049</v>
      </c>
      <c r="D55" s="2"/>
      <c r="H55" s="2">
        <v>26</v>
      </c>
      <c r="I55" s="2" t="s">
        <v>5049</v>
      </c>
      <c r="J55" s="2" t="s">
        <v>5492</v>
      </c>
      <c r="K55" s="2" t="s">
        <v>5465</v>
      </c>
    </row>
    <row r="56" spans="1:11" ht="18" customHeight="1" x14ac:dyDescent="0.3">
      <c r="A56" s="2" t="s">
        <v>5493</v>
      </c>
      <c r="B56" s="2" t="s">
        <v>5049</v>
      </c>
      <c r="C56" s="2" t="s">
        <v>5049</v>
      </c>
      <c r="D56" s="2"/>
      <c r="H56" s="2">
        <v>27</v>
      </c>
      <c r="I56" s="2" t="s">
        <v>5049</v>
      </c>
      <c r="J56" s="2" t="s">
        <v>5494</v>
      </c>
      <c r="K56" s="2" t="s">
        <v>5465</v>
      </c>
    </row>
    <row r="57" spans="1:11" ht="18" customHeight="1" x14ac:dyDescent="0.3">
      <c r="A57" s="2" t="s">
        <v>5495</v>
      </c>
      <c r="B57" s="2" t="s">
        <v>5049</v>
      </c>
      <c r="C57" s="2" t="s">
        <v>5049</v>
      </c>
      <c r="D57" s="2"/>
    </row>
    <row r="58" spans="1:11" ht="18" customHeight="1" x14ac:dyDescent="0.3">
      <c r="A58" s="2" t="s">
        <v>5496</v>
      </c>
      <c r="B58" s="2" t="s">
        <v>5049</v>
      </c>
      <c r="C58" s="2" t="s">
        <v>5049</v>
      </c>
      <c r="D58" s="2"/>
    </row>
    <row r="59" spans="1:11" ht="18" customHeight="1" x14ac:dyDescent="0.3">
      <c r="A59" s="2" t="s">
        <v>5497</v>
      </c>
      <c r="B59" s="2" t="s">
        <v>5049</v>
      </c>
      <c r="C59" s="2" t="s">
        <v>5049</v>
      </c>
      <c r="D59" s="2"/>
    </row>
    <row r="60" spans="1:11" ht="18" customHeight="1" x14ac:dyDescent="0.3">
      <c r="A60" s="2" t="s">
        <v>5498</v>
      </c>
      <c r="B60" s="2" t="s">
        <v>5049</v>
      </c>
      <c r="C60" s="2" t="s">
        <v>5049</v>
      </c>
      <c r="D60" s="2"/>
    </row>
    <row r="61" spans="1:11" ht="18" customHeight="1" x14ac:dyDescent="0.3">
      <c r="A61" s="2" t="s">
        <v>5499</v>
      </c>
      <c r="B61" s="2" t="s">
        <v>5049</v>
      </c>
      <c r="C61" s="2" t="s">
        <v>5049</v>
      </c>
      <c r="D61" s="2"/>
    </row>
    <row r="62" spans="1:11" ht="18" customHeight="1" x14ac:dyDescent="0.3">
      <c r="A62" s="2" t="s">
        <v>5500</v>
      </c>
      <c r="B62" s="2" t="s">
        <v>5049</v>
      </c>
      <c r="C62" s="2" t="s">
        <v>5049</v>
      </c>
      <c r="D62" s="2"/>
    </row>
    <row r="63" spans="1:11" ht="18" customHeight="1" x14ac:dyDescent="0.3">
      <c r="A63" s="2" t="s">
        <v>5464</v>
      </c>
      <c r="B63" s="2" t="s">
        <v>5049</v>
      </c>
      <c r="C63" s="2" t="s">
        <v>5049</v>
      </c>
      <c r="D63" s="2"/>
    </row>
    <row r="64" spans="1:11" ht="18" customHeight="1" x14ac:dyDescent="0.3">
      <c r="A64" s="2" t="s">
        <v>5467</v>
      </c>
      <c r="B64" s="2" t="s">
        <v>5049</v>
      </c>
      <c r="C64" s="2" t="s">
        <v>5049</v>
      </c>
      <c r="D64" s="2"/>
    </row>
    <row r="65" spans="1:4" ht="18" customHeight="1" x14ac:dyDescent="0.3">
      <c r="A65" s="2" t="s">
        <v>5469</v>
      </c>
      <c r="B65" s="2" t="s">
        <v>5049</v>
      </c>
      <c r="C65" s="2" t="s">
        <v>5049</v>
      </c>
      <c r="D65" s="2"/>
    </row>
    <row r="66" spans="1:4" ht="18" customHeight="1" x14ac:dyDescent="0.3">
      <c r="A66" s="2" t="s">
        <v>5471</v>
      </c>
      <c r="B66" s="2" t="s">
        <v>5049</v>
      </c>
      <c r="C66" s="2" t="s">
        <v>5049</v>
      </c>
      <c r="D66" s="2"/>
    </row>
    <row r="67" spans="1:4" ht="18" customHeight="1" x14ac:dyDescent="0.3">
      <c r="A67" s="2" t="s">
        <v>5473</v>
      </c>
      <c r="B67" s="2" t="s">
        <v>5049</v>
      </c>
      <c r="C67" s="2" t="s">
        <v>5049</v>
      </c>
      <c r="D67" s="2"/>
    </row>
    <row r="68" spans="1:4" ht="18" customHeight="1" x14ac:dyDescent="0.3">
      <c r="A68" s="2" t="s">
        <v>5474</v>
      </c>
      <c r="B68" s="2" t="s">
        <v>5049</v>
      </c>
      <c r="C68" s="2" t="s">
        <v>5049</v>
      </c>
      <c r="D68" s="2"/>
    </row>
    <row r="69" spans="1:4" ht="18" customHeight="1" x14ac:dyDescent="0.3">
      <c r="A69" s="2" t="s">
        <v>5475</v>
      </c>
      <c r="B69" s="2" t="s">
        <v>5049</v>
      </c>
      <c r="C69" s="2" t="s">
        <v>5049</v>
      </c>
      <c r="D69" s="2"/>
    </row>
    <row r="70" spans="1:4" ht="18" customHeight="1" x14ac:dyDescent="0.3">
      <c r="A70" s="2" t="s">
        <v>5476</v>
      </c>
      <c r="B70" s="2" t="s">
        <v>5049</v>
      </c>
      <c r="C70" s="2" t="s">
        <v>5049</v>
      </c>
      <c r="D70" s="2"/>
    </row>
    <row r="71" spans="1:4" ht="18" customHeight="1" x14ac:dyDescent="0.3">
      <c r="A71" s="2" t="s">
        <v>5477</v>
      </c>
      <c r="B71" s="2" t="s">
        <v>5049</v>
      </c>
      <c r="C71" s="2" t="s">
        <v>5049</v>
      </c>
      <c r="D71" s="2"/>
    </row>
    <row r="72" spans="1:4" ht="18" customHeight="1" x14ac:dyDescent="0.3">
      <c r="A72" s="2" t="s">
        <v>5478</v>
      </c>
      <c r="B72" s="2" t="s">
        <v>5049</v>
      </c>
      <c r="C72" s="2" t="s">
        <v>5049</v>
      </c>
      <c r="D72" s="2"/>
    </row>
    <row r="73" spans="1:4" ht="18" customHeight="1" x14ac:dyDescent="0.3">
      <c r="A73" s="2" t="s">
        <v>5479</v>
      </c>
      <c r="B73" s="2" t="s">
        <v>5049</v>
      </c>
      <c r="C73" s="2" t="s">
        <v>5049</v>
      </c>
      <c r="D73" s="2"/>
    </row>
    <row r="74" spans="1:4" ht="18" customHeight="1" x14ac:dyDescent="0.3">
      <c r="A74" s="2" t="s">
        <v>5480</v>
      </c>
      <c r="B74" s="2" t="s">
        <v>5049</v>
      </c>
      <c r="C74" s="2" t="s">
        <v>5049</v>
      </c>
      <c r="D74" s="2"/>
    </row>
    <row r="75" spans="1:4" ht="18" customHeight="1" x14ac:dyDescent="0.3">
      <c r="A75" s="2" t="s">
        <v>5481</v>
      </c>
      <c r="B75" s="2" t="s">
        <v>5049</v>
      </c>
      <c r="C75" s="2" t="s">
        <v>5049</v>
      </c>
      <c r="D75" s="2"/>
    </row>
    <row r="76" spans="1:4" ht="18" customHeight="1" x14ac:dyDescent="0.3">
      <c r="A76" s="2" t="s">
        <v>5482</v>
      </c>
      <c r="B76" s="2" t="s">
        <v>5049</v>
      </c>
      <c r="C76" s="2" t="s">
        <v>5049</v>
      </c>
      <c r="D76" s="2"/>
    </row>
    <row r="77" spans="1:4" ht="18" customHeight="1" x14ac:dyDescent="0.3">
      <c r="A77" s="2" t="s">
        <v>5484</v>
      </c>
      <c r="B77" s="2" t="s">
        <v>5049</v>
      </c>
      <c r="C77" s="2" t="s">
        <v>5049</v>
      </c>
      <c r="D77" s="2"/>
    </row>
    <row r="78" spans="1:4" ht="18" customHeight="1" x14ac:dyDescent="0.3">
      <c r="A78" s="2" t="s">
        <v>5486</v>
      </c>
      <c r="B78" s="2" t="s">
        <v>5049</v>
      </c>
      <c r="C78" s="2" t="s">
        <v>5049</v>
      </c>
      <c r="D78" s="2"/>
    </row>
    <row r="79" spans="1:4" ht="18" customHeight="1" x14ac:dyDescent="0.3">
      <c r="A79" s="2" t="s">
        <v>5488</v>
      </c>
      <c r="B79" s="2" t="s">
        <v>5049</v>
      </c>
      <c r="C79" s="2" t="s">
        <v>5049</v>
      </c>
      <c r="D79" s="2"/>
    </row>
    <row r="80" spans="1:4" ht="18" customHeight="1" x14ac:dyDescent="0.3">
      <c r="A80" s="2" t="s">
        <v>5490</v>
      </c>
      <c r="B80" s="2" t="s">
        <v>5049</v>
      </c>
      <c r="C80" s="2" t="s">
        <v>5049</v>
      </c>
      <c r="D80" s="2"/>
    </row>
    <row r="81" spans="1:4" ht="18" customHeight="1" x14ac:dyDescent="0.3">
      <c r="A81" s="2" t="s">
        <v>5492</v>
      </c>
      <c r="B81" s="2" t="s">
        <v>5049</v>
      </c>
      <c r="C81" s="2" t="s">
        <v>5049</v>
      </c>
      <c r="D81" s="2"/>
    </row>
    <row r="82" spans="1:4" ht="18" customHeight="1" x14ac:dyDescent="0.3">
      <c r="A82" s="2" t="s">
        <v>5494</v>
      </c>
      <c r="B82" s="2" t="s">
        <v>5049</v>
      </c>
      <c r="C82" s="2" t="s">
        <v>5049</v>
      </c>
      <c r="D82" s="2"/>
    </row>
    <row r="83" spans="1:4" ht="18" customHeight="1" x14ac:dyDescent="0.3">
      <c r="A83" s="2" t="s">
        <v>5501</v>
      </c>
      <c r="B83" s="2" t="s">
        <v>5049</v>
      </c>
      <c r="C83" s="2" t="s">
        <v>5049</v>
      </c>
      <c r="D83" s="2"/>
    </row>
    <row r="84" spans="1:4" ht="18" customHeight="1" x14ac:dyDescent="0.3">
      <c r="A84" s="2" t="s">
        <v>5502</v>
      </c>
      <c r="B84" s="2" t="s">
        <v>5049</v>
      </c>
      <c r="C84" s="2" t="s">
        <v>5049</v>
      </c>
      <c r="D84" s="2"/>
    </row>
    <row r="85" spans="1:4" ht="18" customHeight="1" x14ac:dyDescent="0.3">
      <c r="A85" s="2" t="s">
        <v>5503</v>
      </c>
      <c r="B85" s="2" t="s">
        <v>5049</v>
      </c>
      <c r="C85" s="2" t="s">
        <v>5049</v>
      </c>
      <c r="D85" s="2"/>
    </row>
    <row r="86" spans="1:4" ht="18" customHeight="1" x14ac:dyDescent="0.3">
      <c r="A86" s="2" t="s">
        <v>5504</v>
      </c>
      <c r="B86" s="2" t="s">
        <v>5049</v>
      </c>
      <c r="C86" s="2" t="s">
        <v>5049</v>
      </c>
      <c r="D86" s="2"/>
    </row>
    <row r="87" spans="1:4" ht="18" customHeight="1" x14ac:dyDescent="0.3">
      <c r="A87" s="2" t="s">
        <v>5505</v>
      </c>
      <c r="B87" s="2" t="s">
        <v>5049</v>
      </c>
      <c r="C87" s="2" t="s">
        <v>5049</v>
      </c>
      <c r="D87" s="2"/>
    </row>
    <row r="88" spans="1:4" ht="18" customHeight="1" x14ac:dyDescent="0.3">
      <c r="A88" s="2" t="s">
        <v>5506</v>
      </c>
      <c r="B88" s="2" t="s">
        <v>5049</v>
      </c>
      <c r="C88" s="2" t="s">
        <v>5049</v>
      </c>
      <c r="D88" s="2"/>
    </row>
    <row r="89" spans="1:4" ht="18" customHeight="1" x14ac:dyDescent="0.3">
      <c r="A89" s="2" t="s">
        <v>2192</v>
      </c>
      <c r="B89" s="2" t="s">
        <v>266</v>
      </c>
      <c r="C89" s="2" t="s">
        <v>5045</v>
      </c>
      <c r="D89" s="2"/>
    </row>
    <row r="90" spans="1:4" ht="18" customHeight="1" x14ac:dyDescent="0.3">
      <c r="A90" s="2" t="s">
        <v>2194</v>
      </c>
      <c r="B90" s="2" t="s">
        <v>266</v>
      </c>
      <c r="C90" s="2" t="s">
        <v>5045</v>
      </c>
      <c r="D90" s="2"/>
    </row>
    <row r="91" spans="1:4" ht="18" customHeight="1" x14ac:dyDescent="0.3">
      <c r="A91" s="2" t="s">
        <v>2196</v>
      </c>
      <c r="B91" s="2" t="s">
        <v>266</v>
      </c>
      <c r="C91" s="2" t="s">
        <v>5045</v>
      </c>
      <c r="D91" s="2"/>
    </row>
    <row r="92" spans="1:4" ht="18" customHeight="1" x14ac:dyDescent="0.3">
      <c r="A92" s="2" t="s">
        <v>2198</v>
      </c>
      <c r="B92" s="2" t="s">
        <v>266</v>
      </c>
      <c r="C92" s="2" t="s">
        <v>5045</v>
      </c>
      <c r="D92" s="2"/>
    </row>
    <row r="93" spans="1:4" ht="18" customHeight="1" x14ac:dyDescent="0.3">
      <c r="A93" s="2" t="s">
        <v>2200</v>
      </c>
      <c r="B93" s="2" t="s">
        <v>266</v>
      </c>
      <c r="C93" s="2" t="s">
        <v>5045</v>
      </c>
      <c r="D93" s="2"/>
    </row>
    <row r="94" spans="1:4" ht="18" customHeight="1" x14ac:dyDescent="0.3">
      <c r="A94" s="2" t="s">
        <v>2202</v>
      </c>
      <c r="B94" s="2" t="s">
        <v>266</v>
      </c>
      <c r="C94" s="2" t="s">
        <v>5045</v>
      </c>
      <c r="D94" s="2"/>
    </row>
    <row r="95" spans="1:4" ht="18" customHeight="1" x14ac:dyDescent="0.3">
      <c r="A95" s="2" t="s">
        <v>2204</v>
      </c>
      <c r="B95" s="2" t="s">
        <v>266</v>
      </c>
      <c r="C95" s="2" t="s">
        <v>5045</v>
      </c>
      <c r="D95" s="2"/>
    </row>
    <row r="96" spans="1:4" ht="18" customHeight="1" x14ac:dyDescent="0.3">
      <c r="A96" s="2" t="s">
        <v>2205</v>
      </c>
      <c r="B96" s="2" t="s">
        <v>266</v>
      </c>
      <c r="C96" s="2" t="s">
        <v>5045</v>
      </c>
      <c r="D96" s="2"/>
    </row>
    <row r="97" spans="1:4" ht="18" customHeight="1" x14ac:dyDescent="0.3">
      <c r="A97" s="2" t="s">
        <v>2206</v>
      </c>
      <c r="B97" s="2" t="s">
        <v>266</v>
      </c>
      <c r="C97" s="2" t="s">
        <v>5045</v>
      </c>
      <c r="D97" s="2"/>
    </row>
    <row r="98" spans="1:4" ht="18" customHeight="1" x14ac:dyDescent="0.3">
      <c r="A98" s="2" t="s">
        <v>2207</v>
      </c>
      <c r="B98" s="2" t="s">
        <v>266</v>
      </c>
      <c r="C98" s="2" t="s">
        <v>5045</v>
      </c>
      <c r="D98" s="2"/>
    </row>
    <row r="99" spans="1:4" ht="18" customHeight="1" x14ac:dyDescent="0.3">
      <c r="A99" s="2" t="s">
        <v>2208</v>
      </c>
      <c r="B99" s="2" t="s">
        <v>266</v>
      </c>
      <c r="C99" s="2" t="s">
        <v>5045</v>
      </c>
      <c r="D99" s="2"/>
    </row>
    <row r="100" spans="1:4" ht="18" customHeight="1" x14ac:dyDescent="0.3">
      <c r="A100" s="2" t="s">
        <v>2209</v>
      </c>
      <c r="B100" s="2" t="s">
        <v>266</v>
      </c>
      <c r="C100" s="2" t="s">
        <v>5045</v>
      </c>
      <c r="D100" s="2"/>
    </row>
    <row r="101" spans="1:4" ht="18" customHeight="1" x14ac:dyDescent="0.3">
      <c r="A101" s="2" t="s">
        <v>2211</v>
      </c>
      <c r="B101" s="2" t="s">
        <v>266</v>
      </c>
      <c r="C101" s="2" t="s">
        <v>5045</v>
      </c>
      <c r="D101" s="2"/>
    </row>
    <row r="102" spans="1:4" ht="18" customHeight="1" x14ac:dyDescent="0.3">
      <c r="A102" s="2" t="s">
        <v>2212</v>
      </c>
      <c r="B102" s="2" t="s">
        <v>266</v>
      </c>
      <c r="C102" s="2" t="s">
        <v>5045</v>
      </c>
      <c r="D102" s="2"/>
    </row>
    <row r="103" spans="1:4" ht="18" customHeight="1" x14ac:dyDescent="0.3">
      <c r="A103" s="2" t="s">
        <v>2213</v>
      </c>
      <c r="B103" s="2" t="s">
        <v>266</v>
      </c>
      <c r="C103" s="2" t="s">
        <v>5045</v>
      </c>
      <c r="D103" s="2"/>
    </row>
    <row r="104" spans="1:4" ht="18" customHeight="1" x14ac:dyDescent="0.3">
      <c r="A104" s="2" t="s">
        <v>2214</v>
      </c>
      <c r="B104" s="2" t="s">
        <v>266</v>
      </c>
      <c r="C104" s="2" t="s">
        <v>5045</v>
      </c>
      <c r="D104" s="2"/>
    </row>
    <row r="105" spans="1:4" ht="18" customHeight="1" x14ac:dyDescent="0.3">
      <c r="A105" s="2" t="s">
        <v>2216</v>
      </c>
      <c r="B105" s="2" t="s">
        <v>266</v>
      </c>
      <c r="C105" s="2" t="s">
        <v>5045</v>
      </c>
      <c r="D105" s="2"/>
    </row>
    <row r="106" spans="1:4" ht="18" customHeight="1" x14ac:dyDescent="0.3">
      <c r="A106" s="2" t="s">
        <v>2218</v>
      </c>
      <c r="B106" s="2" t="s">
        <v>266</v>
      </c>
      <c r="C106" s="2" t="s">
        <v>5045</v>
      </c>
      <c r="D106" s="2"/>
    </row>
    <row r="107" spans="1:4" ht="18" customHeight="1" x14ac:dyDescent="0.3">
      <c r="A107" s="2" t="s">
        <v>2220</v>
      </c>
      <c r="B107" s="2" t="s">
        <v>266</v>
      </c>
      <c r="C107" s="2" t="s">
        <v>5045</v>
      </c>
      <c r="D107" s="2"/>
    </row>
    <row r="108" spans="1:4" ht="18" customHeight="1" x14ac:dyDescent="0.3">
      <c r="A108" s="2" t="s">
        <v>2222</v>
      </c>
      <c r="B108" s="2" t="s">
        <v>266</v>
      </c>
      <c r="C108" s="2" t="s">
        <v>5045</v>
      </c>
      <c r="D108" s="2"/>
    </row>
    <row r="109" spans="1:4" ht="18" customHeight="1" x14ac:dyDescent="0.3">
      <c r="A109" s="2" t="s">
        <v>2224</v>
      </c>
      <c r="B109" s="2" t="s">
        <v>266</v>
      </c>
      <c r="C109" s="2" t="s">
        <v>5045</v>
      </c>
      <c r="D109" s="2"/>
    </row>
    <row r="110" spans="1:4" ht="18" customHeight="1" x14ac:dyDescent="0.3">
      <c r="A110" s="2" t="s">
        <v>2226</v>
      </c>
      <c r="B110" s="2" t="s">
        <v>266</v>
      </c>
      <c r="C110" s="2" t="s">
        <v>5045</v>
      </c>
      <c r="D110" s="2"/>
    </row>
    <row r="111" spans="1:4" ht="18" customHeight="1" x14ac:dyDescent="0.3">
      <c r="A111" s="2" t="s">
        <v>2228</v>
      </c>
      <c r="B111" s="2" t="s">
        <v>266</v>
      </c>
      <c r="C111" s="2" t="s">
        <v>5045</v>
      </c>
      <c r="D111" s="2"/>
    </row>
    <row r="112" spans="1:4" ht="18" customHeight="1" x14ac:dyDescent="0.3">
      <c r="A112" s="2" t="s">
        <v>2230</v>
      </c>
      <c r="B112" s="2" t="s">
        <v>266</v>
      </c>
      <c r="C112" s="2" t="s">
        <v>5045</v>
      </c>
      <c r="D112" s="2"/>
    </row>
    <row r="113" spans="1:4" ht="18" customHeight="1" x14ac:dyDescent="0.3">
      <c r="A113" s="2" t="s">
        <v>2232</v>
      </c>
      <c r="B113" s="2" t="s">
        <v>266</v>
      </c>
      <c r="C113" s="2" t="s">
        <v>5045</v>
      </c>
      <c r="D113" s="2"/>
    </row>
    <row r="114" spans="1:4" ht="18" customHeight="1" x14ac:dyDescent="0.3">
      <c r="A114" s="2" t="s">
        <v>2234</v>
      </c>
      <c r="B114" s="2" t="s">
        <v>266</v>
      </c>
      <c r="C114" s="2" t="s">
        <v>5045</v>
      </c>
      <c r="D114" s="2"/>
    </row>
    <row r="115" spans="1:4" ht="18" customHeight="1" x14ac:dyDescent="0.3">
      <c r="A115" s="2" t="s">
        <v>2236</v>
      </c>
      <c r="B115" s="2" t="s">
        <v>266</v>
      </c>
      <c r="C115" s="2" t="s">
        <v>5045</v>
      </c>
      <c r="D115" s="2"/>
    </row>
    <row r="116" spans="1:4" ht="18" customHeight="1" x14ac:dyDescent="0.3">
      <c r="A116" s="2" t="s">
        <v>2238</v>
      </c>
      <c r="B116" s="2" t="s">
        <v>266</v>
      </c>
      <c r="C116" s="2" t="s">
        <v>5045</v>
      </c>
      <c r="D116" s="2"/>
    </row>
    <row r="117" spans="1:4" ht="18" customHeight="1" x14ac:dyDescent="0.3">
      <c r="A117" s="2" t="s">
        <v>2240</v>
      </c>
      <c r="B117" s="2" t="s">
        <v>266</v>
      </c>
      <c r="C117" s="2" t="s">
        <v>5045</v>
      </c>
      <c r="D117" s="2"/>
    </row>
    <row r="118" spans="1:4" ht="18" customHeight="1" x14ac:dyDescent="0.3">
      <c r="A118" s="2" t="s">
        <v>2242</v>
      </c>
      <c r="B118" s="2" t="s">
        <v>266</v>
      </c>
      <c r="C118" s="2" t="s">
        <v>5045</v>
      </c>
      <c r="D118" s="2"/>
    </row>
    <row r="119" spans="1:4" ht="18" customHeight="1" x14ac:dyDescent="0.3">
      <c r="A119" s="2" t="s">
        <v>2243</v>
      </c>
      <c r="B119" s="2" t="s">
        <v>266</v>
      </c>
      <c r="C119" s="2" t="s">
        <v>5045</v>
      </c>
      <c r="D119" s="2"/>
    </row>
    <row r="120" spans="1:4" ht="18" customHeight="1" x14ac:dyDescent="0.3">
      <c r="A120" s="2" t="s">
        <v>2245</v>
      </c>
      <c r="B120" s="2" t="s">
        <v>266</v>
      </c>
      <c r="C120" s="2" t="s">
        <v>5045</v>
      </c>
      <c r="D120" s="2"/>
    </row>
    <row r="121" spans="1:4" ht="18" customHeight="1" x14ac:dyDescent="0.3">
      <c r="A121" s="2" t="s">
        <v>2247</v>
      </c>
      <c r="B121" s="2" t="s">
        <v>266</v>
      </c>
      <c r="C121" s="2" t="s">
        <v>5045</v>
      </c>
      <c r="D121" s="2"/>
    </row>
    <row r="122" spans="1:4" ht="18" customHeight="1" x14ac:dyDescent="0.3">
      <c r="A122" s="2" t="s">
        <v>2248</v>
      </c>
      <c r="B122" s="2" t="s">
        <v>266</v>
      </c>
      <c r="C122" s="2" t="s">
        <v>5045</v>
      </c>
      <c r="D122" s="2"/>
    </row>
    <row r="123" spans="1:4" ht="18" customHeight="1" x14ac:dyDescent="0.3">
      <c r="A123" s="2" t="s">
        <v>2249</v>
      </c>
      <c r="B123" s="2" t="s">
        <v>266</v>
      </c>
      <c r="C123" s="2" t="s">
        <v>5045</v>
      </c>
      <c r="D123" s="2"/>
    </row>
    <row r="124" spans="1:4" ht="18" customHeight="1" x14ac:dyDescent="0.3">
      <c r="A124" s="2" t="s">
        <v>2251</v>
      </c>
      <c r="B124" s="2" t="s">
        <v>266</v>
      </c>
      <c r="C124" s="2" t="s">
        <v>5045</v>
      </c>
      <c r="D124" s="2"/>
    </row>
    <row r="125" spans="1:4" ht="18" customHeight="1" x14ac:dyDescent="0.3">
      <c r="A125" s="2" t="s">
        <v>2253</v>
      </c>
      <c r="B125" s="2" t="s">
        <v>266</v>
      </c>
      <c r="C125" s="2" t="s">
        <v>5045</v>
      </c>
      <c r="D125" s="2"/>
    </row>
    <row r="126" spans="1:4" ht="18" customHeight="1" x14ac:dyDescent="0.3">
      <c r="A126" s="2" t="s">
        <v>2255</v>
      </c>
      <c r="B126" s="2" t="s">
        <v>266</v>
      </c>
      <c r="C126" s="2" t="s">
        <v>5045</v>
      </c>
      <c r="D126" s="2"/>
    </row>
    <row r="127" spans="1:4" ht="18" customHeight="1" x14ac:dyDescent="0.3">
      <c r="A127" s="2" t="s">
        <v>2257</v>
      </c>
      <c r="B127" s="2" t="s">
        <v>266</v>
      </c>
      <c r="C127" s="2" t="s">
        <v>5045</v>
      </c>
      <c r="D127" s="2"/>
    </row>
    <row r="128" spans="1:4" ht="18" customHeight="1" x14ac:dyDescent="0.3">
      <c r="A128" s="2" t="s">
        <v>2259</v>
      </c>
      <c r="B128" s="2" t="s">
        <v>266</v>
      </c>
      <c r="C128" s="2" t="s">
        <v>5045</v>
      </c>
      <c r="D128" s="2"/>
    </row>
    <row r="129" spans="1:4" ht="18" customHeight="1" x14ac:dyDescent="0.3">
      <c r="A129" s="2" t="s">
        <v>2261</v>
      </c>
      <c r="B129" s="2" t="s">
        <v>266</v>
      </c>
      <c r="C129" s="2" t="s">
        <v>5045</v>
      </c>
      <c r="D129" s="2"/>
    </row>
    <row r="130" spans="1:4" ht="18" customHeight="1" x14ac:dyDescent="0.3">
      <c r="A130" s="2" t="s">
        <v>2263</v>
      </c>
      <c r="B130" s="2" t="s">
        <v>266</v>
      </c>
      <c r="C130" s="2" t="s">
        <v>5045</v>
      </c>
      <c r="D130" s="2"/>
    </row>
    <row r="131" spans="1:4" ht="18" customHeight="1" x14ac:dyDescent="0.3">
      <c r="A131" s="2" t="s">
        <v>2265</v>
      </c>
      <c r="B131" s="2" t="s">
        <v>266</v>
      </c>
      <c r="C131" s="2" t="s">
        <v>5045</v>
      </c>
      <c r="D131" s="2"/>
    </row>
    <row r="132" spans="1:4" ht="18" customHeight="1" x14ac:dyDescent="0.3">
      <c r="A132" s="2" t="s">
        <v>2267</v>
      </c>
      <c r="B132" s="2" t="s">
        <v>266</v>
      </c>
      <c r="C132" s="2" t="s">
        <v>5045</v>
      </c>
      <c r="D132" s="2"/>
    </row>
    <row r="133" spans="1:4" ht="18" customHeight="1" x14ac:dyDescent="0.3">
      <c r="A133" s="2" t="s">
        <v>2269</v>
      </c>
      <c r="B133" s="2" t="s">
        <v>266</v>
      </c>
      <c r="C133" s="2" t="s">
        <v>5045</v>
      </c>
      <c r="D133" s="2"/>
    </row>
    <row r="134" spans="1:4" ht="18" customHeight="1" x14ac:dyDescent="0.3">
      <c r="A134" s="2" t="s">
        <v>2271</v>
      </c>
      <c r="B134" s="2" t="s">
        <v>266</v>
      </c>
      <c r="C134" s="2" t="s">
        <v>5045</v>
      </c>
      <c r="D134" s="2"/>
    </row>
    <row r="135" spans="1:4" ht="18" customHeight="1" x14ac:dyDescent="0.3">
      <c r="A135" s="2" t="s">
        <v>2273</v>
      </c>
      <c r="B135" s="2" t="s">
        <v>266</v>
      </c>
      <c r="C135" s="2" t="s">
        <v>5045</v>
      </c>
      <c r="D135" s="2"/>
    </row>
    <row r="136" spans="1:4" ht="18" customHeight="1" x14ac:dyDescent="0.3">
      <c r="A136" s="2" t="s">
        <v>2275</v>
      </c>
      <c r="B136" s="2" t="s">
        <v>266</v>
      </c>
      <c r="C136" s="2" t="s">
        <v>5045</v>
      </c>
      <c r="D136" s="2"/>
    </row>
    <row r="137" spans="1:4" ht="18" customHeight="1" x14ac:dyDescent="0.3">
      <c r="A137" s="2" t="s">
        <v>2277</v>
      </c>
      <c r="B137" s="2" t="s">
        <v>266</v>
      </c>
      <c r="C137" s="2" t="s">
        <v>5045</v>
      </c>
      <c r="D137" s="2"/>
    </row>
    <row r="138" spans="1:4" ht="18" customHeight="1" x14ac:dyDescent="0.3">
      <c r="A138" s="2" t="s">
        <v>2279</v>
      </c>
      <c r="B138" s="2" t="s">
        <v>266</v>
      </c>
      <c r="C138" s="2" t="s">
        <v>5045</v>
      </c>
      <c r="D138" s="2"/>
    </row>
    <row r="139" spans="1:4" ht="18" customHeight="1" x14ac:dyDescent="0.3">
      <c r="A139" s="2" t="s">
        <v>2281</v>
      </c>
      <c r="B139" s="2" t="s">
        <v>266</v>
      </c>
      <c r="C139" s="2" t="s">
        <v>5045</v>
      </c>
      <c r="D139" s="2"/>
    </row>
    <row r="140" spans="1:4" ht="18" customHeight="1" x14ac:dyDescent="0.3">
      <c r="A140" s="2" t="s">
        <v>2283</v>
      </c>
      <c r="B140" s="2" t="s">
        <v>266</v>
      </c>
      <c r="C140" s="2" t="s">
        <v>5045</v>
      </c>
      <c r="D140" s="2"/>
    </row>
    <row r="141" spans="1:4" ht="18" customHeight="1" x14ac:dyDescent="0.3">
      <c r="A141" s="2" t="s">
        <v>2285</v>
      </c>
      <c r="B141" s="2" t="s">
        <v>266</v>
      </c>
      <c r="C141" s="2" t="s">
        <v>5045</v>
      </c>
      <c r="D141" s="2"/>
    </row>
    <row r="142" spans="1:4" ht="18" customHeight="1" x14ac:dyDescent="0.3">
      <c r="A142" s="2" t="s">
        <v>2287</v>
      </c>
      <c r="B142" s="2" t="s">
        <v>266</v>
      </c>
      <c r="C142" s="2" t="s">
        <v>5045</v>
      </c>
      <c r="D142" s="2"/>
    </row>
    <row r="143" spans="1:4" ht="18" customHeight="1" x14ac:dyDescent="0.3">
      <c r="A143" s="2" t="s">
        <v>2289</v>
      </c>
      <c r="B143" s="2" t="s">
        <v>266</v>
      </c>
      <c r="C143" s="2" t="s">
        <v>5045</v>
      </c>
      <c r="D143" s="2"/>
    </row>
    <row r="144" spans="1:4" ht="18" customHeight="1" x14ac:dyDescent="0.3">
      <c r="A144" s="2" t="s">
        <v>2290</v>
      </c>
      <c r="B144" s="2" t="s">
        <v>266</v>
      </c>
      <c r="C144" s="2" t="s">
        <v>5045</v>
      </c>
      <c r="D144" s="2"/>
    </row>
    <row r="145" spans="1:4" ht="18" customHeight="1" x14ac:dyDescent="0.3">
      <c r="A145" s="2" t="s">
        <v>2292</v>
      </c>
      <c r="B145" s="2" t="s">
        <v>266</v>
      </c>
      <c r="C145" s="2" t="s">
        <v>5045</v>
      </c>
      <c r="D145" s="2"/>
    </row>
    <row r="146" spans="1:4" ht="18" customHeight="1" x14ac:dyDescent="0.3">
      <c r="A146" s="2" t="s">
        <v>2294</v>
      </c>
      <c r="B146" s="2" t="s">
        <v>266</v>
      </c>
      <c r="C146" s="2" t="s">
        <v>5045</v>
      </c>
      <c r="D146" s="2"/>
    </row>
    <row r="147" spans="1:4" ht="18" customHeight="1" x14ac:dyDescent="0.3">
      <c r="A147" s="2" t="s">
        <v>2296</v>
      </c>
      <c r="B147" s="2" t="s">
        <v>266</v>
      </c>
      <c r="C147" s="2" t="s">
        <v>5045</v>
      </c>
      <c r="D147" s="2"/>
    </row>
    <row r="148" spans="1:4" ht="18" customHeight="1" x14ac:dyDescent="0.3">
      <c r="A148" s="2" t="s">
        <v>2298</v>
      </c>
      <c r="B148" s="2" t="s">
        <v>266</v>
      </c>
      <c r="C148" s="2" t="s">
        <v>5045</v>
      </c>
      <c r="D148" s="2"/>
    </row>
    <row r="149" spans="1:4" ht="18" customHeight="1" x14ac:dyDescent="0.3">
      <c r="A149" s="2" t="s">
        <v>2300</v>
      </c>
      <c r="B149" s="2" t="s">
        <v>266</v>
      </c>
      <c r="C149" s="2" t="s">
        <v>5045</v>
      </c>
      <c r="D149" s="2"/>
    </row>
    <row r="150" spans="1:4" ht="18" customHeight="1" x14ac:dyDescent="0.3">
      <c r="A150" s="2" t="s">
        <v>2302</v>
      </c>
      <c r="B150" s="2" t="s">
        <v>266</v>
      </c>
      <c r="C150" s="2" t="s">
        <v>5045</v>
      </c>
      <c r="D150" s="2"/>
    </row>
    <row r="151" spans="1:4" ht="18" customHeight="1" x14ac:dyDescent="0.3">
      <c r="A151" s="2" t="s">
        <v>2304</v>
      </c>
      <c r="B151" s="2" t="s">
        <v>266</v>
      </c>
      <c r="C151" s="2" t="s">
        <v>5045</v>
      </c>
      <c r="D151" s="2"/>
    </row>
    <row r="152" spans="1:4" ht="18" customHeight="1" x14ac:dyDescent="0.3">
      <c r="A152" s="2" t="s">
        <v>2305</v>
      </c>
      <c r="B152" s="2" t="s">
        <v>266</v>
      </c>
      <c r="C152" s="2" t="s">
        <v>5045</v>
      </c>
      <c r="D152" s="2"/>
    </row>
    <row r="153" spans="1:4" ht="18" customHeight="1" x14ac:dyDescent="0.3">
      <c r="A153" s="2" t="s">
        <v>2307</v>
      </c>
      <c r="B153" s="2" t="s">
        <v>266</v>
      </c>
      <c r="C153" s="2" t="s">
        <v>5045</v>
      </c>
      <c r="D153" s="2"/>
    </row>
    <row r="154" spans="1:4" ht="18" customHeight="1" x14ac:dyDescent="0.3">
      <c r="A154" s="2" t="s">
        <v>2308</v>
      </c>
      <c r="B154" s="2" t="s">
        <v>266</v>
      </c>
      <c r="C154" s="2" t="s">
        <v>5045</v>
      </c>
      <c r="D154" s="2"/>
    </row>
    <row r="155" spans="1:4" ht="18" customHeight="1" x14ac:dyDescent="0.3">
      <c r="A155" s="2" t="s">
        <v>2310</v>
      </c>
      <c r="B155" s="2" t="s">
        <v>266</v>
      </c>
      <c r="C155" s="2" t="s">
        <v>5045</v>
      </c>
      <c r="D155" s="2"/>
    </row>
    <row r="156" spans="1:4" ht="18" customHeight="1" x14ac:dyDescent="0.3">
      <c r="A156" s="2" t="s">
        <v>2312</v>
      </c>
      <c r="B156" s="2" t="s">
        <v>266</v>
      </c>
      <c r="C156" s="2" t="s">
        <v>5045</v>
      </c>
      <c r="D156" s="2"/>
    </row>
    <row r="157" spans="1:4" ht="18" customHeight="1" x14ac:dyDescent="0.3">
      <c r="A157" s="2" t="s">
        <v>2314</v>
      </c>
      <c r="B157" s="2" t="s">
        <v>266</v>
      </c>
      <c r="C157" s="2" t="s">
        <v>5045</v>
      </c>
      <c r="D157" s="2"/>
    </row>
    <row r="158" spans="1:4" ht="18" customHeight="1" x14ac:dyDescent="0.3">
      <c r="A158" s="2" t="s">
        <v>2315</v>
      </c>
      <c r="B158" s="2" t="s">
        <v>266</v>
      </c>
      <c r="C158" s="2" t="s">
        <v>5045</v>
      </c>
      <c r="D158" s="2"/>
    </row>
    <row r="159" spans="1:4" ht="18" customHeight="1" x14ac:dyDescent="0.3">
      <c r="A159" s="2" t="s">
        <v>2317</v>
      </c>
      <c r="B159" s="2" t="s">
        <v>266</v>
      </c>
      <c r="C159" s="2" t="s">
        <v>5045</v>
      </c>
      <c r="D159" s="2"/>
    </row>
    <row r="160" spans="1:4" ht="18" customHeight="1" x14ac:dyDescent="0.3">
      <c r="A160" s="2" t="s">
        <v>2319</v>
      </c>
      <c r="B160" s="2" t="s">
        <v>266</v>
      </c>
      <c r="C160" s="2" t="s">
        <v>5045</v>
      </c>
      <c r="D160" s="2"/>
    </row>
    <row r="161" spans="1:4" ht="18" customHeight="1" x14ac:dyDescent="0.3">
      <c r="A161" s="2" t="s">
        <v>2321</v>
      </c>
      <c r="B161" s="2" t="s">
        <v>266</v>
      </c>
      <c r="C161" s="2" t="s">
        <v>5045</v>
      </c>
      <c r="D161" s="2"/>
    </row>
    <row r="162" spans="1:4" ht="18" customHeight="1" x14ac:dyDescent="0.3">
      <c r="A162" s="2" t="s">
        <v>2323</v>
      </c>
      <c r="B162" s="2" t="s">
        <v>266</v>
      </c>
      <c r="C162" s="2" t="s">
        <v>5045</v>
      </c>
      <c r="D162" s="2"/>
    </row>
    <row r="163" spans="1:4" ht="18" customHeight="1" x14ac:dyDescent="0.3">
      <c r="A163" s="2" t="s">
        <v>2325</v>
      </c>
      <c r="B163" s="2" t="s">
        <v>266</v>
      </c>
      <c r="C163" s="2" t="s">
        <v>5045</v>
      </c>
      <c r="D163" s="2"/>
    </row>
    <row r="164" spans="1:4" ht="18" customHeight="1" x14ac:dyDescent="0.3">
      <c r="A164" s="2" t="s">
        <v>2327</v>
      </c>
      <c r="B164" s="2" t="s">
        <v>266</v>
      </c>
      <c r="C164" s="2" t="s">
        <v>5045</v>
      </c>
      <c r="D164" s="2"/>
    </row>
    <row r="165" spans="1:4" ht="18" customHeight="1" x14ac:dyDescent="0.3">
      <c r="A165" s="2" t="s">
        <v>2329</v>
      </c>
      <c r="B165" s="2" t="s">
        <v>266</v>
      </c>
      <c r="C165" s="2" t="s">
        <v>5045</v>
      </c>
      <c r="D165" s="2"/>
    </row>
    <row r="166" spans="1:4" ht="18" customHeight="1" x14ac:dyDescent="0.3">
      <c r="A166" s="2" t="s">
        <v>2331</v>
      </c>
      <c r="B166" s="2" t="s">
        <v>266</v>
      </c>
      <c r="C166" s="2" t="s">
        <v>5045</v>
      </c>
      <c r="D166" s="2"/>
    </row>
    <row r="167" spans="1:4" ht="18" customHeight="1" x14ac:dyDescent="0.3">
      <c r="A167" s="2" t="s">
        <v>2333</v>
      </c>
      <c r="B167" s="2" t="s">
        <v>266</v>
      </c>
      <c r="C167" s="2" t="s">
        <v>5045</v>
      </c>
      <c r="D167" s="2"/>
    </row>
    <row r="168" spans="1:4" ht="18" customHeight="1" x14ac:dyDescent="0.3">
      <c r="A168" s="2" t="s">
        <v>2335</v>
      </c>
      <c r="B168" s="2" t="s">
        <v>266</v>
      </c>
      <c r="C168" s="2" t="s">
        <v>5045</v>
      </c>
      <c r="D168" s="2"/>
    </row>
    <row r="169" spans="1:4" ht="18" customHeight="1" x14ac:dyDescent="0.3">
      <c r="A169" s="2" t="s">
        <v>2337</v>
      </c>
      <c r="B169" s="2" t="s">
        <v>266</v>
      </c>
      <c r="C169" s="2" t="s">
        <v>5045</v>
      </c>
      <c r="D169" s="2"/>
    </row>
    <row r="170" spans="1:4" ht="18" customHeight="1" x14ac:dyDescent="0.3">
      <c r="A170" s="2" t="s">
        <v>2339</v>
      </c>
      <c r="B170" s="2" t="s">
        <v>266</v>
      </c>
      <c r="C170" s="2" t="s">
        <v>5045</v>
      </c>
      <c r="D170" s="2"/>
    </row>
    <row r="171" spans="1:4" ht="18" customHeight="1" x14ac:dyDescent="0.3">
      <c r="A171" s="2" t="s">
        <v>2341</v>
      </c>
      <c r="B171" s="2" t="s">
        <v>266</v>
      </c>
      <c r="C171" s="2" t="s">
        <v>5045</v>
      </c>
      <c r="D171" s="2"/>
    </row>
    <row r="172" spans="1:4" ht="18" customHeight="1" x14ac:dyDescent="0.3">
      <c r="A172" s="2" t="s">
        <v>2343</v>
      </c>
      <c r="B172" s="2" t="s">
        <v>266</v>
      </c>
      <c r="C172" s="2" t="s">
        <v>5045</v>
      </c>
      <c r="D172" s="2"/>
    </row>
    <row r="173" spans="1:4" ht="18" customHeight="1" x14ac:dyDescent="0.3">
      <c r="A173" s="2" t="s">
        <v>2345</v>
      </c>
      <c r="B173" s="2" t="s">
        <v>266</v>
      </c>
      <c r="C173" s="2" t="s">
        <v>5045</v>
      </c>
      <c r="D173" s="2"/>
    </row>
    <row r="174" spans="1:4" ht="18" customHeight="1" x14ac:dyDescent="0.3">
      <c r="A174" s="2" t="s">
        <v>2347</v>
      </c>
      <c r="B174" s="2" t="s">
        <v>266</v>
      </c>
      <c r="C174" s="2" t="s">
        <v>5045</v>
      </c>
      <c r="D174" s="2"/>
    </row>
    <row r="175" spans="1:4" ht="18" customHeight="1" x14ac:dyDescent="0.3">
      <c r="A175" s="2" t="s">
        <v>2348</v>
      </c>
      <c r="B175" s="2" t="s">
        <v>266</v>
      </c>
      <c r="C175" s="2" t="s">
        <v>5045</v>
      </c>
      <c r="D175" s="2"/>
    </row>
    <row r="176" spans="1:4" ht="18" customHeight="1" x14ac:dyDescent="0.3">
      <c r="A176" s="2" t="s">
        <v>2350</v>
      </c>
      <c r="B176" s="2" t="s">
        <v>266</v>
      </c>
      <c r="C176" s="2" t="s">
        <v>5045</v>
      </c>
      <c r="D176" s="2"/>
    </row>
    <row r="177" spans="1:4" ht="18" customHeight="1" x14ac:dyDescent="0.3">
      <c r="A177" s="2" t="s">
        <v>2352</v>
      </c>
      <c r="B177" s="2" t="s">
        <v>266</v>
      </c>
      <c r="C177" s="2" t="s">
        <v>5045</v>
      </c>
      <c r="D177" s="2"/>
    </row>
    <row r="178" spans="1:4" ht="18" customHeight="1" x14ac:dyDescent="0.3">
      <c r="A178" s="2" t="s">
        <v>2354</v>
      </c>
      <c r="B178" s="2" t="s">
        <v>266</v>
      </c>
      <c r="C178" s="2" t="s">
        <v>5045</v>
      </c>
      <c r="D178" s="2"/>
    </row>
    <row r="179" spans="1:4" ht="18" customHeight="1" x14ac:dyDescent="0.3">
      <c r="A179" s="2" t="s">
        <v>2356</v>
      </c>
      <c r="B179" s="2" t="s">
        <v>266</v>
      </c>
      <c r="C179" s="2" t="s">
        <v>5045</v>
      </c>
      <c r="D179" s="2"/>
    </row>
    <row r="180" spans="1:4" ht="18" customHeight="1" x14ac:dyDescent="0.3">
      <c r="A180" s="2" t="s">
        <v>2358</v>
      </c>
      <c r="B180" s="2" t="s">
        <v>266</v>
      </c>
      <c r="C180" s="2" t="s">
        <v>5045</v>
      </c>
      <c r="D180" s="2"/>
    </row>
    <row r="181" spans="1:4" ht="18" customHeight="1" x14ac:dyDescent="0.3">
      <c r="A181" s="2" t="s">
        <v>2360</v>
      </c>
      <c r="B181" s="2" t="s">
        <v>266</v>
      </c>
      <c r="C181" s="2" t="s">
        <v>5045</v>
      </c>
      <c r="D181" s="2"/>
    </row>
    <row r="182" spans="1:4" ht="18" customHeight="1" x14ac:dyDescent="0.3">
      <c r="A182" s="2" t="s">
        <v>2362</v>
      </c>
      <c r="B182" s="2" t="s">
        <v>266</v>
      </c>
      <c r="C182" s="2" t="s">
        <v>5045</v>
      </c>
      <c r="D182" s="2"/>
    </row>
    <row r="183" spans="1:4" ht="18" customHeight="1" x14ac:dyDescent="0.3">
      <c r="A183" s="2" t="s">
        <v>2364</v>
      </c>
      <c r="B183" s="2" t="s">
        <v>266</v>
      </c>
      <c r="C183" s="2" t="s">
        <v>5045</v>
      </c>
      <c r="D183" s="2"/>
    </row>
    <row r="184" spans="1:4" ht="18" customHeight="1" x14ac:dyDescent="0.3">
      <c r="A184" s="2" t="s">
        <v>2366</v>
      </c>
      <c r="B184" s="2" t="s">
        <v>266</v>
      </c>
      <c r="C184" s="2" t="s">
        <v>5045</v>
      </c>
      <c r="D184" s="2"/>
    </row>
    <row r="185" spans="1:4" ht="18" customHeight="1" x14ac:dyDescent="0.3">
      <c r="A185" s="2" t="s">
        <v>2368</v>
      </c>
      <c r="B185" s="2" t="s">
        <v>266</v>
      </c>
      <c r="C185" s="2" t="s">
        <v>5045</v>
      </c>
      <c r="D185" s="2"/>
    </row>
    <row r="186" spans="1:4" ht="18" customHeight="1" x14ac:dyDescent="0.3">
      <c r="A186" s="2" t="s">
        <v>2370</v>
      </c>
      <c r="B186" s="2" t="s">
        <v>266</v>
      </c>
      <c r="C186" s="2" t="s">
        <v>5045</v>
      </c>
      <c r="D186" s="2"/>
    </row>
    <row r="187" spans="1:4" ht="18" customHeight="1" x14ac:dyDescent="0.3">
      <c r="A187" s="2" t="s">
        <v>2372</v>
      </c>
      <c r="B187" s="2" t="s">
        <v>266</v>
      </c>
      <c r="C187" s="2" t="s">
        <v>5045</v>
      </c>
      <c r="D187" s="2"/>
    </row>
    <row r="188" spans="1:4" ht="18" customHeight="1" x14ac:dyDescent="0.3">
      <c r="A188" s="2" t="s">
        <v>2374</v>
      </c>
      <c r="B188" s="2" t="s">
        <v>266</v>
      </c>
      <c r="C188" s="2" t="s">
        <v>5045</v>
      </c>
      <c r="D188" s="2"/>
    </row>
    <row r="189" spans="1:4" ht="18" customHeight="1" x14ac:dyDescent="0.3">
      <c r="A189" s="2" t="s">
        <v>2376</v>
      </c>
      <c r="B189" s="2" t="s">
        <v>266</v>
      </c>
      <c r="C189" s="2" t="s">
        <v>5045</v>
      </c>
      <c r="D189" s="2"/>
    </row>
    <row r="190" spans="1:4" ht="18" customHeight="1" x14ac:dyDescent="0.3">
      <c r="A190" s="2" t="s">
        <v>2378</v>
      </c>
      <c r="B190" s="2" t="s">
        <v>266</v>
      </c>
      <c r="C190" s="2" t="s">
        <v>5045</v>
      </c>
      <c r="D190" s="2"/>
    </row>
    <row r="191" spans="1:4" ht="18" customHeight="1" x14ac:dyDescent="0.3">
      <c r="A191" s="2" t="s">
        <v>2380</v>
      </c>
      <c r="B191" s="2" t="s">
        <v>266</v>
      </c>
      <c r="C191" s="2" t="s">
        <v>5045</v>
      </c>
      <c r="D191" s="2"/>
    </row>
    <row r="192" spans="1:4" ht="18" customHeight="1" x14ac:dyDescent="0.3">
      <c r="A192" s="2" t="s">
        <v>2382</v>
      </c>
      <c r="B192" s="2" t="s">
        <v>266</v>
      </c>
      <c r="C192" s="2" t="s">
        <v>5045</v>
      </c>
      <c r="D192" s="2"/>
    </row>
    <row r="193" spans="1:4" ht="18" customHeight="1" x14ac:dyDescent="0.3">
      <c r="A193" s="2" t="s">
        <v>2384</v>
      </c>
      <c r="B193" s="2" t="s">
        <v>266</v>
      </c>
      <c r="C193" s="2" t="s">
        <v>5045</v>
      </c>
      <c r="D193" s="2"/>
    </row>
    <row r="194" spans="1:4" ht="18" customHeight="1" x14ac:dyDescent="0.3">
      <c r="A194" s="2" t="s">
        <v>2386</v>
      </c>
      <c r="B194" s="2" t="s">
        <v>266</v>
      </c>
      <c r="C194" s="2" t="s">
        <v>5045</v>
      </c>
      <c r="D194" s="2"/>
    </row>
    <row r="195" spans="1:4" ht="18" customHeight="1" x14ac:dyDescent="0.3">
      <c r="A195" s="2" t="s">
        <v>2388</v>
      </c>
      <c r="B195" s="2" t="s">
        <v>266</v>
      </c>
      <c r="C195" s="2" t="s">
        <v>5045</v>
      </c>
      <c r="D195" s="2"/>
    </row>
    <row r="196" spans="1:4" ht="18" customHeight="1" x14ac:dyDescent="0.3">
      <c r="A196" s="2" t="s">
        <v>2390</v>
      </c>
      <c r="B196" s="2" t="s">
        <v>266</v>
      </c>
      <c r="C196" s="2" t="s">
        <v>5045</v>
      </c>
      <c r="D196" s="2"/>
    </row>
    <row r="197" spans="1:4" ht="18" customHeight="1" x14ac:dyDescent="0.3">
      <c r="A197" s="2" t="s">
        <v>2392</v>
      </c>
      <c r="B197" s="2" t="s">
        <v>266</v>
      </c>
      <c r="C197" s="2" t="s">
        <v>5045</v>
      </c>
      <c r="D197" s="2"/>
    </row>
    <row r="198" spans="1:4" ht="18" customHeight="1" x14ac:dyDescent="0.3">
      <c r="A198" s="2" t="s">
        <v>2394</v>
      </c>
      <c r="B198" s="2" t="s">
        <v>266</v>
      </c>
      <c r="C198" s="2" t="s">
        <v>5045</v>
      </c>
      <c r="D198" s="2"/>
    </row>
    <row r="199" spans="1:4" ht="18" customHeight="1" x14ac:dyDescent="0.3">
      <c r="A199" s="2" t="s">
        <v>2396</v>
      </c>
      <c r="B199" s="2" t="s">
        <v>266</v>
      </c>
      <c r="C199" s="2" t="s">
        <v>5045</v>
      </c>
      <c r="D199" s="2"/>
    </row>
    <row r="200" spans="1:4" ht="18" customHeight="1" x14ac:dyDescent="0.3">
      <c r="A200" s="2" t="s">
        <v>2398</v>
      </c>
      <c r="B200" s="2" t="s">
        <v>266</v>
      </c>
      <c r="C200" s="2" t="s">
        <v>5045</v>
      </c>
      <c r="D200" s="2"/>
    </row>
    <row r="201" spans="1:4" ht="18" customHeight="1" x14ac:dyDescent="0.3">
      <c r="A201" s="2" t="s">
        <v>2400</v>
      </c>
      <c r="B201" s="2" t="s">
        <v>266</v>
      </c>
      <c r="C201" s="2" t="s">
        <v>5045</v>
      </c>
      <c r="D201" s="2"/>
    </row>
    <row r="202" spans="1:4" ht="18" customHeight="1" x14ac:dyDescent="0.3">
      <c r="A202" s="2" t="s">
        <v>2402</v>
      </c>
      <c r="B202" s="2" t="s">
        <v>266</v>
      </c>
      <c r="C202" s="2" t="s">
        <v>5045</v>
      </c>
      <c r="D202" s="2"/>
    </row>
    <row r="203" spans="1:4" ht="18" customHeight="1" x14ac:dyDescent="0.3">
      <c r="A203" s="2" t="s">
        <v>2404</v>
      </c>
      <c r="B203" s="2" t="s">
        <v>266</v>
      </c>
      <c r="C203" s="2" t="s">
        <v>5045</v>
      </c>
      <c r="D203" s="2"/>
    </row>
    <row r="204" spans="1:4" ht="18" customHeight="1" x14ac:dyDescent="0.3">
      <c r="A204" s="2" t="s">
        <v>2406</v>
      </c>
      <c r="B204" s="2" t="s">
        <v>266</v>
      </c>
      <c r="C204" s="2" t="s">
        <v>5045</v>
      </c>
      <c r="D204" s="2"/>
    </row>
    <row r="205" spans="1:4" ht="18" customHeight="1" x14ac:dyDescent="0.3">
      <c r="A205" s="2" t="s">
        <v>2408</v>
      </c>
      <c r="B205" s="2" t="s">
        <v>266</v>
      </c>
      <c r="C205" s="2" t="s">
        <v>5045</v>
      </c>
      <c r="D205" s="2"/>
    </row>
    <row r="206" spans="1:4" ht="18" customHeight="1" x14ac:dyDescent="0.3">
      <c r="A206" s="2" t="s">
        <v>2410</v>
      </c>
      <c r="B206" s="2" t="s">
        <v>266</v>
      </c>
      <c r="C206" s="2" t="s">
        <v>5045</v>
      </c>
      <c r="D206" s="2"/>
    </row>
    <row r="207" spans="1:4" ht="18" customHeight="1" x14ac:dyDescent="0.3">
      <c r="A207" s="2" t="s">
        <v>2412</v>
      </c>
      <c r="B207" s="2" t="s">
        <v>266</v>
      </c>
      <c r="C207" s="2" t="s">
        <v>5045</v>
      </c>
      <c r="D207" s="2"/>
    </row>
    <row r="208" spans="1:4" ht="18" customHeight="1" x14ac:dyDescent="0.3">
      <c r="A208" s="2" t="s">
        <v>2414</v>
      </c>
      <c r="B208" s="2" t="s">
        <v>266</v>
      </c>
      <c r="C208" s="2" t="s">
        <v>5045</v>
      </c>
      <c r="D208" s="2"/>
    </row>
    <row r="209" spans="1:4" ht="18" customHeight="1" x14ac:dyDescent="0.3">
      <c r="A209" s="2" t="s">
        <v>2416</v>
      </c>
      <c r="B209" s="2" t="s">
        <v>266</v>
      </c>
      <c r="C209" s="2" t="s">
        <v>5045</v>
      </c>
      <c r="D209" s="2"/>
    </row>
    <row r="210" spans="1:4" ht="18" customHeight="1" x14ac:dyDescent="0.3">
      <c r="A210" s="2" t="s">
        <v>2418</v>
      </c>
      <c r="B210" s="2" t="s">
        <v>266</v>
      </c>
      <c r="C210" s="2" t="s">
        <v>5045</v>
      </c>
      <c r="D210" s="2"/>
    </row>
    <row r="211" spans="1:4" ht="18" customHeight="1" x14ac:dyDescent="0.3">
      <c r="A211" s="2" t="s">
        <v>2420</v>
      </c>
      <c r="B211" s="2" t="s">
        <v>266</v>
      </c>
      <c r="C211" s="2" t="s">
        <v>5045</v>
      </c>
      <c r="D211" s="2"/>
    </row>
    <row r="212" spans="1:4" ht="18" customHeight="1" x14ac:dyDescent="0.3">
      <c r="A212" s="2" t="s">
        <v>2422</v>
      </c>
      <c r="B212" s="2" t="s">
        <v>266</v>
      </c>
      <c r="C212" s="2" t="s">
        <v>5045</v>
      </c>
      <c r="D212" s="2"/>
    </row>
    <row r="213" spans="1:4" ht="18" customHeight="1" x14ac:dyDescent="0.3">
      <c r="A213" s="2" t="s">
        <v>2424</v>
      </c>
      <c r="B213" s="2" t="s">
        <v>266</v>
      </c>
      <c r="C213" s="2" t="s">
        <v>5045</v>
      </c>
      <c r="D213" s="2"/>
    </row>
    <row r="214" spans="1:4" ht="18" customHeight="1" x14ac:dyDescent="0.3">
      <c r="A214" s="2" t="s">
        <v>2426</v>
      </c>
      <c r="B214" s="2" t="s">
        <v>266</v>
      </c>
      <c r="C214" s="2" t="s">
        <v>5045</v>
      </c>
      <c r="D214" s="2"/>
    </row>
    <row r="215" spans="1:4" ht="18" customHeight="1" x14ac:dyDescent="0.3">
      <c r="A215" s="2" t="s">
        <v>2428</v>
      </c>
      <c r="B215" s="2" t="s">
        <v>266</v>
      </c>
      <c r="C215" s="2" t="s">
        <v>5045</v>
      </c>
      <c r="D215" s="2"/>
    </row>
    <row r="216" spans="1:4" ht="18" customHeight="1" x14ac:dyDescent="0.3">
      <c r="A216" s="2" t="s">
        <v>2430</v>
      </c>
      <c r="B216" s="2" t="s">
        <v>266</v>
      </c>
      <c r="C216" s="2" t="s">
        <v>5045</v>
      </c>
      <c r="D216" s="2"/>
    </row>
    <row r="217" spans="1:4" ht="18" customHeight="1" x14ac:dyDescent="0.3">
      <c r="A217" s="2" t="s">
        <v>2432</v>
      </c>
      <c r="B217" s="2" t="s">
        <v>266</v>
      </c>
      <c r="C217" s="2" t="s">
        <v>5045</v>
      </c>
      <c r="D217" s="2"/>
    </row>
    <row r="218" spans="1:4" ht="18" customHeight="1" x14ac:dyDescent="0.3">
      <c r="A218" s="2" t="s">
        <v>2434</v>
      </c>
      <c r="B218" s="2" t="s">
        <v>266</v>
      </c>
      <c r="C218" s="2" t="s">
        <v>5045</v>
      </c>
      <c r="D218" s="2"/>
    </row>
    <row r="219" spans="1:4" ht="18" customHeight="1" x14ac:dyDescent="0.3">
      <c r="A219" s="2" t="s">
        <v>2436</v>
      </c>
      <c r="B219" s="2" t="s">
        <v>266</v>
      </c>
      <c r="C219" s="2" t="s">
        <v>5045</v>
      </c>
      <c r="D219" s="2"/>
    </row>
    <row r="220" spans="1:4" ht="18" customHeight="1" x14ac:dyDescent="0.3">
      <c r="A220" s="2" t="s">
        <v>2438</v>
      </c>
      <c r="B220" s="2" t="s">
        <v>266</v>
      </c>
      <c r="C220" s="2" t="s">
        <v>5045</v>
      </c>
      <c r="D220" s="2"/>
    </row>
    <row r="221" spans="1:4" ht="18" customHeight="1" x14ac:dyDescent="0.3">
      <c r="A221" s="2" t="s">
        <v>2440</v>
      </c>
      <c r="B221" s="2" t="s">
        <v>266</v>
      </c>
      <c r="C221" s="2" t="s">
        <v>5045</v>
      </c>
      <c r="D221" s="2"/>
    </row>
    <row r="222" spans="1:4" ht="18" customHeight="1" x14ac:dyDescent="0.3">
      <c r="A222" s="2" t="s">
        <v>2442</v>
      </c>
      <c r="B222" s="2" t="s">
        <v>266</v>
      </c>
      <c r="C222" s="2" t="s">
        <v>5045</v>
      </c>
      <c r="D222" s="2"/>
    </row>
    <row r="223" spans="1:4" ht="18" customHeight="1" x14ac:dyDescent="0.3">
      <c r="A223" s="2" t="s">
        <v>2444</v>
      </c>
      <c r="B223" s="2" t="s">
        <v>266</v>
      </c>
      <c r="C223" s="2" t="s">
        <v>5045</v>
      </c>
      <c r="D223" s="2"/>
    </row>
    <row r="224" spans="1:4" ht="18" customHeight="1" x14ac:dyDescent="0.3">
      <c r="A224" s="2" t="s">
        <v>2446</v>
      </c>
      <c r="B224" s="2" t="s">
        <v>266</v>
      </c>
      <c r="C224" s="2" t="s">
        <v>5045</v>
      </c>
      <c r="D224" s="2"/>
    </row>
    <row r="225" spans="1:4" ht="18" customHeight="1" x14ac:dyDescent="0.3">
      <c r="A225" s="2" t="s">
        <v>2448</v>
      </c>
      <c r="B225" s="2" t="s">
        <v>266</v>
      </c>
      <c r="C225" s="2" t="s">
        <v>5045</v>
      </c>
      <c r="D225" s="2"/>
    </row>
    <row r="226" spans="1:4" ht="18" customHeight="1" x14ac:dyDescent="0.3">
      <c r="A226" s="2" t="s">
        <v>2450</v>
      </c>
      <c r="B226" s="2" t="s">
        <v>266</v>
      </c>
      <c r="C226" s="2" t="s">
        <v>5045</v>
      </c>
      <c r="D226" s="2"/>
    </row>
    <row r="227" spans="1:4" ht="18" customHeight="1" x14ac:dyDescent="0.3">
      <c r="A227" s="2" t="s">
        <v>2452</v>
      </c>
      <c r="B227" s="2" t="s">
        <v>266</v>
      </c>
      <c r="C227" s="2" t="s">
        <v>5045</v>
      </c>
      <c r="D227" s="2"/>
    </row>
    <row r="228" spans="1:4" ht="18" customHeight="1" x14ac:dyDescent="0.3">
      <c r="A228" s="2" t="s">
        <v>2454</v>
      </c>
      <c r="B228" s="2" t="s">
        <v>266</v>
      </c>
      <c r="C228" s="2" t="s">
        <v>5045</v>
      </c>
      <c r="D228" s="2"/>
    </row>
    <row r="229" spans="1:4" ht="18" customHeight="1" x14ac:dyDescent="0.3">
      <c r="A229" s="2" t="s">
        <v>2456</v>
      </c>
      <c r="B229" s="2" t="s">
        <v>266</v>
      </c>
      <c r="C229" s="2" t="s">
        <v>5045</v>
      </c>
      <c r="D229" s="2"/>
    </row>
    <row r="230" spans="1:4" ht="18" customHeight="1" x14ac:dyDescent="0.3">
      <c r="A230" s="2" t="s">
        <v>2458</v>
      </c>
      <c r="B230" s="2" t="s">
        <v>266</v>
      </c>
      <c r="C230" s="2" t="s">
        <v>5045</v>
      </c>
      <c r="D230" s="2"/>
    </row>
    <row r="231" spans="1:4" ht="18" customHeight="1" x14ac:dyDescent="0.3">
      <c r="A231" s="2" t="s">
        <v>2460</v>
      </c>
      <c r="B231" s="2" t="s">
        <v>266</v>
      </c>
      <c r="C231" s="2" t="s">
        <v>5045</v>
      </c>
      <c r="D231" s="2"/>
    </row>
    <row r="232" spans="1:4" ht="18" customHeight="1" x14ac:dyDescent="0.3">
      <c r="A232" s="2" t="s">
        <v>2462</v>
      </c>
      <c r="B232" s="2" t="s">
        <v>266</v>
      </c>
      <c r="C232" s="2" t="s">
        <v>5045</v>
      </c>
      <c r="D232" s="2"/>
    </row>
    <row r="233" spans="1:4" ht="18" customHeight="1" x14ac:dyDescent="0.3">
      <c r="A233" s="2" t="s">
        <v>2464</v>
      </c>
      <c r="B233" s="2" t="s">
        <v>266</v>
      </c>
      <c r="C233" s="2" t="s">
        <v>5045</v>
      </c>
      <c r="D233" s="2"/>
    </row>
    <row r="234" spans="1:4" ht="18" customHeight="1" x14ac:dyDescent="0.3">
      <c r="A234" s="2" t="s">
        <v>2466</v>
      </c>
      <c r="B234" s="2" t="s">
        <v>266</v>
      </c>
      <c r="C234" s="2" t="s">
        <v>5045</v>
      </c>
      <c r="D234" s="2"/>
    </row>
    <row r="235" spans="1:4" ht="18" customHeight="1" x14ac:dyDescent="0.3">
      <c r="A235" s="2" t="s">
        <v>2468</v>
      </c>
      <c r="B235" s="2" t="s">
        <v>266</v>
      </c>
      <c r="C235" s="2" t="s">
        <v>5045</v>
      </c>
      <c r="D235" s="2"/>
    </row>
    <row r="236" spans="1:4" ht="18" customHeight="1" x14ac:dyDescent="0.3">
      <c r="A236" s="2" t="s">
        <v>2470</v>
      </c>
      <c r="B236" s="2" t="s">
        <v>266</v>
      </c>
      <c r="C236" s="2" t="s">
        <v>5045</v>
      </c>
      <c r="D236" s="2"/>
    </row>
    <row r="237" spans="1:4" ht="18" customHeight="1" x14ac:dyDescent="0.3">
      <c r="A237" s="2" t="s">
        <v>2472</v>
      </c>
      <c r="B237" s="2" t="s">
        <v>266</v>
      </c>
      <c r="C237" s="2" t="s">
        <v>5045</v>
      </c>
      <c r="D237" s="2"/>
    </row>
    <row r="238" spans="1:4" ht="18" customHeight="1" x14ac:dyDescent="0.3">
      <c r="A238" s="2" t="s">
        <v>2474</v>
      </c>
      <c r="B238" s="2" t="s">
        <v>266</v>
      </c>
      <c r="C238" s="2" t="s">
        <v>5045</v>
      </c>
      <c r="D238" s="2"/>
    </row>
    <row r="239" spans="1:4" ht="18" customHeight="1" x14ac:dyDescent="0.3">
      <c r="A239" s="2" t="s">
        <v>2476</v>
      </c>
      <c r="B239" s="2" t="s">
        <v>266</v>
      </c>
      <c r="C239" s="2" t="s">
        <v>5045</v>
      </c>
      <c r="D239" s="2"/>
    </row>
    <row r="240" spans="1:4" ht="18" customHeight="1" x14ac:dyDescent="0.3">
      <c r="A240" s="2" t="s">
        <v>2478</v>
      </c>
      <c r="B240" s="2" t="s">
        <v>266</v>
      </c>
      <c r="C240" s="2" t="s">
        <v>5045</v>
      </c>
      <c r="D240" s="2"/>
    </row>
    <row r="241" spans="1:4" ht="18" customHeight="1" x14ac:dyDescent="0.3">
      <c r="A241" s="2" t="s">
        <v>2480</v>
      </c>
      <c r="B241" s="2" t="s">
        <v>266</v>
      </c>
      <c r="C241" s="2" t="s">
        <v>5045</v>
      </c>
      <c r="D241" s="2"/>
    </row>
    <row r="242" spans="1:4" ht="18" customHeight="1" x14ac:dyDescent="0.3">
      <c r="A242" s="2" t="s">
        <v>2482</v>
      </c>
      <c r="B242" s="2" t="s">
        <v>266</v>
      </c>
      <c r="C242" s="2" t="s">
        <v>5045</v>
      </c>
      <c r="D242" s="2"/>
    </row>
    <row r="243" spans="1:4" ht="18" customHeight="1" x14ac:dyDescent="0.3">
      <c r="A243" s="2" t="s">
        <v>2484</v>
      </c>
      <c r="B243" s="2" t="s">
        <v>266</v>
      </c>
      <c r="C243" s="2" t="s">
        <v>5045</v>
      </c>
      <c r="D243" s="2"/>
    </row>
    <row r="244" spans="1:4" ht="18" customHeight="1" x14ac:dyDescent="0.3">
      <c r="A244" s="2" t="s">
        <v>2486</v>
      </c>
      <c r="B244" s="2" t="s">
        <v>266</v>
      </c>
      <c r="C244" s="2" t="s">
        <v>5045</v>
      </c>
      <c r="D244" s="2"/>
    </row>
    <row r="245" spans="1:4" ht="18" customHeight="1" x14ac:dyDescent="0.3">
      <c r="A245" s="2" t="s">
        <v>2488</v>
      </c>
      <c r="B245" s="2" t="s">
        <v>266</v>
      </c>
      <c r="C245" s="2" t="s">
        <v>5045</v>
      </c>
      <c r="D245" s="2"/>
    </row>
    <row r="246" spans="1:4" ht="18" customHeight="1" x14ac:dyDescent="0.3">
      <c r="A246" s="2" t="s">
        <v>2490</v>
      </c>
      <c r="B246" s="2" t="s">
        <v>266</v>
      </c>
      <c r="C246" s="2" t="s">
        <v>5045</v>
      </c>
      <c r="D246" s="2"/>
    </row>
    <row r="247" spans="1:4" ht="18" customHeight="1" x14ac:dyDescent="0.3">
      <c r="A247" s="2" t="s">
        <v>2492</v>
      </c>
      <c r="B247" s="2" t="s">
        <v>266</v>
      </c>
      <c r="C247" s="2" t="s">
        <v>5045</v>
      </c>
      <c r="D247" s="2"/>
    </row>
    <row r="248" spans="1:4" ht="18" customHeight="1" x14ac:dyDescent="0.3">
      <c r="A248" s="2" t="s">
        <v>2494</v>
      </c>
      <c r="B248" s="2" t="s">
        <v>266</v>
      </c>
      <c r="C248" s="2" t="s">
        <v>5045</v>
      </c>
      <c r="D248" s="2"/>
    </row>
    <row r="249" spans="1:4" ht="18" customHeight="1" x14ac:dyDescent="0.3">
      <c r="A249" s="2" t="s">
        <v>2496</v>
      </c>
      <c r="B249" s="2" t="s">
        <v>266</v>
      </c>
      <c r="C249" s="2" t="s">
        <v>5045</v>
      </c>
      <c r="D249" s="2"/>
    </row>
    <row r="250" spans="1:4" ht="18" customHeight="1" x14ac:dyDescent="0.3">
      <c r="A250" s="2" t="s">
        <v>2498</v>
      </c>
      <c r="B250" s="2" t="s">
        <v>266</v>
      </c>
      <c r="C250" s="2" t="s">
        <v>5045</v>
      </c>
      <c r="D250" s="2"/>
    </row>
    <row r="251" spans="1:4" ht="18" customHeight="1" x14ac:dyDescent="0.3">
      <c r="A251" s="2" t="s">
        <v>2500</v>
      </c>
      <c r="B251" s="2" t="s">
        <v>266</v>
      </c>
      <c r="C251" s="2" t="s">
        <v>5045</v>
      </c>
      <c r="D251" s="2"/>
    </row>
    <row r="252" spans="1:4" ht="18" customHeight="1" x14ac:dyDescent="0.3">
      <c r="A252" s="2" t="s">
        <v>2502</v>
      </c>
      <c r="B252" s="2" t="s">
        <v>266</v>
      </c>
      <c r="C252" s="2" t="s">
        <v>5045</v>
      </c>
      <c r="D252" s="2"/>
    </row>
    <row r="253" spans="1:4" ht="18" customHeight="1" x14ac:dyDescent="0.3">
      <c r="A253" s="2" t="s">
        <v>2504</v>
      </c>
      <c r="B253" s="2" t="s">
        <v>266</v>
      </c>
      <c r="C253" s="2" t="s">
        <v>5045</v>
      </c>
      <c r="D253" s="2"/>
    </row>
    <row r="254" spans="1:4" ht="18" customHeight="1" x14ac:dyDescent="0.3">
      <c r="A254" s="2" t="s">
        <v>2505</v>
      </c>
      <c r="B254" s="2" t="s">
        <v>266</v>
      </c>
      <c r="C254" s="2" t="s">
        <v>5045</v>
      </c>
      <c r="D254" s="2"/>
    </row>
    <row r="255" spans="1:4" ht="18" customHeight="1" x14ac:dyDescent="0.3">
      <c r="A255" s="2" t="s">
        <v>2506</v>
      </c>
      <c r="B255" s="2" t="s">
        <v>266</v>
      </c>
      <c r="C255" s="2" t="s">
        <v>5045</v>
      </c>
      <c r="D255" s="2"/>
    </row>
    <row r="256" spans="1:4" ht="18" customHeight="1" x14ac:dyDescent="0.3">
      <c r="A256" s="2" t="s">
        <v>2507</v>
      </c>
      <c r="B256" s="2" t="s">
        <v>266</v>
      </c>
      <c r="C256" s="2" t="s">
        <v>5045</v>
      </c>
      <c r="D256" s="2"/>
    </row>
    <row r="257" spans="1:4" ht="18" customHeight="1" x14ac:dyDescent="0.3">
      <c r="A257" s="2" t="s">
        <v>2509</v>
      </c>
      <c r="B257" s="2" t="s">
        <v>266</v>
      </c>
      <c r="C257" s="2" t="s">
        <v>5045</v>
      </c>
      <c r="D257" s="2"/>
    </row>
    <row r="258" spans="1:4" ht="18" customHeight="1" x14ac:dyDescent="0.3">
      <c r="A258" s="2" t="s">
        <v>2511</v>
      </c>
      <c r="B258" s="2" t="s">
        <v>266</v>
      </c>
      <c r="C258" s="2" t="s">
        <v>5045</v>
      </c>
      <c r="D258" s="2"/>
    </row>
    <row r="259" spans="1:4" ht="18" customHeight="1" x14ac:dyDescent="0.3">
      <c r="A259" s="2" t="s">
        <v>2513</v>
      </c>
      <c r="B259" s="2" t="s">
        <v>266</v>
      </c>
      <c r="C259" s="2" t="s">
        <v>5045</v>
      </c>
      <c r="D259" s="2"/>
    </row>
    <row r="260" spans="1:4" ht="18" customHeight="1" x14ac:dyDescent="0.3">
      <c r="A260" s="2" t="s">
        <v>2515</v>
      </c>
      <c r="B260" s="2" t="s">
        <v>266</v>
      </c>
      <c r="C260" s="2" t="s">
        <v>5045</v>
      </c>
      <c r="D260" s="2"/>
    </row>
    <row r="261" spans="1:4" ht="18" customHeight="1" x14ac:dyDescent="0.3">
      <c r="A261" s="2" t="s">
        <v>2517</v>
      </c>
      <c r="B261" s="2" t="s">
        <v>266</v>
      </c>
      <c r="C261" s="2" t="s">
        <v>5045</v>
      </c>
      <c r="D261" s="2"/>
    </row>
    <row r="262" spans="1:4" ht="18" customHeight="1" x14ac:dyDescent="0.3">
      <c r="A262" s="2" t="s">
        <v>2518</v>
      </c>
      <c r="B262" s="2" t="s">
        <v>266</v>
      </c>
      <c r="C262" s="2" t="s">
        <v>5045</v>
      </c>
      <c r="D262" s="2"/>
    </row>
    <row r="263" spans="1:4" ht="18" customHeight="1" x14ac:dyDescent="0.3">
      <c r="A263" s="2" t="s">
        <v>2519</v>
      </c>
      <c r="B263" s="2" t="s">
        <v>266</v>
      </c>
      <c r="C263" s="2" t="s">
        <v>5045</v>
      </c>
      <c r="D263" s="2"/>
    </row>
    <row r="264" spans="1:4" ht="18" customHeight="1" x14ac:dyDescent="0.3">
      <c r="A264" s="2" t="s">
        <v>2520</v>
      </c>
      <c r="B264" s="2" t="s">
        <v>266</v>
      </c>
      <c r="C264" s="2" t="s">
        <v>5045</v>
      </c>
      <c r="D264" s="2"/>
    </row>
    <row r="265" spans="1:4" ht="18" customHeight="1" x14ac:dyDescent="0.3">
      <c r="A265" s="2" t="s">
        <v>2522</v>
      </c>
      <c r="B265" s="2" t="s">
        <v>266</v>
      </c>
      <c r="C265" s="2" t="s">
        <v>5045</v>
      </c>
      <c r="D265" s="2"/>
    </row>
    <row r="266" spans="1:4" ht="18" customHeight="1" x14ac:dyDescent="0.3">
      <c r="A266" s="2" t="s">
        <v>2524</v>
      </c>
      <c r="B266" s="2" t="s">
        <v>266</v>
      </c>
      <c r="C266" s="2" t="s">
        <v>5045</v>
      </c>
      <c r="D266" s="2"/>
    </row>
    <row r="267" spans="1:4" ht="18" customHeight="1" x14ac:dyDescent="0.3">
      <c r="A267" s="2" t="s">
        <v>2526</v>
      </c>
      <c r="B267" s="2" t="s">
        <v>266</v>
      </c>
      <c r="C267" s="2" t="s">
        <v>5045</v>
      </c>
      <c r="D267" s="2"/>
    </row>
    <row r="268" spans="1:4" ht="18" customHeight="1" x14ac:dyDescent="0.3">
      <c r="A268" s="2" t="s">
        <v>2528</v>
      </c>
      <c r="B268" s="2" t="s">
        <v>266</v>
      </c>
      <c r="C268" s="2" t="s">
        <v>5045</v>
      </c>
      <c r="D268" s="2"/>
    </row>
    <row r="269" spans="1:4" ht="18" customHeight="1" x14ac:dyDescent="0.3">
      <c r="A269" s="2" t="s">
        <v>2530</v>
      </c>
      <c r="B269" s="2" t="s">
        <v>266</v>
      </c>
      <c r="C269" s="2" t="s">
        <v>5045</v>
      </c>
      <c r="D269" s="2"/>
    </row>
    <row r="270" spans="1:4" ht="18" customHeight="1" x14ac:dyDescent="0.3">
      <c r="A270" s="2" t="s">
        <v>2532</v>
      </c>
      <c r="B270" s="2" t="s">
        <v>266</v>
      </c>
      <c r="C270" s="2" t="s">
        <v>5045</v>
      </c>
      <c r="D270" s="2"/>
    </row>
    <row r="271" spans="1:4" ht="18" customHeight="1" x14ac:dyDescent="0.3">
      <c r="A271" s="2" t="s">
        <v>2534</v>
      </c>
      <c r="B271" s="2" t="s">
        <v>266</v>
      </c>
      <c r="C271" s="2" t="s">
        <v>5045</v>
      </c>
      <c r="D271" s="2"/>
    </row>
    <row r="272" spans="1:4" ht="18" customHeight="1" x14ac:dyDescent="0.3">
      <c r="A272" s="2" t="s">
        <v>2536</v>
      </c>
      <c r="B272" s="2" t="s">
        <v>266</v>
      </c>
      <c r="C272" s="2" t="s">
        <v>5045</v>
      </c>
      <c r="D272" s="2"/>
    </row>
    <row r="273" spans="1:4" ht="18" customHeight="1" x14ac:dyDescent="0.3">
      <c r="A273" s="2" t="s">
        <v>2538</v>
      </c>
      <c r="B273" s="2" t="s">
        <v>266</v>
      </c>
      <c r="C273" s="2" t="s">
        <v>5045</v>
      </c>
      <c r="D273" s="2"/>
    </row>
    <row r="274" spans="1:4" ht="18" customHeight="1" x14ac:dyDescent="0.3">
      <c r="A274" s="2" t="s">
        <v>2540</v>
      </c>
      <c r="B274" s="2" t="s">
        <v>266</v>
      </c>
      <c r="C274" s="2" t="s">
        <v>5045</v>
      </c>
      <c r="D274" s="2"/>
    </row>
    <row r="275" spans="1:4" ht="18" customHeight="1" x14ac:dyDescent="0.3">
      <c r="A275" s="2" t="s">
        <v>2542</v>
      </c>
      <c r="B275" s="2" t="s">
        <v>266</v>
      </c>
      <c r="C275" s="2" t="s">
        <v>5045</v>
      </c>
      <c r="D275" s="2"/>
    </row>
    <row r="276" spans="1:4" ht="18" customHeight="1" x14ac:dyDescent="0.3">
      <c r="A276" s="2" t="s">
        <v>2544</v>
      </c>
      <c r="B276" s="2" t="s">
        <v>266</v>
      </c>
      <c r="C276" s="2" t="s">
        <v>5045</v>
      </c>
      <c r="D276" s="2"/>
    </row>
    <row r="277" spans="1:4" ht="18" customHeight="1" x14ac:dyDescent="0.3">
      <c r="A277" s="2" t="s">
        <v>2546</v>
      </c>
      <c r="B277" s="2" t="s">
        <v>266</v>
      </c>
      <c r="C277" s="2" t="s">
        <v>5045</v>
      </c>
      <c r="D277" s="2"/>
    </row>
    <row r="278" spans="1:4" ht="18" customHeight="1" x14ac:dyDescent="0.3">
      <c r="A278" s="2" t="s">
        <v>2548</v>
      </c>
      <c r="B278" s="2" t="s">
        <v>266</v>
      </c>
      <c r="C278" s="2" t="s">
        <v>5045</v>
      </c>
      <c r="D278" s="2"/>
    </row>
    <row r="279" spans="1:4" ht="18" customHeight="1" x14ac:dyDescent="0.3">
      <c r="A279" s="2" t="s">
        <v>2550</v>
      </c>
      <c r="B279" s="2" t="s">
        <v>266</v>
      </c>
      <c r="C279" s="2" t="s">
        <v>5045</v>
      </c>
      <c r="D279" s="2"/>
    </row>
    <row r="280" spans="1:4" ht="18" customHeight="1" x14ac:dyDescent="0.3">
      <c r="A280" s="2" t="s">
        <v>2552</v>
      </c>
      <c r="B280" s="2" t="s">
        <v>266</v>
      </c>
      <c r="C280" s="2" t="s">
        <v>5045</v>
      </c>
      <c r="D280" s="2"/>
    </row>
    <row r="281" spans="1:4" ht="18" customHeight="1" x14ac:dyDescent="0.3">
      <c r="A281" s="2" t="s">
        <v>2554</v>
      </c>
      <c r="B281" s="2" t="s">
        <v>266</v>
      </c>
      <c r="C281" s="2" t="s">
        <v>5045</v>
      </c>
      <c r="D281" s="2"/>
    </row>
    <row r="282" spans="1:4" ht="18" customHeight="1" x14ac:dyDescent="0.3">
      <c r="A282" s="2" t="s">
        <v>2555</v>
      </c>
      <c r="B282" s="2" t="s">
        <v>266</v>
      </c>
      <c r="C282" s="2" t="s">
        <v>5045</v>
      </c>
      <c r="D282" s="2"/>
    </row>
    <row r="283" spans="1:4" ht="18" customHeight="1" x14ac:dyDescent="0.3">
      <c r="A283" s="2" t="s">
        <v>2557</v>
      </c>
      <c r="B283" s="2" t="s">
        <v>266</v>
      </c>
      <c r="C283" s="2" t="s">
        <v>5045</v>
      </c>
      <c r="D283" s="2"/>
    </row>
    <row r="284" spans="1:4" ht="18" customHeight="1" x14ac:dyDescent="0.3">
      <c r="A284" s="2" t="s">
        <v>2559</v>
      </c>
      <c r="B284" s="2" t="s">
        <v>266</v>
      </c>
      <c r="C284" s="2" t="s">
        <v>5045</v>
      </c>
      <c r="D284" s="2"/>
    </row>
    <row r="285" spans="1:4" ht="18" customHeight="1" x14ac:dyDescent="0.3">
      <c r="A285" s="2" t="s">
        <v>2561</v>
      </c>
      <c r="B285" s="2" t="s">
        <v>266</v>
      </c>
      <c r="C285" s="2" t="s">
        <v>5045</v>
      </c>
      <c r="D285" s="2"/>
    </row>
    <row r="286" spans="1:4" ht="18" customHeight="1" x14ac:dyDescent="0.3">
      <c r="A286" s="2" t="s">
        <v>2563</v>
      </c>
      <c r="B286" s="2" t="s">
        <v>266</v>
      </c>
      <c r="C286" s="2" t="s">
        <v>5045</v>
      </c>
      <c r="D286" s="2"/>
    </row>
    <row r="287" spans="1:4" ht="18" customHeight="1" x14ac:dyDescent="0.3">
      <c r="A287" s="2" t="s">
        <v>2565</v>
      </c>
      <c r="B287" s="2" t="s">
        <v>266</v>
      </c>
      <c r="C287" s="2" t="s">
        <v>5045</v>
      </c>
      <c r="D287" s="2"/>
    </row>
    <row r="288" spans="1:4" ht="18" customHeight="1" x14ac:dyDescent="0.3">
      <c r="A288" s="2" t="s">
        <v>2567</v>
      </c>
      <c r="B288" s="2" t="s">
        <v>266</v>
      </c>
      <c r="C288" s="2" t="s">
        <v>5045</v>
      </c>
      <c r="D288" s="2"/>
    </row>
    <row r="289" spans="1:4" ht="18" customHeight="1" x14ac:dyDescent="0.3">
      <c r="A289" s="2" t="s">
        <v>2569</v>
      </c>
      <c r="B289" s="2" t="s">
        <v>266</v>
      </c>
      <c r="C289" s="2" t="s">
        <v>5045</v>
      </c>
      <c r="D289" s="2"/>
    </row>
    <row r="290" spans="1:4" ht="18" customHeight="1" x14ac:dyDescent="0.3">
      <c r="A290" s="2" t="s">
        <v>2571</v>
      </c>
      <c r="B290" s="2" t="s">
        <v>266</v>
      </c>
      <c r="C290" s="2" t="s">
        <v>5045</v>
      </c>
      <c r="D290" s="2"/>
    </row>
    <row r="291" spans="1:4" ht="18" customHeight="1" x14ac:dyDescent="0.3">
      <c r="A291" s="2" t="s">
        <v>2573</v>
      </c>
      <c r="B291" s="2" t="s">
        <v>266</v>
      </c>
      <c r="C291" s="2" t="s">
        <v>5045</v>
      </c>
      <c r="D291" s="2"/>
    </row>
    <row r="292" spans="1:4" ht="18" customHeight="1" x14ac:dyDescent="0.3">
      <c r="A292" s="2" t="s">
        <v>2575</v>
      </c>
      <c r="B292" s="2" t="s">
        <v>266</v>
      </c>
      <c r="C292" s="2" t="s">
        <v>5045</v>
      </c>
      <c r="D292" s="2"/>
    </row>
    <row r="293" spans="1:4" ht="18" customHeight="1" x14ac:dyDescent="0.3">
      <c r="A293" s="2" t="s">
        <v>2577</v>
      </c>
      <c r="B293" s="2" t="s">
        <v>266</v>
      </c>
      <c r="C293" s="2" t="s">
        <v>5045</v>
      </c>
      <c r="D293" s="2"/>
    </row>
    <row r="294" spans="1:4" ht="18" customHeight="1" x14ac:dyDescent="0.3">
      <c r="A294" s="2" t="s">
        <v>2579</v>
      </c>
      <c r="B294" s="2" t="s">
        <v>266</v>
      </c>
      <c r="C294" s="2" t="s">
        <v>5045</v>
      </c>
      <c r="D294" s="2"/>
    </row>
    <row r="295" spans="1:4" ht="18" customHeight="1" x14ac:dyDescent="0.3">
      <c r="A295" s="2" t="s">
        <v>2581</v>
      </c>
      <c r="B295" s="2" t="s">
        <v>266</v>
      </c>
      <c r="C295" s="2" t="s">
        <v>5045</v>
      </c>
      <c r="D295" s="2"/>
    </row>
    <row r="296" spans="1:4" ht="18" customHeight="1" x14ac:dyDescent="0.3">
      <c r="A296" s="2" t="s">
        <v>2583</v>
      </c>
      <c r="B296" s="2" t="s">
        <v>266</v>
      </c>
      <c r="C296" s="2" t="s">
        <v>5045</v>
      </c>
      <c r="D296" s="2"/>
    </row>
    <row r="297" spans="1:4" ht="18" customHeight="1" x14ac:dyDescent="0.3">
      <c r="A297" s="2" t="s">
        <v>2585</v>
      </c>
      <c r="B297" s="2" t="s">
        <v>266</v>
      </c>
      <c r="C297" s="2" t="s">
        <v>5045</v>
      </c>
      <c r="D297" s="2"/>
    </row>
    <row r="298" spans="1:4" ht="18" customHeight="1" x14ac:dyDescent="0.3">
      <c r="A298" s="2" t="s">
        <v>2587</v>
      </c>
      <c r="B298" s="2" t="s">
        <v>266</v>
      </c>
      <c r="C298" s="2" t="s">
        <v>5045</v>
      </c>
      <c r="D298" s="2"/>
    </row>
    <row r="299" spans="1:4" ht="18" customHeight="1" x14ac:dyDescent="0.3">
      <c r="A299" s="2" t="s">
        <v>2589</v>
      </c>
      <c r="B299" s="2" t="s">
        <v>266</v>
      </c>
      <c r="C299" s="2" t="s">
        <v>5045</v>
      </c>
      <c r="D299" s="2"/>
    </row>
    <row r="300" spans="1:4" ht="18" customHeight="1" x14ac:dyDescent="0.3">
      <c r="A300" s="2" t="s">
        <v>2591</v>
      </c>
      <c r="B300" s="2" t="s">
        <v>266</v>
      </c>
      <c r="C300" s="2" t="s">
        <v>5045</v>
      </c>
      <c r="D300" s="2"/>
    </row>
    <row r="301" spans="1:4" ht="18" customHeight="1" x14ac:dyDescent="0.3">
      <c r="A301" s="2" t="s">
        <v>2593</v>
      </c>
      <c r="B301" s="2" t="s">
        <v>266</v>
      </c>
      <c r="C301" s="2" t="s">
        <v>5045</v>
      </c>
      <c r="D301" s="2"/>
    </row>
    <row r="302" spans="1:4" ht="18" customHeight="1" x14ac:dyDescent="0.3">
      <c r="A302" s="2" t="s">
        <v>2595</v>
      </c>
      <c r="B302" s="2" t="s">
        <v>266</v>
      </c>
      <c r="C302" s="2" t="s">
        <v>5045</v>
      </c>
      <c r="D302" s="2"/>
    </row>
    <row r="303" spans="1:4" ht="18" customHeight="1" x14ac:dyDescent="0.3">
      <c r="A303" s="2" t="s">
        <v>2597</v>
      </c>
      <c r="B303" s="2" t="s">
        <v>266</v>
      </c>
      <c r="C303" s="2" t="s">
        <v>5045</v>
      </c>
      <c r="D303" s="2"/>
    </row>
    <row r="304" spans="1:4" ht="18" customHeight="1" x14ac:dyDescent="0.3">
      <c r="A304" s="2" t="s">
        <v>2599</v>
      </c>
      <c r="B304" s="2" t="s">
        <v>266</v>
      </c>
      <c r="C304" s="2" t="s">
        <v>5045</v>
      </c>
      <c r="D304" s="2"/>
    </row>
    <row r="305" spans="1:4" ht="18" customHeight="1" x14ac:dyDescent="0.3">
      <c r="A305" s="2" t="s">
        <v>2601</v>
      </c>
      <c r="B305" s="2" t="s">
        <v>266</v>
      </c>
      <c r="C305" s="2" t="s">
        <v>5045</v>
      </c>
      <c r="D305" s="2"/>
    </row>
    <row r="306" spans="1:4" ht="18" customHeight="1" x14ac:dyDescent="0.3">
      <c r="A306" s="2" t="s">
        <v>2603</v>
      </c>
      <c r="B306" s="2" t="s">
        <v>266</v>
      </c>
      <c r="C306" s="2" t="s">
        <v>5045</v>
      </c>
      <c r="D306" s="2"/>
    </row>
    <row r="307" spans="1:4" ht="18" customHeight="1" x14ac:dyDescent="0.3">
      <c r="A307" s="2" t="s">
        <v>2605</v>
      </c>
      <c r="B307" s="2" t="s">
        <v>266</v>
      </c>
      <c r="C307" s="2" t="s">
        <v>5045</v>
      </c>
      <c r="D307" s="2"/>
    </row>
    <row r="308" spans="1:4" ht="18" customHeight="1" x14ac:dyDescent="0.3">
      <c r="A308" s="2" t="s">
        <v>2607</v>
      </c>
      <c r="B308" s="2" t="s">
        <v>266</v>
      </c>
      <c r="C308" s="2" t="s">
        <v>5045</v>
      </c>
      <c r="D308" s="2"/>
    </row>
    <row r="309" spans="1:4" ht="18" customHeight="1" x14ac:dyDescent="0.3">
      <c r="A309" s="2" t="s">
        <v>2609</v>
      </c>
      <c r="B309" s="2" t="s">
        <v>266</v>
      </c>
      <c r="C309" s="2" t="s">
        <v>5045</v>
      </c>
      <c r="D309" s="2"/>
    </row>
    <row r="310" spans="1:4" ht="18" customHeight="1" x14ac:dyDescent="0.3">
      <c r="A310" s="2" t="s">
        <v>2611</v>
      </c>
      <c r="B310" s="2" t="s">
        <v>266</v>
      </c>
      <c r="C310" s="2" t="s">
        <v>5045</v>
      </c>
      <c r="D310" s="2"/>
    </row>
    <row r="311" spans="1:4" ht="18" customHeight="1" x14ac:dyDescent="0.3">
      <c r="A311" s="2" t="s">
        <v>2613</v>
      </c>
      <c r="B311" s="2" t="s">
        <v>266</v>
      </c>
      <c r="C311" s="2" t="s">
        <v>5045</v>
      </c>
      <c r="D311" s="2"/>
    </row>
    <row r="312" spans="1:4" ht="18" customHeight="1" x14ac:dyDescent="0.3">
      <c r="A312" s="2" t="s">
        <v>2615</v>
      </c>
      <c r="B312" s="2" t="s">
        <v>266</v>
      </c>
      <c r="C312" s="2" t="s">
        <v>5045</v>
      </c>
      <c r="D312" s="2"/>
    </row>
    <row r="313" spans="1:4" ht="18" customHeight="1" x14ac:dyDescent="0.3">
      <c r="A313" s="2" t="s">
        <v>2617</v>
      </c>
      <c r="B313" s="2" t="s">
        <v>266</v>
      </c>
      <c r="C313" s="2" t="s">
        <v>5045</v>
      </c>
      <c r="D313" s="2"/>
    </row>
    <row r="314" spans="1:4" ht="18" customHeight="1" x14ac:dyDescent="0.3">
      <c r="A314" s="2" t="s">
        <v>2619</v>
      </c>
      <c r="B314" s="2" t="s">
        <v>266</v>
      </c>
      <c r="C314" s="2" t="s">
        <v>5045</v>
      </c>
      <c r="D314" s="2"/>
    </row>
    <row r="315" spans="1:4" ht="18" customHeight="1" x14ac:dyDescent="0.3">
      <c r="A315" s="2" t="s">
        <v>2621</v>
      </c>
      <c r="B315" s="2" t="s">
        <v>266</v>
      </c>
      <c r="C315" s="2" t="s">
        <v>5045</v>
      </c>
      <c r="D315" s="2"/>
    </row>
    <row r="316" spans="1:4" ht="18" customHeight="1" x14ac:dyDescent="0.3">
      <c r="A316" s="2" t="s">
        <v>2623</v>
      </c>
      <c r="B316" s="2" t="s">
        <v>266</v>
      </c>
      <c r="C316" s="2" t="s">
        <v>5045</v>
      </c>
      <c r="D316" s="2"/>
    </row>
    <row r="317" spans="1:4" ht="18" customHeight="1" x14ac:dyDescent="0.3">
      <c r="A317" s="2" t="s">
        <v>2625</v>
      </c>
      <c r="B317" s="2" t="s">
        <v>266</v>
      </c>
      <c r="C317" s="2" t="s">
        <v>5045</v>
      </c>
      <c r="D317" s="2"/>
    </row>
    <row r="318" spans="1:4" ht="18" customHeight="1" x14ac:dyDescent="0.3">
      <c r="A318" s="2" t="s">
        <v>2627</v>
      </c>
      <c r="B318" s="2" t="s">
        <v>266</v>
      </c>
      <c r="C318" s="2" t="s">
        <v>5045</v>
      </c>
      <c r="D318" s="2"/>
    </row>
    <row r="319" spans="1:4" ht="18" customHeight="1" x14ac:dyDescent="0.3">
      <c r="A319" s="2" t="s">
        <v>2629</v>
      </c>
      <c r="B319" s="2" t="s">
        <v>266</v>
      </c>
      <c r="C319" s="2" t="s">
        <v>5045</v>
      </c>
      <c r="D319" s="2"/>
    </row>
    <row r="320" spans="1:4" ht="18" customHeight="1" x14ac:dyDescent="0.3">
      <c r="A320" s="2" t="s">
        <v>2631</v>
      </c>
      <c r="B320" s="2" t="s">
        <v>266</v>
      </c>
      <c r="C320" s="2" t="s">
        <v>5045</v>
      </c>
      <c r="D320" s="2"/>
    </row>
    <row r="321" spans="1:4" ht="18" customHeight="1" x14ac:dyDescent="0.3">
      <c r="A321" s="2" t="s">
        <v>2633</v>
      </c>
      <c r="B321" s="2" t="s">
        <v>266</v>
      </c>
      <c r="C321" s="2" t="s">
        <v>5045</v>
      </c>
      <c r="D321" s="2"/>
    </row>
    <row r="322" spans="1:4" ht="18" customHeight="1" x14ac:dyDescent="0.3">
      <c r="A322" s="2" t="s">
        <v>2635</v>
      </c>
      <c r="B322" s="2" t="s">
        <v>266</v>
      </c>
      <c r="C322" s="2" t="s">
        <v>5045</v>
      </c>
      <c r="D322" s="2"/>
    </row>
    <row r="323" spans="1:4" ht="18" customHeight="1" x14ac:dyDescent="0.3">
      <c r="A323" s="2" t="s">
        <v>2637</v>
      </c>
      <c r="B323" s="2" t="s">
        <v>266</v>
      </c>
      <c r="C323" s="2" t="s">
        <v>5045</v>
      </c>
      <c r="D323" s="2"/>
    </row>
    <row r="324" spans="1:4" ht="18" customHeight="1" x14ac:dyDescent="0.3">
      <c r="A324" s="2" t="s">
        <v>2639</v>
      </c>
      <c r="B324" s="2" t="s">
        <v>266</v>
      </c>
      <c r="C324" s="2" t="s">
        <v>5045</v>
      </c>
      <c r="D324" s="2"/>
    </row>
    <row r="325" spans="1:4" ht="18" customHeight="1" x14ac:dyDescent="0.3">
      <c r="A325" s="2" t="s">
        <v>5507</v>
      </c>
      <c r="B325" s="2" t="s">
        <v>266</v>
      </c>
      <c r="C325" s="2" t="s">
        <v>5045</v>
      </c>
      <c r="D325" s="2"/>
    </row>
    <row r="326" spans="1:4" ht="18" customHeight="1" x14ac:dyDescent="0.3">
      <c r="A326" s="2" t="s">
        <v>2641</v>
      </c>
      <c r="B326" s="2" t="s">
        <v>266</v>
      </c>
      <c r="C326" s="2" t="s">
        <v>5045</v>
      </c>
      <c r="D326" s="2"/>
    </row>
    <row r="327" spans="1:4" ht="18" customHeight="1" x14ac:dyDescent="0.3">
      <c r="A327" s="2" t="s">
        <v>2643</v>
      </c>
      <c r="B327" s="2" t="s">
        <v>266</v>
      </c>
      <c r="C327" s="2" t="s">
        <v>5045</v>
      </c>
      <c r="D327" s="2"/>
    </row>
    <row r="328" spans="1:4" ht="18" customHeight="1" x14ac:dyDescent="0.3">
      <c r="A328" s="2" t="s">
        <v>2645</v>
      </c>
      <c r="B328" s="2" t="s">
        <v>266</v>
      </c>
      <c r="C328" s="2" t="s">
        <v>5045</v>
      </c>
      <c r="D328" s="2"/>
    </row>
    <row r="329" spans="1:4" ht="18" customHeight="1" x14ac:dyDescent="0.3">
      <c r="A329" s="2" t="s">
        <v>2647</v>
      </c>
      <c r="B329" s="2" t="s">
        <v>266</v>
      </c>
      <c r="C329" s="2" t="s">
        <v>5045</v>
      </c>
      <c r="D329" s="2"/>
    </row>
    <row r="330" spans="1:4" ht="18" customHeight="1" x14ac:dyDescent="0.3">
      <c r="A330" s="2" t="s">
        <v>2649</v>
      </c>
      <c r="B330" s="2" t="s">
        <v>266</v>
      </c>
      <c r="C330" s="2" t="s">
        <v>5045</v>
      </c>
      <c r="D330" s="2"/>
    </row>
    <row r="331" spans="1:4" ht="18" customHeight="1" x14ac:dyDescent="0.3">
      <c r="A331" s="2" t="s">
        <v>2651</v>
      </c>
      <c r="B331" s="2" t="s">
        <v>266</v>
      </c>
      <c r="C331" s="2" t="s">
        <v>5045</v>
      </c>
      <c r="D331" s="2"/>
    </row>
    <row r="332" spans="1:4" ht="18" customHeight="1" x14ac:dyDescent="0.3">
      <c r="A332" s="2" t="s">
        <v>2653</v>
      </c>
      <c r="B332" s="2" t="s">
        <v>266</v>
      </c>
      <c r="C332" s="2" t="s">
        <v>5045</v>
      </c>
      <c r="D332" s="2"/>
    </row>
    <row r="333" spans="1:4" ht="18" customHeight="1" x14ac:dyDescent="0.3">
      <c r="A333" s="2" t="s">
        <v>2655</v>
      </c>
      <c r="B333" s="2" t="s">
        <v>266</v>
      </c>
      <c r="C333" s="2" t="s">
        <v>5045</v>
      </c>
      <c r="D333" s="2"/>
    </row>
    <row r="334" spans="1:4" ht="18" customHeight="1" x14ac:dyDescent="0.3">
      <c r="A334" s="2" t="s">
        <v>2657</v>
      </c>
      <c r="B334" s="2" t="s">
        <v>266</v>
      </c>
      <c r="C334" s="2" t="s">
        <v>5045</v>
      </c>
      <c r="D334" s="2"/>
    </row>
    <row r="335" spans="1:4" ht="18" customHeight="1" x14ac:dyDescent="0.3">
      <c r="A335" s="2" t="s">
        <v>2659</v>
      </c>
      <c r="B335" s="2" t="s">
        <v>266</v>
      </c>
      <c r="C335" s="2" t="s">
        <v>5045</v>
      </c>
      <c r="D335" s="2"/>
    </row>
    <row r="336" spans="1:4" ht="18" customHeight="1" x14ac:dyDescent="0.3">
      <c r="A336" s="2" t="s">
        <v>2661</v>
      </c>
      <c r="B336" s="2" t="s">
        <v>266</v>
      </c>
      <c r="C336" s="2" t="s">
        <v>5045</v>
      </c>
      <c r="D336" s="2"/>
    </row>
    <row r="337" spans="1:4" ht="18" customHeight="1" x14ac:dyDescent="0.3">
      <c r="A337" s="2" t="s">
        <v>2663</v>
      </c>
      <c r="B337" s="2" t="s">
        <v>266</v>
      </c>
      <c r="C337" s="2" t="s">
        <v>5045</v>
      </c>
      <c r="D337" s="2"/>
    </row>
    <row r="338" spans="1:4" ht="18" customHeight="1" x14ac:dyDescent="0.3">
      <c r="A338" s="2" t="s">
        <v>2665</v>
      </c>
      <c r="B338" s="2" t="s">
        <v>266</v>
      </c>
      <c r="C338" s="2" t="s">
        <v>5045</v>
      </c>
      <c r="D338" s="2"/>
    </row>
    <row r="339" spans="1:4" x14ac:dyDescent="0.3">
      <c r="A339" s="2" t="s">
        <v>2667</v>
      </c>
      <c r="B339" s="2" t="s">
        <v>266</v>
      </c>
      <c r="C339" s="2" t="s">
        <v>5045</v>
      </c>
      <c r="D339" s="2"/>
    </row>
    <row r="340" spans="1:4" x14ac:dyDescent="0.3">
      <c r="A340" s="2" t="s">
        <v>2669</v>
      </c>
      <c r="B340" s="2" t="s">
        <v>266</v>
      </c>
      <c r="C340" s="2" t="s">
        <v>5045</v>
      </c>
      <c r="D340" s="2"/>
    </row>
    <row r="341" spans="1:4" x14ac:dyDescent="0.3">
      <c r="A341" s="2" t="s">
        <v>2671</v>
      </c>
      <c r="B341" s="2" t="s">
        <v>266</v>
      </c>
      <c r="C341" s="2" t="s">
        <v>5045</v>
      </c>
      <c r="D341" s="2"/>
    </row>
    <row r="342" spans="1:4" x14ac:dyDescent="0.3">
      <c r="A342" s="2" t="s">
        <v>2673</v>
      </c>
      <c r="B342" s="2" t="s">
        <v>266</v>
      </c>
      <c r="C342" s="2" t="s">
        <v>5045</v>
      </c>
      <c r="D342" s="2"/>
    </row>
    <row r="343" spans="1:4" x14ac:dyDescent="0.3">
      <c r="A343" s="2" t="s">
        <v>2675</v>
      </c>
      <c r="B343" s="2" t="s">
        <v>266</v>
      </c>
      <c r="C343" s="2" t="s">
        <v>5045</v>
      </c>
      <c r="D343" s="2"/>
    </row>
    <row r="344" spans="1:4" x14ac:dyDescent="0.3">
      <c r="A344" s="2" t="s">
        <v>2677</v>
      </c>
      <c r="B344" s="2" t="s">
        <v>266</v>
      </c>
      <c r="C344" s="2" t="s">
        <v>5045</v>
      </c>
      <c r="D344" s="2"/>
    </row>
    <row r="345" spans="1:4" x14ac:dyDescent="0.3">
      <c r="A345" s="2" t="s">
        <v>2679</v>
      </c>
      <c r="B345" s="2" t="s">
        <v>266</v>
      </c>
      <c r="C345" s="2" t="s">
        <v>5045</v>
      </c>
      <c r="D345" s="2"/>
    </row>
    <row r="346" spans="1:4" x14ac:dyDescent="0.3">
      <c r="A346" s="2" t="s">
        <v>2681</v>
      </c>
      <c r="B346" s="2" t="s">
        <v>266</v>
      </c>
      <c r="C346" s="2" t="s">
        <v>5045</v>
      </c>
      <c r="D346" s="2"/>
    </row>
    <row r="347" spans="1:4" x14ac:dyDescent="0.3">
      <c r="A347" s="2" t="s">
        <v>2683</v>
      </c>
      <c r="B347" s="2" t="s">
        <v>266</v>
      </c>
      <c r="C347" s="2" t="s">
        <v>5045</v>
      </c>
      <c r="D347" s="2"/>
    </row>
    <row r="348" spans="1:4" x14ac:dyDescent="0.3">
      <c r="A348" s="2" t="s">
        <v>2685</v>
      </c>
      <c r="B348" s="2" t="s">
        <v>266</v>
      </c>
      <c r="C348" s="2" t="s">
        <v>5045</v>
      </c>
      <c r="D348" s="2"/>
    </row>
    <row r="349" spans="1:4" x14ac:dyDescent="0.3">
      <c r="A349" s="2" t="s">
        <v>2687</v>
      </c>
      <c r="B349" s="2" t="s">
        <v>266</v>
      </c>
      <c r="C349" s="2" t="s">
        <v>5045</v>
      </c>
      <c r="D349" s="2"/>
    </row>
    <row r="350" spans="1:4" x14ac:dyDescent="0.3">
      <c r="A350" s="2" t="s">
        <v>2689</v>
      </c>
      <c r="B350" s="2" t="s">
        <v>266</v>
      </c>
      <c r="C350" s="2" t="s">
        <v>5045</v>
      </c>
      <c r="D350" s="2"/>
    </row>
    <row r="351" spans="1:4" x14ac:dyDescent="0.3">
      <c r="A351" s="2" t="s">
        <v>2691</v>
      </c>
      <c r="B351" s="2" t="s">
        <v>266</v>
      </c>
      <c r="C351" s="2" t="s">
        <v>5045</v>
      </c>
      <c r="D351" s="2"/>
    </row>
    <row r="352" spans="1:4" x14ac:dyDescent="0.3">
      <c r="A352" s="2" t="s">
        <v>2693</v>
      </c>
      <c r="B352" s="2" t="s">
        <v>266</v>
      </c>
      <c r="C352" s="2" t="s">
        <v>5045</v>
      </c>
      <c r="D352" s="2"/>
    </row>
    <row r="353" spans="1:4" x14ac:dyDescent="0.3">
      <c r="A353" s="2" t="s">
        <v>2695</v>
      </c>
      <c r="B353" s="2" t="s">
        <v>266</v>
      </c>
      <c r="C353" s="2" t="s">
        <v>5045</v>
      </c>
      <c r="D353" s="2"/>
    </row>
    <row r="354" spans="1:4" x14ac:dyDescent="0.3">
      <c r="A354" s="2" t="s">
        <v>2697</v>
      </c>
      <c r="B354" s="2" t="s">
        <v>266</v>
      </c>
      <c r="C354" s="2" t="s">
        <v>5045</v>
      </c>
      <c r="D354" s="2"/>
    </row>
    <row r="355" spans="1:4" x14ac:dyDescent="0.3">
      <c r="A355" s="2" t="s">
        <v>2699</v>
      </c>
      <c r="B355" s="2" t="s">
        <v>266</v>
      </c>
      <c r="C355" s="2" t="s">
        <v>5045</v>
      </c>
      <c r="D355" s="2"/>
    </row>
    <row r="356" spans="1:4" x14ac:dyDescent="0.3">
      <c r="A356" s="2" t="s">
        <v>2701</v>
      </c>
      <c r="B356" s="2" t="s">
        <v>266</v>
      </c>
      <c r="C356" s="2" t="s">
        <v>5045</v>
      </c>
      <c r="D356" s="2"/>
    </row>
    <row r="357" spans="1:4" x14ac:dyDescent="0.3">
      <c r="A357" s="2" t="s">
        <v>2703</v>
      </c>
      <c r="B357" s="2" t="s">
        <v>266</v>
      </c>
      <c r="C357" s="2" t="s">
        <v>5045</v>
      </c>
      <c r="D357" s="2"/>
    </row>
    <row r="358" spans="1:4" x14ac:dyDescent="0.3">
      <c r="A358" s="2" t="s">
        <v>2705</v>
      </c>
      <c r="B358" s="2" t="s">
        <v>266</v>
      </c>
      <c r="C358" s="2" t="s">
        <v>5045</v>
      </c>
      <c r="D358" s="2"/>
    </row>
    <row r="359" spans="1:4" x14ac:dyDescent="0.3">
      <c r="A359" s="2" t="s">
        <v>2707</v>
      </c>
      <c r="B359" s="2" t="s">
        <v>266</v>
      </c>
      <c r="C359" s="2" t="s">
        <v>5045</v>
      </c>
      <c r="D359" s="2"/>
    </row>
    <row r="360" spans="1:4" x14ac:dyDescent="0.3">
      <c r="A360" s="2" t="s">
        <v>2709</v>
      </c>
      <c r="B360" s="2" t="s">
        <v>266</v>
      </c>
      <c r="C360" s="2" t="s">
        <v>5045</v>
      </c>
      <c r="D360" s="2"/>
    </row>
    <row r="361" spans="1:4" x14ac:dyDescent="0.3">
      <c r="A361" s="2" t="s">
        <v>2711</v>
      </c>
      <c r="B361" s="2" t="s">
        <v>266</v>
      </c>
      <c r="C361" s="2" t="s">
        <v>5045</v>
      </c>
      <c r="D361" s="2"/>
    </row>
    <row r="362" spans="1:4" x14ac:dyDescent="0.3">
      <c r="A362" s="2" t="s">
        <v>2713</v>
      </c>
      <c r="B362" s="2" t="s">
        <v>266</v>
      </c>
      <c r="C362" s="2" t="s">
        <v>5045</v>
      </c>
      <c r="D362" s="2"/>
    </row>
    <row r="363" spans="1:4" x14ac:dyDescent="0.3">
      <c r="A363" s="2" t="s">
        <v>2715</v>
      </c>
      <c r="B363" s="2" t="s">
        <v>266</v>
      </c>
      <c r="C363" s="2" t="s">
        <v>5045</v>
      </c>
      <c r="D363" s="2"/>
    </row>
    <row r="364" spans="1:4" x14ac:dyDescent="0.3">
      <c r="A364" s="2" t="s">
        <v>2717</v>
      </c>
      <c r="B364" s="2" t="s">
        <v>266</v>
      </c>
      <c r="C364" s="2" t="s">
        <v>5045</v>
      </c>
      <c r="D364" s="2"/>
    </row>
    <row r="365" spans="1:4" x14ac:dyDescent="0.3">
      <c r="A365" s="2" t="s">
        <v>2719</v>
      </c>
      <c r="B365" s="2" t="s">
        <v>266</v>
      </c>
      <c r="C365" s="2" t="s">
        <v>5045</v>
      </c>
      <c r="D365" s="2"/>
    </row>
    <row r="366" spans="1:4" x14ac:dyDescent="0.3">
      <c r="A366" s="2" t="s">
        <v>2721</v>
      </c>
      <c r="B366" s="2" t="s">
        <v>266</v>
      </c>
      <c r="C366" s="2" t="s">
        <v>5045</v>
      </c>
      <c r="D366" s="2"/>
    </row>
    <row r="367" spans="1:4" x14ac:dyDescent="0.3">
      <c r="A367" s="2" t="s">
        <v>2723</v>
      </c>
      <c r="B367" s="2" t="s">
        <v>266</v>
      </c>
      <c r="C367" s="2" t="s">
        <v>5045</v>
      </c>
      <c r="D367" s="2"/>
    </row>
    <row r="368" spans="1:4" x14ac:dyDescent="0.3">
      <c r="A368" s="2" t="s">
        <v>2725</v>
      </c>
      <c r="B368" s="2" t="s">
        <v>266</v>
      </c>
      <c r="C368" s="2" t="s">
        <v>5045</v>
      </c>
      <c r="D368" s="2"/>
    </row>
    <row r="369" spans="1:4" x14ac:dyDescent="0.3">
      <c r="A369" s="2" t="s">
        <v>2727</v>
      </c>
      <c r="B369" s="2" t="s">
        <v>266</v>
      </c>
      <c r="C369" s="2" t="s">
        <v>5045</v>
      </c>
      <c r="D369" s="2"/>
    </row>
    <row r="370" spans="1:4" x14ac:dyDescent="0.3">
      <c r="A370" s="2" t="s">
        <v>2729</v>
      </c>
      <c r="B370" s="2" t="s">
        <v>266</v>
      </c>
      <c r="C370" s="2" t="s">
        <v>5045</v>
      </c>
      <c r="D370" s="2"/>
    </row>
    <row r="371" spans="1:4" x14ac:dyDescent="0.3">
      <c r="A371" s="2" t="s">
        <v>2731</v>
      </c>
      <c r="B371" s="2" t="s">
        <v>266</v>
      </c>
      <c r="C371" s="2" t="s">
        <v>5045</v>
      </c>
      <c r="D371" s="2"/>
    </row>
    <row r="372" spans="1:4" x14ac:dyDescent="0.3">
      <c r="A372" s="2" t="s">
        <v>2733</v>
      </c>
      <c r="B372" s="2" t="s">
        <v>266</v>
      </c>
      <c r="C372" s="2" t="s">
        <v>5045</v>
      </c>
      <c r="D372" s="2"/>
    </row>
    <row r="373" spans="1:4" x14ac:dyDescent="0.3">
      <c r="A373" s="2" t="s">
        <v>2735</v>
      </c>
      <c r="B373" s="2" t="s">
        <v>266</v>
      </c>
      <c r="C373" s="2" t="s">
        <v>5045</v>
      </c>
      <c r="D373" s="2"/>
    </row>
    <row r="374" spans="1:4" x14ac:dyDescent="0.3">
      <c r="A374" s="2" t="s">
        <v>2737</v>
      </c>
      <c r="B374" s="2" t="s">
        <v>266</v>
      </c>
      <c r="C374" s="2" t="s">
        <v>5045</v>
      </c>
      <c r="D374" s="2"/>
    </row>
    <row r="375" spans="1:4" x14ac:dyDescent="0.3">
      <c r="A375" s="2" t="s">
        <v>2739</v>
      </c>
      <c r="B375" s="2" t="s">
        <v>266</v>
      </c>
      <c r="C375" s="2" t="s">
        <v>5045</v>
      </c>
      <c r="D375" s="2"/>
    </row>
    <row r="376" spans="1:4" x14ac:dyDescent="0.3">
      <c r="A376" s="2" t="s">
        <v>2741</v>
      </c>
      <c r="B376" s="2" t="s">
        <v>266</v>
      </c>
      <c r="C376" s="2" t="s">
        <v>5045</v>
      </c>
      <c r="D376" s="2"/>
    </row>
    <row r="377" spans="1:4" x14ac:dyDescent="0.3">
      <c r="A377" s="2" t="s">
        <v>2743</v>
      </c>
      <c r="B377" s="2" t="s">
        <v>266</v>
      </c>
      <c r="C377" s="2" t="s">
        <v>5045</v>
      </c>
      <c r="D377" s="2"/>
    </row>
    <row r="378" spans="1:4" x14ac:dyDescent="0.3">
      <c r="A378" s="2" t="s">
        <v>2745</v>
      </c>
      <c r="B378" s="2" t="s">
        <v>266</v>
      </c>
      <c r="C378" s="2" t="s">
        <v>5045</v>
      </c>
      <c r="D378" s="2"/>
    </row>
    <row r="379" spans="1:4" x14ac:dyDescent="0.3">
      <c r="A379" s="2" t="s">
        <v>2747</v>
      </c>
      <c r="B379" s="2" t="s">
        <v>266</v>
      </c>
      <c r="C379" s="2" t="s">
        <v>5045</v>
      </c>
      <c r="D379" s="2"/>
    </row>
    <row r="380" spans="1:4" x14ac:dyDescent="0.3">
      <c r="A380" s="2" t="s">
        <v>2749</v>
      </c>
      <c r="B380" s="2" t="s">
        <v>266</v>
      </c>
      <c r="C380" s="2" t="s">
        <v>5045</v>
      </c>
      <c r="D380" s="2"/>
    </row>
    <row r="381" spans="1:4" x14ac:dyDescent="0.3">
      <c r="A381" s="2" t="s">
        <v>2751</v>
      </c>
      <c r="B381" s="2" t="s">
        <v>266</v>
      </c>
      <c r="C381" s="2" t="s">
        <v>5045</v>
      </c>
      <c r="D381" s="2"/>
    </row>
    <row r="382" spans="1:4" x14ac:dyDescent="0.3">
      <c r="A382" s="2" t="s">
        <v>2753</v>
      </c>
      <c r="B382" s="2" t="s">
        <v>266</v>
      </c>
      <c r="C382" s="2" t="s">
        <v>5045</v>
      </c>
      <c r="D382" s="2"/>
    </row>
    <row r="383" spans="1:4" x14ac:dyDescent="0.3">
      <c r="A383" s="2" t="s">
        <v>2755</v>
      </c>
      <c r="B383" s="2" t="s">
        <v>266</v>
      </c>
      <c r="C383" s="2" t="s">
        <v>5045</v>
      </c>
      <c r="D383" s="2"/>
    </row>
    <row r="384" spans="1:4" x14ac:dyDescent="0.3">
      <c r="A384" s="2" t="s">
        <v>2757</v>
      </c>
      <c r="B384" s="2" t="s">
        <v>266</v>
      </c>
      <c r="C384" s="2" t="s">
        <v>5045</v>
      </c>
      <c r="D384" s="2"/>
    </row>
    <row r="385" spans="1:4" x14ac:dyDescent="0.3">
      <c r="A385" s="2" t="s">
        <v>2759</v>
      </c>
      <c r="B385" s="2" t="s">
        <v>266</v>
      </c>
      <c r="C385" s="2" t="s">
        <v>5045</v>
      </c>
      <c r="D385" s="2"/>
    </row>
    <row r="386" spans="1:4" x14ac:dyDescent="0.3">
      <c r="A386" s="2" t="s">
        <v>2761</v>
      </c>
      <c r="B386" s="2" t="s">
        <v>266</v>
      </c>
      <c r="C386" s="2" t="s">
        <v>5045</v>
      </c>
      <c r="D386" s="2"/>
    </row>
    <row r="387" spans="1:4" x14ac:dyDescent="0.3">
      <c r="A387" s="2" t="s">
        <v>2763</v>
      </c>
      <c r="B387" s="2" t="s">
        <v>266</v>
      </c>
      <c r="C387" s="2" t="s">
        <v>5045</v>
      </c>
      <c r="D387" s="2"/>
    </row>
    <row r="388" spans="1:4" x14ac:dyDescent="0.3">
      <c r="A388" s="2" t="s">
        <v>2765</v>
      </c>
      <c r="B388" s="2" t="s">
        <v>266</v>
      </c>
      <c r="C388" s="2" t="s">
        <v>5045</v>
      </c>
      <c r="D388" s="2"/>
    </row>
    <row r="389" spans="1:4" x14ac:dyDescent="0.3">
      <c r="A389" s="2" t="s">
        <v>2767</v>
      </c>
      <c r="B389" s="2" t="s">
        <v>266</v>
      </c>
      <c r="C389" s="2" t="s">
        <v>5045</v>
      </c>
      <c r="D389" s="2"/>
    </row>
    <row r="390" spans="1:4" x14ac:dyDescent="0.3">
      <c r="A390" s="2" t="s">
        <v>2769</v>
      </c>
      <c r="B390" s="2" t="s">
        <v>266</v>
      </c>
      <c r="C390" s="2" t="s">
        <v>5045</v>
      </c>
      <c r="D390" s="2"/>
    </row>
    <row r="391" spans="1:4" x14ac:dyDescent="0.3">
      <c r="A391" s="2" t="s">
        <v>2771</v>
      </c>
      <c r="B391" s="2" t="s">
        <v>266</v>
      </c>
      <c r="C391" s="2" t="s">
        <v>5045</v>
      </c>
      <c r="D391" s="2"/>
    </row>
    <row r="392" spans="1:4" x14ac:dyDescent="0.3">
      <c r="A392" s="2" t="s">
        <v>2773</v>
      </c>
      <c r="B392" s="2" t="s">
        <v>266</v>
      </c>
      <c r="C392" s="2" t="s">
        <v>5045</v>
      </c>
      <c r="D392" s="2"/>
    </row>
    <row r="393" spans="1:4" x14ac:dyDescent="0.3">
      <c r="A393" s="2" t="s">
        <v>2775</v>
      </c>
      <c r="B393" s="2" t="s">
        <v>266</v>
      </c>
      <c r="C393" s="2" t="s">
        <v>5045</v>
      </c>
      <c r="D393" s="2"/>
    </row>
    <row r="394" spans="1:4" x14ac:dyDescent="0.3">
      <c r="A394" s="2" t="s">
        <v>2777</v>
      </c>
      <c r="B394" s="2" t="s">
        <v>266</v>
      </c>
      <c r="C394" s="2" t="s">
        <v>5045</v>
      </c>
      <c r="D394" s="2"/>
    </row>
    <row r="395" spans="1:4" x14ac:dyDescent="0.3">
      <c r="A395" s="2" t="s">
        <v>2779</v>
      </c>
      <c r="B395" s="2" t="s">
        <v>266</v>
      </c>
      <c r="C395" s="2" t="s">
        <v>5045</v>
      </c>
      <c r="D395" s="2"/>
    </row>
    <row r="396" spans="1:4" x14ac:dyDescent="0.3">
      <c r="A396" s="2" t="s">
        <v>2781</v>
      </c>
      <c r="B396" s="2" t="s">
        <v>266</v>
      </c>
      <c r="C396" s="2" t="s">
        <v>5045</v>
      </c>
      <c r="D396" s="2"/>
    </row>
    <row r="397" spans="1:4" x14ac:dyDescent="0.3">
      <c r="A397" s="2" t="s">
        <v>2783</v>
      </c>
      <c r="B397" s="2" t="s">
        <v>266</v>
      </c>
      <c r="C397" s="2" t="s">
        <v>5045</v>
      </c>
      <c r="D397" s="2"/>
    </row>
    <row r="398" spans="1:4" x14ac:dyDescent="0.3">
      <c r="A398" s="2" t="s">
        <v>2785</v>
      </c>
      <c r="B398" s="2" t="s">
        <v>266</v>
      </c>
      <c r="C398" s="2" t="s">
        <v>5045</v>
      </c>
      <c r="D398" s="2"/>
    </row>
    <row r="399" spans="1:4" x14ac:dyDescent="0.3">
      <c r="A399" s="2" t="s">
        <v>2787</v>
      </c>
      <c r="B399" s="2" t="s">
        <v>266</v>
      </c>
      <c r="C399" s="2" t="s">
        <v>5045</v>
      </c>
      <c r="D399" s="2"/>
    </row>
    <row r="400" spans="1:4" x14ac:dyDescent="0.3">
      <c r="A400" s="2" t="s">
        <v>2789</v>
      </c>
      <c r="B400" s="2" t="s">
        <v>266</v>
      </c>
      <c r="C400" s="2" t="s">
        <v>5045</v>
      </c>
      <c r="D400" s="2"/>
    </row>
    <row r="401" spans="1:4" x14ac:dyDescent="0.3">
      <c r="A401" s="2" t="s">
        <v>2791</v>
      </c>
      <c r="B401" s="2" t="s">
        <v>266</v>
      </c>
      <c r="C401" s="2" t="s">
        <v>5045</v>
      </c>
      <c r="D401" s="2"/>
    </row>
    <row r="402" spans="1:4" x14ac:dyDescent="0.3">
      <c r="A402" s="2" t="s">
        <v>2793</v>
      </c>
      <c r="B402" s="2" t="s">
        <v>266</v>
      </c>
      <c r="C402" s="2" t="s">
        <v>5045</v>
      </c>
      <c r="D402" s="2"/>
    </row>
    <row r="403" spans="1:4" x14ac:dyDescent="0.3">
      <c r="A403" s="2" t="s">
        <v>2795</v>
      </c>
      <c r="B403" s="2" t="s">
        <v>266</v>
      </c>
      <c r="C403" s="2" t="s">
        <v>5045</v>
      </c>
      <c r="D403" s="2"/>
    </row>
    <row r="404" spans="1:4" x14ac:dyDescent="0.3">
      <c r="A404" s="2" t="s">
        <v>2797</v>
      </c>
      <c r="B404" s="2" t="s">
        <v>266</v>
      </c>
      <c r="C404" s="2" t="s">
        <v>5045</v>
      </c>
      <c r="D404" s="2"/>
    </row>
    <row r="405" spans="1:4" x14ac:dyDescent="0.3">
      <c r="A405" s="2" t="s">
        <v>2799</v>
      </c>
      <c r="B405" s="2" t="s">
        <v>266</v>
      </c>
      <c r="C405" s="2" t="s">
        <v>5045</v>
      </c>
      <c r="D405" s="2"/>
    </row>
    <row r="406" spans="1:4" x14ac:dyDescent="0.3">
      <c r="A406" s="2" t="s">
        <v>2801</v>
      </c>
      <c r="B406" s="2" t="s">
        <v>266</v>
      </c>
      <c r="C406" s="2" t="s">
        <v>5045</v>
      </c>
      <c r="D406" s="2"/>
    </row>
    <row r="407" spans="1:4" x14ac:dyDescent="0.3">
      <c r="A407" s="2" t="s">
        <v>2803</v>
      </c>
      <c r="B407" s="2" t="s">
        <v>266</v>
      </c>
      <c r="C407" s="2" t="s">
        <v>5045</v>
      </c>
      <c r="D407" s="2"/>
    </row>
    <row r="408" spans="1:4" x14ac:dyDescent="0.3">
      <c r="A408" s="2" t="s">
        <v>2805</v>
      </c>
      <c r="B408" s="2" t="s">
        <v>266</v>
      </c>
      <c r="C408" s="2" t="s">
        <v>5045</v>
      </c>
      <c r="D408" s="2"/>
    </row>
    <row r="409" spans="1:4" x14ac:dyDescent="0.3">
      <c r="A409" s="2" t="s">
        <v>2806</v>
      </c>
      <c r="B409" s="2" t="s">
        <v>266</v>
      </c>
      <c r="C409" s="2" t="s">
        <v>5045</v>
      </c>
      <c r="D409" s="2"/>
    </row>
    <row r="410" spans="1:4" x14ac:dyDescent="0.3">
      <c r="A410" s="2" t="s">
        <v>2807</v>
      </c>
      <c r="B410" s="2" t="s">
        <v>266</v>
      </c>
      <c r="C410" s="2" t="s">
        <v>5045</v>
      </c>
      <c r="D410" s="2"/>
    </row>
    <row r="411" spans="1:4" x14ac:dyDescent="0.3">
      <c r="A411" s="2" t="s">
        <v>2808</v>
      </c>
      <c r="B411" s="2" t="s">
        <v>266</v>
      </c>
      <c r="C411" s="2" t="s">
        <v>5045</v>
      </c>
      <c r="D411" s="2"/>
    </row>
    <row r="412" spans="1:4" x14ac:dyDescent="0.3">
      <c r="A412" s="2" t="s">
        <v>2809</v>
      </c>
      <c r="B412" s="2" t="s">
        <v>266</v>
      </c>
      <c r="C412" s="2" t="s">
        <v>5045</v>
      </c>
      <c r="D412" s="2"/>
    </row>
    <row r="413" spans="1:4" x14ac:dyDescent="0.3">
      <c r="A413" s="2" t="s">
        <v>2811</v>
      </c>
      <c r="B413" s="2" t="s">
        <v>266</v>
      </c>
      <c r="C413" s="2" t="s">
        <v>5045</v>
      </c>
      <c r="D413" s="2"/>
    </row>
    <row r="414" spans="1:4" x14ac:dyDescent="0.3">
      <c r="A414" s="2" t="s">
        <v>2813</v>
      </c>
      <c r="B414" s="2" t="s">
        <v>266</v>
      </c>
      <c r="C414" s="2" t="s">
        <v>5045</v>
      </c>
      <c r="D414" s="2"/>
    </row>
    <row r="415" spans="1:4" x14ac:dyDescent="0.3">
      <c r="A415" s="2" t="s">
        <v>2815</v>
      </c>
      <c r="B415" s="2" t="s">
        <v>266</v>
      </c>
      <c r="C415" s="2" t="s">
        <v>5045</v>
      </c>
      <c r="D415" s="2"/>
    </row>
    <row r="416" spans="1:4" x14ac:dyDescent="0.3">
      <c r="A416" s="2" t="s">
        <v>2817</v>
      </c>
      <c r="B416" s="2" t="s">
        <v>266</v>
      </c>
      <c r="C416" s="2" t="s">
        <v>5045</v>
      </c>
      <c r="D416" s="2"/>
    </row>
    <row r="417" spans="1:4" x14ac:dyDescent="0.3">
      <c r="A417" s="2" t="s">
        <v>2819</v>
      </c>
      <c r="B417" s="2" t="s">
        <v>266</v>
      </c>
      <c r="C417" s="2" t="s">
        <v>5045</v>
      </c>
      <c r="D417" s="2"/>
    </row>
    <row r="418" spans="1:4" x14ac:dyDescent="0.3">
      <c r="A418" s="2" t="s">
        <v>2821</v>
      </c>
      <c r="B418" s="2" t="s">
        <v>266</v>
      </c>
      <c r="C418" s="2" t="s">
        <v>5045</v>
      </c>
      <c r="D418" s="2"/>
    </row>
    <row r="419" spans="1:4" x14ac:dyDescent="0.3">
      <c r="A419" s="2" t="s">
        <v>2823</v>
      </c>
      <c r="B419" s="2" t="s">
        <v>266</v>
      </c>
      <c r="C419" s="2" t="s">
        <v>5045</v>
      </c>
      <c r="D419" s="2"/>
    </row>
    <row r="420" spans="1:4" x14ac:dyDescent="0.3">
      <c r="A420" s="2" t="s">
        <v>2825</v>
      </c>
      <c r="B420" s="2" t="s">
        <v>266</v>
      </c>
      <c r="C420" s="2" t="s">
        <v>5045</v>
      </c>
      <c r="D420" s="2"/>
    </row>
    <row r="421" spans="1:4" x14ac:dyDescent="0.3">
      <c r="A421" s="2" t="s">
        <v>2827</v>
      </c>
      <c r="B421" s="2" t="s">
        <v>266</v>
      </c>
      <c r="C421" s="2" t="s">
        <v>5045</v>
      </c>
      <c r="D421" s="2"/>
    </row>
    <row r="422" spans="1:4" x14ac:dyDescent="0.3">
      <c r="A422" s="2" t="s">
        <v>2829</v>
      </c>
      <c r="B422" s="2" t="s">
        <v>266</v>
      </c>
      <c r="C422" s="2" t="s">
        <v>5045</v>
      </c>
      <c r="D422" s="2"/>
    </row>
    <row r="423" spans="1:4" x14ac:dyDescent="0.3">
      <c r="A423" s="2" t="s">
        <v>2831</v>
      </c>
      <c r="B423" s="2" t="s">
        <v>266</v>
      </c>
      <c r="C423" s="2" t="s">
        <v>5045</v>
      </c>
      <c r="D423" s="2"/>
    </row>
    <row r="424" spans="1:4" x14ac:dyDescent="0.3">
      <c r="A424" s="2" t="s">
        <v>2833</v>
      </c>
      <c r="B424" s="2" t="s">
        <v>266</v>
      </c>
      <c r="C424" s="2" t="s">
        <v>5045</v>
      </c>
      <c r="D424" s="2"/>
    </row>
    <row r="425" spans="1:4" x14ac:dyDescent="0.3">
      <c r="A425" s="2" t="s">
        <v>2835</v>
      </c>
      <c r="B425" s="2" t="s">
        <v>266</v>
      </c>
      <c r="C425" s="2" t="s">
        <v>5045</v>
      </c>
      <c r="D425" s="2"/>
    </row>
    <row r="426" spans="1:4" x14ac:dyDescent="0.3">
      <c r="A426" s="2" t="s">
        <v>2837</v>
      </c>
      <c r="B426" s="2" t="s">
        <v>266</v>
      </c>
      <c r="C426" s="2" t="s">
        <v>5045</v>
      </c>
      <c r="D426" s="2"/>
    </row>
    <row r="427" spans="1:4" x14ac:dyDescent="0.3">
      <c r="A427" s="2" t="s">
        <v>2839</v>
      </c>
      <c r="B427" s="2" t="s">
        <v>266</v>
      </c>
      <c r="C427" s="2" t="s">
        <v>5045</v>
      </c>
      <c r="D427" s="2"/>
    </row>
    <row r="428" spans="1:4" x14ac:dyDescent="0.3">
      <c r="A428" s="2" t="s">
        <v>2841</v>
      </c>
      <c r="B428" s="2" t="s">
        <v>266</v>
      </c>
      <c r="C428" s="2" t="s">
        <v>5045</v>
      </c>
      <c r="D428" s="2"/>
    </row>
    <row r="429" spans="1:4" x14ac:dyDescent="0.3">
      <c r="A429" s="2" t="s">
        <v>2843</v>
      </c>
      <c r="B429" s="2" t="s">
        <v>266</v>
      </c>
      <c r="C429" s="2" t="s">
        <v>5045</v>
      </c>
      <c r="D429" s="2"/>
    </row>
    <row r="430" spans="1:4" x14ac:dyDescent="0.3">
      <c r="A430" s="2" t="s">
        <v>2845</v>
      </c>
      <c r="B430" s="2" t="s">
        <v>266</v>
      </c>
      <c r="C430" s="2" t="s">
        <v>5045</v>
      </c>
      <c r="D430" s="2"/>
    </row>
    <row r="431" spans="1:4" x14ac:dyDescent="0.3">
      <c r="A431" s="2" t="s">
        <v>2847</v>
      </c>
      <c r="B431" s="2" t="s">
        <v>266</v>
      </c>
      <c r="C431" s="2" t="s">
        <v>5045</v>
      </c>
      <c r="D431" s="2"/>
    </row>
    <row r="432" spans="1:4" x14ac:dyDescent="0.3">
      <c r="A432" s="2" t="s">
        <v>2849</v>
      </c>
      <c r="B432" s="2" t="s">
        <v>266</v>
      </c>
      <c r="C432" s="2" t="s">
        <v>5045</v>
      </c>
      <c r="D432" s="2"/>
    </row>
    <row r="433" spans="1:4" x14ac:dyDescent="0.3">
      <c r="A433" s="2" t="s">
        <v>2851</v>
      </c>
      <c r="B433" s="2" t="s">
        <v>266</v>
      </c>
      <c r="C433" s="2" t="s">
        <v>5045</v>
      </c>
      <c r="D433" s="2"/>
    </row>
    <row r="434" spans="1:4" x14ac:dyDescent="0.3">
      <c r="A434" s="2" t="s">
        <v>2853</v>
      </c>
      <c r="B434" s="2" t="s">
        <v>266</v>
      </c>
      <c r="C434" s="2" t="s">
        <v>5045</v>
      </c>
      <c r="D434" s="2"/>
    </row>
    <row r="435" spans="1:4" x14ac:dyDescent="0.3">
      <c r="A435" s="2" t="s">
        <v>2855</v>
      </c>
      <c r="B435" s="2" t="s">
        <v>266</v>
      </c>
      <c r="C435" s="2" t="s">
        <v>5045</v>
      </c>
      <c r="D435" s="2"/>
    </row>
    <row r="436" spans="1:4" x14ac:dyDescent="0.3">
      <c r="A436" s="2" t="s">
        <v>2857</v>
      </c>
      <c r="B436" s="2" t="s">
        <v>266</v>
      </c>
      <c r="C436" s="2" t="s">
        <v>5045</v>
      </c>
      <c r="D436" s="2"/>
    </row>
    <row r="437" spans="1:4" x14ac:dyDescent="0.3">
      <c r="A437" s="2" t="s">
        <v>2859</v>
      </c>
      <c r="B437" s="2" t="s">
        <v>266</v>
      </c>
      <c r="C437" s="2" t="s">
        <v>5045</v>
      </c>
      <c r="D437" s="2"/>
    </row>
    <row r="438" spans="1:4" x14ac:dyDescent="0.3">
      <c r="A438" s="2" t="s">
        <v>2861</v>
      </c>
      <c r="B438" s="2" t="s">
        <v>266</v>
      </c>
      <c r="C438" s="2" t="s">
        <v>5045</v>
      </c>
      <c r="D438" s="2"/>
    </row>
    <row r="439" spans="1:4" x14ac:dyDescent="0.3">
      <c r="A439" s="2" t="s">
        <v>2863</v>
      </c>
      <c r="B439" s="2" t="s">
        <v>266</v>
      </c>
      <c r="C439" s="2" t="s">
        <v>5045</v>
      </c>
      <c r="D439" s="2"/>
    </row>
    <row r="440" spans="1:4" x14ac:dyDescent="0.3">
      <c r="A440" s="2" t="s">
        <v>2865</v>
      </c>
      <c r="B440" s="2" t="s">
        <v>266</v>
      </c>
      <c r="C440" s="2" t="s">
        <v>5045</v>
      </c>
      <c r="D440" s="2"/>
    </row>
    <row r="441" spans="1:4" x14ac:dyDescent="0.3">
      <c r="A441" s="2" t="s">
        <v>2867</v>
      </c>
      <c r="B441" s="2" t="s">
        <v>266</v>
      </c>
      <c r="C441" s="2" t="s">
        <v>5045</v>
      </c>
      <c r="D441" s="2"/>
    </row>
    <row r="442" spans="1:4" x14ac:dyDescent="0.3">
      <c r="A442" s="2" t="s">
        <v>2869</v>
      </c>
      <c r="B442" s="2" t="s">
        <v>266</v>
      </c>
      <c r="C442" s="2" t="s">
        <v>5045</v>
      </c>
      <c r="D442" s="2"/>
    </row>
    <row r="443" spans="1:4" x14ac:dyDescent="0.3">
      <c r="A443" s="2" t="s">
        <v>2871</v>
      </c>
      <c r="B443" s="2" t="s">
        <v>266</v>
      </c>
      <c r="C443" s="2" t="s">
        <v>5045</v>
      </c>
      <c r="D443" s="2"/>
    </row>
    <row r="444" spans="1:4" x14ac:dyDescent="0.3">
      <c r="A444" s="2" t="s">
        <v>2873</v>
      </c>
      <c r="B444" s="2" t="s">
        <v>266</v>
      </c>
      <c r="C444" s="2" t="s">
        <v>5045</v>
      </c>
      <c r="D444" s="2"/>
    </row>
    <row r="445" spans="1:4" x14ac:dyDescent="0.3">
      <c r="A445" s="2" t="s">
        <v>2875</v>
      </c>
      <c r="B445" s="2" t="s">
        <v>266</v>
      </c>
      <c r="C445" s="2" t="s">
        <v>5045</v>
      </c>
      <c r="D445" s="2"/>
    </row>
    <row r="446" spans="1:4" x14ac:dyDescent="0.3">
      <c r="A446" s="2" t="s">
        <v>2877</v>
      </c>
      <c r="B446" s="2" t="s">
        <v>266</v>
      </c>
      <c r="C446" s="2" t="s">
        <v>5045</v>
      </c>
      <c r="D446" s="2"/>
    </row>
    <row r="447" spans="1:4" x14ac:dyDescent="0.3">
      <c r="A447" s="2" t="s">
        <v>2879</v>
      </c>
      <c r="B447" s="2" t="s">
        <v>266</v>
      </c>
      <c r="C447" s="2" t="s">
        <v>5045</v>
      </c>
      <c r="D447" s="2"/>
    </row>
    <row r="448" spans="1:4" x14ac:dyDescent="0.3">
      <c r="A448" s="2" t="s">
        <v>2881</v>
      </c>
      <c r="B448" s="2" t="s">
        <v>266</v>
      </c>
      <c r="C448" s="2" t="s">
        <v>5045</v>
      </c>
      <c r="D448" s="2"/>
    </row>
    <row r="449" spans="1:4" x14ac:dyDescent="0.3">
      <c r="A449" s="2" t="s">
        <v>2883</v>
      </c>
      <c r="B449" s="2" t="s">
        <v>266</v>
      </c>
      <c r="C449" s="2" t="s">
        <v>5045</v>
      </c>
      <c r="D449" s="2"/>
    </row>
    <row r="450" spans="1:4" x14ac:dyDescent="0.3">
      <c r="A450" s="2" t="s">
        <v>2885</v>
      </c>
      <c r="B450" s="2" t="s">
        <v>266</v>
      </c>
      <c r="C450" s="2" t="s">
        <v>5045</v>
      </c>
      <c r="D450" s="2"/>
    </row>
    <row r="451" spans="1:4" x14ac:dyDescent="0.3">
      <c r="A451" s="2" t="s">
        <v>2887</v>
      </c>
      <c r="B451" s="2" t="s">
        <v>266</v>
      </c>
      <c r="C451" s="2" t="s">
        <v>5045</v>
      </c>
      <c r="D451" s="2"/>
    </row>
    <row r="452" spans="1:4" x14ac:dyDescent="0.3">
      <c r="A452" s="2" t="s">
        <v>2889</v>
      </c>
      <c r="B452" s="2" t="s">
        <v>266</v>
      </c>
      <c r="C452" s="2" t="s">
        <v>5045</v>
      </c>
      <c r="D452" s="2"/>
    </row>
    <row r="453" spans="1:4" x14ac:dyDescent="0.3">
      <c r="A453" s="2" t="s">
        <v>2891</v>
      </c>
      <c r="B453" s="2" t="s">
        <v>266</v>
      </c>
      <c r="C453" s="2" t="s">
        <v>5045</v>
      </c>
      <c r="D453" s="2"/>
    </row>
    <row r="454" spans="1:4" x14ac:dyDescent="0.3">
      <c r="A454" s="2" t="s">
        <v>2893</v>
      </c>
      <c r="B454" s="2" t="s">
        <v>266</v>
      </c>
      <c r="C454" s="2" t="s">
        <v>5045</v>
      </c>
      <c r="D454" s="2"/>
    </row>
    <row r="455" spans="1:4" x14ac:dyDescent="0.3">
      <c r="A455" s="2" t="s">
        <v>2895</v>
      </c>
      <c r="B455" s="2" t="s">
        <v>266</v>
      </c>
      <c r="C455" s="2" t="s">
        <v>5045</v>
      </c>
      <c r="D455" s="2"/>
    </row>
    <row r="456" spans="1:4" x14ac:dyDescent="0.3">
      <c r="A456" s="2" t="s">
        <v>2897</v>
      </c>
      <c r="B456" s="2" t="s">
        <v>266</v>
      </c>
      <c r="C456" s="2" t="s">
        <v>5045</v>
      </c>
      <c r="D456" s="2"/>
    </row>
    <row r="457" spans="1:4" x14ac:dyDescent="0.3">
      <c r="A457" s="2" t="s">
        <v>2899</v>
      </c>
      <c r="B457" s="2" t="s">
        <v>266</v>
      </c>
      <c r="C457" s="2" t="s">
        <v>5045</v>
      </c>
      <c r="D457" s="2"/>
    </row>
    <row r="458" spans="1:4" x14ac:dyDescent="0.3">
      <c r="A458" s="2" t="s">
        <v>2901</v>
      </c>
      <c r="B458" s="2" t="s">
        <v>266</v>
      </c>
      <c r="C458" s="2" t="s">
        <v>5045</v>
      </c>
      <c r="D458" s="2"/>
    </row>
    <row r="459" spans="1:4" x14ac:dyDescent="0.3">
      <c r="A459" s="2" t="s">
        <v>2902</v>
      </c>
      <c r="B459" s="2" t="s">
        <v>266</v>
      </c>
      <c r="C459" s="2" t="s">
        <v>5045</v>
      </c>
      <c r="D459" s="2"/>
    </row>
    <row r="460" spans="1:4" x14ac:dyDescent="0.3">
      <c r="A460" s="2" t="s">
        <v>2904</v>
      </c>
      <c r="B460" s="2" t="s">
        <v>266</v>
      </c>
      <c r="C460" s="2" t="s">
        <v>5045</v>
      </c>
      <c r="D460" s="2"/>
    </row>
    <row r="461" spans="1:4" x14ac:dyDescent="0.3">
      <c r="A461" s="2" t="s">
        <v>2906</v>
      </c>
      <c r="B461" s="2" t="s">
        <v>266</v>
      </c>
      <c r="C461" s="2" t="s">
        <v>5045</v>
      </c>
      <c r="D461" s="2"/>
    </row>
    <row r="462" spans="1:4" x14ac:dyDescent="0.3">
      <c r="A462" s="2" t="s">
        <v>2908</v>
      </c>
      <c r="B462" s="2" t="s">
        <v>266</v>
      </c>
      <c r="C462" s="2" t="s">
        <v>5045</v>
      </c>
      <c r="D462" s="2"/>
    </row>
    <row r="463" spans="1:4" x14ac:dyDescent="0.3">
      <c r="A463" s="2" t="s">
        <v>2910</v>
      </c>
      <c r="B463" s="2" t="s">
        <v>266</v>
      </c>
      <c r="C463" s="2" t="s">
        <v>5045</v>
      </c>
      <c r="D463" s="2"/>
    </row>
    <row r="464" spans="1:4" x14ac:dyDescent="0.3">
      <c r="A464" s="2" t="s">
        <v>2912</v>
      </c>
      <c r="B464" s="2" t="s">
        <v>266</v>
      </c>
      <c r="C464" s="2" t="s">
        <v>5045</v>
      </c>
      <c r="D464" s="2"/>
    </row>
    <row r="465" spans="1:4" x14ac:dyDescent="0.3">
      <c r="A465" s="2" t="s">
        <v>2914</v>
      </c>
      <c r="B465" s="2" t="s">
        <v>266</v>
      </c>
      <c r="C465" s="2" t="s">
        <v>5045</v>
      </c>
      <c r="D465" s="2"/>
    </row>
    <row r="466" spans="1:4" x14ac:dyDescent="0.3">
      <c r="A466" s="2" t="s">
        <v>2916</v>
      </c>
      <c r="B466" s="2" t="s">
        <v>266</v>
      </c>
      <c r="C466" s="2" t="s">
        <v>5045</v>
      </c>
      <c r="D466" s="2"/>
    </row>
    <row r="467" spans="1:4" x14ac:dyDescent="0.3">
      <c r="A467" s="2" t="s">
        <v>2918</v>
      </c>
      <c r="B467" s="2" t="s">
        <v>266</v>
      </c>
      <c r="C467" s="2" t="s">
        <v>5045</v>
      </c>
      <c r="D467" s="2"/>
    </row>
    <row r="468" spans="1:4" x14ac:dyDescent="0.3">
      <c r="A468" s="2" t="s">
        <v>2920</v>
      </c>
      <c r="B468" s="2" t="s">
        <v>266</v>
      </c>
      <c r="C468" s="2" t="s">
        <v>5045</v>
      </c>
      <c r="D468" s="2"/>
    </row>
    <row r="469" spans="1:4" x14ac:dyDescent="0.3">
      <c r="A469" s="2" t="s">
        <v>2922</v>
      </c>
      <c r="B469" s="2" t="s">
        <v>266</v>
      </c>
      <c r="C469" s="2" t="s">
        <v>5045</v>
      </c>
      <c r="D469" s="2"/>
    </row>
    <row r="470" spans="1:4" x14ac:dyDescent="0.3">
      <c r="A470" s="2" t="s">
        <v>2924</v>
      </c>
      <c r="B470" s="2" t="s">
        <v>266</v>
      </c>
      <c r="C470" s="2" t="s">
        <v>5045</v>
      </c>
      <c r="D470" s="2"/>
    </row>
    <row r="471" spans="1:4" x14ac:dyDescent="0.3">
      <c r="A471" s="2" t="s">
        <v>2926</v>
      </c>
      <c r="B471" s="2" t="s">
        <v>266</v>
      </c>
      <c r="C471" s="2" t="s">
        <v>5045</v>
      </c>
      <c r="D471" s="2"/>
    </row>
    <row r="472" spans="1:4" x14ac:dyDescent="0.3">
      <c r="A472" s="2" t="s">
        <v>2928</v>
      </c>
      <c r="B472" s="2" t="s">
        <v>266</v>
      </c>
      <c r="C472" s="2" t="s">
        <v>5045</v>
      </c>
      <c r="D472" s="2"/>
    </row>
    <row r="473" spans="1:4" x14ac:dyDescent="0.3">
      <c r="A473" s="2" t="s">
        <v>2930</v>
      </c>
      <c r="B473" s="2" t="s">
        <v>266</v>
      </c>
      <c r="C473" s="2" t="s">
        <v>5045</v>
      </c>
      <c r="D473" s="2"/>
    </row>
    <row r="474" spans="1:4" x14ac:dyDescent="0.3">
      <c r="A474" s="2" t="s">
        <v>2932</v>
      </c>
      <c r="B474" s="2" t="s">
        <v>266</v>
      </c>
      <c r="C474" s="2" t="s">
        <v>5045</v>
      </c>
      <c r="D474" s="2"/>
    </row>
    <row r="475" spans="1:4" x14ac:dyDescent="0.3">
      <c r="A475" s="2" t="s">
        <v>2934</v>
      </c>
      <c r="B475" s="2" t="s">
        <v>266</v>
      </c>
      <c r="C475" s="2" t="s">
        <v>5045</v>
      </c>
      <c r="D475" s="2"/>
    </row>
    <row r="476" spans="1:4" x14ac:dyDescent="0.3">
      <c r="A476" s="2" t="s">
        <v>2936</v>
      </c>
      <c r="B476" s="2" t="s">
        <v>266</v>
      </c>
      <c r="C476" s="2" t="s">
        <v>5045</v>
      </c>
      <c r="D476" s="2"/>
    </row>
    <row r="477" spans="1:4" x14ac:dyDescent="0.3">
      <c r="A477" s="2" t="s">
        <v>2938</v>
      </c>
      <c r="B477" s="2" t="s">
        <v>266</v>
      </c>
      <c r="C477" s="2" t="s">
        <v>5045</v>
      </c>
      <c r="D477" s="2"/>
    </row>
    <row r="478" spans="1:4" x14ac:dyDescent="0.3">
      <c r="A478" s="2" t="s">
        <v>5508</v>
      </c>
      <c r="B478" s="2" t="s">
        <v>266</v>
      </c>
      <c r="C478" s="2" t="s">
        <v>5045</v>
      </c>
      <c r="D478" s="2"/>
    </row>
    <row r="479" spans="1:4" x14ac:dyDescent="0.3">
      <c r="A479" s="2" t="s">
        <v>2940</v>
      </c>
      <c r="B479" s="2" t="s">
        <v>266</v>
      </c>
      <c r="C479" s="2" t="s">
        <v>5045</v>
      </c>
      <c r="D479" s="2"/>
    </row>
    <row r="480" spans="1:4" x14ac:dyDescent="0.3">
      <c r="A480" s="2" t="s">
        <v>2942</v>
      </c>
      <c r="B480" s="2" t="s">
        <v>266</v>
      </c>
      <c r="C480" s="2" t="s">
        <v>5045</v>
      </c>
      <c r="D480" s="2"/>
    </row>
    <row r="481" spans="1:4" x14ac:dyDescent="0.3">
      <c r="A481" s="2" t="s">
        <v>2944</v>
      </c>
      <c r="B481" s="2" t="s">
        <v>266</v>
      </c>
      <c r="C481" s="2" t="s">
        <v>5045</v>
      </c>
      <c r="D481" s="2"/>
    </row>
    <row r="482" spans="1:4" x14ac:dyDescent="0.3">
      <c r="A482" s="2" t="s">
        <v>2946</v>
      </c>
      <c r="B482" s="2" t="s">
        <v>266</v>
      </c>
      <c r="C482" s="2" t="s">
        <v>5045</v>
      </c>
      <c r="D482" s="2"/>
    </row>
    <row r="483" spans="1:4" x14ac:dyDescent="0.3">
      <c r="A483" s="2" t="s">
        <v>2948</v>
      </c>
      <c r="B483" s="2" t="s">
        <v>266</v>
      </c>
      <c r="C483" s="2" t="s">
        <v>5045</v>
      </c>
      <c r="D483" s="2"/>
    </row>
    <row r="484" spans="1:4" x14ac:dyDescent="0.3">
      <c r="A484" s="2" t="s">
        <v>2950</v>
      </c>
      <c r="B484" s="2" t="s">
        <v>266</v>
      </c>
      <c r="C484" s="2" t="s">
        <v>5045</v>
      </c>
      <c r="D484" s="2"/>
    </row>
    <row r="485" spans="1:4" x14ac:dyDescent="0.3">
      <c r="A485" s="2" t="s">
        <v>2952</v>
      </c>
      <c r="B485" s="2" t="s">
        <v>266</v>
      </c>
      <c r="C485" s="2" t="s">
        <v>5045</v>
      </c>
      <c r="D485" s="2"/>
    </row>
    <row r="486" spans="1:4" x14ac:dyDescent="0.3">
      <c r="A486" s="2" t="s">
        <v>2954</v>
      </c>
      <c r="B486" s="2" t="s">
        <v>266</v>
      </c>
      <c r="C486" s="2" t="s">
        <v>5045</v>
      </c>
      <c r="D486" s="2"/>
    </row>
    <row r="487" spans="1:4" x14ac:dyDescent="0.3">
      <c r="A487" s="2" t="s">
        <v>2956</v>
      </c>
      <c r="B487" s="2" t="s">
        <v>266</v>
      </c>
      <c r="C487" s="2" t="s">
        <v>5045</v>
      </c>
      <c r="D487" s="2"/>
    </row>
    <row r="488" spans="1:4" x14ac:dyDescent="0.3">
      <c r="A488" s="2" t="s">
        <v>2958</v>
      </c>
      <c r="B488" s="2" t="s">
        <v>266</v>
      </c>
      <c r="C488" s="2" t="s">
        <v>5045</v>
      </c>
      <c r="D488" s="2"/>
    </row>
    <row r="489" spans="1:4" x14ac:dyDescent="0.3">
      <c r="A489" s="2" t="s">
        <v>2960</v>
      </c>
      <c r="B489" s="2" t="s">
        <v>266</v>
      </c>
      <c r="C489" s="2" t="s">
        <v>5045</v>
      </c>
      <c r="D489" s="2"/>
    </row>
    <row r="490" spans="1:4" x14ac:dyDescent="0.3">
      <c r="A490" s="2" t="s">
        <v>2962</v>
      </c>
      <c r="B490" s="2" t="s">
        <v>266</v>
      </c>
      <c r="C490" s="2" t="s">
        <v>5045</v>
      </c>
      <c r="D490" s="2"/>
    </row>
    <row r="491" spans="1:4" x14ac:dyDescent="0.3">
      <c r="A491" s="2" t="s">
        <v>2964</v>
      </c>
      <c r="B491" s="2" t="s">
        <v>266</v>
      </c>
      <c r="C491" s="2" t="s">
        <v>5045</v>
      </c>
      <c r="D491" s="2"/>
    </row>
    <row r="492" spans="1:4" x14ac:dyDescent="0.3">
      <c r="A492" s="2" t="s">
        <v>2966</v>
      </c>
      <c r="B492" s="2" t="s">
        <v>266</v>
      </c>
      <c r="C492" s="2" t="s">
        <v>5045</v>
      </c>
      <c r="D492" s="2"/>
    </row>
    <row r="493" spans="1:4" x14ac:dyDescent="0.3">
      <c r="A493" s="2" t="s">
        <v>2968</v>
      </c>
      <c r="B493" s="2" t="s">
        <v>266</v>
      </c>
      <c r="C493" s="2" t="s">
        <v>5045</v>
      </c>
      <c r="D493" s="2"/>
    </row>
    <row r="494" spans="1:4" x14ac:dyDescent="0.3">
      <c r="A494" s="2" t="s">
        <v>2969</v>
      </c>
      <c r="B494" s="2" t="s">
        <v>266</v>
      </c>
      <c r="C494" s="2" t="s">
        <v>5045</v>
      </c>
      <c r="D494" s="2"/>
    </row>
    <row r="495" spans="1:4" x14ac:dyDescent="0.3">
      <c r="A495" s="2" t="s">
        <v>2971</v>
      </c>
      <c r="B495" s="2" t="s">
        <v>266</v>
      </c>
      <c r="C495" s="2" t="s">
        <v>5045</v>
      </c>
      <c r="D495" s="2"/>
    </row>
    <row r="496" spans="1:4" x14ac:dyDescent="0.3">
      <c r="A496" s="2" t="s">
        <v>2973</v>
      </c>
      <c r="B496" s="2" t="s">
        <v>266</v>
      </c>
      <c r="C496" s="2" t="s">
        <v>5045</v>
      </c>
      <c r="D496" s="2"/>
    </row>
    <row r="497" spans="1:4" x14ac:dyDescent="0.3">
      <c r="A497" s="2" t="s">
        <v>2975</v>
      </c>
      <c r="B497" s="2" t="s">
        <v>266</v>
      </c>
      <c r="C497" s="2" t="s">
        <v>5045</v>
      </c>
      <c r="D497" s="2"/>
    </row>
    <row r="498" spans="1:4" x14ac:dyDescent="0.3">
      <c r="A498" s="2" t="s">
        <v>2977</v>
      </c>
      <c r="B498" s="2" t="s">
        <v>266</v>
      </c>
      <c r="C498" s="2" t="s">
        <v>5045</v>
      </c>
      <c r="D498" s="2"/>
    </row>
    <row r="499" spans="1:4" x14ac:dyDescent="0.3">
      <c r="A499" s="2" t="s">
        <v>2979</v>
      </c>
      <c r="B499" s="2" t="s">
        <v>266</v>
      </c>
      <c r="C499" s="2" t="s">
        <v>5045</v>
      </c>
      <c r="D499" s="2"/>
    </row>
    <row r="500" spans="1:4" x14ac:dyDescent="0.3">
      <c r="A500" s="2" t="s">
        <v>2981</v>
      </c>
      <c r="B500" s="2" t="s">
        <v>266</v>
      </c>
      <c r="C500" s="2" t="s">
        <v>5045</v>
      </c>
      <c r="D500" s="2"/>
    </row>
    <row r="501" spans="1:4" x14ac:dyDescent="0.3">
      <c r="A501" s="2" t="s">
        <v>2982</v>
      </c>
      <c r="B501" s="2" t="s">
        <v>266</v>
      </c>
      <c r="C501" s="2" t="s">
        <v>5045</v>
      </c>
      <c r="D501" s="2"/>
    </row>
    <row r="502" spans="1:4" x14ac:dyDescent="0.3">
      <c r="A502" s="2" t="s">
        <v>2984</v>
      </c>
      <c r="B502" s="2" t="s">
        <v>266</v>
      </c>
      <c r="C502" s="2" t="s">
        <v>5045</v>
      </c>
      <c r="D502" s="2"/>
    </row>
    <row r="503" spans="1:4" x14ac:dyDescent="0.3">
      <c r="A503" s="2" t="s">
        <v>2986</v>
      </c>
      <c r="B503" s="2" t="s">
        <v>266</v>
      </c>
      <c r="C503" s="2" t="s">
        <v>5045</v>
      </c>
      <c r="D503" s="2"/>
    </row>
    <row r="504" spans="1:4" x14ac:dyDescent="0.3">
      <c r="A504" s="2" t="s">
        <v>2988</v>
      </c>
      <c r="B504" s="2" t="s">
        <v>266</v>
      </c>
      <c r="C504" s="2" t="s">
        <v>5045</v>
      </c>
      <c r="D504" s="2"/>
    </row>
    <row r="505" spans="1:4" x14ac:dyDescent="0.3">
      <c r="A505" s="2" t="s">
        <v>2990</v>
      </c>
      <c r="B505" s="2" t="s">
        <v>266</v>
      </c>
      <c r="C505" s="2" t="s">
        <v>5045</v>
      </c>
      <c r="D505" s="2"/>
    </row>
    <row r="506" spans="1:4" x14ac:dyDescent="0.3">
      <c r="A506" s="2" t="s">
        <v>2992</v>
      </c>
      <c r="B506" s="2" t="s">
        <v>266</v>
      </c>
      <c r="C506" s="2" t="s">
        <v>5045</v>
      </c>
      <c r="D506" s="2"/>
    </row>
    <row r="507" spans="1:4" x14ac:dyDescent="0.3">
      <c r="A507" s="2" t="s">
        <v>2994</v>
      </c>
      <c r="B507" s="2" t="s">
        <v>266</v>
      </c>
      <c r="C507" s="2" t="s">
        <v>5045</v>
      </c>
      <c r="D507" s="2"/>
    </row>
    <row r="508" spans="1:4" x14ac:dyDescent="0.3">
      <c r="A508" s="2" t="s">
        <v>2996</v>
      </c>
      <c r="B508" s="2" t="s">
        <v>266</v>
      </c>
      <c r="C508" s="2" t="s">
        <v>5045</v>
      </c>
      <c r="D508" s="2"/>
    </row>
    <row r="509" spans="1:4" x14ac:dyDescent="0.3">
      <c r="A509" s="2" t="s">
        <v>2998</v>
      </c>
      <c r="B509" s="2" t="s">
        <v>266</v>
      </c>
      <c r="C509" s="2" t="s">
        <v>5045</v>
      </c>
      <c r="D509" s="2"/>
    </row>
    <row r="510" spans="1:4" x14ac:dyDescent="0.3">
      <c r="A510" s="2" t="s">
        <v>3000</v>
      </c>
      <c r="B510" s="2" t="s">
        <v>266</v>
      </c>
      <c r="C510" s="2" t="s">
        <v>5045</v>
      </c>
      <c r="D510" s="2"/>
    </row>
    <row r="511" spans="1:4" x14ac:dyDescent="0.3">
      <c r="A511" s="2" t="s">
        <v>3002</v>
      </c>
      <c r="B511" s="2" t="s">
        <v>266</v>
      </c>
      <c r="C511" s="2" t="s">
        <v>5045</v>
      </c>
      <c r="D511" s="2"/>
    </row>
    <row r="512" spans="1:4" x14ac:dyDescent="0.3">
      <c r="A512" s="2" t="s">
        <v>3004</v>
      </c>
      <c r="B512" s="2" t="s">
        <v>266</v>
      </c>
      <c r="C512" s="2" t="s">
        <v>5045</v>
      </c>
      <c r="D512" s="2"/>
    </row>
    <row r="513" spans="1:4" x14ac:dyDescent="0.3">
      <c r="A513" s="2" t="s">
        <v>3006</v>
      </c>
      <c r="B513" s="2" t="s">
        <v>266</v>
      </c>
      <c r="C513" s="2" t="s">
        <v>5045</v>
      </c>
      <c r="D513" s="2"/>
    </row>
    <row r="514" spans="1:4" x14ac:dyDescent="0.3">
      <c r="A514" s="2" t="s">
        <v>3008</v>
      </c>
      <c r="B514" s="2" t="s">
        <v>266</v>
      </c>
      <c r="C514" s="2" t="s">
        <v>5045</v>
      </c>
      <c r="D514" s="2"/>
    </row>
    <row r="515" spans="1:4" x14ac:dyDescent="0.3">
      <c r="A515" s="2" t="s">
        <v>3010</v>
      </c>
      <c r="B515" s="2" t="s">
        <v>266</v>
      </c>
      <c r="C515" s="2" t="s">
        <v>5045</v>
      </c>
      <c r="D515" s="2"/>
    </row>
    <row r="516" spans="1:4" x14ac:dyDescent="0.3">
      <c r="A516" s="2" t="s">
        <v>3012</v>
      </c>
      <c r="B516" s="2" t="s">
        <v>266</v>
      </c>
      <c r="C516" s="2" t="s">
        <v>5045</v>
      </c>
      <c r="D516" s="2"/>
    </row>
    <row r="517" spans="1:4" x14ac:dyDescent="0.3">
      <c r="A517" s="2" t="s">
        <v>3014</v>
      </c>
      <c r="B517" s="2" t="s">
        <v>266</v>
      </c>
      <c r="C517" s="2" t="s">
        <v>5045</v>
      </c>
      <c r="D517" s="2"/>
    </row>
    <row r="518" spans="1:4" x14ac:dyDescent="0.3">
      <c r="A518" s="2" t="s">
        <v>3016</v>
      </c>
      <c r="B518" s="2" t="s">
        <v>266</v>
      </c>
      <c r="C518" s="2" t="s">
        <v>5045</v>
      </c>
      <c r="D518" s="2"/>
    </row>
    <row r="519" spans="1:4" x14ac:dyDescent="0.3">
      <c r="A519" s="2" t="s">
        <v>3018</v>
      </c>
      <c r="B519" s="2" t="s">
        <v>266</v>
      </c>
      <c r="C519" s="2" t="s">
        <v>5045</v>
      </c>
      <c r="D519" s="2"/>
    </row>
    <row r="520" spans="1:4" x14ac:dyDescent="0.3">
      <c r="A520" s="2" t="s">
        <v>3020</v>
      </c>
      <c r="B520" s="2" t="s">
        <v>266</v>
      </c>
      <c r="C520" s="2" t="s">
        <v>5045</v>
      </c>
      <c r="D520" s="2"/>
    </row>
    <row r="521" spans="1:4" x14ac:dyDescent="0.3">
      <c r="A521" s="2" t="s">
        <v>3022</v>
      </c>
      <c r="B521" s="2" t="s">
        <v>266</v>
      </c>
      <c r="C521" s="2" t="s">
        <v>5045</v>
      </c>
      <c r="D521" s="2"/>
    </row>
    <row r="522" spans="1:4" x14ac:dyDescent="0.3">
      <c r="A522" s="2" t="s">
        <v>3024</v>
      </c>
      <c r="B522" s="2" t="s">
        <v>266</v>
      </c>
      <c r="C522" s="2" t="s">
        <v>5045</v>
      </c>
      <c r="D522" s="2"/>
    </row>
    <row r="523" spans="1:4" x14ac:dyDescent="0.3">
      <c r="A523" s="2" t="s">
        <v>3026</v>
      </c>
      <c r="B523" s="2" t="s">
        <v>266</v>
      </c>
      <c r="C523" s="2" t="s">
        <v>5045</v>
      </c>
      <c r="D523" s="2"/>
    </row>
    <row r="524" spans="1:4" x14ac:dyDescent="0.3">
      <c r="A524" s="2" t="s">
        <v>3028</v>
      </c>
      <c r="B524" s="2" t="s">
        <v>266</v>
      </c>
      <c r="C524" s="2" t="s">
        <v>5045</v>
      </c>
      <c r="D524" s="2"/>
    </row>
    <row r="525" spans="1:4" x14ac:dyDescent="0.3">
      <c r="A525" s="2" t="s">
        <v>3030</v>
      </c>
      <c r="B525" s="2" t="s">
        <v>266</v>
      </c>
      <c r="C525" s="2" t="s">
        <v>5045</v>
      </c>
      <c r="D525" s="2"/>
    </row>
    <row r="526" spans="1:4" x14ac:dyDescent="0.3">
      <c r="A526" s="2" t="s">
        <v>3032</v>
      </c>
      <c r="B526" s="2" t="s">
        <v>266</v>
      </c>
      <c r="C526" s="2" t="s">
        <v>5045</v>
      </c>
      <c r="D526" s="2"/>
    </row>
    <row r="527" spans="1:4" x14ac:dyDescent="0.3">
      <c r="A527" s="2" t="s">
        <v>3034</v>
      </c>
      <c r="B527" s="2" t="s">
        <v>266</v>
      </c>
      <c r="C527" s="2" t="s">
        <v>5045</v>
      </c>
      <c r="D527" s="2"/>
    </row>
    <row r="528" spans="1:4" x14ac:dyDescent="0.3">
      <c r="A528" s="2" t="s">
        <v>3036</v>
      </c>
      <c r="B528" s="2" t="s">
        <v>266</v>
      </c>
      <c r="C528" s="2" t="s">
        <v>5045</v>
      </c>
      <c r="D528" s="2"/>
    </row>
    <row r="529" spans="1:4" x14ac:dyDescent="0.3">
      <c r="A529" s="2" t="s">
        <v>3038</v>
      </c>
      <c r="B529" s="2" t="s">
        <v>266</v>
      </c>
      <c r="C529" s="2" t="s">
        <v>5045</v>
      </c>
      <c r="D529" s="2"/>
    </row>
    <row r="530" spans="1:4" x14ac:dyDescent="0.3">
      <c r="A530" s="2" t="s">
        <v>3040</v>
      </c>
      <c r="B530" s="2" t="s">
        <v>266</v>
      </c>
      <c r="C530" s="2" t="s">
        <v>5045</v>
      </c>
      <c r="D530" s="2"/>
    </row>
    <row r="531" spans="1:4" x14ac:dyDescent="0.3">
      <c r="A531" s="2" t="s">
        <v>3042</v>
      </c>
      <c r="B531" s="2" t="s">
        <v>266</v>
      </c>
      <c r="C531" s="2" t="s">
        <v>5045</v>
      </c>
      <c r="D531" s="2"/>
    </row>
    <row r="532" spans="1:4" x14ac:dyDescent="0.3">
      <c r="A532" s="2" t="s">
        <v>3044</v>
      </c>
      <c r="B532" s="2" t="s">
        <v>266</v>
      </c>
      <c r="C532" s="2" t="s">
        <v>5045</v>
      </c>
      <c r="D532" s="2"/>
    </row>
    <row r="533" spans="1:4" x14ac:dyDescent="0.3">
      <c r="A533" s="2" t="s">
        <v>3046</v>
      </c>
      <c r="B533" s="2" t="s">
        <v>266</v>
      </c>
      <c r="C533" s="2" t="s">
        <v>5045</v>
      </c>
      <c r="D533" s="2"/>
    </row>
    <row r="534" spans="1:4" x14ac:dyDescent="0.3">
      <c r="A534" s="2" t="s">
        <v>3048</v>
      </c>
      <c r="B534" s="2" t="s">
        <v>266</v>
      </c>
      <c r="C534" s="2" t="s">
        <v>5045</v>
      </c>
      <c r="D534" s="2"/>
    </row>
    <row r="535" spans="1:4" x14ac:dyDescent="0.3">
      <c r="A535" s="2" t="s">
        <v>3050</v>
      </c>
      <c r="B535" s="2" t="s">
        <v>266</v>
      </c>
      <c r="C535" s="2" t="s">
        <v>5045</v>
      </c>
      <c r="D535" s="2"/>
    </row>
    <row r="536" spans="1:4" x14ac:dyDescent="0.3">
      <c r="A536" s="2" t="s">
        <v>3052</v>
      </c>
      <c r="B536" s="2" t="s">
        <v>266</v>
      </c>
      <c r="C536" s="2" t="s">
        <v>5045</v>
      </c>
      <c r="D536" s="2"/>
    </row>
    <row r="537" spans="1:4" x14ac:dyDescent="0.3">
      <c r="A537" s="2" t="s">
        <v>3054</v>
      </c>
      <c r="B537" s="2" t="s">
        <v>266</v>
      </c>
      <c r="C537" s="2" t="s">
        <v>5045</v>
      </c>
      <c r="D537" s="2"/>
    </row>
    <row r="538" spans="1:4" x14ac:dyDescent="0.3">
      <c r="A538" s="2" t="s">
        <v>3055</v>
      </c>
      <c r="B538" s="2" t="s">
        <v>266</v>
      </c>
      <c r="C538" s="2" t="s">
        <v>5045</v>
      </c>
      <c r="D538" s="2"/>
    </row>
    <row r="539" spans="1:4" x14ac:dyDescent="0.3">
      <c r="A539" s="2" t="s">
        <v>3057</v>
      </c>
      <c r="B539" s="2" t="s">
        <v>266</v>
      </c>
      <c r="C539" s="2" t="s">
        <v>5045</v>
      </c>
      <c r="D539" s="2"/>
    </row>
    <row r="540" spans="1:4" x14ac:dyDescent="0.3">
      <c r="A540" s="2" t="s">
        <v>3059</v>
      </c>
      <c r="B540" s="2" t="s">
        <v>266</v>
      </c>
      <c r="C540" s="2" t="s">
        <v>5045</v>
      </c>
      <c r="D540" s="2"/>
    </row>
    <row r="541" spans="1:4" x14ac:dyDescent="0.3">
      <c r="A541" s="2" t="s">
        <v>3061</v>
      </c>
      <c r="B541" s="2" t="s">
        <v>266</v>
      </c>
      <c r="C541" s="2" t="s">
        <v>5045</v>
      </c>
      <c r="D541" s="2"/>
    </row>
    <row r="542" spans="1:4" x14ac:dyDescent="0.3">
      <c r="A542" s="2" t="s">
        <v>3062</v>
      </c>
      <c r="B542" s="2" t="s">
        <v>266</v>
      </c>
      <c r="C542" s="2" t="s">
        <v>5045</v>
      </c>
      <c r="D542" s="2"/>
    </row>
    <row r="543" spans="1:4" x14ac:dyDescent="0.3">
      <c r="A543" s="2" t="s">
        <v>3063</v>
      </c>
      <c r="B543" s="2" t="s">
        <v>266</v>
      </c>
      <c r="C543" s="2" t="s">
        <v>5045</v>
      </c>
      <c r="D543" s="2"/>
    </row>
    <row r="544" spans="1:4" x14ac:dyDescent="0.3">
      <c r="A544" s="2" t="s">
        <v>3064</v>
      </c>
      <c r="B544" s="2" t="s">
        <v>266</v>
      </c>
      <c r="C544" s="2" t="s">
        <v>5045</v>
      </c>
      <c r="D544" s="2"/>
    </row>
    <row r="545" spans="1:4" x14ac:dyDescent="0.3">
      <c r="A545" s="2" t="s">
        <v>3066</v>
      </c>
      <c r="B545" s="2" t="s">
        <v>266</v>
      </c>
      <c r="C545" s="2" t="s">
        <v>5045</v>
      </c>
      <c r="D545" s="2"/>
    </row>
    <row r="546" spans="1:4" x14ac:dyDescent="0.3">
      <c r="A546" s="2" t="s">
        <v>3068</v>
      </c>
      <c r="B546" s="2" t="s">
        <v>266</v>
      </c>
      <c r="C546" s="2" t="s">
        <v>5045</v>
      </c>
      <c r="D546" s="2"/>
    </row>
    <row r="547" spans="1:4" x14ac:dyDescent="0.3">
      <c r="A547" s="2" t="s">
        <v>3070</v>
      </c>
      <c r="B547" s="2" t="s">
        <v>266</v>
      </c>
      <c r="C547" s="2" t="s">
        <v>5045</v>
      </c>
      <c r="D547" s="2"/>
    </row>
    <row r="548" spans="1:4" x14ac:dyDescent="0.3">
      <c r="A548" s="2" t="s">
        <v>3072</v>
      </c>
      <c r="B548" s="2" t="s">
        <v>266</v>
      </c>
      <c r="C548" s="2" t="s">
        <v>5045</v>
      </c>
      <c r="D548" s="2"/>
    </row>
    <row r="549" spans="1:4" x14ac:dyDescent="0.3">
      <c r="A549" s="2" t="s">
        <v>3074</v>
      </c>
      <c r="B549" s="2" t="s">
        <v>266</v>
      </c>
      <c r="C549" s="2" t="s">
        <v>5045</v>
      </c>
      <c r="D549" s="2"/>
    </row>
    <row r="550" spans="1:4" x14ac:dyDescent="0.3">
      <c r="A550" s="2" t="s">
        <v>3076</v>
      </c>
      <c r="B550" s="2" t="s">
        <v>266</v>
      </c>
      <c r="C550" s="2" t="s">
        <v>5045</v>
      </c>
      <c r="D550" s="2"/>
    </row>
    <row r="551" spans="1:4" x14ac:dyDescent="0.3">
      <c r="A551" s="2" t="s">
        <v>3078</v>
      </c>
      <c r="B551" s="2" t="s">
        <v>266</v>
      </c>
      <c r="C551" s="2" t="s">
        <v>5045</v>
      </c>
      <c r="D551" s="2"/>
    </row>
    <row r="552" spans="1:4" x14ac:dyDescent="0.3">
      <c r="A552" s="2" t="s">
        <v>3080</v>
      </c>
      <c r="B552" s="2" t="s">
        <v>266</v>
      </c>
      <c r="C552" s="2" t="s">
        <v>5045</v>
      </c>
      <c r="D552" s="2"/>
    </row>
    <row r="553" spans="1:4" x14ac:dyDescent="0.3">
      <c r="A553" s="2" t="s">
        <v>3081</v>
      </c>
      <c r="B553" s="2" t="s">
        <v>266</v>
      </c>
      <c r="C553" s="2" t="s">
        <v>5045</v>
      </c>
      <c r="D553" s="2"/>
    </row>
    <row r="554" spans="1:4" x14ac:dyDescent="0.3">
      <c r="A554" s="2" t="s">
        <v>3082</v>
      </c>
      <c r="B554" s="2" t="s">
        <v>266</v>
      </c>
      <c r="C554" s="2" t="s">
        <v>5045</v>
      </c>
      <c r="D554" s="2"/>
    </row>
    <row r="555" spans="1:4" x14ac:dyDescent="0.3">
      <c r="A555" s="2" t="s">
        <v>3084</v>
      </c>
      <c r="B555" s="2" t="s">
        <v>266</v>
      </c>
      <c r="C555" s="2" t="s">
        <v>5045</v>
      </c>
      <c r="D555" s="2"/>
    </row>
    <row r="556" spans="1:4" x14ac:dyDescent="0.3">
      <c r="A556" s="2" t="s">
        <v>3086</v>
      </c>
      <c r="B556" s="2" t="s">
        <v>266</v>
      </c>
      <c r="C556" s="2" t="s">
        <v>5045</v>
      </c>
      <c r="D556" s="2"/>
    </row>
    <row r="557" spans="1:4" x14ac:dyDescent="0.3">
      <c r="A557" s="2" t="s">
        <v>3088</v>
      </c>
      <c r="B557" s="2" t="s">
        <v>266</v>
      </c>
      <c r="C557" s="2" t="s">
        <v>5045</v>
      </c>
      <c r="D557" s="2"/>
    </row>
    <row r="558" spans="1:4" x14ac:dyDescent="0.3">
      <c r="A558" s="2" t="s">
        <v>3090</v>
      </c>
      <c r="B558" s="2" t="s">
        <v>266</v>
      </c>
      <c r="C558" s="2" t="s">
        <v>5045</v>
      </c>
      <c r="D558" s="2"/>
    </row>
    <row r="559" spans="1:4" x14ac:dyDescent="0.3">
      <c r="A559" s="2" t="s">
        <v>3092</v>
      </c>
      <c r="B559" s="2" t="s">
        <v>266</v>
      </c>
      <c r="C559" s="2" t="s">
        <v>5045</v>
      </c>
      <c r="D559" s="2"/>
    </row>
    <row r="560" spans="1:4" x14ac:dyDescent="0.3">
      <c r="A560" s="2" t="s">
        <v>3094</v>
      </c>
      <c r="B560" s="2" t="s">
        <v>266</v>
      </c>
      <c r="C560" s="2" t="s">
        <v>5045</v>
      </c>
      <c r="D560" s="2"/>
    </row>
    <row r="561" spans="1:4" x14ac:dyDescent="0.3">
      <c r="A561" s="2" t="s">
        <v>3096</v>
      </c>
      <c r="B561" s="2" t="s">
        <v>266</v>
      </c>
      <c r="C561" s="2" t="s">
        <v>5045</v>
      </c>
      <c r="D561" s="2"/>
    </row>
    <row r="562" spans="1:4" x14ac:dyDescent="0.3">
      <c r="A562" s="2" t="s">
        <v>3098</v>
      </c>
      <c r="B562" s="2" t="s">
        <v>266</v>
      </c>
      <c r="C562" s="2" t="s">
        <v>5045</v>
      </c>
      <c r="D562" s="2"/>
    </row>
    <row r="563" spans="1:4" x14ac:dyDescent="0.3">
      <c r="A563" s="2" t="s">
        <v>3099</v>
      </c>
      <c r="B563" s="2" t="s">
        <v>266</v>
      </c>
      <c r="C563" s="2" t="s">
        <v>5045</v>
      </c>
      <c r="D563" s="2"/>
    </row>
    <row r="564" spans="1:4" x14ac:dyDescent="0.3">
      <c r="A564" s="2" t="s">
        <v>3101</v>
      </c>
      <c r="B564" s="2" t="s">
        <v>266</v>
      </c>
      <c r="C564" s="2" t="s">
        <v>5045</v>
      </c>
      <c r="D564" s="2"/>
    </row>
    <row r="565" spans="1:4" x14ac:dyDescent="0.3">
      <c r="A565" s="2" t="s">
        <v>3102</v>
      </c>
      <c r="B565" s="2" t="s">
        <v>266</v>
      </c>
      <c r="C565" s="2" t="s">
        <v>5045</v>
      </c>
      <c r="D565" s="2"/>
    </row>
    <row r="566" spans="1:4" x14ac:dyDescent="0.3">
      <c r="A566" s="2" t="s">
        <v>3104</v>
      </c>
      <c r="B566" s="2" t="s">
        <v>266</v>
      </c>
      <c r="C566" s="2" t="s">
        <v>5045</v>
      </c>
      <c r="D566" s="2"/>
    </row>
    <row r="567" spans="1:4" x14ac:dyDescent="0.3">
      <c r="A567" s="2" t="s">
        <v>3105</v>
      </c>
      <c r="B567" s="2" t="s">
        <v>266</v>
      </c>
      <c r="C567" s="2" t="s">
        <v>5045</v>
      </c>
      <c r="D567" s="2"/>
    </row>
    <row r="568" spans="1:4" x14ac:dyDescent="0.3">
      <c r="A568" s="2" t="s">
        <v>3107</v>
      </c>
      <c r="B568" s="2" t="s">
        <v>266</v>
      </c>
      <c r="C568" s="2" t="s">
        <v>5045</v>
      </c>
      <c r="D568" s="2"/>
    </row>
    <row r="569" spans="1:4" x14ac:dyDescent="0.3">
      <c r="A569" s="2" t="s">
        <v>3109</v>
      </c>
      <c r="B569" s="2" t="s">
        <v>266</v>
      </c>
      <c r="C569" s="2" t="s">
        <v>5045</v>
      </c>
      <c r="D569" s="2"/>
    </row>
    <row r="570" spans="1:4" x14ac:dyDescent="0.3">
      <c r="A570" s="2" t="s">
        <v>3111</v>
      </c>
      <c r="B570" s="2" t="s">
        <v>266</v>
      </c>
      <c r="C570" s="2" t="s">
        <v>5045</v>
      </c>
      <c r="D570" s="2"/>
    </row>
    <row r="571" spans="1:4" x14ac:dyDescent="0.3">
      <c r="A571" s="2" t="s">
        <v>3113</v>
      </c>
      <c r="B571" s="2" t="s">
        <v>266</v>
      </c>
      <c r="C571" s="2" t="s">
        <v>5045</v>
      </c>
      <c r="D571" s="2"/>
    </row>
    <row r="572" spans="1:4" x14ac:dyDescent="0.3">
      <c r="A572" s="2" t="s">
        <v>3115</v>
      </c>
      <c r="B572" s="2" t="s">
        <v>266</v>
      </c>
      <c r="C572" s="2" t="s">
        <v>5045</v>
      </c>
      <c r="D572" s="2"/>
    </row>
    <row r="573" spans="1:4" x14ac:dyDescent="0.3">
      <c r="A573" s="2" t="s">
        <v>3117</v>
      </c>
      <c r="B573" s="2" t="s">
        <v>266</v>
      </c>
      <c r="C573" s="2" t="s">
        <v>5045</v>
      </c>
      <c r="D573" s="2"/>
    </row>
    <row r="574" spans="1:4" x14ac:dyDescent="0.3">
      <c r="A574" s="2" t="s">
        <v>3119</v>
      </c>
      <c r="B574" s="2" t="s">
        <v>266</v>
      </c>
      <c r="C574" s="2" t="s">
        <v>5045</v>
      </c>
      <c r="D574" s="2"/>
    </row>
    <row r="575" spans="1:4" x14ac:dyDescent="0.3">
      <c r="A575" s="2" t="s">
        <v>3121</v>
      </c>
      <c r="B575" s="2" t="s">
        <v>266</v>
      </c>
      <c r="C575" s="2" t="s">
        <v>5045</v>
      </c>
      <c r="D575" s="2"/>
    </row>
    <row r="576" spans="1:4" x14ac:dyDescent="0.3">
      <c r="A576" s="2" t="s">
        <v>3123</v>
      </c>
      <c r="B576" s="2" t="s">
        <v>266</v>
      </c>
      <c r="C576" s="2" t="s">
        <v>5045</v>
      </c>
      <c r="D576" s="2"/>
    </row>
    <row r="577" spans="1:4" x14ac:dyDescent="0.3">
      <c r="A577" s="2" t="s">
        <v>3125</v>
      </c>
      <c r="B577" s="2" t="s">
        <v>266</v>
      </c>
      <c r="C577" s="2" t="s">
        <v>5045</v>
      </c>
      <c r="D577" s="2"/>
    </row>
    <row r="578" spans="1:4" x14ac:dyDescent="0.3">
      <c r="A578" s="2" t="s">
        <v>3127</v>
      </c>
      <c r="B578" s="2" t="s">
        <v>266</v>
      </c>
      <c r="C578" s="2" t="s">
        <v>5045</v>
      </c>
      <c r="D578" s="2"/>
    </row>
    <row r="579" spans="1:4" x14ac:dyDescent="0.3">
      <c r="A579" s="2" t="s">
        <v>3128</v>
      </c>
      <c r="B579" s="2" t="s">
        <v>266</v>
      </c>
      <c r="C579" s="2" t="s">
        <v>5045</v>
      </c>
      <c r="D579" s="2"/>
    </row>
    <row r="580" spans="1:4" x14ac:dyDescent="0.3">
      <c r="A580" s="2" t="s">
        <v>3129</v>
      </c>
      <c r="B580" s="2" t="s">
        <v>266</v>
      </c>
      <c r="C580" s="2" t="s">
        <v>5045</v>
      </c>
      <c r="D580" s="2"/>
    </row>
    <row r="581" spans="1:4" x14ac:dyDescent="0.3">
      <c r="A581" s="2" t="s">
        <v>3130</v>
      </c>
      <c r="B581" s="2" t="s">
        <v>266</v>
      </c>
      <c r="C581" s="2" t="s">
        <v>5045</v>
      </c>
      <c r="D581" s="2"/>
    </row>
    <row r="582" spans="1:4" x14ac:dyDescent="0.3">
      <c r="A582" s="2" t="s">
        <v>3131</v>
      </c>
      <c r="B582" s="2" t="s">
        <v>266</v>
      </c>
      <c r="C582" s="2" t="s">
        <v>5045</v>
      </c>
      <c r="D582" s="2"/>
    </row>
    <row r="583" spans="1:4" x14ac:dyDescent="0.3">
      <c r="A583" s="2" t="s">
        <v>3132</v>
      </c>
      <c r="B583" s="2" t="s">
        <v>266</v>
      </c>
      <c r="C583" s="2" t="s">
        <v>5045</v>
      </c>
      <c r="D583" s="2"/>
    </row>
    <row r="584" spans="1:4" x14ac:dyDescent="0.3">
      <c r="A584" s="2" t="s">
        <v>3134</v>
      </c>
      <c r="B584" s="2" t="s">
        <v>266</v>
      </c>
      <c r="C584" s="2" t="s">
        <v>5045</v>
      </c>
      <c r="D584" s="2"/>
    </row>
    <row r="585" spans="1:4" x14ac:dyDescent="0.3">
      <c r="A585" s="2" t="s">
        <v>3136</v>
      </c>
      <c r="B585" s="2" t="s">
        <v>266</v>
      </c>
      <c r="C585" s="2" t="s">
        <v>5045</v>
      </c>
      <c r="D585" s="2"/>
    </row>
    <row r="586" spans="1:4" x14ac:dyDescent="0.3">
      <c r="A586" s="2" t="s">
        <v>3138</v>
      </c>
      <c r="B586" s="2" t="s">
        <v>266</v>
      </c>
      <c r="C586" s="2" t="s">
        <v>5045</v>
      </c>
      <c r="D586" s="2"/>
    </row>
    <row r="587" spans="1:4" x14ac:dyDescent="0.3">
      <c r="A587" s="2" t="s">
        <v>3140</v>
      </c>
      <c r="B587" s="2" t="s">
        <v>266</v>
      </c>
      <c r="C587" s="2" t="s">
        <v>5045</v>
      </c>
      <c r="D587" s="2"/>
    </row>
    <row r="588" spans="1:4" x14ac:dyDescent="0.3">
      <c r="A588" s="2" t="s">
        <v>3142</v>
      </c>
      <c r="B588" s="2" t="s">
        <v>266</v>
      </c>
      <c r="C588" s="2" t="s">
        <v>5045</v>
      </c>
      <c r="D588" s="2"/>
    </row>
    <row r="589" spans="1:4" x14ac:dyDescent="0.3">
      <c r="A589" s="2" t="s">
        <v>3144</v>
      </c>
      <c r="B589" s="2" t="s">
        <v>266</v>
      </c>
      <c r="C589" s="2" t="s">
        <v>5045</v>
      </c>
      <c r="D589" s="2"/>
    </row>
    <row r="590" spans="1:4" x14ac:dyDescent="0.3">
      <c r="A590" s="2" t="s">
        <v>3146</v>
      </c>
      <c r="B590" s="2" t="s">
        <v>266</v>
      </c>
      <c r="C590" s="2" t="s">
        <v>5045</v>
      </c>
      <c r="D590" s="2"/>
    </row>
    <row r="591" spans="1:4" x14ac:dyDescent="0.3">
      <c r="A591" s="2" t="s">
        <v>3148</v>
      </c>
      <c r="B591" s="2" t="s">
        <v>266</v>
      </c>
      <c r="C591" s="2" t="s">
        <v>5045</v>
      </c>
      <c r="D591" s="2"/>
    </row>
    <row r="592" spans="1:4" x14ac:dyDescent="0.3">
      <c r="A592" s="2" t="s">
        <v>3150</v>
      </c>
      <c r="B592" s="2" t="s">
        <v>266</v>
      </c>
      <c r="C592" s="2" t="s">
        <v>5045</v>
      </c>
      <c r="D592" s="2"/>
    </row>
    <row r="593" spans="1:4" x14ac:dyDescent="0.3">
      <c r="A593" s="2" t="s">
        <v>3152</v>
      </c>
      <c r="B593" s="2" t="s">
        <v>266</v>
      </c>
      <c r="C593" s="2" t="s">
        <v>5045</v>
      </c>
      <c r="D593" s="2"/>
    </row>
    <row r="594" spans="1:4" x14ac:dyDescent="0.3">
      <c r="A594" s="2" t="s">
        <v>3154</v>
      </c>
      <c r="B594" s="2" t="s">
        <v>266</v>
      </c>
      <c r="C594" s="2" t="s">
        <v>5045</v>
      </c>
      <c r="D594" s="2"/>
    </row>
    <row r="595" spans="1:4" x14ac:dyDescent="0.3">
      <c r="A595" s="2" t="s">
        <v>3156</v>
      </c>
      <c r="B595" s="2" t="s">
        <v>266</v>
      </c>
      <c r="C595" s="2" t="s">
        <v>5045</v>
      </c>
      <c r="D595" s="2"/>
    </row>
    <row r="596" spans="1:4" x14ac:dyDescent="0.3">
      <c r="A596" s="2" t="s">
        <v>3158</v>
      </c>
      <c r="B596" s="2" t="s">
        <v>266</v>
      </c>
      <c r="C596" s="2" t="s">
        <v>5045</v>
      </c>
      <c r="D596" s="2"/>
    </row>
    <row r="597" spans="1:4" x14ac:dyDescent="0.3">
      <c r="A597" s="2" t="s">
        <v>3160</v>
      </c>
      <c r="B597" s="2" t="s">
        <v>266</v>
      </c>
      <c r="C597" s="2" t="s">
        <v>5045</v>
      </c>
      <c r="D597" s="2"/>
    </row>
    <row r="598" spans="1:4" x14ac:dyDescent="0.3">
      <c r="A598" s="2" t="s">
        <v>3162</v>
      </c>
      <c r="B598" s="2" t="s">
        <v>266</v>
      </c>
      <c r="C598" s="2" t="s">
        <v>5045</v>
      </c>
      <c r="D598" s="2"/>
    </row>
    <row r="599" spans="1:4" x14ac:dyDescent="0.3">
      <c r="A599" s="2" t="s">
        <v>3164</v>
      </c>
      <c r="B599" s="2" t="s">
        <v>266</v>
      </c>
      <c r="C599" s="2" t="s">
        <v>5045</v>
      </c>
      <c r="D599" s="2"/>
    </row>
    <row r="600" spans="1:4" x14ac:dyDescent="0.3">
      <c r="A600" s="2" t="s">
        <v>3165</v>
      </c>
      <c r="B600" s="2" t="s">
        <v>266</v>
      </c>
      <c r="C600" s="2" t="s">
        <v>5045</v>
      </c>
      <c r="D600" s="2"/>
    </row>
    <row r="601" spans="1:4" x14ac:dyDescent="0.3">
      <c r="A601" s="2" t="s">
        <v>3167</v>
      </c>
      <c r="B601" s="2" t="s">
        <v>266</v>
      </c>
      <c r="C601" s="2" t="s">
        <v>5045</v>
      </c>
      <c r="D601" s="2"/>
    </row>
    <row r="602" spans="1:4" x14ac:dyDescent="0.3">
      <c r="A602" s="2" t="s">
        <v>3169</v>
      </c>
      <c r="B602" s="2" t="s">
        <v>266</v>
      </c>
      <c r="C602" s="2" t="s">
        <v>5045</v>
      </c>
      <c r="D602" s="2"/>
    </row>
    <row r="603" spans="1:4" x14ac:dyDescent="0.3">
      <c r="A603" s="2" t="s">
        <v>3171</v>
      </c>
      <c r="B603" s="2" t="s">
        <v>266</v>
      </c>
      <c r="C603" s="2" t="s">
        <v>5045</v>
      </c>
      <c r="D603" s="2"/>
    </row>
    <row r="604" spans="1:4" x14ac:dyDescent="0.3">
      <c r="A604" s="2" t="s">
        <v>3173</v>
      </c>
      <c r="B604" s="2" t="s">
        <v>266</v>
      </c>
      <c r="C604" s="2" t="s">
        <v>5045</v>
      </c>
      <c r="D604" s="2"/>
    </row>
    <row r="605" spans="1:4" x14ac:dyDescent="0.3">
      <c r="A605" s="2" t="s">
        <v>3175</v>
      </c>
      <c r="B605" s="2" t="s">
        <v>266</v>
      </c>
      <c r="C605" s="2" t="s">
        <v>5045</v>
      </c>
      <c r="D605" s="2"/>
    </row>
    <row r="606" spans="1:4" x14ac:dyDescent="0.3">
      <c r="A606" s="2" t="s">
        <v>3177</v>
      </c>
      <c r="B606" s="2" t="s">
        <v>266</v>
      </c>
      <c r="C606" s="2" t="s">
        <v>5045</v>
      </c>
      <c r="D606" s="2"/>
    </row>
    <row r="607" spans="1:4" x14ac:dyDescent="0.3">
      <c r="A607" s="2" t="s">
        <v>3179</v>
      </c>
      <c r="B607" s="2" t="s">
        <v>266</v>
      </c>
      <c r="C607" s="2" t="s">
        <v>5045</v>
      </c>
      <c r="D607" s="2"/>
    </row>
    <row r="608" spans="1:4" x14ac:dyDescent="0.3">
      <c r="A608" s="2" t="s">
        <v>3181</v>
      </c>
      <c r="B608" s="2" t="s">
        <v>266</v>
      </c>
      <c r="C608" s="2" t="s">
        <v>5045</v>
      </c>
      <c r="D608" s="2"/>
    </row>
    <row r="609" spans="1:4" x14ac:dyDescent="0.3">
      <c r="A609" s="2" t="s">
        <v>3183</v>
      </c>
      <c r="B609" s="2" t="s">
        <v>266</v>
      </c>
      <c r="C609" s="2" t="s">
        <v>5045</v>
      </c>
      <c r="D609" s="2"/>
    </row>
    <row r="610" spans="1:4" x14ac:dyDescent="0.3">
      <c r="A610" s="2" t="s">
        <v>3185</v>
      </c>
      <c r="B610" s="2" t="s">
        <v>266</v>
      </c>
      <c r="C610" s="2" t="s">
        <v>5045</v>
      </c>
      <c r="D610" s="2"/>
    </row>
    <row r="611" spans="1:4" x14ac:dyDescent="0.3">
      <c r="A611" s="2" t="s">
        <v>3187</v>
      </c>
      <c r="B611" s="2" t="s">
        <v>266</v>
      </c>
      <c r="C611" s="2" t="s">
        <v>5045</v>
      </c>
      <c r="D611" s="2"/>
    </row>
    <row r="612" spans="1:4" x14ac:dyDescent="0.3">
      <c r="A612" s="2" t="s">
        <v>3189</v>
      </c>
      <c r="B612" s="2" t="s">
        <v>266</v>
      </c>
      <c r="C612" s="2" t="s">
        <v>5045</v>
      </c>
      <c r="D612" s="2"/>
    </row>
    <row r="613" spans="1:4" x14ac:dyDescent="0.3">
      <c r="A613" s="2" t="s">
        <v>3191</v>
      </c>
      <c r="B613" s="2" t="s">
        <v>266</v>
      </c>
      <c r="C613" s="2" t="s">
        <v>5045</v>
      </c>
      <c r="D613" s="2"/>
    </row>
    <row r="614" spans="1:4" x14ac:dyDescent="0.3">
      <c r="A614" s="2" t="s">
        <v>3193</v>
      </c>
      <c r="B614" s="2" t="s">
        <v>266</v>
      </c>
      <c r="C614" s="2" t="s">
        <v>5045</v>
      </c>
      <c r="D614" s="2"/>
    </row>
    <row r="615" spans="1:4" x14ac:dyDescent="0.3">
      <c r="A615" s="2" t="s">
        <v>3195</v>
      </c>
      <c r="B615" s="2" t="s">
        <v>266</v>
      </c>
      <c r="C615" s="2" t="s">
        <v>5045</v>
      </c>
      <c r="D615" s="2"/>
    </row>
    <row r="616" spans="1:4" x14ac:dyDescent="0.3">
      <c r="A616" s="2" t="s">
        <v>3197</v>
      </c>
      <c r="B616" s="2" t="s">
        <v>266</v>
      </c>
      <c r="C616" s="2" t="s">
        <v>5045</v>
      </c>
      <c r="D616" s="2"/>
    </row>
    <row r="617" spans="1:4" x14ac:dyDescent="0.3">
      <c r="A617" s="2" t="s">
        <v>3199</v>
      </c>
      <c r="B617" s="2" t="s">
        <v>266</v>
      </c>
      <c r="C617" s="2" t="s">
        <v>5045</v>
      </c>
      <c r="D617" s="2"/>
    </row>
    <row r="618" spans="1:4" x14ac:dyDescent="0.3">
      <c r="A618" s="2" t="s">
        <v>3201</v>
      </c>
      <c r="B618" s="2" t="s">
        <v>266</v>
      </c>
      <c r="C618" s="2" t="s">
        <v>5045</v>
      </c>
      <c r="D618" s="2"/>
    </row>
    <row r="619" spans="1:4" x14ac:dyDescent="0.3">
      <c r="A619" s="2" t="s">
        <v>3203</v>
      </c>
      <c r="B619" s="2" t="s">
        <v>266</v>
      </c>
      <c r="C619" s="2" t="s">
        <v>5045</v>
      </c>
      <c r="D619" s="2"/>
    </row>
    <row r="620" spans="1:4" x14ac:dyDescent="0.3">
      <c r="A620" s="2" t="s">
        <v>3205</v>
      </c>
      <c r="B620" s="2" t="s">
        <v>266</v>
      </c>
      <c r="C620" s="2" t="s">
        <v>5045</v>
      </c>
      <c r="D620" s="2"/>
    </row>
    <row r="621" spans="1:4" x14ac:dyDescent="0.3">
      <c r="A621" s="2" t="s">
        <v>3207</v>
      </c>
      <c r="B621" s="2" t="s">
        <v>266</v>
      </c>
      <c r="C621" s="2" t="s">
        <v>5045</v>
      </c>
      <c r="D621" s="2"/>
    </row>
    <row r="622" spans="1:4" x14ac:dyDescent="0.3">
      <c r="A622" s="2" t="s">
        <v>3209</v>
      </c>
      <c r="B622" s="2" t="s">
        <v>266</v>
      </c>
      <c r="C622" s="2" t="s">
        <v>5045</v>
      </c>
      <c r="D622" s="2"/>
    </row>
    <row r="623" spans="1:4" x14ac:dyDescent="0.3">
      <c r="A623" s="2" t="s">
        <v>3211</v>
      </c>
      <c r="B623" s="2" t="s">
        <v>266</v>
      </c>
      <c r="C623" s="2" t="s">
        <v>5045</v>
      </c>
      <c r="D623" s="2"/>
    </row>
    <row r="624" spans="1:4" x14ac:dyDescent="0.3">
      <c r="A624" s="2" t="s">
        <v>3213</v>
      </c>
      <c r="B624" s="2" t="s">
        <v>266</v>
      </c>
      <c r="C624" s="2" t="s">
        <v>5045</v>
      </c>
      <c r="D624" s="2"/>
    </row>
    <row r="625" spans="1:4" x14ac:dyDescent="0.3">
      <c r="A625" s="2" t="s">
        <v>3214</v>
      </c>
      <c r="B625" s="2" t="s">
        <v>266</v>
      </c>
      <c r="C625" s="2" t="s">
        <v>5045</v>
      </c>
      <c r="D625" s="2"/>
    </row>
    <row r="626" spans="1:4" x14ac:dyDescent="0.3">
      <c r="A626" s="2" t="s">
        <v>3216</v>
      </c>
      <c r="B626" s="2" t="s">
        <v>266</v>
      </c>
      <c r="C626" s="2" t="s">
        <v>5045</v>
      </c>
      <c r="D626" s="2"/>
    </row>
    <row r="627" spans="1:4" x14ac:dyDescent="0.3">
      <c r="A627" s="2" t="s">
        <v>3218</v>
      </c>
      <c r="B627" s="2" t="s">
        <v>266</v>
      </c>
      <c r="C627" s="2" t="s">
        <v>5045</v>
      </c>
      <c r="D627" s="2"/>
    </row>
    <row r="628" spans="1:4" x14ac:dyDescent="0.3">
      <c r="A628" s="2" t="s">
        <v>3220</v>
      </c>
      <c r="B628" s="2" t="s">
        <v>266</v>
      </c>
      <c r="C628" s="2" t="s">
        <v>5045</v>
      </c>
      <c r="D628" s="2"/>
    </row>
    <row r="629" spans="1:4" x14ac:dyDescent="0.3">
      <c r="A629" s="2" t="s">
        <v>3222</v>
      </c>
      <c r="B629" s="2" t="s">
        <v>266</v>
      </c>
      <c r="C629" s="2" t="s">
        <v>5045</v>
      </c>
      <c r="D629" s="2"/>
    </row>
    <row r="630" spans="1:4" x14ac:dyDescent="0.3">
      <c r="A630" s="2" t="s">
        <v>3224</v>
      </c>
      <c r="B630" s="2" t="s">
        <v>266</v>
      </c>
      <c r="C630" s="2" t="s">
        <v>5045</v>
      </c>
      <c r="D630" s="2"/>
    </row>
    <row r="631" spans="1:4" x14ac:dyDescent="0.3">
      <c r="A631" s="2" t="s">
        <v>3226</v>
      </c>
      <c r="B631" s="2" t="s">
        <v>266</v>
      </c>
      <c r="C631" s="2" t="s">
        <v>5045</v>
      </c>
      <c r="D631" s="2"/>
    </row>
    <row r="632" spans="1:4" x14ac:dyDescent="0.3">
      <c r="A632" s="2" t="s">
        <v>3228</v>
      </c>
      <c r="B632" s="2" t="s">
        <v>266</v>
      </c>
      <c r="C632" s="2" t="s">
        <v>5045</v>
      </c>
      <c r="D632" s="2"/>
    </row>
    <row r="633" spans="1:4" x14ac:dyDescent="0.3">
      <c r="A633" s="2" t="s">
        <v>3230</v>
      </c>
      <c r="B633" s="2" t="s">
        <v>266</v>
      </c>
      <c r="C633" s="2" t="s">
        <v>5045</v>
      </c>
      <c r="D633" s="2"/>
    </row>
    <row r="634" spans="1:4" x14ac:dyDescent="0.3">
      <c r="A634" s="2" t="s">
        <v>3232</v>
      </c>
      <c r="B634" s="2" t="s">
        <v>266</v>
      </c>
      <c r="C634" s="2" t="s">
        <v>5045</v>
      </c>
      <c r="D634" s="2"/>
    </row>
    <row r="635" spans="1:4" x14ac:dyDescent="0.3">
      <c r="A635" s="2" t="s">
        <v>3233</v>
      </c>
      <c r="B635" s="2" t="s">
        <v>266</v>
      </c>
      <c r="C635" s="2" t="s">
        <v>5045</v>
      </c>
      <c r="D635" s="2"/>
    </row>
    <row r="636" spans="1:4" x14ac:dyDescent="0.3">
      <c r="A636" s="2" t="s">
        <v>3235</v>
      </c>
      <c r="B636" s="2" t="s">
        <v>266</v>
      </c>
      <c r="C636" s="2" t="s">
        <v>5045</v>
      </c>
      <c r="D636" s="2"/>
    </row>
    <row r="637" spans="1:4" x14ac:dyDescent="0.3">
      <c r="A637" s="2" t="s">
        <v>3237</v>
      </c>
      <c r="B637" s="2" t="s">
        <v>266</v>
      </c>
      <c r="C637" s="2" t="s">
        <v>5045</v>
      </c>
      <c r="D637" s="2"/>
    </row>
    <row r="638" spans="1:4" x14ac:dyDescent="0.3">
      <c r="A638" s="2" t="s">
        <v>3239</v>
      </c>
      <c r="B638" s="2" t="s">
        <v>266</v>
      </c>
      <c r="C638" s="2" t="s">
        <v>5045</v>
      </c>
      <c r="D638" s="2"/>
    </row>
    <row r="639" spans="1:4" x14ac:dyDescent="0.3">
      <c r="A639" s="2" t="s">
        <v>3241</v>
      </c>
      <c r="B639" s="2" t="s">
        <v>266</v>
      </c>
      <c r="C639" s="2" t="s">
        <v>5045</v>
      </c>
      <c r="D639" s="2"/>
    </row>
    <row r="640" spans="1:4" x14ac:dyDescent="0.3">
      <c r="A640" s="2" t="s">
        <v>3243</v>
      </c>
      <c r="B640" s="2" t="s">
        <v>266</v>
      </c>
      <c r="C640" s="2" t="s">
        <v>5045</v>
      </c>
      <c r="D640" s="2"/>
    </row>
    <row r="641" spans="1:4" x14ac:dyDescent="0.3">
      <c r="A641" s="2" t="s">
        <v>3244</v>
      </c>
      <c r="B641" s="2" t="s">
        <v>266</v>
      </c>
      <c r="C641" s="2" t="s">
        <v>5045</v>
      </c>
      <c r="D641" s="2"/>
    </row>
    <row r="642" spans="1:4" x14ac:dyDescent="0.3">
      <c r="A642" s="2" t="s">
        <v>3246</v>
      </c>
      <c r="B642" s="2" t="s">
        <v>266</v>
      </c>
      <c r="C642" s="2" t="s">
        <v>5045</v>
      </c>
      <c r="D642" s="2"/>
    </row>
    <row r="643" spans="1:4" x14ac:dyDescent="0.3">
      <c r="A643" s="2" t="s">
        <v>3248</v>
      </c>
      <c r="B643" s="2" t="s">
        <v>266</v>
      </c>
      <c r="C643" s="2" t="s">
        <v>5045</v>
      </c>
      <c r="D643" s="2"/>
    </row>
    <row r="644" spans="1:4" x14ac:dyDescent="0.3">
      <c r="A644" s="2" t="s">
        <v>3250</v>
      </c>
      <c r="B644" s="2" t="s">
        <v>266</v>
      </c>
      <c r="C644" s="2" t="s">
        <v>5045</v>
      </c>
      <c r="D644" s="2"/>
    </row>
    <row r="645" spans="1:4" x14ac:dyDescent="0.3">
      <c r="A645" s="2" t="s">
        <v>3252</v>
      </c>
      <c r="B645" s="2" t="s">
        <v>266</v>
      </c>
      <c r="C645" s="2" t="s">
        <v>5045</v>
      </c>
      <c r="D645" s="2"/>
    </row>
    <row r="646" spans="1:4" x14ac:dyDescent="0.3">
      <c r="A646" s="2" t="s">
        <v>3254</v>
      </c>
      <c r="B646" s="2" t="s">
        <v>266</v>
      </c>
      <c r="C646" s="2" t="s">
        <v>5045</v>
      </c>
      <c r="D646" s="2"/>
    </row>
    <row r="647" spans="1:4" x14ac:dyDescent="0.3">
      <c r="A647" s="2" t="s">
        <v>3256</v>
      </c>
      <c r="B647" s="2" t="s">
        <v>266</v>
      </c>
      <c r="C647" s="2" t="s">
        <v>5045</v>
      </c>
      <c r="D647" s="2"/>
    </row>
    <row r="648" spans="1:4" x14ac:dyDescent="0.3">
      <c r="A648" s="2" t="s">
        <v>3258</v>
      </c>
      <c r="B648" s="2" t="s">
        <v>266</v>
      </c>
      <c r="C648" s="2" t="s">
        <v>5045</v>
      </c>
      <c r="D648" s="2"/>
    </row>
    <row r="649" spans="1:4" x14ac:dyDescent="0.3">
      <c r="A649" s="2" t="s">
        <v>3260</v>
      </c>
      <c r="B649" s="2" t="s">
        <v>266</v>
      </c>
      <c r="C649" s="2" t="s">
        <v>5045</v>
      </c>
      <c r="D649" s="2"/>
    </row>
    <row r="650" spans="1:4" x14ac:dyDescent="0.3">
      <c r="A650" s="2" t="s">
        <v>3262</v>
      </c>
      <c r="B650" s="2" t="s">
        <v>266</v>
      </c>
      <c r="C650" s="2" t="s">
        <v>5045</v>
      </c>
      <c r="D650" s="2"/>
    </row>
    <row r="651" spans="1:4" x14ac:dyDescent="0.3">
      <c r="A651" s="2" t="s">
        <v>3264</v>
      </c>
      <c r="B651" s="2" t="s">
        <v>266</v>
      </c>
      <c r="C651" s="2" t="s">
        <v>5045</v>
      </c>
      <c r="D651" s="2"/>
    </row>
    <row r="652" spans="1:4" x14ac:dyDescent="0.3">
      <c r="A652" s="2" t="s">
        <v>3266</v>
      </c>
      <c r="B652" s="2" t="s">
        <v>266</v>
      </c>
      <c r="C652" s="2" t="s">
        <v>5045</v>
      </c>
      <c r="D652" s="2"/>
    </row>
    <row r="653" spans="1:4" x14ac:dyDescent="0.3">
      <c r="A653" s="2" t="s">
        <v>3268</v>
      </c>
      <c r="B653" s="2" t="s">
        <v>266</v>
      </c>
      <c r="C653" s="2" t="s">
        <v>5045</v>
      </c>
      <c r="D653" s="2"/>
    </row>
    <row r="654" spans="1:4" x14ac:dyDescent="0.3">
      <c r="A654" s="2" t="s">
        <v>3270</v>
      </c>
      <c r="B654" s="2" t="s">
        <v>266</v>
      </c>
      <c r="C654" s="2" t="s">
        <v>5045</v>
      </c>
      <c r="D654" s="2"/>
    </row>
    <row r="655" spans="1:4" x14ac:dyDescent="0.3">
      <c r="A655" s="2" t="s">
        <v>3272</v>
      </c>
      <c r="B655" s="2" t="s">
        <v>266</v>
      </c>
      <c r="C655" s="2" t="s">
        <v>5045</v>
      </c>
      <c r="D655" s="2"/>
    </row>
    <row r="656" spans="1:4" x14ac:dyDescent="0.3">
      <c r="A656" s="2" t="s">
        <v>3274</v>
      </c>
      <c r="B656" s="2" t="s">
        <v>266</v>
      </c>
      <c r="C656" s="2" t="s">
        <v>5045</v>
      </c>
      <c r="D656" s="2"/>
    </row>
    <row r="657" spans="1:4" x14ac:dyDescent="0.3">
      <c r="A657" s="2" t="s">
        <v>3276</v>
      </c>
      <c r="B657" s="2" t="s">
        <v>266</v>
      </c>
      <c r="C657" s="2" t="s">
        <v>5045</v>
      </c>
      <c r="D657" s="2"/>
    </row>
    <row r="658" spans="1:4" x14ac:dyDescent="0.3">
      <c r="A658" s="2" t="s">
        <v>3278</v>
      </c>
      <c r="B658" s="2" t="s">
        <v>266</v>
      </c>
      <c r="C658" s="2" t="s">
        <v>5045</v>
      </c>
      <c r="D658" s="2"/>
    </row>
    <row r="659" spans="1:4" x14ac:dyDescent="0.3">
      <c r="A659" s="2" t="s">
        <v>3280</v>
      </c>
      <c r="B659" s="2" t="s">
        <v>266</v>
      </c>
      <c r="C659" s="2" t="s">
        <v>5045</v>
      </c>
      <c r="D659" s="2"/>
    </row>
    <row r="660" spans="1:4" x14ac:dyDescent="0.3">
      <c r="A660" s="2" t="s">
        <v>3282</v>
      </c>
      <c r="B660" s="2" t="s">
        <v>266</v>
      </c>
      <c r="C660" s="2" t="s">
        <v>5045</v>
      </c>
      <c r="D660" s="2"/>
    </row>
    <row r="661" spans="1:4" x14ac:dyDescent="0.3">
      <c r="A661" s="2" t="s">
        <v>3284</v>
      </c>
      <c r="B661" s="2" t="s">
        <v>266</v>
      </c>
      <c r="C661" s="2" t="s">
        <v>5045</v>
      </c>
      <c r="D661" s="2"/>
    </row>
    <row r="662" spans="1:4" x14ac:dyDescent="0.3">
      <c r="A662" s="2" t="s">
        <v>3286</v>
      </c>
      <c r="B662" s="2" t="s">
        <v>266</v>
      </c>
      <c r="C662" s="2" t="s">
        <v>5045</v>
      </c>
      <c r="D662" s="2"/>
    </row>
    <row r="663" spans="1:4" x14ac:dyDescent="0.3">
      <c r="A663" s="2" t="s">
        <v>3288</v>
      </c>
      <c r="B663" s="2" t="s">
        <v>266</v>
      </c>
      <c r="C663" s="2" t="s">
        <v>5045</v>
      </c>
      <c r="D663" s="2"/>
    </row>
    <row r="664" spans="1:4" x14ac:dyDescent="0.3">
      <c r="A664" s="2" t="s">
        <v>3290</v>
      </c>
      <c r="B664" s="2" t="s">
        <v>266</v>
      </c>
      <c r="C664" s="2" t="s">
        <v>5045</v>
      </c>
      <c r="D664" s="2"/>
    </row>
    <row r="665" spans="1:4" x14ac:dyDescent="0.3">
      <c r="A665" s="2" t="s">
        <v>3292</v>
      </c>
      <c r="B665" s="2" t="s">
        <v>266</v>
      </c>
      <c r="C665" s="2" t="s">
        <v>5045</v>
      </c>
      <c r="D665" s="2"/>
    </row>
    <row r="666" spans="1:4" x14ac:dyDescent="0.3">
      <c r="A666" s="2" t="s">
        <v>3294</v>
      </c>
      <c r="B666" s="2" t="s">
        <v>266</v>
      </c>
      <c r="C666" s="2" t="s">
        <v>5045</v>
      </c>
      <c r="D666" s="2"/>
    </row>
    <row r="667" spans="1:4" x14ac:dyDescent="0.3">
      <c r="A667" s="2" t="s">
        <v>3296</v>
      </c>
      <c r="B667" s="2" t="s">
        <v>266</v>
      </c>
      <c r="C667" s="2" t="s">
        <v>5045</v>
      </c>
      <c r="D667" s="2"/>
    </row>
    <row r="668" spans="1:4" x14ac:dyDescent="0.3">
      <c r="A668" s="2" t="s">
        <v>3298</v>
      </c>
      <c r="B668" s="2" t="s">
        <v>266</v>
      </c>
      <c r="C668" s="2" t="s">
        <v>5045</v>
      </c>
      <c r="D668" s="2"/>
    </row>
    <row r="669" spans="1:4" x14ac:dyDescent="0.3">
      <c r="A669" s="2" t="s">
        <v>3299</v>
      </c>
      <c r="B669" s="2" t="s">
        <v>266</v>
      </c>
      <c r="C669" s="2" t="s">
        <v>5045</v>
      </c>
      <c r="D669" s="2"/>
    </row>
    <row r="670" spans="1:4" x14ac:dyDescent="0.3">
      <c r="A670" s="2" t="s">
        <v>3301</v>
      </c>
      <c r="B670" s="2" t="s">
        <v>266</v>
      </c>
      <c r="C670" s="2" t="s">
        <v>5045</v>
      </c>
      <c r="D670" s="2"/>
    </row>
    <row r="671" spans="1:4" x14ac:dyDescent="0.3">
      <c r="A671" s="2" t="s">
        <v>3303</v>
      </c>
      <c r="B671" s="2" t="s">
        <v>266</v>
      </c>
      <c r="C671" s="2" t="s">
        <v>5045</v>
      </c>
      <c r="D671" s="2"/>
    </row>
    <row r="672" spans="1:4" x14ac:dyDescent="0.3">
      <c r="A672" s="2" t="s">
        <v>3305</v>
      </c>
      <c r="B672" s="2" t="s">
        <v>266</v>
      </c>
      <c r="C672" s="2" t="s">
        <v>5045</v>
      </c>
      <c r="D672" s="2"/>
    </row>
    <row r="673" spans="1:4" x14ac:dyDescent="0.3">
      <c r="A673" s="2" t="s">
        <v>3307</v>
      </c>
      <c r="B673" s="2" t="s">
        <v>266</v>
      </c>
      <c r="C673" s="2" t="s">
        <v>5045</v>
      </c>
      <c r="D673" s="2"/>
    </row>
    <row r="674" spans="1:4" x14ac:dyDescent="0.3">
      <c r="A674" s="2" t="s">
        <v>3309</v>
      </c>
      <c r="B674" s="2" t="s">
        <v>266</v>
      </c>
      <c r="C674" s="2" t="s">
        <v>5045</v>
      </c>
      <c r="D674" s="2"/>
    </row>
    <row r="675" spans="1:4" x14ac:dyDescent="0.3">
      <c r="A675" s="2" t="s">
        <v>3311</v>
      </c>
      <c r="B675" s="2" t="s">
        <v>266</v>
      </c>
      <c r="C675" s="2" t="s">
        <v>5045</v>
      </c>
      <c r="D675" s="2"/>
    </row>
    <row r="676" spans="1:4" x14ac:dyDescent="0.3">
      <c r="A676" s="2" t="s">
        <v>3313</v>
      </c>
      <c r="B676" s="2" t="s">
        <v>266</v>
      </c>
      <c r="C676" s="2" t="s">
        <v>5045</v>
      </c>
      <c r="D676" s="2"/>
    </row>
    <row r="677" spans="1:4" x14ac:dyDescent="0.3">
      <c r="A677" s="2" t="s">
        <v>3315</v>
      </c>
      <c r="B677" s="2" t="s">
        <v>266</v>
      </c>
      <c r="C677" s="2" t="s">
        <v>5045</v>
      </c>
      <c r="D677" s="2"/>
    </row>
    <row r="678" spans="1:4" x14ac:dyDescent="0.3">
      <c r="A678" s="2" t="s">
        <v>3317</v>
      </c>
      <c r="B678" s="2" t="s">
        <v>266</v>
      </c>
      <c r="C678" s="2" t="s">
        <v>5045</v>
      </c>
      <c r="D678" s="2"/>
    </row>
    <row r="679" spans="1:4" x14ac:dyDescent="0.3">
      <c r="A679" s="2" t="s">
        <v>3319</v>
      </c>
      <c r="B679" s="2" t="s">
        <v>266</v>
      </c>
      <c r="C679" s="2" t="s">
        <v>5045</v>
      </c>
      <c r="D679" s="2"/>
    </row>
    <row r="680" spans="1:4" x14ac:dyDescent="0.3">
      <c r="A680" s="2" t="s">
        <v>3321</v>
      </c>
      <c r="B680" s="2" t="s">
        <v>266</v>
      </c>
      <c r="C680" s="2" t="s">
        <v>5045</v>
      </c>
      <c r="D680" s="2"/>
    </row>
    <row r="681" spans="1:4" x14ac:dyDescent="0.3">
      <c r="A681" s="2" t="s">
        <v>3323</v>
      </c>
      <c r="B681" s="2" t="s">
        <v>266</v>
      </c>
      <c r="C681" s="2" t="s">
        <v>5045</v>
      </c>
      <c r="D681" s="2"/>
    </row>
    <row r="682" spans="1:4" x14ac:dyDescent="0.3">
      <c r="A682" s="2" t="s">
        <v>3325</v>
      </c>
      <c r="B682" s="2" t="s">
        <v>266</v>
      </c>
      <c r="C682" s="2" t="s">
        <v>5045</v>
      </c>
      <c r="D682" s="2"/>
    </row>
    <row r="683" spans="1:4" x14ac:dyDescent="0.3">
      <c r="A683" s="2" t="s">
        <v>3327</v>
      </c>
      <c r="B683" s="2" t="s">
        <v>266</v>
      </c>
      <c r="C683" s="2" t="s">
        <v>5045</v>
      </c>
      <c r="D683" s="2"/>
    </row>
    <row r="684" spans="1:4" x14ac:dyDescent="0.3">
      <c r="A684" s="2" t="s">
        <v>3329</v>
      </c>
      <c r="B684" s="2" t="s">
        <v>266</v>
      </c>
      <c r="C684" s="2" t="s">
        <v>5045</v>
      </c>
      <c r="D684" s="2"/>
    </row>
    <row r="685" spans="1:4" x14ac:dyDescent="0.3">
      <c r="A685" s="2" t="s">
        <v>3331</v>
      </c>
      <c r="B685" s="2" t="s">
        <v>266</v>
      </c>
      <c r="C685" s="2" t="s">
        <v>5045</v>
      </c>
      <c r="D685" s="2"/>
    </row>
    <row r="686" spans="1:4" x14ac:dyDescent="0.3">
      <c r="A686" s="2" t="s">
        <v>3333</v>
      </c>
      <c r="B686" s="2" t="s">
        <v>266</v>
      </c>
      <c r="C686" s="2" t="s">
        <v>5045</v>
      </c>
      <c r="D686" s="2"/>
    </row>
    <row r="687" spans="1:4" x14ac:dyDescent="0.3">
      <c r="A687" s="2" t="s">
        <v>3335</v>
      </c>
      <c r="B687" s="2" t="s">
        <v>266</v>
      </c>
      <c r="C687" s="2" t="s">
        <v>5045</v>
      </c>
      <c r="D687" s="2"/>
    </row>
    <row r="688" spans="1:4" x14ac:dyDescent="0.3">
      <c r="A688" s="2" t="s">
        <v>3337</v>
      </c>
      <c r="B688" s="2" t="s">
        <v>266</v>
      </c>
      <c r="C688" s="2" t="s">
        <v>5045</v>
      </c>
      <c r="D688" s="2"/>
    </row>
    <row r="689" spans="1:4" x14ac:dyDescent="0.3">
      <c r="A689" s="2" t="s">
        <v>3339</v>
      </c>
      <c r="B689" s="2" t="s">
        <v>266</v>
      </c>
      <c r="C689" s="2" t="s">
        <v>5045</v>
      </c>
      <c r="D689" s="2"/>
    </row>
    <row r="690" spans="1:4" x14ac:dyDescent="0.3">
      <c r="A690" s="2" t="s">
        <v>3341</v>
      </c>
      <c r="B690" s="2" t="s">
        <v>266</v>
      </c>
      <c r="C690" s="2" t="s">
        <v>5045</v>
      </c>
      <c r="D690" s="2"/>
    </row>
    <row r="691" spans="1:4" x14ac:dyDescent="0.3">
      <c r="A691" s="2" t="s">
        <v>3343</v>
      </c>
      <c r="B691" s="2" t="s">
        <v>266</v>
      </c>
      <c r="C691" s="2" t="s">
        <v>5045</v>
      </c>
      <c r="D691" s="2"/>
    </row>
    <row r="692" spans="1:4" x14ac:dyDescent="0.3">
      <c r="A692" s="2" t="s">
        <v>3345</v>
      </c>
      <c r="B692" s="2" t="s">
        <v>266</v>
      </c>
      <c r="C692" s="2" t="s">
        <v>5045</v>
      </c>
      <c r="D692" s="2"/>
    </row>
    <row r="693" spans="1:4" x14ac:dyDescent="0.3">
      <c r="A693" s="2" t="s">
        <v>3347</v>
      </c>
      <c r="B693" s="2" t="s">
        <v>266</v>
      </c>
      <c r="C693" s="2" t="s">
        <v>5045</v>
      </c>
      <c r="D693" s="2"/>
    </row>
    <row r="694" spans="1:4" x14ac:dyDescent="0.3">
      <c r="A694" s="2" t="s">
        <v>3349</v>
      </c>
      <c r="B694" s="2" t="s">
        <v>266</v>
      </c>
      <c r="C694" s="2" t="s">
        <v>5045</v>
      </c>
      <c r="D694" s="2"/>
    </row>
    <row r="695" spans="1:4" x14ac:dyDescent="0.3">
      <c r="A695" s="2" t="s">
        <v>3351</v>
      </c>
      <c r="B695" s="2" t="s">
        <v>266</v>
      </c>
      <c r="C695" s="2" t="s">
        <v>5045</v>
      </c>
      <c r="D695" s="2"/>
    </row>
    <row r="696" spans="1:4" x14ac:dyDescent="0.3">
      <c r="A696" s="2" t="s">
        <v>3353</v>
      </c>
      <c r="B696" s="2" t="s">
        <v>266</v>
      </c>
      <c r="C696" s="2" t="s">
        <v>5045</v>
      </c>
      <c r="D696" s="2"/>
    </row>
    <row r="697" spans="1:4" x14ac:dyDescent="0.3">
      <c r="A697" s="2" t="s">
        <v>3355</v>
      </c>
      <c r="B697" s="2" t="s">
        <v>266</v>
      </c>
      <c r="C697" s="2" t="s">
        <v>5045</v>
      </c>
      <c r="D697" s="2"/>
    </row>
    <row r="698" spans="1:4" x14ac:dyDescent="0.3">
      <c r="A698" s="2" t="s">
        <v>3357</v>
      </c>
      <c r="B698" s="2" t="s">
        <v>266</v>
      </c>
      <c r="C698" s="2" t="s">
        <v>5045</v>
      </c>
      <c r="D698" s="2"/>
    </row>
    <row r="699" spans="1:4" x14ac:dyDescent="0.3">
      <c r="A699" s="2" t="s">
        <v>3359</v>
      </c>
      <c r="B699" s="2" t="s">
        <v>266</v>
      </c>
      <c r="C699" s="2" t="s">
        <v>5045</v>
      </c>
      <c r="D699" s="2"/>
    </row>
    <row r="700" spans="1:4" x14ac:dyDescent="0.3">
      <c r="A700" s="2" t="s">
        <v>3360</v>
      </c>
      <c r="B700" s="2" t="s">
        <v>266</v>
      </c>
      <c r="C700" s="2" t="s">
        <v>5045</v>
      </c>
      <c r="D700" s="2"/>
    </row>
    <row r="701" spans="1:4" x14ac:dyDescent="0.3">
      <c r="A701" s="2" t="s">
        <v>3362</v>
      </c>
      <c r="B701" s="2" t="s">
        <v>266</v>
      </c>
      <c r="C701" s="2" t="s">
        <v>5045</v>
      </c>
      <c r="D701" s="2"/>
    </row>
    <row r="702" spans="1:4" x14ac:dyDescent="0.3">
      <c r="A702" s="2" t="s">
        <v>3364</v>
      </c>
      <c r="B702" s="2" t="s">
        <v>266</v>
      </c>
      <c r="C702" s="2" t="s">
        <v>5045</v>
      </c>
      <c r="D702" s="2"/>
    </row>
    <row r="703" spans="1:4" x14ac:dyDescent="0.3">
      <c r="A703" s="2" t="s">
        <v>3366</v>
      </c>
      <c r="B703" s="2" t="s">
        <v>266</v>
      </c>
      <c r="C703" s="2" t="s">
        <v>5045</v>
      </c>
      <c r="D703" s="2"/>
    </row>
    <row r="704" spans="1:4" x14ac:dyDescent="0.3">
      <c r="A704" s="2" t="s">
        <v>3368</v>
      </c>
      <c r="B704" s="2" t="s">
        <v>266</v>
      </c>
      <c r="C704" s="2" t="s">
        <v>5045</v>
      </c>
      <c r="D704" s="2"/>
    </row>
    <row r="705" spans="1:4" x14ac:dyDescent="0.3">
      <c r="A705" s="2" t="s">
        <v>3370</v>
      </c>
      <c r="B705" s="2" t="s">
        <v>266</v>
      </c>
      <c r="C705" s="2" t="s">
        <v>5045</v>
      </c>
      <c r="D705" s="2"/>
    </row>
    <row r="706" spans="1:4" x14ac:dyDescent="0.3">
      <c r="A706" s="2" t="s">
        <v>3372</v>
      </c>
      <c r="B706" s="2" t="s">
        <v>266</v>
      </c>
      <c r="C706" s="2" t="s">
        <v>5045</v>
      </c>
      <c r="D706" s="2"/>
    </row>
    <row r="707" spans="1:4" x14ac:dyDescent="0.3">
      <c r="A707" s="2" t="s">
        <v>3374</v>
      </c>
      <c r="B707" s="2" t="s">
        <v>266</v>
      </c>
      <c r="C707" s="2" t="s">
        <v>5045</v>
      </c>
      <c r="D707" s="2"/>
    </row>
    <row r="708" spans="1:4" x14ac:dyDescent="0.3">
      <c r="A708" s="2" t="s">
        <v>3375</v>
      </c>
      <c r="B708" s="2" t="s">
        <v>266</v>
      </c>
      <c r="C708" s="2" t="s">
        <v>5045</v>
      </c>
      <c r="D708" s="2"/>
    </row>
    <row r="709" spans="1:4" x14ac:dyDescent="0.3">
      <c r="A709" s="2" t="s">
        <v>3376</v>
      </c>
      <c r="B709" s="2" t="s">
        <v>266</v>
      </c>
      <c r="C709" s="2" t="s">
        <v>5045</v>
      </c>
      <c r="D709" s="2"/>
    </row>
    <row r="710" spans="1:4" x14ac:dyDescent="0.3">
      <c r="A710" s="2" t="s">
        <v>3377</v>
      </c>
      <c r="B710" s="2" t="s">
        <v>266</v>
      </c>
      <c r="C710" s="2" t="s">
        <v>5045</v>
      </c>
      <c r="D710" s="2"/>
    </row>
    <row r="711" spans="1:4" x14ac:dyDescent="0.3">
      <c r="A711" s="2" t="s">
        <v>3379</v>
      </c>
      <c r="B711" s="2" t="s">
        <v>266</v>
      </c>
      <c r="C711" s="2" t="s">
        <v>5045</v>
      </c>
      <c r="D711" s="2"/>
    </row>
    <row r="712" spans="1:4" x14ac:dyDescent="0.3">
      <c r="A712" s="2" t="s">
        <v>3381</v>
      </c>
      <c r="B712" s="2" t="s">
        <v>266</v>
      </c>
      <c r="C712" s="2" t="s">
        <v>5045</v>
      </c>
      <c r="D712" s="2"/>
    </row>
    <row r="713" spans="1:4" x14ac:dyDescent="0.3">
      <c r="A713" s="2" t="s">
        <v>3383</v>
      </c>
      <c r="B713" s="2" t="s">
        <v>266</v>
      </c>
      <c r="C713" s="2" t="s">
        <v>5045</v>
      </c>
      <c r="D713" s="2"/>
    </row>
    <row r="714" spans="1:4" x14ac:dyDescent="0.3">
      <c r="A714" s="2" t="s">
        <v>3385</v>
      </c>
      <c r="B714" s="2" t="s">
        <v>266</v>
      </c>
      <c r="C714" s="2" t="s">
        <v>5045</v>
      </c>
      <c r="D714" s="2"/>
    </row>
    <row r="715" spans="1:4" x14ac:dyDescent="0.3">
      <c r="A715" s="2" t="s">
        <v>3387</v>
      </c>
      <c r="B715" s="2" t="s">
        <v>266</v>
      </c>
      <c r="C715" s="2" t="s">
        <v>5045</v>
      </c>
      <c r="D715" s="2"/>
    </row>
    <row r="716" spans="1:4" x14ac:dyDescent="0.3">
      <c r="A716" s="2" t="s">
        <v>3389</v>
      </c>
      <c r="B716" s="2" t="s">
        <v>266</v>
      </c>
      <c r="C716" s="2" t="s">
        <v>5045</v>
      </c>
      <c r="D716" s="2"/>
    </row>
    <row r="717" spans="1:4" x14ac:dyDescent="0.3">
      <c r="A717" s="2" t="s">
        <v>3391</v>
      </c>
      <c r="B717" s="2" t="s">
        <v>266</v>
      </c>
      <c r="C717" s="2" t="s">
        <v>5045</v>
      </c>
      <c r="D717" s="2"/>
    </row>
    <row r="718" spans="1:4" x14ac:dyDescent="0.3">
      <c r="A718" s="2" t="s">
        <v>3393</v>
      </c>
      <c r="B718" s="2" t="s">
        <v>266</v>
      </c>
      <c r="C718" s="2" t="s">
        <v>5045</v>
      </c>
      <c r="D718" s="2"/>
    </row>
    <row r="719" spans="1:4" x14ac:dyDescent="0.3">
      <c r="A719" s="2" t="s">
        <v>3395</v>
      </c>
      <c r="B719" s="2" t="s">
        <v>266</v>
      </c>
      <c r="C719" s="2" t="s">
        <v>5045</v>
      </c>
      <c r="D719" s="2"/>
    </row>
    <row r="720" spans="1:4" x14ac:dyDescent="0.3">
      <c r="A720" s="2" t="s">
        <v>3397</v>
      </c>
      <c r="B720" s="2" t="s">
        <v>266</v>
      </c>
      <c r="C720" s="2" t="s">
        <v>5045</v>
      </c>
      <c r="D720" s="2"/>
    </row>
    <row r="721" spans="1:4" x14ac:dyDescent="0.3">
      <c r="A721" s="2" t="s">
        <v>3399</v>
      </c>
      <c r="B721" s="2" t="s">
        <v>266</v>
      </c>
      <c r="C721" s="2" t="s">
        <v>5045</v>
      </c>
      <c r="D721" s="2"/>
    </row>
    <row r="722" spans="1:4" x14ac:dyDescent="0.3">
      <c r="A722" s="2" t="s">
        <v>3401</v>
      </c>
      <c r="B722" s="2" t="s">
        <v>266</v>
      </c>
      <c r="C722" s="2" t="s">
        <v>5045</v>
      </c>
      <c r="D722" s="2"/>
    </row>
    <row r="723" spans="1:4" x14ac:dyDescent="0.3">
      <c r="A723" s="2" t="s">
        <v>3403</v>
      </c>
      <c r="B723" s="2" t="s">
        <v>266</v>
      </c>
      <c r="C723" s="2" t="s">
        <v>5045</v>
      </c>
      <c r="D723" s="2"/>
    </row>
    <row r="724" spans="1:4" x14ac:dyDescent="0.3">
      <c r="A724" s="2" t="s">
        <v>3405</v>
      </c>
      <c r="B724" s="2" t="s">
        <v>266</v>
      </c>
      <c r="C724" s="2" t="s">
        <v>5045</v>
      </c>
      <c r="D724" s="2"/>
    </row>
    <row r="725" spans="1:4" x14ac:dyDescent="0.3">
      <c r="A725" s="2" t="s">
        <v>3407</v>
      </c>
      <c r="B725" s="2" t="s">
        <v>266</v>
      </c>
      <c r="C725" s="2" t="s">
        <v>5045</v>
      </c>
      <c r="D725" s="2"/>
    </row>
    <row r="726" spans="1:4" x14ac:dyDescent="0.3">
      <c r="A726" s="2" t="s">
        <v>3409</v>
      </c>
      <c r="B726" s="2" t="s">
        <v>266</v>
      </c>
      <c r="C726" s="2" t="s">
        <v>5045</v>
      </c>
      <c r="D726" s="2"/>
    </row>
    <row r="727" spans="1:4" x14ac:dyDescent="0.3">
      <c r="A727" s="2" t="s">
        <v>3411</v>
      </c>
      <c r="B727" s="2" t="s">
        <v>266</v>
      </c>
      <c r="C727" s="2" t="s">
        <v>5045</v>
      </c>
      <c r="D727" s="2"/>
    </row>
    <row r="728" spans="1:4" x14ac:dyDescent="0.3">
      <c r="A728" s="2" t="s">
        <v>3413</v>
      </c>
      <c r="B728" s="2" t="s">
        <v>266</v>
      </c>
      <c r="C728" s="2" t="s">
        <v>5045</v>
      </c>
      <c r="D728" s="2"/>
    </row>
    <row r="729" spans="1:4" x14ac:dyDescent="0.3">
      <c r="A729" s="2" t="s">
        <v>3414</v>
      </c>
      <c r="B729" s="2" t="s">
        <v>266</v>
      </c>
      <c r="C729" s="2" t="s">
        <v>5045</v>
      </c>
      <c r="D729" s="2"/>
    </row>
    <row r="730" spans="1:4" x14ac:dyDescent="0.3">
      <c r="A730" s="2" t="s">
        <v>3416</v>
      </c>
      <c r="B730" s="2" t="s">
        <v>266</v>
      </c>
      <c r="C730" s="2" t="s">
        <v>5045</v>
      </c>
      <c r="D730" s="2"/>
    </row>
    <row r="731" spans="1:4" x14ac:dyDescent="0.3">
      <c r="A731" s="2" t="s">
        <v>3418</v>
      </c>
      <c r="B731" s="2" t="s">
        <v>266</v>
      </c>
      <c r="C731" s="2" t="s">
        <v>5045</v>
      </c>
      <c r="D731" s="2"/>
    </row>
    <row r="732" spans="1:4" x14ac:dyDescent="0.3">
      <c r="A732" s="2" t="s">
        <v>3420</v>
      </c>
      <c r="B732" s="2" t="s">
        <v>266</v>
      </c>
      <c r="C732" s="2" t="s">
        <v>5045</v>
      </c>
      <c r="D732" s="2"/>
    </row>
    <row r="733" spans="1:4" x14ac:dyDescent="0.3">
      <c r="A733" s="2" t="s">
        <v>3422</v>
      </c>
      <c r="B733" s="2" t="s">
        <v>266</v>
      </c>
      <c r="C733" s="2" t="s">
        <v>5045</v>
      </c>
      <c r="D733" s="2"/>
    </row>
    <row r="734" spans="1:4" x14ac:dyDescent="0.3">
      <c r="A734" s="2" t="s">
        <v>3424</v>
      </c>
      <c r="B734" s="2" t="s">
        <v>266</v>
      </c>
      <c r="C734" s="2" t="s">
        <v>5045</v>
      </c>
      <c r="D734" s="2"/>
    </row>
    <row r="735" spans="1:4" x14ac:dyDescent="0.3">
      <c r="A735" s="2" t="s">
        <v>3426</v>
      </c>
      <c r="B735" s="2" t="s">
        <v>266</v>
      </c>
      <c r="C735" s="2" t="s">
        <v>5045</v>
      </c>
      <c r="D735" s="2"/>
    </row>
    <row r="736" spans="1:4" x14ac:dyDescent="0.3">
      <c r="A736" s="2" t="s">
        <v>3427</v>
      </c>
      <c r="B736" s="2" t="s">
        <v>266</v>
      </c>
      <c r="C736" s="2" t="s">
        <v>5045</v>
      </c>
      <c r="D736" s="2"/>
    </row>
    <row r="737" spans="1:4" x14ac:dyDescent="0.3">
      <c r="A737" s="2" t="s">
        <v>3429</v>
      </c>
      <c r="B737" s="2" t="s">
        <v>266</v>
      </c>
      <c r="C737" s="2" t="s">
        <v>5045</v>
      </c>
      <c r="D737" s="2"/>
    </row>
    <row r="738" spans="1:4" x14ac:dyDescent="0.3">
      <c r="A738" s="2" t="s">
        <v>3431</v>
      </c>
      <c r="B738" s="2" t="s">
        <v>266</v>
      </c>
      <c r="C738" s="2" t="s">
        <v>5045</v>
      </c>
      <c r="D738" s="2"/>
    </row>
    <row r="739" spans="1:4" x14ac:dyDescent="0.3">
      <c r="A739" s="2" t="s">
        <v>3433</v>
      </c>
      <c r="B739" s="2" t="s">
        <v>266</v>
      </c>
      <c r="C739" s="2" t="s">
        <v>5045</v>
      </c>
      <c r="D739" s="2"/>
    </row>
    <row r="740" spans="1:4" x14ac:dyDescent="0.3">
      <c r="A740" s="2" t="s">
        <v>3435</v>
      </c>
      <c r="B740" s="2" t="s">
        <v>266</v>
      </c>
      <c r="C740" s="2" t="s">
        <v>5045</v>
      </c>
      <c r="D740" s="2"/>
    </row>
    <row r="741" spans="1:4" x14ac:dyDescent="0.3">
      <c r="A741" s="2" t="s">
        <v>3437</v>
      </c>
      <c r="B741" s="2" t="s">
        <v>266</v>
      </c>
      <c r="C741" s="2" t="s">
        <v>5045</v>
      </c>
      <c r="D741" s="2"/>
    </row>
    <row r="742" spans="1:4" x14ac:dyDescent="0.3">
      <c r="A742" s="2" t="s">
        <v>3439</v>
      </c>
      <c r="B742" s="2" t="s">
        <v>266</v>
      </c>
      <c r="C742" s="2" t="s">
        <v>5045</v>
      </c>
      <c r="D742" s="2"/>
    </row>
    <row r="743" spans="1:4" x14ac:dyDescent="0.3">
      <c r="A743" s="2" t="s">
        <v>3441</v>
      </c>
      <c r="B743" s="2" t="s">
        <v>266</v>
      </c>
      <c r="C743" s="2" t="s">
        <v>5045</v>
      </c>
      <c r="D743" s="2"/>
    </row>
    <row r="744" spans="1:4" x14ac:dyDescent="0.3">
      <c r="A744" s="2" t="s">
        <v>3443</v>
      </c>
      <c r="B744" s="2" t="s">
        <v>266</v>
      </c>
      <c r="C744" s="2" t="s">
        <v>5045</v>
      </c>
      <c r="D744" s="2"/>
    </row>
    <row r="745" spans="1:4" x14ac:dyDescent="0.3">
      <c r="A745" s="2" t="s">
        <v>3445</v>
      </c>
      <c r="B745" s="2" t="s">
        <v>266</v>
      </c>
      <c r="C745" s="2" t="s">
        <v>5045</v>
      </c>
      <c r="D745" s="2"/>
    </row>
    <row r="746" spans="1:4" x14ac:dyDescent="0.3">
      <c r="A746" s="2" t="s">
        <v>3447</v>
      </c>
      <c r="B746" s="2" t="s">
        <v>266</v>
      </c>
      <c r="C746" s="2" t="s">
        <v>5045</v>
      </c>
      <c r="D746" s="2"/>
    </row>
    <row r="747" spans="1:4" x14ac:dyDescent="0.3">
      <c r="A747" s="2" t="s">
        <v>3449</v>
      </c>
      <c r="B747" s="2" t="s">
        <v>266</v>
      </c>
      <c r="C747" s="2" t="s">
        <v>5045</v>
      </c>
      <c r="D747" s="2"/>
    </row>
    <row r="748" spans="1:4" x14ac:dyDescent="0.3">
      <c r="A748" s="2" t="s">
        <v>3451</v>
      </c>
      <c r="B748" s="2" t="s">
        <v>266</v>
      </c>
      <c r="C748" s="2" t="s">
        <v>5045</v>
      </c>
      <c r="D748" s="2"/>
    </row>
    <row r="749" spans="1:4" x14ac:dyDescent="0.3">
      <c r="A749" s="2" t="s">
        <v>3453</v>
      </c>
      <c r="B749" s="2" t="s">
        <v>266</v>
      </c>
      <c r="C749" s="2" t="s">
        <v>5045</v>
      </c>
      <c r="D749" s="2"/>
    </row>
    <row r="750" spans="1:4" x14ac:dyDescent="0.3">
      <c r="A750" s="2" t="s">
        <v>3455</v>
      </c>
      <c r="B750" s="2" t="s">
        <v>266</v>
      </c>
      <c r="C750" s="2" t="s">
        <v>5045</v>
      </c>
      <c r="D750" s="2"/>
    </row>
    <row r="751" spans="1:4" x14ac:dyDescent="0.3">
      <c r="A751" s="2" t="s">
        <v>3457</v>
      </c>
      <c r="B751" s="2" t="s">
        <v>266</v>
      </c>
      <c r="C751" s="2" t="s">
        <v>5045</v>
      </c>
      <c r="D751" s="2"/>
    </row>
    <row r="752" spans="1:4" x14ac:dyDescent="0.3">
      <c r="A752" s="2" t="s">
        <v>3459</v>
      </c>
      <c r="B752" s="2" t="s">
        <v>266</v>
      </c>
      <c r="C752" s="2" t="s">
        <v>5045</v>
      </c>
      <c r="D752" s="2"/>
    </row>
    <row r="753" spans="1:4" x14ac:dyDescent="0.3">
      <c r="A753" s="2" t="s">
        <v>3461</v>
      </c>
      <c r="B753" s="2" t="s">
        <v>266</v>
      </c>
      <c r="C753" s="2" t="s">
        <v>5045</v>
      </c>
      <c r="D753" s="2"/>
    </row>
    <row r="754" spans="1:4" x14ac:dyDescent="0.3">
      <c r="A754" s="2" t="s">
        <v>3463</v>
      </c>
      <c r="B754" s="2" t="s">
        <v>266</v>
      </c>
      <c r="C754" s="2" t="s">
        <v>5045</v>
      </c>
      <c r="D754" s="2"/>
    </row>
    <row r="755" spans="1:4" x14ac:dyDescent="0.3">
      <c r="A755" s="2" t="s">
        <v>3465</v>
      </c>
      <c r="B755" s="2" t="s">
        <v>266</v>
      </c>
      <c r="C755" s="2" t="s">
        <v>5045</v>
      </c>
      <c r="D755" s="2"/>
    </row>
    <row r="756" spans="1:4" x14ac:dyDescent="0.3">
      <c r="A756" s="2" t="s">
        <v>3467</v>
      </c>
      <c r="B756" s="2" t="s">
        <v>266</v>
      </c>
      <c r="C756" s="2" t="s">
        <v>5045</v>
      </c>
      <c r="D756" s="2"/>
    </row>
    <row r="757" spans="1:4" x14ac:dyDescent="0.3">
      <c r="A757" s="2" t="s">
        <v>3469</v>
      </c>
      <c r="B757" s="2" t="s">
        <v>266</v>
      </c>
      <c r="C757" s="2" t="s">
        <v>5045</v>
      </c>
      <c r="D757" s="2"/>
    </row>
    <row r="758" spans="1:4" x14ac:dyDescent="0.3">
      <c r="A758" s="2" t="s">
        <v>3471</v>
      </c>
      <c r="B758" s="2" t="s">
        <v>266</v>
      </c>
      <c r="C758" s="2" t="s">
        <v>5045</v>
      </c>
      <c r="D758" s="2"/>
    </row>
    <row r="759" spans="1:4" x14ac:dyDescent="0.3">
      <c r="A759" s="2" t="s">
        <v>3473</v>
      </c>
      <c r="B759" s="2" t="s">
        <v>266</v>
      </c>
      <c r="C759" s="2" t="s">
        <v>5045</v>
      </c>
      <c r="D759" s="2"/>
    </row>
    <row r="760" spans="1:4" x14ac:dyDescent="0.3">
      <c r="A760" s="2" t="s">
        <v>3475</v>
      </c>
      <c r="B760" s="2" t="s">
        <v>266</v>
      </c>
      <c r="C760" s="2" t="s">
        <v>5045</v>
      </c>
      <c r="D760" s="2"/>
    </row>
    <row r="761" spans="1:4" x14ac:dyDescent="0.3">
      <c r="A761" s="2" t="s">
        <v>3477</v>
      </c>
      <c r="B761" s="2" t="s">
        <v>266</v>
      </c>
      <c r="C761" s="2" t="s">
        <v>5045</v>
      </c>
      <c r="D761" s="2"/>
    </row>
    <row r="762" spans="1:4" x14ac:dyDescent="0.3">
      <c r="A762" s="2" t="s">
        <v>3479</v>
      </c>
      <c r="B762" s="2" t="s">
        <v>266</v>
      </c>
      <c r="C762" s="2" t="s">
        <v>5045</v>
      </c>
      <c r="D762" s="2"/>
    </row>
    <row r="763" spans="1:4" x14ac:dyDescent="0.3">
      <c r="A763" s="2" t="s">
        <v>3481</v>
      </c>
      <c r="B763" s="2" t="s">
        <v>266</v>
      </c>
      <c r="C763" s="2" t="s">
        <v>5045</v>
      </c>
      <c r="D763" s="2"/>
    </row>
    <row r="764" spans="1:4" x14ac:dyDescent="0.3">
      <c r="A764" s="2" t="s">
        <v>3483</v>
      </c>
      <c r="B764" s="2" t="s">
        <v>266</v>
      </c>
      <c r="C764" s="2" t="s">
        <v>5045</v>
      </c>
      <c r="D764" s="2"/>
    </row>
    <row r="765" spans="1:4" x14ac:dyDescent="0.3">
      <c r="A765" s="2" t="s">
        <v>3485</v>
      </c>
      <c r="B765" s="2" t="s">
        <v>266</v>
      </c>
      <c r="C765" s="2" t="s">
        <v>5045</v>
      </c>
      <c r="D765" s="2"/>
    </row>
    <row r="766" spans="1:4" x14ac:dyDescent="0.3">
      <c r="A766" s="2" t="s">
        <v>3487</v>
      </c>
      <c r="B766" s="2" t="s">
        <v>266</v>
      </c>
      <c r="C766" s="2" t="s">
        <v>5045</v>
      </c>
      <c r="D766" s="2"/>
    </row>
    <row r="767" spans="1:4" x14ac:dyDescent="0.3">
      <c r="A767" s="2" t="s">
        <v>3488</v>
      </c>
      <c r="B767" s="2" t="s">
        <v>266</v>
      </c>
      <c r="C767" s="2" t="s">
        <v>5045</v>
      </c>
      <c r="D767" s="2"/>
    </row>
    <row r="768" spans="1:4" x14ac:dyDescent="0.3">
      <c r="A768" s="2" t="s">
        <v>3490</v>
      </c>
      <c r="B768" s="2" t="s">
        <v>266</v>
      </c>
      <c r="C768" s="2" t="s">
        <v>5045</v>
      </c>
      <c r="D768" s="2"/>
    </row>
    <row r="769" spans="1:4" x14ac:dyDescent="0.3">
      <c r="A769" s="2" t="s">
        <v>3492</v>
      </c>
      <c r="B769" s="2" t="s">
        <v>266</v>
      </c>
      <c r="C769" s="2" t="s">
        <v>5045</v>
      </c>
      <c r="D769" s="2"/>
    </row>
    <row r="770" spans="1:4" x14ac:dyDescent="0.3">
      <c r="A770" s="2" t="s">
        <v>3494</v>
      </c>
      <c r="B770" s="2" t="s">
        <v>266</v>
      </c>
      <c r="C770" s="2" t="s">
        <v>5045</v>
      </c>
      <c r="D770" s="2"/>
    </row>
    <row r="771" spans="1:4" x14ac:dyDescent="0.3">
      <c r="A771" s="2" t="s">
        <v>3496</v>
      </c>
      <c r="B771" s="2" t="s">
        <v>266</v>
      </c>
      <c r="C771" s="2" t="s">
        <v>5045</v>
      </c>
      <c r="D771" s="2"/>
    </row>
    <row r="772" spans="1:4" x14ac:dyDescent="0.3">
      <c r="A772" s="2" t="s">
        <v>3498</v>
      </c>
      <c r="B772" s="2" t="s">
        <v>266</v>
      </c>
      <c r="C772" s="2" t="s">
        <v>5045</v>
      </c>
      <c r="D772" s="2"/>
    </row>
    <row r="773" spans="1:4" x14ac:dyDescent="0.3">
      <c r="A773" s="2" t="s">
        <v>3500</v>
      </c>
      <c r="B773" s="2" t="s">
        <v>266</v>
      </c>
      <c r="C773" s="2" t="s">
        <v>5045</v>
      </c>
      <c r="D773" s="2"/>
    </row>
    <row r="774" spans="1:4" x14ac:dyDescent="0.3">
      <c r="A774" s="2" t="s">
        <v>3502</v>
      </c>
      <c r="B774" s="2" t="s">
        <v>266</v>
      </c>
      <c r="C774" s="2" t="s">
        <v>5045</v>
      </c>
      <c r="D774" s="2"/>
    </row>
    <row r="775" spans="1:4" x14ac:dyDescent="0.3">
      <c r="A775" s="2" t="s">
        <v>3504</v>
      </c>
      <c r="B775" s="2" t="s">
        <v>266</v>
      </c>
      <c r="C775" s="2" t="s">
        <v>5045</v>
      </c>
      <c r="D775" s="2"/>
    </row>
    <row r="776" spans="1:4" x14ac:dyDescent="0.3">
      <c r="A776" s="2" t="s">
        <v>3506</v>
      </c>
      <c r="B776" s="2" t="s">
        <v>266</v>
      </c>
      <c r="C776" s="2" t="s">
        <v>5045</v>
      </c>
      <c r="D776" s="2"/>
    </row>
    <row r="777" spans="1:4" x14ac:dyDescent="0.3">
      <c r="A777" s="2" t="s">
        <v>3508</v>
      </c>
      <c r="B777" s="2" t="s">
        <v>266</v>
      </c>
      <c r="C777" s="2" t="s">
        <v>5045</v>
      </c>
      <c r="D777" s="2"/>
    </row>
    <row r="778" spans="1:4" x14ac:dyDescent="0.3">
      <c r="A778" s="2" t="s">
        <v>3510</v>
      </c>
      <c r="B778" s="2" t="s">
        <v>266</v>
      </c>
      <c r="C778" s="2" t="s">
        <v>5045</v>
      </c>
      <c r="D778" s="2"/>
    </row>
    <row r="779" spans="1:4" x14ac:dyDescent="0.3">
      <c r="A779" s="2" t="s">
        <v>3512</v>
      </c>
      <c r="B779" s="2" t="s">
        <v>266</v>
      </c>
      <c r="C779" s="2" t="s">
        <v>5045</v>
      </c>
      <c r="D779" s="2"/>
    </row>
    <row r="780" spans="1:4" x14ac:dyDescent="0.3">
      <c r="A780" s="2" t="s">
        <v>3514</v>
      </c>
      <c r="B780" s="2" t="s">
        <v>266</v>
      </c>
      <c r="C780" s="2" t="s">
        <v>5045</v>
      </c>
      <c r="D780" s="2"/>
    </row>
    <row r="781" spans="1:4" x14ac:dyDescent="0.3">
      <c r="A781" s="2" t="s">
        <v>3516</v>
      </c>
      <c r="B781" s="2" t="s">
        <v>266</v>
      </c>
      <c r="C781" s="2" t="s">
        <v>5045</v>
      </c>
      <c r="D781" s="2"/>
    </row>
    <row r="782" spans="1:4" x14ac:dyDescent="0.3">
      <c r="A782" s="2" t="s">
        <v>3518</v>
      </c>
      <c r="B782" s="2" t="s">
        <v>266</v>
      </c>
      <c r="C782" s="2" t="s">
        <v>5045</v>
      </c>
      <c r="D782" s="2"/>
    </row>
    <row r="783" spans="1:4" x14ac:dyDescent="0.3">
      <c r="A783" s="2" t="s">
        <v>3520</v>
      </c>
      <c r="B783" s="2" t="s">
        <v>266</v>
      </c>
      <c r="C783" s="2" t="s">
        <v>5045</v>
      </c>
      <c r="D783" s="2"/>
    </row>
    <row r="784" spans="1:4" x14ac:dyDescent="0.3">
      <c r="A784" s="2" t="s">
        <v>3522</v>
      </c>
      <c r="B784" s="2" t="s">
        <v>266</v>
      </c>
      <c r="C784" s="2" t="s">
        <v>5045</v>
      </c>
      <c r="D784" s="2"/>
    </row>
    <row r="785" spans="1:4" x14ac:dyDescent="0.3">
      <c r="A785" s="2" t="s">
        <v>3524</v>
      </c>
      <c r="B785" s="2" t="s">
        <v>266</v>
      </c>
      <c r="C785" s="2" t="s">
        <v>5045</v>
      </c>
      <c r="D785" s="2"/>
    </row>
    <row r="786" spans="1:4" x14ac:dyDescent="0.3">
      <c r="A786" s="2" t="s">
        <v>3526</v>
      </c>
      <c r="B786" s="2" t="s">
        <v>266</v>
      </c>
      <c r="C786" s="2" t="s">
        <v>5045</v>
      </c>
      <c r="D786" s="2"/>
    </row>
    <row r="787" spans="1:4" x14ac:dyDescent="0.3">
      <c r="A787" s="2" t="s">
        <v>3528</v>
      </c>
      <c r="B787" s="2" t="s">
        <v>266</v>
      </c>
      <c r="C787" s="2" t="s">
        <v>5045</v>
      </c>
      <c r="D787" s="2"/>
    </row>
    <row r="788" spans="1:4" x14ac:dyDescent="0.3">
      <c r="A788" s="2" t="s">
        <v>3530</v>
      </c>
      <c r="B788" s="2" t="s">
        <v>266</v>
      </c>
      <c r="C788" s="2" t="s">
        <v>5045</v>
      </c>
      <c r="D788" s="2"/>
    </row>
    <row r="789" spans="1:4" x14ac:dyDescent="0.3">
      <c r="A789" s="2" t="s">
        <v>3532</v>
      </c>
      <c r="B789" s="2" t="s">
        <v>266</v>
      </c>
      <c r="C789" s="2" t="s">
        <v>5045</v>
      </c>
      <c r="D789" s="2"/>
    </row>
    <row r="790" spans="1:4" x14ac:dyDescent="0.3">
      <c r="A790" s="2" t="s">
        <v>3534</v>
      </c>
      <c r="B790" s="2" t="s">
        <v>266</v>
      </c>
      <c r="C790" s="2" t="s">
        <v>5045</v>
      </c>
      <c r="D790" s="2"/>
    </row>
    <row r="791" spans="1:4" x14ac:dyDescent="0.3">
      <c r="A791" s="2" t="s">
        <v>3536</v>
      </c>
      <c r="B791" s="2" t="s">
        <v>266</v>
      </c>
      <c r="C791" s="2" t="s">
        <v>5045</v>
      </c>
      <c r="D791" s="2"/>
    </row>
    <row r="792" spans="1:4" x14ac:dyDescent="0.3">
      <c r="A792" s="2" t="s">
        <v>3538</v>
      </c>
      <c r="B792" s="2" t="s">
        <v>266</v>
      </c>
      <c r="C792" s="2" t="s">
        <v>5045</v>
      </c>
      <c r="D792" s="2"/>
    </row>
    <row r="793" spans="1:4" x14ac:dyDescent="0.3">
      <c r="A793" s="2" t="s">
        <v>3540</v>
      </c>
      <c r="B793" s="2" t="s">
        <v>266</v>
      </c>
      <c r="C793" s="2" t="s">
        <v>5045</v>
      </c>
      <c r="D793" s="2"/>
    </row>
    <row r="794" spans="1:4" x14ac:dyDescent="0.3">
      <c r="A794" s="2" t="s">
        <v>3542</v>
      </c>
      <c r="B794" s="2" t="s">
        <v>266</v>
      </c>
      <c r="C794" s="2" t="s">
        <v>5045</v>
      </c>
      <c r="D794" s="2"/>
    </row>
    <row r="795" spans="1:4" x14ac:dyDescent="0.3">
      <c r="A795" s="2" t="s">
        <v>3544</v>
      </c>
      <c r="B795" s="2" t="s">
        <v>266</v>
      </c>
      <c r="C795" s="2" t="s">
        <v>5045</v>
      </c>
      <c r="D795" s="2"/>
    </row>
    <row r="796" spans="1:4" x14ac:dyDescent="0.3">
      <c r="A796" s="2" t="s">
        <v>3546</v>
      </c>
      <c r="B796" s="2" t="s">
        <v>266</v>
      </c>
      <c r="C796" s="2" t="s">
        <v>5045</v>
      </c>
      <c r="D796" s="2"/>
    </row>
    <row r="797" spans="1:4" x14ac:dyDescent="0.3">
      <c r="A797" s="2" t="s">
        <v>3548</v>
      </c>
      <c r="B797" s="2" t="s">
        <v>266</v>
      </c>
      <c r="C797" s="2" t="s">
        <v>5045</v>
      </c>
      <c r="D797" s="2"/>
    </row>
    <row r="798" spans="1:4" x14ac:dyDescent="0.3">
      <c r="A798" s="2" t="s">
        <v>3550</v>
      </c>
      <c r="B798" s="2" t="s">
        <v>266</v>
      </c>
      <c r="C798" s="2" t="s">
        <v>5045</v>
      </c>
      <c r="D798" s="2"/>
    </row>
    <row r="799" spans="1:4" x14ac:dyDescent="0.3">
      <c r="A799" s="2" t="s">
        <v>3552</v>
      </c>
      <c r="B799" s="2" t="s">
        <v>266</v>
      </c>
      <c r="C799" s="2" t="s">
        <v>5045</v>
      </c>
      <c r="D799" s="2"/>
    </row>
    <row r="800" spans="1:4" x14ac:dyDescent="0.3">
      <c r="A800" s="2" t="s">
        <v>3554</v>
      </c>
      <c r="B800" s="2" t="s">
        <v>266</v>
      </c>
      <c r="C800" s="2" t="s">
        <v>5045</v>
      </c>
      <c r="D800" s="2"/>
    </row>
    <row r="801" spans="1:4" x14ac:dyDescent="0.3">
      <c r="A801" s="2" t="s">
        <v>5509</v>
      </c>
      <c r="B801" s="2" t="s">
        <v>266</v>
      </c>
      <c r="C801" s="2" t="s">
        <v>5045</v>
      </c>
      <c r="D801" s="2"/>
    </row>
    <row r="802" spans="1:4" x14ac:dyDescent="0.3">
      <c r="A802" s="2" t="s">
        <v>3557</v>
      </c>
      <c r="B802" s="2" t="s">
        <v>266</v>
      </c>
      <c r="C802" s="2" t="s">
        <v>5045</v>
      </c>
      <c r="D802" s="2"/>
    </row>
    <row r="803" spans="1:4" x14ac:dyDescent="0.3">
      <c r="A803" s="2" t="s">
        <v>3559</v>
      </c>
      <c r="B803" s="2" t="s">
        <v>266</v>
      </c>
      <c r="C803" s="2" t="s">
        <v>5045</v>
      </c>
      <c r="D803" s="2"/>
    </row>
    <row r="804" spans="1:4" x14ac:dyDescent="0.3">
      <c r="A804" s="2" t="s">
        <v>3561</v>
      </c>
      <c r="B804" s="2" t="s">
        <v>266</v>
      </c>
      <c r="C804" s="2" t="s">
        <v>5045</v>
      </c>
      <c r="D804" s="2"/>
    </row>
    <row r="805" spans="1:4" x14ac:dyDescent="0.3">
      <c r="A805" s="2" t="s">
        <v>3563</v>
      </c>
      <c r="B805" s="2" t="s">
        <v>266</v>
      </c>
      <c r="C805" s="2" t="s">
        <v>5045</v>
      </c>
      <c r="D805" s="2"/>
    </row>
    <row r="806" spans="1:4" x14ac:dyDescent="0.3">
      <c r="A806" s="2" t="s">
        <v>3565</v>
      </c>
      <c r="B806" s="2" t="s">
        <v>266</v>
      </c>
      <c r="C806" s="2" t="s">
        <v>5045</v>
      </c>
      <c r="D806" s="2"/>
    </row>
    <row r="807" spans="1:4" x14ac:dyDescent="0.3">
      <c r="A807" s="2" t="s">
        <v>3567</v>
      </c>
      <c r="B807" s="2" t="s">
        <v>266</v>
      </c>
      <c r="C807" s="2" t="s">
        <v>5045</v>
      </c>
      <c r="D807" s="2"/>
    </row>
    <row r="808" spans="1:4" x14ac:dyDescent="0.3">
      <c r="A808" s="2" t="s">
        <v>3569</v>
      </c>
      <c r="B808" s="2" t="s">
        <v>266</v>
      </c>
      <c r="C808" s="2" t="s">
        <v>5045</v>
      </c>
      <c r="D808" s="2"/>
    </row>
    <row r="809" spans="1:4" x14ac:dyDescent="0.3">
      <c r="A809" s="2" t="s">
        <v>3571</v>
      </c>
      <c r="B809" s="2" t="s">
        <v>266</v>
      </c>
      <c r="C809" s="2" t="s">
        <v>5045</v>
      </c>
      <c r="D809" s="2"/>
    </row>
    <row r="810" spans="1:4" x14ac:dyDescent="0.3">
      <c r="A810" s="2" t="s">
        <v>3573</v>
      </c>
      <c r="B810" s="2" t="s">
        <v>266</v>
      </c>
      <c r="C810" s="2" t="s">
        <v>5045</v>
      </c>
      <c r="D810" s="2"/>
    </row>
    <row r="811" spans="1:4" x14ac:dyDescent="0.3">
      <c r="A811" s="2" t="s">
        <v>3575</v>
      </c>
      <c r="B811" s="2" t="s">
        <v>266</v>
      </c>
      <c r="C811" s="2" t="s">
        <v>5045</v>
      </c>
      <c r="D811" s="2"/>
    </row>
    <row r="812" spans="1:4" x14ac:dyDescent="0.3">
      <c r="A812" s="2" t="s">
        <v>3577</v>
      </c>
      <c r="B812" s="2" t="s">
        <v>266</v>
      </c>
      <c r="C812" s="2" t="s">
        <v>5045</v>
      </c>
      <c r="D812" s="2"/>
    </row>
    <row r="813" spans="1:4" x14ac:dyDescent="0.3">
      <c r="A813" s="2" t="s">
        <v>3579</v>
      </c>
      <c r="B813" s="2" t="s">
        <v>266</v>
      </c>
      <c r="C813" s="2" t="s">
        <v>5045</v>
      </c>
      <c r="D813" s="2"/>
    </row>
    <row r="814" spans="1:4" x14ac:dyDescent="0.3">
      <c r="A814" s="2" t="s">
        <v>3581</v>
      </c>
      <c r="B814" s="2" t="s">
        <v>266</v>
      </c>
      <c r="C814" s="2" t="s">
        <v>5045</v>
      </c>
      <c r="D814" s="2"/>
    </row>
    <row r="815" spans="1:4" x14ac:dyDescent="0.3">
      <c r="A815" s="2" t="s">
        <v>3583</v>
      </c>
      <c r="B815" s="2" t="s">
        <v>266</v>
      </c>
      <c r="C815" s="2" t="s">
        <v>5045</v>
      </c>
      <c r="D815" s="2"/>
    </row>
    <row r="816" spans="1:4" x14ac:dyDescent="0.3">
      <c r="A816" s="2" t="s">
        <v>3585</v>
      </c>
      <c r="B816" s="2" t="s">
        <v>266</v>
      </c>
      <c r="C816" s="2" t="s">
        <v>5045</v>
      </c>
      <c r="D816" s="2"/>
    </row>
    <row r="817" spans="1:4" x14ac:dyDescent="0.3">
      <c r="A817" s="2" t="s">
        <v>3587</v>
      </c>
      <c r="B817" s="2" t="s">
        <v>266</v>
      </c>
      <c r="C817" s="2" t="s">
        <v>5045</v>
      </c>
      <c r="D817" s="2"/>
    </row>
    <row r="818" spans="1:4" x14ac:dyDescent="0.3">
      <c r="A818" s="2" t="s">
        <v>3589</v>
      </c>
      <c r="B818" s="2" t="s">
        <v>266</v>
      </c>
      <c r="C818" s="2" t="s">
        <v>5045</v>
      </c>
      <c r="D818" s="2"/>
    </row>
    <row r="819" spans="1:4" x14ac:dyDescent="0.3">
      <c r="A819" s="2" t="s">
        <v>3591</v>
      </c>
      <c r="B819" s="2" t="s">
        <v>266</v>
      </c>
      <c r="C819" s="2" t="s">
        <v>5045</v>
      </c>
      <c r="D819" s="2"/>
    </row>
    <row r="820" spans="1:4" x14ac:dyDescent="0.3">
      <c r="A820" s="2" t="s">
        <v>3593</v>
      </c>
      <c r="B820" s="2" t="s">
        <v>266</v>
      </c>
      <c r="C820" s="2" t="s">
        <v>5045</v>
      </c>
      <c r="D820" s="2"/>
    </row>
    <row r="821" spans="1:4" x14ac:dyDescent="0.3">
      <c r="A821" s="2" t="s">
        <v>3595</v>
      </c>
      <c r="B821" s="2" t="s">
        <v>266</v>
      </c>
      <c r="C821" s="2" t="s">
        <v>5045</v>
      </c>
      <c r="D821" s="2"/>
    </row>
    <row r="822" spans="1:4" x14ac:dyDescent="0.3">
      <c r="A822" s="2" t="s">
        <v>3597</v>
      </c>
      <c r="B822" s="2" t="s">
        <v>266</v>
      </c>
      <c r="C822" s="2" t="s">
        <v>5045</v>
      </c>
      <c r="D822" s="2"/>
    </row>
    <row r="823" spans="1:4" x14ac:dyDescent="0.3">
      <c r="A823" s="2" t="s">
        <v>3599</v>
      </c>
      <c r="B823" s="2" t="s">
        <v>266</v>
      </c>
      <c r="C823" s="2" t="s">
        <v>5045</v>
      </c>
      <c r="D823" s="2"/>
    </row>
    <row r="824" spans="1:4" x14ac:dyDescent="0.3">
      <c r="A824" s="2" t="s">
        <v>3601</v>
      </c>
      <c r="B824" s="2" t="s">
        <v>266</v>
      </c>
      <c r="C824" s="2" t="s">
        <v>5045</v>
      </c>
      <c r="D824" s="2"/>
    </row>
    <row r="825" spans="1:4" x14ac:dyDescent="0.3">
      <c r="A825" s="2" t="s">
        <v>3603</v>
      </c>
      <c r="B825" s="2" t="s">
        <v>266</v>
      </c>
      <c r="C825" s="2" t="s">
        <v>5045</v>
      </c>
      <c r="D825" s="2"/>
    </row>
    <row r="826" spans="1:4" x14ac:dyDescent="0.3">
      <c r="A826" s="2" t="s">
        <v>3605</v>
      </c>
      <c r="B826" s="2" t="s">
        <v>266</v>
      </c>
      <c r="C826" s="2" t="s">
        <v>5045</v>
      </c>
      <c r="D826" s="2"/>
    </row>
    <row r="827" spans="1:4" x14ac:dyDescent="0.3">
      <c r="A827" s="2" t="s">
        <v>3607</v>
      </c>
      <c r="B827" s="2" t="s">
        <v>266</v>
      </c>
      <c r="C827" s="2" t="s">
        <v>5045</v>
      </c>
      <c r="D827" s="2"/>
    </row>
    <row r="828" spans="1:4" x14ac:dyDescent="0.3">
      <c r="A828" s="2" t="s">
        <v>5510</v>
      </c>
      <c r="B828" s="2" t="s">
        <v>1928</v>
      </c>
      <c r="C828" s="2" t="s">
        <v>5229</v>
      </c>
      <c r="D828" s="2"/>
    </row>
    <row r="829" spans="1:4" x14ac:dyDescent="0.3">
      <c r="A829" s="2" t="s">
        <v>5511</v>
      </c>
      <c r="B829" s="2" t="s">
        <v>1928</v>
      </c>
      <c r="C829" s="2" t="s">
        <v>5229</v>
      </c>
      <c r="D829" s="2"/>
    </row>
    <row r="830" spans="1:4" x14ac:dyDescent="0.3">
      <c r="A830" s="2" t="s">
        <v>5512</v>
      </c>
      <c r="B830" s="2" t="s">
        <v>1928</v>
      </c>
      <c r="C830" s="2" t="s">
        <v>5229</v>
      </c>
      <c r="D830" s="2"/>
    </row>
    <row r="831" spans="1:4" x14ac:dyDescent="0.3">
      <c r="A831" s="2" t="s">
        <v>5513</v>
      </c>
      <c r="B831" s="2" t="s">
        <v>1928</v>
      </c>
      <c r="C831" s="2" t="s">
        <v>5229</v>
      </c>
      <c r="D831" s="2"/>
    </row>
    <row r="832" spans="1:4" x14ac:dyDescent="0.3">
      <c r="A832" s="2" t="s">
        <v>5514</v>
      </c>
      <c r="B832" s="2" t="s">
        <v>1928</v>
      </c>
      <c r="C832" s="2" t="s">
        <v>5229</v>
      </c>
      <c r="D832" s="2"/>
    </row>
    <row r="833" spans="1:4" x14ac:dyDescent="0.3">
      <c r="A833" s="2" t="s">
        <v>5515</v>
      </c>
      <c r="B833" s="2" t="s">
        <v>1928</v>
      </c>
      <c r="C833" s="2" t="s">
        <v>5229</v>
      </c>
      <c r="D833" s="2"/>
    </row>
    <row r="834" spans="1:4" x14ac:dyDescent="0.3">
      <c r="A834" s="2" t="s">
        <v>5516</v>
      </c>
      <c r="B834" s="2" t="s">
        <v>1928</v>
      </c>
      <c r="C834" s="2" t="s">
        <v>5229</v>
      </c>
      <c r="D834" s="2"/>
    </row>
    <row r="835" spans="1:4" x14ac:dyDescent="0.3">
      <c r="A835" s="2" t="s">
        <v>5517</v>
      </c>
      <c r="B835" s="2" t="s">
        <v>1928</v>
      </c>
      <c r="C835" s="2" t="s">
        <v>5229</v>
      </c>
      <c r="D835" s="2"/>
    </row>
    <row r="836" spans="1:4" x14ac:dyDescent="0.3">
      <c r="A836" s="2" t="s">
        <v>5518</v>
      </c>
      <c r="B836" s="2" t="s">
        <v>1928</v>
      </c>
      <c r="C836" s="2" t="s">
        <v>5229</v>
      </c>
      <c r="D836" s="2"/>
    </row>
    <row r="837" spans="1:4" x14ac:dyDescent="0.3">
      <c r="A837" s="2" t="s">
        <v>5519</v>
      </c>
      <c r="B837" s="2" t="s">
        <v>1928</v>
      </c>
      <c r="C837" s="2" t="s">
        <v>5229</v>
      </c>
      <c r="D837" s="2"/>
    </row>
    <row r="838" spans="1:4" x14ac:dyDescent="0.3">
      <c r="A838" s="2" t="s">
        <v>5520</v>
      </c>
      <c r="B838" s="2" t="s">
        <v>1928</v>
      </c>
      <c r="C838" s="2" t="s">
        <v>5229</v>
      </c>
      <c r="D838" s="2"/>
    </row>
    <row r="839" spans="1:4" x14ac:dyDescent="0.3">
      <c r="A839" s="2" t="s">
        <v>5521</v>
      </c>
      <c r="B839" s="2" t="s">
        <v>1928</v>
      </c>
      <c r="C839" s="2" t="s">
        <v>5229</v>
      </c>
      <c r="D839" s="2"/>
    </row>
    <row r="840" spans="1:4" x14ac:dyDescent="0.3">
      <c r="A840" s="2" t="s">
        <v>5522</v>
      </c>
      <c r="B840" s="2" t="s">
        <v>1928</v>
      </c>
      <c r="C840" s="2" t="s">
        <v>5229</v>
      </c>
      <c r="D840" s="2"/>
    </row>
    <row r="841" spans="1:4" x14ac:dyDescent="0.3">
      <c r="A841" s="2" t="s">
        <v>5523</v>
      </c>
      <c r="B841" s="2" t="s">
        <v>1928</v>
      </c>
      <c r="C841" s="2" t="s">
        <v>5229</v>
      </c>
      <c r="D841" s="2"/>
    </row>
    <row r="842" spans="1:4" x14ac:dyDescent="0.3">
      <c r="A842" s="2" t="s">
        <v>5524</v>
      </c>
      <c r="B842" s="2" t="s">
        <v>1928</v>
      </c>
      <c r="C842" s="2" t="s">
        <v>5229</v>
      </c>
      <c r="D842" s="2"/>
    </row>
    <row r="843" spans="1:4" x14ac:dyDescent="0.3">
      <c r="A843" s="2" t="s">
        <v>5525</v>
      </c>
      <c r="B843" s="2" t="s">
        <v>1928</v>
      </c>
      <c r="C843" s="2" t="s">
        <v>5229</v>
      </c>
      <c r="D843" s="2"/>
    </row>
    <row r="844" spans="1:4" x14ac:dyDescent="0.3">
      <c r="A844" s="2" t="s">
        <v>5526</v>
      </c>
      <c r="B844" s="2" t="s">
        <v>1928</v>
      </c>
      <c r="C844" s="2" t="s">
        <v>5229</v>
      </c>
      <c r="D844" s="2"/>
    </row>
    <row r="845" spans="1:4" x14ac:dyDescent="0.3">
      <c r="A845" s="2" t="s">
        <v>5527</v>
      </c>
      <c r="B845" s="2" t="s">
        <v>1928</v>
      </c>
      <c r="C845" s="2" t="s">
        <v>5229</v>
      </c>
      <c r="D845" s="2"/>
    </row>
    <row r="846" spans="1:4" x14ac:dyDescent="0.3">
      <c r="A846" s="2" t="s">
        <v>5528</v>
      </c>
      <c r="B846" s="2" t="s">
        <v>1928</v>
      </c>
      <c r="C846" s="2" t="s">
        <v>5229</v>
      </c>
      <c r="D846" s="2"/>
    </row>
    <row r="847" spans="1:4" x14ac:dyDescent="0.3">
      <c r="A847" s="2" t="s">
        <v>5529</v>
      </c>
      <c r="B847" s="2" t="s">
        <v>1928</v>
      </c>
      <c r="C847" s="2" t="s">
        <v>5229</v>
      </c>
      <c r="D847" s="2"/>
    </row>
    <row r="848" spans="1:4" x14ac:dyDescent="0.3">
      <c r="A848" s="2" t="s">
        <v>5530</v>
      </c>
      <c r="B848" s="2" t="s">
        <v>1928</v>
      </c>
      <c r="C848" s="2" t="s">
        <v>5229</v>
      </c>
      <c r="D848" s="2"/>
    </row>
    <row r="849" spans="1:4" x14ac:dyDescent="0.3">
      <c r="A849" s="2" t="s">
        <v>5531</v>
      </c>
      <c r="B849" s="2" t="s">
        <v>1928</v>
      </c>
      <c r="C849" s="2" t="s">
        <v>5229</v>
      </c>
      <c r="D849" s="2"/>
    </row>
    <row r="850" spans="1:4" x14ac:dyDescent="0.3">
      <c r="A850" s="2" t="s">
        <v>5532</v>
      </c>
      <c r="B850" s="2" t="s">
        <v>1928</v>
      </c>
      <c r="C850" s="2" t="s">
        <v>5229</v>
      </c>
      <c r="D850" s="2"/>
    </row>
    <row r="851" spans="1:4" x14ac:dyDescent="0.3">
      <c r="A851" s="2" t="s">
        <v>5533</v>
      </c>
      <c r="B851" s="2" t="s">
        <v>1928</v>
      </c>
      <c r="C851" s="2" t="s">
        <v>5229</v>
      </c>
      <c r="D851" s="2"/>
    </row>
    <row r="852" spans="1:4" x14ac:dyDescent="0.3">
      <c r="A852" s="2" t="s">
        <v>5534</v>
      </c>
      <c r="B852" s="2" t="s">
        <v>1928</v>
      </c>
      <c r="C852" s="2" t="s">
        <v>5229</v>
      </c>
      <c r="D852" s="2"/>
    </row>
    <row r="853" spans="1:4" x14ac:dyDescent="0.3">
      <c r="A853" s="2" t="s">
        <v>5535</v>
      </c>
      <c r="B853" s="2" t="s">
        <v>1928</v>
      </c>
      <c r="C853" s="2" t="s">
        <v>5229</v>
      </c>
      <c r="D853" s="2"/>
    </row>
    <row r="854" spans="1:4" x14ac:dyDescent="0.3">
      <c r="A854" s="2" t="s">
        <v>5536</v>
      </c>
      <c r="B854" s="2" t="s">
        <v>1928</v>
      </c>
      <c r="C854" s="2" t="s">
        <v>5229</v>
      </c>
      <c r="D854" s="2"/>
    </row>
    <row r="855" spans="1:4" x14ac:dyDescent="0.3">
      <c r="A855" s="2" t="s">
        <v>5537</v>
      </c>
      <c r="B855" s="2" t="s">
        <v>1928</v>
      </c>
      <c r="C855" s="2" t="s">
        <v>5229</v>
      </c>
      <c r="D855" s="2"/>
    </row>
    <row r="856" spans="1:4" x14ac:dyDescent="0.3">
      <c r="A856" s="2" t="s">
        <v>5538</v>
      </c>
      <c r="B856" s="2" t="s">
        <v>1928</v>
      </c>
      <c r="C856" s="2" t="s">
        <v>5229</v>
      </c>
      <c r="D856" s="2"/>
    </row>
    <row r="857" spans="1:4" x14ac:dyDescent="0.3">
      <c r="A857" s="2" t="s">
        <v>5539</v>
      </c>
      <c r="B857" s="2" t="s">
        <v>1928</v>
      </c>
      <c r="C857" s="2" t="s">
        <v>5229</v>
      </c>
      <c r="D857" s="2"/>
    </row>
    <row r="858" spans="1:4" x14ac:dyDescent="0.3">
      <c r="A858" s="2" t="s">
        <v>5540</v>
      </c>
      <c r="B858" s="2" t="s">
        <v>1928</v>
      </c>
      <c r="C858" s="2" t="s">
        <v>5229</v>
      </c>
      <c r="D858" s="2"/>
    </row>
    <row r="859" spans="1:4" x14ac:dyDescent="0.3">
      <c r="A859" s="2" t="s">
        <v>5541</v>
      </c>
      <c r="B859" s="2" t="s">
        <v>1928</v>
      </c>
      <c r="C859" s="2" t="s">
        <v>5229</v>
      </c>
      <c r="D859" s="2"/>
    </row>
    <row r="860" spans="1:4" x14ac:dyDescent="0.3">
      <c r="A860" s="2" t="s">
        <v>5542</v>
      </c>
      <c r="B860" s="2" t="s">
        <v>1928</v>
      </c>
      <c r="C860" s="2" t="s">
        <v>5229</v>
      </c>
      <c r="D860" s="2"/>
    </row>
    <row r="861" spans="1:4" x14ac:dyDescent="0.3">
      <c r="A861" s="2" t="s">
        <v>5543</v>
      </c>
      <c r="B861" s="2" t="s">
        <v>1928</v>
      </c>
      <c r="C861" s="2" t="s">
        <v>5229</v>
      </c>
      <c r="D861" s="2"/>
    </row>
    <row r="862" spans="1:4" x14ac:dyDescent="0.3">
      <c r="A862" s="2" t="s">
        <v>5544</v>
      </c>
      <c r="B862" s="2" t="s">
        <v>1928</v>
      </c>
      <c r="C862" s="2" t="s">
        <v>5229</v>
      </c>
      <c r="D862" s="2"/>
    </row>
    <row r="863" spans="1:4" x14ac:dyDescent="0.3">
      <c r="A863" s="2" t="s">
        <v>5545</v>
      </c>
      <c r="B863" s="2" t="s">
        <v>1928</v>
      </c>
      <c r="C863" s="2" t="s">
        <v>5229</v>
      </c>
      <c r="D863" s="2"/>
    </row>
    <row r="864" spans="1:4" x14ac:dyDescent="0.3">
      <c r="A864" s="2" t="s">
        <v>5546</v>
      </c>
      <c r="B864" s="2" t="s">
        <v>1928</v>
      </c>
      <c r="C864" s="2" t="s">
        <v>5229</v>
      </c>
      <c r="D864" s="2"/>
    </row>
    <row r="865" spans="1:4" x14ac:dyDescent="0.3">
      <c r="A865" s="2" t="s">
        <v>5547</v>
      </c>
      <c r="B865" s="2" t="s">
        <v>1928</v>
      </c>
      <c r="C865" s="2" t="s">
        <v>5229</v>
      </c>
      <c r="D865" s="2"/>
    </row>
    <row r="866" spans="1:4" x14ac:dyDescent="0.3">
      <c r="A866" s="2" t="s">
        <v>5548</v>
      </c>
      <c r="B866" s="2" t="s">
        <v>1928</v>
      </c>
      <c r="C866" s="2" t="s">
        <v>5229</v>
      </c>
      <c r="D866" s="2"/>
    </row>
    <row r="867" spans="1:4" x14ac:dyDescent="0.3">
      <c r="A867" s="2" t="s">
        <v>5549</v>
      </c>
      <c r="B867" s="2" t="s">
        <v>1928</v>
      </c>
      <c r="C867" s="2" t="s">
        <v>5229</v>
      </c>
      <c r="D867" s="2"/>
    </row>
    <row r="868" spans="1:4" x14ac:dyDescent="0.3">
      <c r="A868" s="2" t="s">
        <v>5550</v>
      </c>
      <c r="B868" s="2" t="s">
        <v>1928</v>
      </c>
      <c r="C868" s="2" t="s">
        <v>5229</v>
      </c>
      <c r="D868" s="2"/>
    </row>
    <row r="869" spans="1:4" x14ac:dyDescent="0.3">
      <c r="A869" s="2" t="s">
        <v>5551</v>
      </c>
      <c r="B869" s="2" t="s">
        <v>1928</v>
      </c>
      <c r="C869" s="2" t="s">
        <v>5229</v>
      </c>
      <c r="D869" s="2"/>
    </row>
    <row r="870" spans="1:4" x14ac:dyDescent="0.3">
      <c r="A870" s="2" t="s">
        <v>5552</v>
      </c>
      <c r="B870" s="2" t="s">
        <v>1928</v>
      </c>
      <c r="C870" s="2" t="s">
        <v>5229</v>
      </c>
      <c r="D870" s="2"/>
    </row>
    <row r="871" spans="1:4" x14ac:dyDescent="0.3">
      <c r="A871" s="2" t="s">
        <v>5553</v>
      </c>
      <c r="B871" s="2" t="s">
        <v>1928</v>
      </c>
      <c r="C871" s="2" t="s">
        <v>5229</v>
      </c>
      <c r="D871" s="2"/>
    </row>
    <row r="872" spans="1:4" x14ac:dyDescent="0.3">
      <c r="A872" s="2" t="s">
        <v>5554</v>
      </c>
      <c r="B872" s="2" t="s">
        <v>1928</v>
      </c>
      <c r="C872" s="2" t="s">
        <v>5229</v>
      </c>
      <c r="D872" s="2"/>
    </row>
    <row r="873" spans="1:4" x14ac:dyDescent="0.3">
      <c r="A873" s="2" t="s">
        <v>5555</v>
      </c>
      <c r="B873" s="2" t="s">
        <v>1928</v>
      </c>
      <c r="C873" s="2" t="s">
        <v>5229</v>
      </c>
      <c r="D873" s="2"/>
    </row>
    <row r="874" spans="1:4" x14ac:dyDescent="0.3">
      <c r="A874" s="2" t="s">
        <v>5556</v>
      </c>
      <c r="B874" s="2" t="s">
        <v>1928</v>
      </c>
      <c r="C874" s="2" t="s">
        <v>5229</v>
      </c>
      <c r="D874" s="2"/>
    </row>
    <row r="875" spans="1:4" x14ac:dyDescent="0.3">
      <c r="A875" s="2" t="s">
        <v>5557</v>
      </c>
      <c r="B875" s="2" t="s">
        <v>1928</v>
      </c>
      <c r="C875" s="2" t="s">
        <v>5229</v>
      </c>
      <c r="D875" s="2"/>
    </row>
    <row r="876" spans="1:4" x14ac:dyDescent="0.3">
      <c r="A876" s="2" t="s">
        <v>5558</v>
      </c>
      <c r="B876" s="2" t="s">
        <v>1928</v>
      </c>
      <c r="C876" s="2" t="s">
        <v>5229</v>
      </c>
      <c r="D876" s="2"/>
    </row>
    <row r="877" spans="1:4" x14ac:dyDescent="0.3">
      <c r="A877" s="2" t="s">
        <v>5559</v>
      </c>
      <c r="B877" s="2" t="s">
        <v>1928</v>
      </c>
      <c r="C877" s="2" t="s">
        <v>5229</v>
      </c>
      <c r="D877" s="2"/>
    </row>
    <row r="878" spans="1:4" x14ac:dyDescent="0.3">
      <c r="A878" s="2" t="s">
        <v>5560</v>
      </c>
      <c r="B878" s="2" t="s">
        <v>1928</v>
      </c>
      <c r="C878" s="2" t="s">
        <v>5229</v>
      </c>
      <c r="D878" s="2"/>
    </row>
    <row r="879" spans="1:4" x14ac:dyDescent="0.3">
      <c r="A879" s="2" t="s">
        <v>5561</v>
      </c>
      <c r="B879" s="2" t="s">
        <v>1928</v>
      </c>
      <c r="C879" s="2" t="s">
        <v>5229</v>
      </c>
      <c r="D879" s="2"/>
    </row>
    <row r="880" spans="1:4" x14ac:dyDescent="0.3">
      <c r="A880" s="2" t="s">
        <v>5562</v>
      </c>
      <c r="B880" s="2" t="s">
        <v>1928</v>
      </c>
      <c r="C880" s="2" t="s">
        <v>5229</v>
      </c>
      <c r="D880" s="2"/>
    </row>
    <row r="881" spans="1:4" x14ac:dyDescent="0.3">
      <c r="A881" s="2" t="s">
        <v>5563</v>
      </c>
      <c r="B881" s="2" t="s">
        <v>1928</v>
      </c>
      <c r="C881" s="2" t="s">
        <v>5229</v>
      </c>
      <c r="D881" s="2"/>
    </row>
    <row r="882" spans="1:4" x14ac:dyDescent="0.3">
      <c r="A882" s="2" t="s">
        <v>5564</v>
      </c>
      <c r="B882" s="2" t="s">
        <v>1928</v>
      </c>
      <c r="C882" s="2" t="s">
        <v>5229</v>
      </c>
      <c r="D882" s="2"/>
    </row>
    <row r="883" spans="1:4" x14ac:dyDescent="0.3">
      <c r="A883" s="2" t="s">
        <v>5565</v>
      </c>
      <c r="B883" s="2" t="s">
        <v>1928</v>
      </c>
      <c r="C883" s="2" t="s">
        <v>5229</v>
      </c>
      <c r="D883" s="2"/>
    </row>
    <row r="884" spans="1:4" x14ac:dyDescent="0.3">
      <c r="A884" s="2" t="s">
        <v>5566</v>
      </c>
      <c r="B884" s="2" t="s">
        <v>1928</v>
      </c>
      <c r="C884" s="2" t="s">
        <v>5229</v>
      </c>
      <c r="D884" s="2"/>
    </row>
    <row r="885" spans="1:4" x14ac:dyDescent="0.3">
      <c r="A885" s="2" t="s">
        <v>5567</v>
      </c>
      <c r="B885" s="2" t="s">
        <v>1928</v>
      </c>
      <c r="C885" s="2" t="s">
        <v>5229</v>
      </c>
      <c r="D885" s="2"/>
    </row>
    <row r="886" spans="1:4" x14ac:dyDescent="0.3">
      <c r="A886" s="2" t="s">
        <v>5568</v>
      </c>
      <c r="B886" s="2" t="s">
        <v>1928</v>
      </c>
      <c r="C886" s="2" t="s">
        <v>5229</v>
      </c>
      <c r="D886" s="2"/>
    </row>
    <row r="887" spans="1:4" x14ac:dyDescent="0.3">
      <c r="A887" s="2" t="s">
        <v>5569</v>
      </c>
      <c r="B887" s="2" t="s">
        <v>1928</v>
      </c>
      <c r="C887" s="2" t="s">
        <v>5229</v>
      </c>
      <c r="D887" s="2"/>
    </row>
    <row r="888" spans="1:4" x14ac:dyDescent="0.3">
      <c r="A888" s="2" t="s">
        <v>5570</v>
      </c>
      <c r="B888" s="2" t="s">
        <v>1928</v>
      </c>
      <c r="C888" s="2" t="s">
        <v>5229</v>
      </c>
      <c r="D888" s="2"/>
    </row>
    <row r="889" spans="1:4" x14ac:dyDescent="0.3">
      <c r="A889" s="2" t="s">
        <v>5571</v>
      </c>
      <c r="B889" s="2" t="s">
        <v>1928</v>
      </c>
      <c r="C889" s="2" t="s">
        <v>5229</v>
      </c>
      <c r="D889" s="2"/>
    </row>
    <row r="890" spans="1:4" x14ac:dyDescent="0.3">
      <c r="A890" s="2" t="s">
        <v>5572</v>
      </c>
      <c r="B890" s="2" t="s">
        <v>1928</v>
      </c>
      <c r="C890" s="2" t="s">
        <v>5229</v>
      </c>
      <c r="D890" s="2"/>
    </row>
    <row r="891" spans="1:4" x14ac:dyDescent="0.3">
      <c r="A891" s="2" t="s">
        <v>5573</v>
      </c>
      <c r="B891" s="2" t="s">
        <v>1928</v>
      </c>
      <c r="C891" s="2" t="s">
        <v>5229</v>
      </c>
      <c r="D891" s="2"/>
    </row>
    <row r="892" spans="1:4" x14ac:dyDescent="0.3">
      <c r="A892" s="2" t="s">
        <v>5574</v>
      </c>
      <c r="B892" s="2" t="s">
        <v>1928</v>
      </c>
      <c r="C892" s="2" t="s">
        <v>5229</v>
      </c>
      <c r="D892" s="2"/>
    </row>
    <row r="893" spans="1:4" x14ac:dyDescent="0.3">
      <c r="A893" s="2" t="s">
        <v>5575</v>
      </c>
      <c r="B893" s="2" t="s">
        <v>1928</v>
      </c>
      <c r="C893" s="2" t="s">
        <v>5229</v>
      </c>
      <c r="D893" s="2"/>
    </row>
    <row r="894" spans="1:4" x14ac:dyDescent="0.3">
      <c r="A894" s="2" t="s">
        <v>5576</v>
      </c>
      <c r="B894" s="2" t="s">
        <v>1928</v>
      </c>
      <c r="C894" s="2" t="s">
        <v>5229</v>
      </c>
      <c r="D894" s="2"/>
    </row>
    <row r="895" spans="1:4" x14ac:dyDescent="0.3">
      <c r="A895" s="2" t="s">
        <v>5577</v>
      </c>
      <c r="B895" s="2" t="s">
        <v>1928</v>
      </c>
      <c r="C895" s="2" t="s">
        <v>5229</v>
      </c>
      <c r="D895" s="2"/>
    </row>
    <row r="896" spans="1:4" x14ac:dyDescent="0.3">
      <c r="A896" s="2" t="s">
        <v>5578</v>
      </c>
      <c r="B896" s="2" t="s">
        <v>1928</v>
      </c>
      <c r="C896" s="2" t="s">
        <v>5229</v>
      </c>
      <c r="D896" s="2"/>
    </row>
    <row r="897" spans="1:4" x14ac:dyDescent="0.3">
      <c r="A897" s="2" t="s">
        <v>5579</v>
      </c>
      <c r="B897" s="2" t="s">
        <v>1928</v>
      </c>
      <c r="C897" s="2" t="s">
        <v>5229</v>
      </c>
      <c r="D897" s="2"/>
    </row>
    <row r="898" spans="1:4" x14ac:dyDescent="0.3">
      <c r="A898" s="2" t="s">
        <v>5580</v>
      </c>
      <c r="B898" s="2" t="s">
        <v>1928</v>
      </c>
      <c r="C898" s="2" t="s">
        <v>5229</v>
      </c>
      <c r="D898" s="2"/>
    </row>
    <row r="899" spans="1:4" x14ac:dyDescent="0.3">
      <c r="A899" s="2" t="s">
        <v>5581</v>
      </c>
      <c r="B899" s="2" t="s">
        <v>1928</v>
      </c>
      <c r="C899" s="2" t="s">
        <v>5229</v>
      </c>
      <c r="D899" s="2"/>
    </row>
    <row r="900" spans="1:4" x14ac:dyDescent="0.3">
      <c r="A900" s="2" t="s">
        <v>5582</v>
      </c>
      <c r="B900" s="2" t="s">
        <v>1928</v>
      </c>
      <c r="C900" s="2" t="s">
        <v>5229</v>
      </c>
      <c r="D900" s="2"/>
    </row>
    <row r="901" spans="1:4" x14ac:dyDescent="0.3">
      <c r="A901" s="2" t="s">
        <v>5583</v>
      </c>
      <c r="B901" s="2" t="s">
        <v>1928</v>
      </c>
      <c r="C901" s="2" t="s">
        <v>5229</v>
      </c>
      <c r="D901" s="2"/>
    </row>
    <row r="902" spans="1:4" x14ac:dyDescent="0.3">
      <c r="A902" s="2" t="s">
        <v>5584</v>
      </c>
      <c r="B902" s="2" t="s">
        <v>1928</v>
      </c>
      <c r="C902" s="2" t="s">
        <v>5229</v>
      </c>
      <c r="D902" s="2"/>
    </row>
    <row r="903" spans="1:4" x14ac:dyDescent="0.3">
      <c r="A903" s="2" t="s">
        <v>5585</v>
      </c>
      <c r="B903" s="2" t="s">
        <v>1928</v>
      </c>
      <c r="C903" s="2" t="s">
        <v>5229</v>
      </c>
      <c r="D903" s="2"/>
    </row>
    <row r="904" spans="1:4" x14ac:dyDescent="0.3">
      <c r="A904" s="2" t="s">
        <v>5586</v>
      </c>
      <c r="B904" s="2" t="s">
        <v>1928</v>
      </c>
      <c r="C904" s="2" t="s">
        <v>5229</v>
      </c>
      <c r="D904" s="2"/>
    </row>
    <row r="905" spans="1:4" x14ac:dyDescent="0.3">
      <c r="A905" s="2" t="s">
        <v>5587</v>
      </c>
      <c r="B905" s="2" t="s">
        <v>1928</v>
      </c>
      <c r="C905" s="2" t="s">
        <v>5229</v>
      </c>
      <c r="D905" s="2"/>
    </row>
    <row r="906" spans="1:4" x14ac:dyDescent="0.3">
      <c r="A906" s="2" t="s">
        <v>3609</v>
      </c>
      <c r="B906" s="2" t="s">
        <v>45</v>
      </c>
      <c r="C906" s="2" t="s">
        <v>5096</v>
      </c>
      <c r="D906" s="2"/>
    </row>
    <row r="907" spans="1:4" x14ac:dyDescent="0.3">
      <c r="A907" s="2" t="s">
        <v>3611</v>
      </c>
      <c r="B907" s="2" t="s">
        <v>45</v>
      </c>
      <c r="C907" s="2" t="s">
        <v>5096</v>
      </c>
      <c r="D907" s="2"/>
    </row>
    <row r="908" spans="1:4" x14ac:dyDescent="0.3">
      <c r="A908" s="2" t="s">
        <v>3613</v>
      </c>
      <c r="B908" s="2" t="s">
        <v>45</v>
      </c>
      <c r="C908" s="2" t="s">
        <v>5096</v>
      </c>
      <c r="D908" s="2"/>
    </row>
    <row r="909" spans="1:4" x14ac:dyDescent="0.3">
      <c r="A909" s="2" t="s">
        <v>3615</v>
      </c>
      <c r="B909" s="2" t="s">
        <v>45</v>
      </c>
      <c r="C909" s="2" t="s">
        <v>5096</v>
      </c>
      <c r="D909" s="2"/>
    </row>
    <row r="910" spans="1:4" x14ac:dyDescent="0.3">
      <c r="A910" s="2" t="s">
        <v>3616</v>
      </c>
      <c r="B910" s="2" t="s">
        <v>45</v>
      </c>
      <c r="C910" s="2" t="s">
        <v>5096</v>
      </c>
      <c r="D910" s="2"/>
    </row>
    <row r="911" spans="1:4" x14ac:dyDescent="0.3">
      <c r="A911" s="2" t="s">
        <v>3618</v>
      </c>
      <c r="B911" s="2" t="s">
        <v>45</v>
      </c>
      <c r="C911" s="2" t="s">
        <v>5096</v>
      </c>
      <c r="D911" s="2"/>
    </row>
    <row r="912" spans="1:4" x14ac:dyDescent="0.3">
      <c r="A912" s="2" t="s">
        <v>3620</v>
      </c>
      <c r="B912" s="2" t="s">
        <v>45</v>
      </c>
      <c r="C912" s="2" t="s">
        <v>5096</v>
      </c>
      <c r="D912" s="2"/>
    </row>
    <row r="913" spans="1:4" x14ac:dyDescent="0.3">
      <c r="A913" s="2" t="s">
        <v>3622</v>
      </c>
      <c r="B913" s="2" t="s">
        <v>45</v>
      </c>
      <c r="C913" s="2" t="s">
        <v>5096</v>
      </c>
      <c r="D913" s="2"/>
    </row>
    <row r="914" spans="1:4" x14ac:dyDescent="0.3">
      <c r="A914" s="2" t="s">
        <v>3624</v>
      </c>
      <c r="B914" s="2" t="s">
        <v>45</v>
      </c>
      <c r="C914" s="2" t="s">
        <v>5096</v>
      </c>
      <c r="D914" s="2"/>
    </row>
    <row r="915" spans="1:4" x14ac:dyDescent="0.3">
      <c r="A915" s="2" t="s">
        <v>3625</v>
      </c>
      <c r="B915" s="2" t="s">
        <v>45</v>
      </c>
      <c r="C915" s="2" t="s">
        <v>5096</v>
      </c>
      <c r="D915" s="2"/>
    </row>
    <row r="916" spans="1:4" x14ac:dyDescent="0.3">
      <c r="A916" s="2" t="s">
        <v>3627</v>
      </c>
      <c r="B916" s="2" t="s">
        <v>45</v>
      </c>
      <c r="C916" s="2" t="s">
        <v>5096</v>
      </c>
      <c r="D916" s="2"/>
    </row>
    <row r="917" spans="1:4" x14ac:dyDescent="0.3">
      <c r="A917" s="2" t="s">
        <v>3629</v>
      </c>
      <c r="B917" s="2" t="s">
        <v>45</v>
      </c>
      <c r="C917" s="2" t="s">
        <v>5096</v>
      </c>
      <c r="D917" s="2"/>
    </row>
    <row r="918" spans="1:4" x14ac:dyDescent="0.3">
      <c r="A918" s="2" t="s">
        <v>3630</v>
      </c>
      <c r="B918" s="2" t="s">
        <v>45</v>
      </c>
      <c r="C918" s="2" t="s">
        <v>5096</v>
      </c>
      <c r="D918" s="2"/>
    </row>
    <row r="919" spans="1:4" x14ac:dyDescent="0.3">
      <c r="A919" s="2" t="s">
        <v>3632</v>
      </c>
      <c r="B919" s="2" t="s">
        <v>45</v>
      </c>
      <c r="C919" s="2" t="s">
        <v>5096</v>
      </c>
      <c r="D919" s="2"/>
    </row>
    <row r="920" spans="1:4" x14ac:dyDescent="0.3">
      <c r="A920" s="2" t="s">
        <v>3633</v>
      </c>
      <c r="B920" s="2" t="s">
        <v>45</v>
      </c>
      <c r="C920" s="2" t="s">
        <v>5096</v>
      </c>
      <c r="D920" s="2"/>
    </row>
    <row r="921" spans="1:4" x14ac:dyDescent="0.3">
      <c r="A921" s="2" t="s">
        <v>3635</v>
      </c>
      <c r="B921" s="2" t="s">
        <v>45</v>
      </c>
      <c r="C921" s="2" t="s">
        <v>5096</v>
      </c>
      <c r="D921" s="2"/>
    </row>
    <row r="922" spans="1:4" x14ac:dyDescent="0.3">
      <c r="A922" s="2" t="s">
        <v>3636</v>
      </c>
      <c r="B922" s="2" t="s">
        <v>45</v>
      </c>
      <c r="C922" s="2" t="s">
        <v>5096</v>
      </c>
      <c r="D922" s="2"/>
    </row>
    <row r="923" spans="1:4" x14ac:dyDescent="0.3">
      <c r="A923" s="2" t="s">
        <v>3638</v>
      </c>
      <c r="B923" s="2" t="s">
        <v>45</v>
      </c>
      <c r="C923" s="2" t="s">
        <v>5096</v>
      </c>
      <c r="D923" s="2"/>
    </row>
    <row r="924" spans="1:4" x14ac:dyDescent="0.3">
      <c r="A924" s="2" t="s">
        <v>3640</v>
      </c>
      <c r="B924" s="2" t="s">
        <v>45</v>
      </c>
      <c r="C924" s="2" t="s">
        <v>5096</v>
      </c>
      <c r="D924" s="2"/>
    </row>
    <row r="925" spans="1:4" x14ac:dyDescent="0.3">
      <c r="A925" s="2" t="s">
        <v>3641</v>
      </c>
      <c r="B925" s="2" t="s">
        <v>45</v>
      </c>
      <c r="C925" s="2" t="s">
        <v>5096</v>
      </c>
      <c r="D925" s="2"/>
    </row>
    <row r="926" spans="1:4" x14ac:dyDescent="0.3">
      <c r="A926" s="2" t="s">
        <v>3643</v>
      </c>
      <c r="B926" s="2" t="s">
        <v>45</v>
      </c>
      <c r="C926" s="2" t="s">
        <v>5096</v>
      </c>
      <c r="D926" s="2"/>
    </row>
    <row r="927" spans="1:4" x14ac:dyDescent="0.3">
      <c r="A927" s="2" t="s">
        <v>3644</v>
      </c>
      <c r="B927" s="2" t="s">
        <v>45</v>
      </c>
      <c r="C927" s="2" t="s">
        <v>5096</v>
      </c>
      <c r="D927" s="2"/>
    </row>
    <row r="928" spans="1:4" x14ac:dyDescent="0.3">
      <c r="A928" s="2" t="s">
        <v>3646</v>
      </c>
      <c r="B928" s="2" t="s">
        <v>45</v>
      </c>
      <c r="C928" s="2" t="s">
        <v>5096</v>
      </c>
      <c r="D928" s="2"/>
    </row>
    <row r="929" spans="1:4" x14ac:dyDescent="0.3">
      <c r="A929" s="2" t="s">
        <v>3647</v>
      </c>
      <c r="B929" s="2" t="s">
        <v>45</v>
      </c>
      <c r="C929" s="2" t="s">
        <v>5096</v>
      </c>
      <c r="D929" s="2"/>
    </row>
    <row r="930" spans="1:4" x14ac:dyDescent="0.3">
      <c r="A930" s="2" t="s">
        <v>3649</v>
      </c>
      <c r="B930" s="2" t="s">
        <v>45</v>
      </c>
      <c r="C930" s="2" t="s">
        <v>5096</v>
      </c>
      <c r="D930" s="2"/>
    </row>
    <row r="931" spans="1:4" x14ac:dyDescent="0.3">
      <c r="A931" s="2" t="s">
        <v>3651</v>
      </c>
      <c r="B931" s="2" t="s">
        <v>45</v>
      </c>
      <c r="C931" s="2" t="s">
        <v>5096</v>
      </c>
      <c r="D931" s="2"/>
    </row>
    <row r="932" spans="1:4" x14ac:dyDescent="0.3">
      <c r="A932" s="2" t="s">
        <v>3652</v>
      </c>
      <c r="B932" s="2" t="s">
        <v>45</v>
      </c>
      <c r="C932" s="2" t="s">
        <v>5096</v>
      </c>
      <c r="D932" s="2"/>
    </row>
    <row r="933" spans="1:4" x14ac:dyDescent="0.3">
      <c r="A933" s="2" t="s">
        <v>3654</v>
      </c>
      <c r="B933" s="2" t="s">
        <v>45</v>
      </c>
      <c r="C933" s="2" t="s">
        <v>5096</v>
      </c>
      <c r="D933" s="2"/>
    </row>
    <row r="934" spans="1:4" x14ac:dyDescent="0.3">
      <c r="A934" s="2" t="s">
        <v>3656</v>
      </c>
      <c r="B934" s="2" t="s">
        <v>45</v>
      </c>
      <c r="C934" s="2" t="s">
        <v>5096</v>
      </c>
      <c r="D934" s="2"/>
    </row>
    <row r="935" spans="1:4" x14ac:dyDescent="0.3">
      <c r="A935" s="2" t="s">
        <v>3658</v>
      </c>
      <c r="B935" s="2" t="s">
        <v>45</v>
      </c>
      <c r="C935" s="2" t="s">
        <v>5096</v>
      </c>
      <c r="D935" s="2"/>
    </row>
    <row r="936" spans="1:4" x14ac:dyDescent="0.3">
      <c r="A936" s="2" t="s">
        <v>3660</v>
      </c>
      <c r="B936" s="2" t="s">
        <v>45</v>
      </c>
      <c r="C936" s="2" t="s">
        <v>5096</v>
      </c>
      <c r="D936" s="2"/>
    </row>
    <row r="937" spans="1:4" x14ac:dyDescent="0.3">
      <c r="A937" s="2" t="s">
        <v>3661</v>
      </c>
      <c r="B937" s="2" t="s">
        <v>45</v>
      </c>
      <c r="C937" s="2" t="s">
        <v>5096</v>
      </c>
      <c r="D937" s="2"/>
    </row>
    <row r="938" spans="1:4" x14ac:dyDescent="0.3">
      <c r="A938" s="2" t="s">
        <v>3663</v>
      </c>
      <c r="B938" s="2" t="s">
        <v>45</v>
      </c>
      <c r="C938" s="2" t="s">
        <v>5096</v>
      </c>
      <c r="D938" s="2"/>
    </row>
    <row r="939" spans="1:4" x14ac:dyDescent="0.3">
      <c r="A939" s="2" t="s">
        <v>3664</v>
      </c>
      <c r="B939" s="2" t="s">
        <v>45</v>
      </c>
      <c r="C939" s="2" t="s">
        <v>5096</v>
      </c>
      <c r="D939" s="2"/>
    </row>
    <row r="940" spans="1:4" x14ac:dyDescent="0.3">
      <c r="A940" s="2" t="s">
        <v>3665</v>
      </c>
      <c r="B940" s="2" t="s">
        <v>45</v>
      </c>
      <c r="C940" s="2" t="s">
        <v>5096</v>
      </c>
      <c r="D940" s="2"/>
    </row>
    <row r="941" spans="1:4" x14ac:dyDescent="0.3">
      <c r="A941" s="2" t="s">
        <v>3666</v>
      </c>
      <c r="B941" s="2" t="s">
        <v>45</v>
      </c>
      <c r="C941" s="2" t="s">
        <v>5096</v>
      </c>
      <c r="D941" s="2"/>
    </row>
    <row r="942" spans="1:4" x14ac:dyDescent="0.3">
      <c r="A942" s="2" t="s">
        <v>3668</v>
      </c>
      <c r="B942" s="2" t="s">
        <v>45</v>
      </c>
      <c r="C942" s="2" t="s">
        <v>5096</v>
      </c>
      <c r="D942" s="2"/>
    </row>
    <row r="943" spans="1:4" x14ac:dyDescent="0.3">
      <c r="A943" s="2" t="s">
        <v>3669</v>
      </c>
      <c r="B943" s="2" t="s">
        <v>45</v>
      </c>
      <c r="C943" s="2" t="s">
        <v>5096</v>
      </c>
      <c r="D943" s="2"/>
    </row>
    <row r="944" spans="1:4" x14ac:dyDescent="0.3">
      <c r="A944" s="2" t="s">
        <v>3670</v>
      </c>
      <c r="B944" s="2" t="s">
        <v>45</v>
      </c>
      <c r="C944" s="2" t="s">
        <v>5096</v>
      </c>
      <c r="D944" s="2"/>
    </row>
    <row r="945" spans="1:4" x14ac:dyDescent="0.3">
      <c r="A945" s="2" t="s">
        <v>3672</v>
      </c>
      <c r="B945" s="2" t="s">
        <v>45</v>
      </c>
      <c r="C945" s="2" t="s">
        <v>5096</v>
      </c>
      <c r="D945" s="2"/>
    </row>
    <row r="946" spans="1:4" x14ac:dyDescent="0.3">
      <c r="A946" s="2" t="s">
        <v>3674</v>
      </c>
      <c r="B946" s="2" t="s">
        <v>45</v>
      </c>
      <c r="C946" s="2" t="s">
        <v>5096</v>
      </c>
      <c r="D946" s="2"/>
    </row>
    <row r="947" spans="1:4" x14ac:dyDescent="0.3">
      <c r="A947" s="2" t="s">
        <v>3675</v>
      </c>
      <c r="B947" s="2" t="s">
        <v>45</v>
      </c>
      <c r="C947" s="2" t="s">
        <v>5096</v>
      </c>
      <c r="D947" s="2"/>
    </row>
    <row r="948" spans="1:4" x14ac:dyDescent="0.3">
      <c r="A948" s="2" t="s">
        <v>3677</v>
      </c>
      <c r="B948" s="2" t="s">
        <v>45</v>
      </c>
      <c r="C948" s="2" t="s">
        <v>5096</v>
      </c>
      <c r="D948" s="2"/>
    </row>
    <row r="949" spans="1:4" x14ac:dyDescent="0.3">
      <c r="A949" s="2" t="s">
        <v>3679</v>
      </c>
      <c r="B949" s="2" t="s">
        <v>45</v>
      </c>
      <c r="C949" s="2" t="s">
        <v>5096</v>
      </c>
      <c r="D949" s="2"/>
    </row>
    <row r="950" spans="1:4" x14ac:dyDescent="0.3">
      <c r="A950" s="2" t="s">
        <v>3681</v>
      </c>
      <c r="B950" s="2" t="s">
        <v>45</v>
      </c>
      <c r="C950" s="2" t="s">
        <v>5096</v>
      </c>
      <c r="D950" s="2"/>
    </row>
    <row r="951" spans="1:4" x14ac:dyDescent="0.3">
      <c r="A951" s="2" t="s">
        <v>3683</v>
      </c>
      <c r="B951" s="2" t="s">
        <v>45</v>
      </c>
      <c r="C951" s="2" t="s">
        <v>5096</v>
      </c>
      <c r="D951" s="2"/>
    </row>
    <row r="952" spans="1:4" x14ac:dyDescent="0.3">
      <c r="A952" s="2" t="s">
        <v>3685</v>
      </c>
      <c r="B952" s="2" t="s">
        <v>45</v>
      </c>
      <c r="C952" s="2" t="s">
        <v>5096</v>
      </c>
      <c r="D952" s="2"/>
    </row>
    <row r="953" spans="1:4" x14ac:dyDescent="0.3">
      <c r="A953" s="2" t="s">
        <v>3687</v>
      </c>
      <c r="B953" s="2" t="s">
        <v>45</v>
      </c>
      <c r="C953" s="2" t="s">
        <v>5096</v>
      </c>
      <c r="D953" s="2"/>
    </row>
    <row r="954" spans="1:4" x14ac:dyDescent="0.3">
      <c r="A954" s="2" t="s">
        <v>3688</v>
      </c>
      <c r="B954" s="2" t="s">
        <v>45</v>
      </c>
      <c r="C954" s="2" t="s">
        <v>5096</v>
      </c>
      <c r="D954" s="2"/>
    </row>
    <row r="955" spans="1:4" x14ac:dyDescent="0.3">
      <c r="A955" s="2" t="s">
        <v>3690</v>
      </c>
      <c r="B955" s="2" t="s">
        <v>45</v>
      </c>
      <c r="C955" s="2" t="s">
        <v>5096</v>
      </c>
      <c r="D955" s="2"/>
    </row>
    <row r="956" spans="1:4" x14ac:dyDescent="0.3">
      <c r="A956" s="2" t="s">
        <v>3691</v>
      </c>
      <c r="B956" s="2" t="s">
        <v>45</v>
      </c>
      <c r="C956" s="2" t="s">
        <v>5096</v>
      </c>
      <c r="D956" s="2"/>
    </row>
    <row r="957" spans="1:4" x14ac:dyDescent="0.3">
      <c r="A957" s="2" t="s">
        <v>3693</v>
      </c>
      <c r="B957" s="2" t="s">
        <v>45</v>
      </c>
      <c r="C957" s="2" t="s">
        <v>5096</v>
      </c>
      <c r="D957" s="2"/>
    </row>
    <row r="958" spans="1:4" x14ac:dyDescent="0.3">
      <c r="A958" s="2" t="s">
        <v>3695</v>
      </c>
      <c r="B958" s="2" t="s">
        <v>45</v>
      </c>
      <c r="C958" s="2" t="s">
        <v>5096</v>
      </c>
      <c r="D958" s="2"/>
    </row>
    <row r="959" spans="1:4" x14ac:dyDescent="0.3">
      <c r="A959" s="2" t="s">
        <v>3696</v>
      </c>
      <c r="B959" s="2" t="s">
        <v>45</v>
      </c>
      <c r="C959" s="2" t="s">
        <v>5096</v>
      </c>
      <c r="D959" s="2"/>
    </row>
    <row r="960" spans="1:4" x14ac:dyDescent="0.3">
      <c r="A960" s="2" t="s">
        <v>3698</v>
      </c>
      <c r="B960" s="2" t="s">
        <v>45</v>
      </c>
      <c r="C960" s="2" t="s">
        <v>5096</v>
      </c>
      <c r="D960" s="2"/>
    </row>
    <row r="961" spans="1:4" x14ac:dyDescent="0.3">
      <c r="A961" s="2" t="s">
        <v>3700</v>
      </c>
      <c r="B961" s="2" t="s">
        <v>45</v>
      </c>
      <c r="C961" s="2" t="s">
        <v>5096</v>
      </c>
      <c r="D961" s="2"/>
    </row>
    <row r="962" spans="1:4" x14ac:dyDescent="0.3">
      <c r="A962" s="2" t="s">
        <v>3701</v>
      </c>
      <c r="B962" s="2" t="s">
        <v>45</v>
      </c>
      <c r="C962" s="2" t="s">
        <v>5096</v>
      </c>
      <c r="D962" s="2"/>
    </row>
    <row r="963" spans="1:4" x14ac:dyDescent="0.3">
      <c r="A963" s="2" t="s">
        <v>3702</v>
      </c>
      <c r="B963" s="2" t="s">
        <v>45</v>
      </c>
      <c r="C963" s="2" t="s">
        <v>5096</v>
      </c>
      <c r="D963" s="2"/>
    </row>
    <row r="964" spans="1:4" x14ac:dyDescent="0.3">
      <c r="A964" s="2" t="s">
        <v>3703</v>
      </c>
      <c r="B964" s="2" t="s">
        <v>45</v>
      </c>
      <c r="C964" s="2" t="s">
        <v>5096</v>
      </c>
      <c r="D964" s="2"/>
    </row>
    <row r="965" spans="1:4" x14ac:dyDescent="0.3">
      <c r="A965" s="2" t="s">
        <v>3704</v>
      </c>
      <c r="B965" s="2" t="s">
        <v>45</v>
      </c>
      <c r="C965" s="2" t="s">
        <v>5096</v>
      </c>
      <c r="D965" s="2"/>
    </row>
    <row r="966" spans="1:4" x14ac:dyDescent="0.3">
      <c r="A966" s="2" t="s">
        <v>3706</v>
      </c>
      <c r="B966" s="2" t="s">
        <v>45</v>
      </c>
      <c r="C966" s="2" t="s">
        <v>5096</v>
      </c>
      <c r="D966" s="2"/>
    </row>
    <row r="967" spans="1:4" x14ac:dyDescent="0.3">
      <c r="A967" s="2" t="s">
        <v>3708</v>
      </c>
      <c r="B967" s="2" t="s">
        <v>45</v>
      </c>
      <c r="C967" s="2" t="s">
        <v>5096</v>
      </c>
      <c r="D967" s="2"/>
    </row>
    <row r="968" spans="1:4" x14ac:dyDescent="0.3">
      <c r="A968" s="2" t="s">
        <v>3709</v>
      </c>
      <c r="B968" s="2" t="s">
        <v>45</v>
      </c>
      <c r="C968" s="2" t="s">
        <v>5096</v>
      </c>
      <c r="D968" s="2"/>
    </row>
    <row r="969" spans="1:4" x14ac:dyDescent="0.3">
      <c r="A969" s="2" t="s">
        <v>3711</v>
      </c>
      <c r="B969" s="2" t="s">
        <v>45</v>
      </c>
      <c r="C969" s="2" t="s">
        <v>5096</v>
      </c>
      <c r="D969" s="2"/>
    </row>
    <row r="970" spans="1:4" x14ac:dyDescent="0.3">
      <c r="A970" s="2" t="s">
        <v>3712</v>
      </c>
      <c r="B970" s="2" t="s">
        <v>45</v>
      </c>
      <c r="C970" s="2" t="s">
        <v>5096</v>
      </c>
      <c r="D970" s="2"/>
    </row>
    <row r="971" spans="1:4" x14ac:dyDescent="0.3">
      <c r="A971" s="2" t="s">
        <v>3714</v>
      </c>
      <c r="B971" s="2" t="s">
        <v>45</v>
      </c>
      <c r="C971" s="2" t="s">
        <v>5096</v>
      </c>
      <c r="D971" s="2"/>
    </row>
    <row r="972" spans="1:4" x14ac:dyDescent="0.3">
      <c r="A972" s="2" t="s">
        <v>3716</v>
      </c>
      <c r="B972" s="2" t="s">
        <v>45</v>
      </c>
      <c r="C972" s="2" t="s">
        <v>5096</v>
      </c>
      <c r="D972" s="2"/>
    </row>
    <row r="973" spans="1:4" x14ac:dyDescent="0.3">
      <c r="A973" s="2" t="s">
        <v>3718</v>
      </c>
      <c r="B973" s="2" t="s">
        <v>45</v>
      </c>
      <c r="C973" s="2" t="s">
        <v>5096</v>
      </c>
      <c r="D973" s="2"/>
    </row>
    <row r="974" spans="1:4" x14ac:dyDescent="0.3">
      <c r="A974" s="2" t="s">
        <v>3719</v>
      </c>
      <c r="B974" s="2" t="s">
        <v>45</v>
      </c>
      <c r="C974" s="2" t="s">
        <v>5096</v>
      </c>
      <c r="D974" s="2"/>
    </row>
    <row r="975" spans="1:4" x14ac:dyDescent="0.3">
      <c r="A975" s="2" t="s">
        <v>3721</v>
      </c>
      <c r="B975" s="2" t="s">
        <v>45</v>
      </c>
      <c r="C975" s="2" t="s">
        <v>5096</v>
      </c>
      <c r="D975" s="2"/>
    </row>
    <row r="976" spans="1:4" x14ac:dyDescent="0.3">
      <c r="A976" s="2" t="s">
        <v>3722</v>
      </c>
      <c r="B976" s="2" t="s">
        <v>45</v>
      </c>
      <c r="C976" s="2" t="s">
        <v>5096</v>
      </c>
      <c r="D976" s="2"/>
    </row>
    <row r="977" spans="1:4" x14ac:dyDescent="0.3">
      <c r="A977" s="2" t="s">
        <v>3723</v>
      </c>
      <c r="B977" s="2" t="s">
        <v>45</v>
      </c>
      <c r="C977" s="2" t="s">
        <v>5096</v>
      </c>
      <c r="D977" s="2"/>
    </row>
    <row r="978" spans="1:4" x14ac:dyDescent="0.3">
      <c r="A978" s="2" t="s">
        <v>3725</v>
      </c>
      <c r="B978" s="2" t="s">
        <v>45</v>
      </c>
      <c r="C978" s="2" t="s">
        <v>5096</v>
      </c>
      <c r="D978" s="2"/>
    </row>
    <row r="979" spans="1:4" x14ac:dyDescent="0.3">
      <c r="A979" s="2" t="s">
        <v>3726</v>
      </c>
      <c r="B979" s="2" t="s">
        <v>45</v>
      </c>
      <c r="C979" s="2" t="s">
        <v>5096</v>
      </c>
      <c r="D979" s="2"/>
    </row>
    <row r="980" spans="1:4" x14ac:dyDescent="0.3">
      <c r="A980" s="2" t="s">
        <v>3727</v>
      </c>
      <c r="B980" s="2" t="s">
        <v>45</v>
      </c>
      <c r="C980" s="2" t="s">
        <v>5096</v>
      </c>
      <c r="D980" s="2"/>
    </row>
    <row r="981" spans="1:4" x14ac:dyDescent="0.3">
      <c r="A981" s="2" t="s">
        <v>3728</v>
      </c>
      <c r="B981" s="2" t="s">
        <v>45</v>
      </c>
      <c r="C981" s="2" t="s">
        <v>5096</v>
      </c>
      <c r="D981" s="2"/>
    </row>
    <row r="982" spans="1:4" x14ac:dyDescent="0.3">
      <c r="A982" s="2" t="s">
        <v>3730</v>
      </c>
      <c r="B982" s="2" t="s">
        <v>45</v>
      </c>
      <c r="C982" s="2" t="s">
        <v>5096</v>
      </c>
      <c r="D982" s="2"/>
    </row>
    <row r="983" spans="1:4" x14ac:dyDescent="0.3">
      <c r="A983" s="2" t="s">
        <v>3731</v>
      </c>
      <c r="B983" s="2" t="s">
        <v>45</v>
      </c>
      <c r="C983" s="2" t="s">
        <v>5096</v>
      </c>
      <c r="D983" s="2"/>
    </row>
    <row r="984" spans="1:4" x14ac:dyDescent="0.3">
      <c r="A984" s="2" t="s">
        <v>3733</v>
      </c>
      <c r="B984" s="2" t="s">
        <v>45</v>
      </c>
      <c r="C984" s="2" t="s">
        <v>5096</v>
      </c>
      <c r="D984" s="2"/>
    </row>
    <row r="985" spans="1:4" x14ac:dyDescent="0.3">
      <c r="A985" s="2" t="s">
        <v>3734</v>
      </c>
      <c r="B985" s="2" t="s">
        <v>45</v>
      </c>
      <c r="C985" s="2" t="s">
        <v>5096</v>
      </c>
      <c r="D985" s="2"/>
    </row>
    <row r="986" spans="1:4" x14ac:dyDescent="0.3">
      <c r="A986" s="2" t="s">
        <v>3736</v>
      </c>
      <c r="B986" s="2" t="s">
        <v>45</v>
      </c>
      <c r="C986" s="2" t="s">
        <v>5096</v>
      </c>
      <c r="D986" s="2"/>
    </row>
    <row r="987" spans="1:4" x14ac:dyDescent="0.3">
      <c r="A987" s="2" t="s">
        <v>3737</v>
      </c>
      <c r="B987" s="2" t="s">
        <v>45</v>
      </c>
      <c r="C987" s="2" t="s">
        <v>5096</v>
      </c>
      <c r="D987" s="2"/>
    </row>
    <row r="988" spans="1:4" x14ac:dyDescent="0.3">
      <c r="A988" s="2" t="s">
        <v>3738</v>
      </c>
      <c r="B988" s="2" t="s">
        <v>45</v>
      </c>
      <c r="C988" s="2" t="s">
        <v>5096</v>
      </c>
      <c r="D988" s="2"/>
    </row>
    <row r="989" spans="1:4" x14ac:dyDescent="0.3">
      <c r="A989" s="2" t="s">
        <v>3739</v>
      </c>
      <c r="B989" s="2" t="s">
        <v>45</v>
      </c>
      <c r="C989" s="2" t="s">
        <v>5096</v>
      </c>
      <c r="D989" s="2"/>
    </row>
    <row r="990" spans="1:4" x14ac:dyDescent="0.3">
      <c r="A990" s="2" t="s">
        <v>3740</v>
      </c>
      <c r="B990" s="2" t="s">
        <v>45</v>
      </c>
      <c r="C990" s="2" t="s">
        <v>5096</v>
      </c>
      <c r="D990" s="2"/>
    </row>
    <row r="991" spans="1:4" x14ac:dyDescent="0.3">
      <c r="A991" s="2" t="s">
        <v>3742</v>
      </c>
      <c r="B991" s="2" t="s">
        <v>45</v>
      </c>
      <c r="C991" s="2" t="s">
        <v>5096</v>
      </c>
      <c r="D991" s="2"/>
    </row>
    <row r="992" spans="1:4" x14ac:dyDescent="0.3">
      <c r="A992" s="2" t="s">
        <v>3743</v>
      </c>
      <c r="B992" s="2" t="s">
        <v>45</v>
      </c>
      <c r="C992" s="2" t="s">
        <v>5096</v>
      </c>
      <c r="D992" s="2"/>
    </row>
    <row r="993" spans="1:4" x14ac:dyDescent="0.3">
      <c r="A993" s="2" t="s">
        <v>3745</v>
      </c>
      <c r="B993" s="2" t="s">
        <v>45</v>
      </c>
      <c r="C993" s="2" t="s">
        <v>5096</v>
      </c>
      <c r="D993" s="2"/>
    </row>
    <row r="994" spans="1:4" x14ac:dyDescent="0.3">
      <c r="A994" s="2" t="s">
        <v>3746</v>
      </c>
      <c r="B994" s="2" t="s">
        <v>45</v>
      </c>
      <c r="C994" s="2" t="s">
        <v>5096</v>
      </c>
      <c r="D994" s="2"/>
    </row>
    <row r="995" spans="1:4" x14ac:dyDescent="0.3">
      <c r="A995" s="2" t="s">
        <v>3748</v>
      </c>
      <c r="B995" s="2" t="s">
        <v>45</v>
      </c>
      <c r="C995" s="2" t="s">
        <v>5096</v>
      </c>
      <c r="D995" s="2"/>
    </row>
    <row r="996" spans="1:4" x14ac:dyDescent="0.3">
      <c r="A996" s="2" t="s">
        <v>3749</v>
      </c>
      <c r="B996" s="2" t="s">
        <v>45</v>
      </c>
      <c r="C996" s="2" t="s">
        <v>5096</v>
      </c>
      <c r="D996" s="2"/>
    </row>
    <row r="997" spans="1:4" x14ac:dyDescent="0.3">
      <c r="A997" s="2" t="s">
        <v>3750</v>
      </c>
      <c r="B997" s="2" t="s">
        <v>45</v>
      </c>
      <c r="C997" s="2" t="s">
        <v>5096</v>
      </c>
      <c r="D997" s="2"/>
    </row>
    <row r="998" spans="1:4" x14ac:dyDescent="0.3">
      <c r="A998" s="2" t="s">
        <v>3752</v>
      </c>
      <c r="B998" s="2" t="s">
        <v>45</v>
      </c>
      <c r="C998" s="2" t="s">
        <v>5096</v>
      </c>
      <c r="D998" s="2"/>
    </row>
    <row r="999" spans="1:4" x14ac:dyDescent="0.3">
      <c r="A999" s="2" t="s">
        <v>3754</v>
      </c>
      <c r="B999" s="2" t="s">
        <v>45</v>
      </c>
      <c r="C999" s="2" t="s">
        <v>5096</v>
      </c>
      <c r="D999" s="2"/>
    </row>
    <row r="1000" spans="1:4" x14ac:dyDescent="0.3">
      <c r="A1000" s="2" t="s">
        <v>3755</v>
      </c>
      <c r="B1000" s="2" t="s">
        <v>45</v>
      </c>
      <c r="C1000" s="2" t="s">
        <v>5096</v>
      </c>
      <c r="D1000" s="2"/>
    </row>
    <row r="1001" spans="1:4" x14ac:dyDescent="0.3">
      <c r="A1001" s="2" t="s">
        <v>3757</v>
      </c>
      <c r="B1001" s="2" t="s">
        <v>45</v>
      </c>
      <c r="C1001" s="2" t="s">
        <v>5096</v>
      </c>
      <c r="D1001" s="2"/>
    </row>
    <row r="1002" spans="1:4" x14ac:dyDescent="0.3">
      <c r="A1002" s="2" t="s">
        <v>3758</v>
      </c>
      <c r="B1002" s="2" t="s">
        <v>45</v>
      </c>
      <c r="C1002" s="2" t="s">
        <v>5096</v>
      </c>
      <c r="D1002" s="2"/>
    </row>
    <row r="1003" spans="1:4" x14ac:dyDescent="0.3">
      <c r="A1003" s="2" t="s">
        <v>3760</v>
      </c>
      <c r="B1003" s="2" t="s">
        <v>45</v>
      </c>
      <c r="C1003" s="2" t="s">
        <v>5096</v>
      </c>
      <c r="D1003" s="2"/>
    </row>
    <row r="1004" spans="1:4" x14ac:dyDescent="0.3">
      <c r="A1004" s="2" t="s">
        <v>3761</v>
      </c>
      <c r="B1004" s="2" t="s">
        <v>45</v>
      </c>
      <c r="C1004" s="2" t="s">
        <v>5096</v>
      </c>
      <c r="D1004" s="2"/>
    </row>
    <row r="1005" spans="1:4" x14ac:dyDescent="0.3">
      <c r="A1005" s="2" t="s">
        <v>3763</v>
      </c>
      <c r="B1005" s="2" t="s">
        <v>45</v>
      </c>
      <c r="C1005" s="2" t="s">
        <v>5096</v>
      </c>
      <c r="D1005" s="2"/>
    </row>
    <row r="1006" spans="1:4" x14ac:dyDescent="0.3">
      <c r="A1006" s="2" t="s">
        <v>3765</v>
      </c>
      <c r="B1006" s="2" t="s">
        <v>45</v>
      </c>
      <c r="C1006" s="2" t="s">
        <v>5096</v>
      </c>
      <c r="D1006" s="2"/>
    </row>
    <row r="1007" spans="1:4" x14ac:dyDescent="0.3">
      <c r="A1007" s="2" t="s">
        <v>3767</v>
      </c>
      <c r="B1007" s="2" t="s">
        <v>45</v>
      </c>
      <c r="C1007" s="2" t="s">
        <v>5096</v>
      </c>
      <c r="D1007" s="2"/>
    </row>
    <row r="1008" spans="1:4" x14ac:dyDescent="0.3">
      <c r="A1008" s="2" t="s">
        <v>3769</v>
      </c>
      <c r="B1008" s="2" t="s">
        <v>45</v>
      </c>
      <c r="C1008" s="2" t="s">
        <v>5096</v>
      </c>
      <c r="D1008" s="2"/>
    </row>
    <row r="1009" spans="1:4" x14ac:dyDescent="0.3">
      <c r="A1009" s="2" t="s">
        <v>3770</v>
      </c>
      <c r="B1009" s="2" t="s">
        <v>45</v>
      </c>
      <c r="C1009" s="2" t="s">
        <v>5096</v>
      </c>
      <c r="D1009" s="2"/>
    </row>
    <row r="1010" spans="1:4" x14ac:dyDescent="0.3">
      <c r="A1010" s="2" t="s">
        <v>3772</v>
      </c>
      <c r="B1010" s="2" t="s">
        <v>45</v>
      </c>
      <c r="C1010" s="2" t="s">
        <v>5096</v>
      </c>
      <c r="D1010" s="2"/>
    </row>
    <row r="1011" spans="1:4" x14ac:dyDescent="0.3">
      <c r="A1011" s="2" t="s">
        <v>3773</v>
      </c>
      <c r="B1011" s="2" t="s">
        <v>45</v>
      </c>
      <c r="C1011" s="2" t="s">
        <v>5096</v>
      </c>
      <c r="D1011" s="2"/>
    </row>
    <row r="1012" spans="1:4" x14ac:dyDescent="0.3">
      <c r="A1012" s="2" t="s">
        <v>3775</v>
      </c>
      <c r="B1012" s="2" t="s">
        <v>45</v>
      </c>
      <c r="C1012" s="2" t="s">
        <v>5096</v>
      </c>
      <c r="D1012" s="2"/>
    </row>
    <row r="1013" spans="1:4" x14ac:dyDescent="0.3">
      <c r="A1013" s="2" t="s">
        <v>3777</v>
      </c>
      <c r="B1013" s="2" t="s">
        <v>45</v>
      </c>
      <c r="C1013" s="2" t="s">
        <v>5096</v>
      </c>
      <c r="D1013" s="2"/>
    </row>
    <row r="1014" spans="1:4" x14ac:dyDescent="0.3">
      <c r="A1014" s="2" t="s">
        <v>3779</v>
      </c>
      <c r="B1014" s="2" t="s">
        <v>45</v>
      </c>
      <c r="C1014" s="2" t="s">
        <v>5096</v>
      </c>
      <c r="D1014" s="2"/>
    </row>
    <row r="1015" spans="1:4" x14ac:dyDescent="0.3">
      <c r="A1015" s="2" t="s">
        <v>3781</v>
      </c>
      <c r="B1015" s="2" t="s">
        <v>45</v>
      </c>
      <c r="C1015" s="2" t="s">
        <v>5096</v>
      </c>
      <c r="D1015" s="2"/>
    </row>
    <row r="1016" spans="1:4" x14ac:dyDescent="0.3">
      <c r="A1016" s="2" t="s">
        <v>3783</v>
      </c>
      <c r="B1016" s="2" t="s">
        <v>45</v>
      </c>
      <c r="C1016" s="2" t="s">
        <v>5096</v>
      </c>
      <c r="D1016" s="2"/>
    </row>
    <row r="1017" spans="1:4" x14ac:dyDescent="0.3">
      <c r="A1017" s="2" t="s">
        <v>3785</v>
      </c>
      <c r="B1017" s="2" t="s">
        <v>45</v>
      </c>
      <c r="C1017" s="2" t="s">
        <v>5096</v>
      </c>
      <c r="D1017" s="2"/>
    </row>
    <row r="1018" spans="1:4" x14ac:dyDescent="0.3">
      <c r="A1018" s="2" t="s">
        <v>3787</v>
      </c>
      <c r="B1018" s="2" t="s">
        <v>45</v>
      </c>
      <c r="C1018" s="2" t="s">
        <v>5096</v>
      </c>
      <c r="D1018" s="2"/>
    </row>
    <row r="1019" spans="1:4" x14ac:dyDescent="0.3">
      <c r="A1019" s="2" t="s">
        <v>3789</v>
      </c>
      <c r="B1019" s="2" t="s">
        <v>45</v>
      </c>
      <c r="C1019" s="2" t="s">
        <v>5096</v>
      </c>
      <c r="D1019" s="2"/>
    </row>
    <row r="1020" spans="1:4" x14ac:dyDescent="0.3">
      <c r="A1020" s="2" t="s">
        <v>3791</v>
      </c>
      <c r="B1020" s="2" t="s">
        <v>45</v>
      </c>
      <c r="C1020" s="2" t="s">
        <v>5096</v>
      </c>
      <c r="D1020" s="2"/>
    </row>
    <row r="1021" spans="1:4" x14ac:dyDescent="0.3">
      <c r="A1021" s="2" t="s">
        <v>3793</v>
      </c>
      <c r="B1021" s="2" t="s">
        <v>45</v>
      </c>
      <c r="C1021" s="2" t="s">
        <v>5096</v>
      </c>
      <c r="D1021" s="2"/>
    </row>
    <row r="1022" spans="1:4" x14ac:dyDescent="0.3">
      <c r="A1022" s="2" t="s">
        <v>3795</v>
      </c>
      <c r="B1022" s="2" t="s">
        <v>45</v>
      </c>
      <c r="C1022" s="2" t="s">
        <v>5096</v>
      </c>
      <c r="D1022" s="2"/>
    </row>
    <row r="1023" spans="1:4" x14ac:dyDescent="0.3">
      <c r="A1023" s="2" t="s">
        <v>3797</v>
      </c>
      <c r="B1023" s="2" t="s">
        <v>45</v>
      </c>
      <c r="C1023" s="2" t="s">
        <v>5096</v>
      </c>
      <c r="D1023" s="2"/>
    </row>
    <row r="1024" spans="1:4" x14ac:dyDescent="0.3">
      <c r="A1024" s="2" t="s">
        <v>3799</v>
      </c>
      <c r="B1024" s="2" t="s">
        <v>45</v>
      </c>
      <c r="C1024" s="2" t="s">
        <v>5096</v>
      </c>
      <c r="D1024" s="2"/>
    </row>
    <row r="1025" spans="1:4" x14ac:dyDescent="0.3">
      <c r="A1025" s="2" t="s">
        <v>3801</v>
      </c>
      <c r="B1025" s="2" t="s">
        <v>45</v>
      </c>
      <c r="C1025" s="2" t="s">
        <v>5096</v>
      </c>
      <c r="D1025" s="2"/>
    </row>
    <row r="1026" spans="1:4" x14ac:dyDescent="0.3">
      <c r="A1026" s="2" t="s">
        <v>3802</v>
      </c>
      <c r="B1026" s="2" t="s">
        <v>45</v>
      </c>
      <c r="C1026" s="2" t="s">
        <v>5096</v>
      </c>
      <c r="D1026" s="2"/>
    </row>
    <row r="1027" spans="1:4" x14ac:dyDescent="0.3">
      <c r="A1027" s="2" t="s">
        <v>3804</v>
      </c>
      <c r="B1027" s="2" t="s">
        <v>45</v>
      </c>
      <c r="C1027" s="2" t="s">
        <v>5096</v>
      </c>
      <c r="D1027" s="2"/>
    </row>
    <row r="1028" spans="1:4" x14ac:dyDescent="0.3">
      <c r="A1028" s="2" t="s">
        <v>3805</v>
      </c>
      <c r="B1028" s="2" t="s">
        <v>45</v>
      </c>
      <c r="C1028" s="2" t="s">
        <v>5096</v>
      </c>
      <c r="D1028" s="2"/>
    </row>
    <row r="1029" spans="1:4" x14ac:dyDescent="0.3">
      <c r="A1029" s="2" t="s">
        <v>3806</v>
      </c>
      <c r="B1029" s="2" t="s">
        <v>45</v>
      </c>
      <c r="C1029" s="2" t="s">
        <v>5096</v>
      </c>
      <c r="D1029" s="2"/>
    </row>
    <row r="1030" spans="1:4" x14ac:dyDescent="0.3">
      <c r="A1030" s="2" t="s">
        <v>3807</v>
      </c>
      <c r="B1030" s="2" t="s">
        <v>45</v>
      </c>
      <c r="C1030" s="2" t="s">
        <v>5096</v>
      </c>
      <c r="D1030" s="2"/>
    </row>
    <row r="1031" spans="1:4" x14ac:dyDescent="0.3">
      <c r="A1031" s="2" t="s">
        <v>3808</v>
      </c>
      <c r="B1031" s="2" t="s">
        <v>45</v>
      </c>
      <c r="C1031" s="2" t="s">
        <v>5096</v>
      </c>
      <c r="D1031" s="2"/>
    </row>
    <row r="1032" spans="1:4" x14ac:dyDescent="0.3">
      <c r="A1032" s="2" t="s">
        <v>3809</v>
      </c>
      <c r="B1032" s="2" t="s">
        <v>45</v>
      </c>
      <c r="C1032" s="2" t="s">
        <v>5096</v>
      </c>
      <c r="D1032" s="2"/>
    </row>
    <row r="1033" spans="1:4" x14ac:dyDescent="0.3">
      <c r="A1033" s="2" t="s">
        <v>3810</v>
      </c>
      <c r="B1033" s="2" t="s">
        <v>45</v>
      </c>
      <c r="C1033" s="2" t="s">
        <v>5096</v>
      </c>
      <c r="D1033" s="2"/>
    </row>
    <row r="1034" spans="1:4" x14ac:dyDescent="0.3">
      <c r="A1034" s="2" t="s">
        <v>3811</v>
      </c>
      <c r="B1034" s="2" t="s">
        <v>45</v>
      </c>
      <c r="C1034" s="2" t="s">
        <v>5096</v>
      </c>
      <c r="D1034" s="2"/>
    </row>
    <row r="1035" spans="1:4" x14ac:dyDescent="0.3">
      <c r="A1035" s="2" t="s">
        <v>3813</v>
      </c>
      <c r="B1035" s="2" t="s">
        <v>45</v>
      </c>
      <c r="C1035" s="2" t="s">
        <v>5096</v>
      </c>
      <c r="D1035" s="2"/>
    </row>
    <row r="1036" spans="1:4" x14ac:dyDescent="0.3">
      <c r="A1036" s="2" t="s">
        <v>3814</v>
      </c>
      <c r="B1036" s="2" t="s">
        <v>45</v>
      </c>
      <c r="C1036" s="2" t="s">
        <v>5096</v>
      </c>
      <c r="D1036" s="2"/>
    </row>
    <row r="1037" spans="1:4" x14ac:dyDescent="0.3">
      <c r="A1037" s="2" t="s">
        <v>3815</v>
      </c>
      <c r="B1037" s="2" t="s">
        <v>45</v>
      </c>
      <c r="C1037" s="2" t="s">
        <v>5096</v>
      </c>
      <c r="D1037" s="2"/>
    </row>
    <row r="1038" spans="1:4" x14ac:dyDescent="0.3">
      <c r="A1038" s="2" t="s">
        <v>3816</v>
      </c>
      <c r="B1038" s="2" t="s">
        <v>45</v>
      </c>
      <c r="C1038" s="2" t="s">
        <v>5096</v>
      </c>
      <c r="D1038" s="2"/>
    </row>
    <row r="1039" spans="1:4" x14ac:dyDescent="0.3">
      <c r="A1039" s="2" t="s">
        <v>3817</v>
      </c>
      <c r="B1039" s="2" t="s">
        <v>45</v>
      </c>
      <c r="C1039" s="2" t="s">
        <v>5096</v>
      </c>
      <c r="D1039" s="2"/>
    </row>
    <row r="1040" spans="1:4" x14ac:dyDescent="0.3">
      <c r="A1040" s="2" t="s">
        <v>3818</v>
      </c>
      <c r="B1040" s="2" t="s">
        <v>45</v>
      </c>
      <c r="C1040" s="2" t="s">
        <v>5096</v>
      </c>
      <c r="D1040" s="2"/>
    </row>
    <row r="1041" spans="1:4" x14ac:dyDescent="0.3">
      <c r="A1041" s="2" t="s">
        <v>5588</v>
      </c>
      <c r="B1041" s="2" t="s">
        <v>5099</v>
      </c>
      <c r="C1041" s="2" t="s">
        <v>5047</v>
      </c>
      <c r="D1041" s="2"/>
    </row>
    <row r="1042" spans="1:4" x14ac:dyDescent="0.3">
      <c r="A1042" s="2" t="s">
        <v>5589</v>
      </c>
      <c r="B1042" s="2" t="s">
        <v>5099</v>
      </c>
      <c r="C1042" s="2" t="s">
        <v>5047</v>
      </c>
      <c r="D1042" s="2"/>
    </row>
    <row r="1043" spans="1:4" x14ac:dyDescent="0.3">
      <c r="A1043" s="2" t="s">
        <v>5590</v>
      </c>
      <c r="B1043" s="2" t="s">
        <v>5099</v>
      </c>
      <c r="C1043" s="2" t="s">
        <v>5047</v>
      </c>
      <c r="D1043" s="2"/>
    </row>
    <row r="1044" spans="1:4" x14ac:dyDescent="0.3">
      <c r="A1044" s="2" t="s">
        <v>5591</v>
      </c>
      <c r="B1044" s="2" t="s">
        <v>5099</v>
      </c>
      <c r="C1044" s="2" t="s">
        <v>5047</v>
      </c>
      <c r="D1044" s="2"/>
    </row>
    <row r="1045" spans="1:4" x14ac:dyDescent="0.3">
      <c r="A1045" s="2" t="s">
        <v>5592</v>
      </c>
      <c r="B1045" s="2" t="s">
        <v>5099</v>
      </c>
      <c r="C1045" s="2" t="s">
        <v>5047</v>
      </c>
      <c r="D1045" s="2"/>
    </row>
    <row r="1046" spans="1:4" x14ac:dyDescent="0.3">
      <c r="A1046" s="2" t="s">
        <v>5593</v>
      </c>
      <c r="B1046" s="2" t="s">
        <v>5099</v>
      </c>
      <c r="C1046" s="2" t="s">
        <v>5047</v>
      </c>
      <c r="D1046" s="2"/>
    </row>
    <row r="1047" spans="1:4" x14ac:dyDescent="0.3">
      <c r="A1047" s="2" t="s">
        <v>5594</v>
      </c>
      <c r="B1047" s="2" t="s">
        <v>5099</v>
      </c>
      <c r="C1047" s="2" t="s">
        <v>5047</v>
      </c>
      <c r="D1047" s="2"/>
    </row>
    <row r="1048" spans="1:4" x14ac:dyDescent="0.3">
      <c r="A1048" s="2" t="s">
        <v>5595</v>
      </c>
      <c r="B1048" s="2" t="s">
        <v>5044</v>
      </c>
      <c r="C1048" s="2" t="s">
        <v>5206</v>
      </c>
      <c r="D1048" s="2"/>
    </row>
    <row r="1049" spans="1:4" x14ac:dyDescent="0.3">
      <c r="A1049" s="2" t="s">
        <v>5596</v>
      </c>
      <c r="B1049" s="2" t="s">
        <v>5044</v>
      </c>
      <c r="C1049" s="2" t="s">
        <v>5206</v>
      </c>
      <c r="D1049" s="2"/>
    </row>
    <row r="1050" spans="1:4" x14ac:dyDescent="0.3">
      <c r="A1050" s="2" t="s">
        <v>5597</v>
      </c>
      <c r="B1050" s="2" t="s">
        <v>5044</v>
      </c>
      <c r="C1050" s="2" t="s">
        <v>5206</v>
      </c>
      <c r="D1050" s="2"/>
    </row>
    <row r="1051" spans="1:4" x14ac:dyDescent="0.3">
      <c r="A1051" s="2" t="s">
        <v>5598</v>
      </c>
      <c r="B1051" s="2" t="s">
        <v>5044</v>
      </c>
      <c r="C1051" s="2" t="s">
        <v>5206</v>
      </c>
      <c r="D1051" s="2"/>
    </row>
    <row r="1052" spans="1:4" x14ac:dyDescent="0.3">
      <c r="A1052" s="2" t="s">
        <v>5599</v>
      </c>
      <c r="B1052" s="2" t="s">
        <v>5044</v>
      </c>
      <c r="C1052" s="2" t="s">
        <v>5206</v>
      </c>
      <c r="D1052" s="2"/>
    </row>
    <row r="1053" spans="1:4" x14ac:dyDescent="0.3">
      <c r="A1053" s="2" t="s">
        <v>5600</v>
      </c>
      <c r="B1053" s="2" t="s">
        <v>5044</v>
      </c>
      <c r="C1053" s="2" t="s">
        <v>5206</v>
      </c>
      <c r="D1053" s="2"/>
    </row>
    <row r="1054" spans="1:4" x14ac:dyDescent="0.3">
      <c r="A1054" s="2" t="s">
        <v>5601</v>
      </c>
      <c r="B1054" s="2" t="s">
        <v>5044</v>
      </c>
      <c r="C1054" s="2" t="s">
        <v>5206</v>
      </c>
      <c r="D1054" s="2"/>
    </row>
    <row r="1055" spans="1:4" x14ac:dyDescent="0.3">
      <c r="A1055" s="2" t="s">
        <v>5602</v>
      </c>
      <c r="B1055" s="2" t="s">
        <v>5044</v>
      </c>
      <c r="C1055" s="2" t="s">
        <v>5206</v>
      </c>
      <c r="D1055" s="2"/>
    </row>
    <row r="1056" spans="1:4" x14ac:dyDescent="0.3">
      <c r="A1056" s="2" t="s">
        <v>5603</v>
      </c>
      <c r="B1056" s="2" t="s">
        <v>5044</v>
      </c>
      <c r="C1056" s="2" t="s">
        <v>5206</v>
      </c>
      <c r="D1056" s="2"/>
    </row>
    <row r="1057" spans="1:4" x14ac:dyDescent="0.3">
      <c r="A1057" s="2" t="s">
        <v>5604</v>
      </c>
      <c r="B1057" s="2" t="s">
        <v>5054</v>
      </c>
      <c r="C1057" s="2" t="s">
        <v>5054</v>
      </c>
      <c r="D1057" s="2"/>
    </row>
    <row r="1058" spans="1:4" x14ac:dyDescent="0.3">
      <c r="A1058" s="2" t="s">
        <v>5605</v>
      </c>
      <c r="B1058" s="2" t="s">
        <v>5054</v>
      </c>
      <c r="C1058" s="2" t="s">
        <v>5054</v>
      </c>
      <c r="D1058" s="2"/>
    </row>
    <row r="1059" spans="1:4" x14ac:dyDescent="0.3">
      <c r="A1059" s="2" t="s">
        <v>5606</v>
      </c>
      <c r="B1059" s="2" t="s">
        <v>5054</v>
      </c>
      <c r="C1059" s="2" t="s">
        <v>5054</v>
      </c>
      <c r="D1059" s="2"/>
    </row>
    <row r="1060" spans="1:4" x14ac:dyDescent="0.3">
      <c r="A1060" t="s">
        <v>5607</v>
      </c>
      <c r="B1060" s="2" t="s">
        <v>3891</v>
      </c>
      <c r="C1060" s="2" t="s">
        <v>3891</v>
      </c>
    </row>
    <row r="1061" spans="1:4" x14ac:dyDescent="0.3">
      <c r="A1061" t="s">
        <v>5608</v>
      </c>
      <c r="B1061" s="2" t="s">
        <v>3891</v>
      </c>
      <c r="C1061" s="2" t="s">
        <v>3891</v>
      </c>
    </row>
    <row r="1062" spans="1:4" x14ac:dyDescent="0.3">
      <c r="A1062" t="s">
        <v>5609</v>
      </c>
      <c r="B1062" s="2" t="s">
        <v>3891</v>
      </c>
      <c r="C1062" s="2" t="s">
        <v>3891</v>
      </c>
    </row>
    <row r="1063" spans="1:4" x14ac:dyDescent="0.3">
      <c r="A1063" t="s">
        <v>5610</v>
      </c>
      <c r="B1063" s="2" t="s">
        <v>3891</v>
      </c>
      <c r="C1063" s="2" t="s">
        <v>3891</v>
      </c>
    </row>
    <row r="1064" spans="1:4" x14ac:dyDescent="0.3">
      <c r="A1064" t="s">
        <v>5611</v>
      </c>
      <c r="B1064" s="2" t="s">
        <v>3891</v>
      </c>
      <c r="C1064" s="2" t="s">
        <v>3891</v>
      </c>
    </row>
    <row r="1065" spans="1:4" x14ac:dyDescent="0.3">
      <c r="A1065" t="s">
        <v>5612</v>
      </c>
      <c r="B1065" s="2" t="s">
        <v>3891</v>
      </c>
      <c r="C1065" s="2" t="s">
        <v>3891</v>
      </c>
    </row>
    <row r="1066" spans="1:4" x14ac:dyDescent="0.3">
      <c r="A1066" t="s">
        <v>5613</v>
      </c>
      <c r="B1066" s="2" t="s">
        <v>3891</v>
      </c>
      <c r="C1066" s="2" t="s">
        <v>3891</v>
      </c>
    </row>
    <row r="1067" spans="1:4" x14ac:dyDescent="0.3">
      <c r="A1067" t="s">
        <v>5614</v>
      </c>
      <c r="B1067" s="2" t="s">
        <v>3891</v>
      </c>
      <c r="C1067" s="2" t="s">
        <v>3891</v>
      </c>
    </row>
    <row r="1068" spans="1:4" x14ac:dyDescent="0.3">
      <c r="A1068" t="s">
        <v>5615</v>
      </c>
      <c r="B1068" s="2" t="s">
        <v>3891</v>
      </c>
      <c r="C1068" s="2" t="s">
        <v>3891</v>
      </c>
    </row>
    <row r="1069" spans="1:4" x14ac:dyDescent="0.3">
      <c r="A1069" t="s">
        <v>5616</v>
      </c>
      <c r="B1069" s="2" t="s">
        <v>3891</v>
      </c>
      <c r="C1069" s="2" t="s">
        <v>3891</v>
      </c>
    </row>
    <row r="1070" spans="1:4" x14ac:dyDescent="0.3">
      <c r="A1070" t="s">
        <v>5617</v>
      </c>
      <c r="B1070" s="2" t="s">
        <v>3891</v>
      </c>
      <c r="C1070" s="2" t="s">
        <v>3891</v>
      </c>
    </row>
    <row r="1071" spans="1:4" x14ac:dyDescent="0.3">
      <c r="A1071" t="s">
        <v>5618</v>
      </c>
      <c r="B1071" s="2" t="s">
        <v>3891</v>
      </c>
      <c r="C1071" s="2" t="s">
        <v>3891</v>
      </c>
    </row>
    <row r="1072" spans="1:4" x14ac:dyDescent="0.3">
      <c r="A1072" t="s">
        <v>5619</v>
      </c>
      <c r="B1072" s="2" t="s">
        <v>3891</v>
      </c>
      <c r="C1072" s="2" t="s">
        <v>3891</v>
      </c>
    </row>
    <row r="1073" spans="1:3" x14ac:dyDescent="0.3">
      <c r="A1073" t="s">
        <v>5620</v>
      </c>
      <c r="B1073" s="2" t="s">
        <v>3891</v>
      </c>
      <c r="C1073" s="2" t="s">
        <v>3891</v>
      </c>
    </row>
    <row r="1074" spans="1:3" x14ac:dyDescent="0.3">
      <c r="A1074" t="s">
        <v>5621</v>
      </c>
      <c r="B1074" s="2" t="s">
        <v>3891</v>
      </c>
      <c r="C1074" s="2" t="s">
        <v>3891</v>
      </c>
    </row>
    <row r="1075" spans="1:3" x14ac:dyDescent="0.3">
      <c r="A1075" t="s">
        <v>5622</v>
      </c>
      <c r="B1075" s="2" t="s">
        <v>3891</v>
      </c>
      <c r="C1075" s="2" t="s">
        <v>3891</v>
      </c>
    </row>
    <row r="1076" spans="1:3" x14ac:dyDescent="0.3">
      <c r="A1076" t="s">
        <v>5623</v>
      </c>
      <c r="B1076" s="2" t="s">
        <v>3891</v>
      </c>
      <c r="C1076" s="2" t="s">
        <v>3891</v>
      </c>
    </row>
    <row r="1077" spans="1:3" x14ac:dyDescent="0.3">
      <c r="A1077" t="s">
        <v>5624</v>
      </c>
      <c r="B1077" s="2" t="s">
        <v>3891</v>
      </c>
      <c r="C1077" s="2" t="s">
        <v>3891</v>
      </c>
    </row>
    <row r="1078" spans="1:3" x14ac:dyDescent="0.3">
      <c r="A1078" t="s">
        <v>5625</v>
      </c>
      <c r="B1078" s="2" t="s">
        <v>3891</v>
      </c>
      <c r="C1078" s="2" t="s">
        <v>3891</v>
      </c>
    </row>
    <row r="1079" spans="1:3" x14ac:dyDescent="0.3">
      <c r="A1079" t="s">
        <v>5626</v>
      </c>
      <c r="B1079" s="2" t="s">
        <v>3891</v>
      </c>
      <c r="C1079" s="2" t="s">
        <v>3891</v>
      </c>
    </row>
    <row r="1080" spans="1:3" x14ac:dyDescent="0.3">
      <c r="A1080" t="s">
        <v>5627</v>
      </c>
      <c r="B1080" s="2" t="s">
        <v>3891</v>
      </c>
      <c r="C1080" s="2" t="s">
        <v>3891</v>
      </c>
    </row>
    <row r="1081" spans="1:3" x14ac:dyDescent="0.3">
      <c r="A1081" t="s">
        <v>5628</v>
      </c>
      <c r="B1081" s="2" t="s">
        <v>3891</v>
      </c>
      <c r="C1081" s="2" t="s">
        <v>3891</v>
      </c>
    </row>
    <row r="1082" spans="1:3" x14ac:dyDescent="0.3">
      <c r="A1082" t="s">
        <v>5629</v>
      </c>
      <c r="B1082" s="2" t="s">
        <v>3891</v>
      </c>
      <c r="C1082" s="2" t="s">
        <v>3891</v>
      </c>
    </row>
    <row r="1083" spans="1:3" x14ac:dyDescent="0.3">
      <c r="A1083" t="s">
        <v>5630</v>
      </c>
      <c r="B1083" s="2" t="s">
        <v>3891</v>
      </c>
      <c r="C1083" s="2" t="s">
        <v>3891</v>
      </c>
    </row>
    <row r="1084" spans="1:3" x14ac:dyDescent="0.3">
      <c r="A1084" t="s">
        <v>5631</v>
      </c>
      <c r="B1084" s="2" t="s">
        <v>3891</v>
      </c>
      <c r="C1084" s="2" t="s">
        <v>3891</v>
      </c>
    </row>
    <row r="1085" spans="1:3" x14ac:dyDescent="0.3">
      <c r="A1085" t="s">
        <v>5632</v>
      </c>
      <c r="B1085" s="2" t="s">
        <v>3891</v>
      </c>
      <c r="C1085" s="2" t="s">
        <v>3891</v>
      </c>
    </row>
    <row r="1086" spans="1:3" x14ac:dyDescent="0.3">
      <c r="A1086" t="s">
        <v>5633</v>
      </c>
      <c r="B1086" s="2" t="s">
        <v>3891</v>
      </c>
      <c r="C1086" s="2" t="s">
        <v>3891</v>
      </c>
    </row>
    <row r="1087" spans="1:3" x14ac:dyDescent="0.3">
      <c r="A1087" t="s">
        <v>5634</v>
      </c>
      <c r="B1087" s="2" t="s">
        <v>3891</v>
      </c>
      <c r="C1087" s="2" t="s">
        <v>3891</v>
      </c>
    </row>
    <row r="1088" spans="1:3" x14ac:dyDescent="0.3">
      <c r="A1088" t="s">
        <v>5635</v>
      </c>
      <c r="B1088" s="2" t="s">
        <v>3891</v>
      </c>
      <c r="C1088" s="2" t="s">
        <v>3891</v>
      </c>
    </row>
    <row r="1089" spans="1:3" x14ac:dyDescent="0.3">
      <c r="A1089" t="s">
        <v>5636</v>
      </c>
      <c r="B1089" s="2" t="s">
        <v>3891</v>
      </c>
      <c r="C1089" s="2" t="s">
        <v>3891</v>
      </c>
    </row>
    <row r="1090" spans="1:3" x14ac:dyDescent="0.3">
      <c r="A1090" t="s">
        <v>5637</v>
      </c>
      <c r="B1090" s="2" t="s">
        <v>3891</v>
      </c>
      <c r="C1090" s="2" t="s">
        <v>3891</v>
      </c>
    </row>
    <row r="1091" spans="1:3" x14ac:dyDescent="0.3">
      <c r="A1091" t="s">
        <v>5638</v>
      </c>
      <c r="B1091" s="2" t="s">
        <v>3891</v>
      </c>
      <c r="C1091" s="2" t="s">
        <v>3891</v>
      </c>
    </row>
    <row r="1092" spans="1:3" x14ac:dyDescent="0.3">
      <c r="A1092" t="s">
        <v>5639</v>
      </c>
      <c r="B1092" s="2" t="s">
        <v>3891</v>
      </c>
      <c r="C1092" s="2" t="s">
        <v>3891</v>
      </c>
    </row>
    <row r="1093" spans="1:3" x14ac:dyDescent="0.3">
      <c r="A1093" t="s">
        <v>5640</v>
      </c>
      <c r="B1093" s="2" t="s">
        <v>3891</v>
      </c>
      <c r="C1093" s="2" t="s">
        <v>3891</v>
      </c>
    </row>
    <row r="1094" spans="1:3" x14ac:dyDescent="0.3">
      <c r="A1094" t="s">
        <v>5641</v>
      </c>
      <c r="B1094" s="2" t="s">
        <v>3891</v>
      </c>
      <c r="C1094" s="2" t="s">
        <v>3891</v>
      </c>
    </row>
    <row r="1095" spans="1:3" x14ac:dyDescent="0.3">
      <c r="A1095" t="s">
        <v>5642</v>
      </c>
      <c r="B1095" s="2" t="s">
        <v>3891</v>
      </c>
      <c r="C1095" s="2" t="s">
        <v>3891</v>
      </c>
    </row>
    <row r="1096" spans="1:3" x14ac:dyDescent="0.3">
      <c r="A1096" t="s">
        <v>5643</v>
      </c>
      <c r="B1096" s="2" t="s">
        <v>3891</v>
      </c>
      <c r="C1096" s="2" t="s">
        <v>3891</v>
      </c>
    </row>
    <row r="1097" spans="1:3" x14ac:dyDescent="0.3">
      <c r="A1097" t="s">
        <v>5644</v>
      </c>
      <c r="B1097" s="2" t="s">
        <v>3891</v>
      </c>
      <c r="C1097" s="2" t="s">
        <v>3891</v>
      </c>
    </row>
    <row r="1098" spans="1:3" x14ac:dyDescent="0.3">
      <c r="A1098" t="s">
        <v>5645</v>
      </c>
      <c r="B1098" s="2" t="s">
        <v>3891</v>
      </c>
      <c r="C1098" s="2" t="s">
        <v>3891</v>
      </c>
    </row>
    <row r="1099" spans="1:3" x14ac:dyDescent="0.3">
      <c r="A1099" t="s">
        <v>5646</v>
      </c>
      <c r="B1099" s="2" t="s">
        <v>3891</v>
      </c>
      <c r="C1099" s="2" t="s">
        <v>3891</v>
      </c>
    </row>
    <row r="1100" spans="1:3" x14ac:dyDescent="0.3">
      <c r="A1100" t="s">
        <v>5647</v>
      </c>
      <c r="B1100" s="2" t="s">
        <v>3891</v>
      </c>
      <c r="C1100" s="2" t="s">
        <v>3891</v>
      </c>
    </row>
    <row r="1101" spans="1:3" x14ac:dyDescent="0.3">
      <c r="A1101" t="s">
        <v>5648</v>
      </c>
      <c r="B1101" s="2" t="s">
        <v>3891</v>
      </c>
      <c r="C1101" s="2" t="s">
        <v>3891</v>
      </c>
    </row>
    <row r="1102" spans="1:3" x14ac:dyDescent="0.3">
      <c r="A1102" t="s">
        <v>5649</v>
      </c>
      <c r="B1102" s="2" t="s">
        <v>3891</v>
      </c>
      <c r="C1102" s="2" t="s">
        <v>3891</v>
      </c>
    </row>
    <row r="1103" spans="1:3" x14ac:dyDescent="0.3">
      <c r="A1103" t="s">
        <v>5650</v>
      </c>
      <c r="B1103" s="2" t="s">
        <v>3891</v>
      </c>
      <c r="C1103" s="2" t="s">
        <v>3891</v>
      </c>
    </row>
    <row r="1104" spans="1:3" x14ac:dyDescent="0.3">
      <c r="A1104" t="s">
        <v>5651</v>
      </c>
      <c r="B1104" s="2" t="s">
        <v>5427</v>
      </c>
      <c r="C1104" s="2" t="s">
        <v>5427</v>
      </c>
    </row>
    <row r="1105" spans="1:3" x14ac:dyDescent="0.3">
      <c r="A1105" t="s">
        <v>5652</v>
      </c>
      <c r="B1105" s="2" t="s">
        <v>5427</v>
      </c>
      <c r="C1105" s="2" t="s">
        <v>5427</v>
      </c>
    </row>
    <row r="1106" spans="1:3" x14ac:dyDescent="0.3">
      <c r="A1106" t="s">
        <v>5653</v>
      </c>
      <c r="B1106" s="2" t="s">
        <v>5427</v>
      </c>
      <c r="C1106" s="2" t="s">
        <v>5427</v>
      </c>
    </row>
    <row r="1107" spans="1:3" x14ac:dyDescent="0.3">
      <c r="A1107" t="s">
        <v>5654</v>
      </c>
      <c r="B1107" s="2" t="s">
        <v>5427</v>
      </c>
      <c r="C1107" s="2" t="s">
        <v>5427</v>
      </c>
    </row>
    <row r="1108" spans="1:3" x14ac:dyDescent="0.3">
      <c r="A1108" t="s">
        <v>5655</v>
      </c>
      <c r="B1108" s="2" t="s">
        <v>5427</v>
      </c>
      <c r="C1108" s="2" t="s">
        <v>5427</v>
      </c>
    </row>
    <row r="1109" spans="1:3" x14ac:dyDescent="0.3">
      <c r="A1109" t="s">
        <v>5656</v>
      </c>
      <c r="B1109" s="2" t="s">
        <v>5427</v>
      </c>
      <c r="C1109" s="2" t="s">
        <v>5427</v>
      </c>
    </row>
    <row r="1110" spans="1:3" x14ac:dyDescent="0.3">
      <c r="A1110" t="s">
        <v>5657</v>
      </c>
      <c r="B1110" s="2" t="s">
        <v>5427</v>
      </c>
      <c r="C1110" s="2" t="s">
        <v>5427</v>
      </c>
    </row>
    <row r="1111" spans="1:3" x14ac:dyDescent="0.3">
      <c r="A1111" t="s">
        <v>5658</v>
      </c>
      <c r="B1111" s="2" t="s">
        <v>5427</v>
      </c>
      <c r="C1111" s="2" t="s">
        <v>5427</v>
      </c>
    </row>
    <row r="1112" spans="1:3" x14ac:dyDescent="0.3">
      <c r="A1112" t="s">
        <v>5659</v>
      </c>
      <c r="B1112" s="2" t="s">
        <v>5427</v>
      </c>
      <c r="C1112" s="2" t="s">
        <v>5427</v>
      </c>
    </row>
    <row r="1113" spans="1:3" x14ac:dyDescent="0.3">
      <c r="A1113" t="s">
        <v>5660</v>
      </c>
      <c r="B1113" s="2" t="s">
        <v>5427</v>
      </c>
      <c r="C1113" s="2" t="s">
        <v>5427</v>
      </c>
    </row>
    <row r="1114" spans="1:3" x14ac:dyDescent="0.3">
      <c r="A1114" t="s">
        <v>5661</v>
      </c>
      <c r="B1114" s="2" t="s">
        <v>5427</v>
      </c>
      <c r="C1114" s="2" t="s">
        <v>5427</v>
      </c>
    </row>
    <row r="1115" spans="1:3" x14ac:dyDescent="0.3">
      <c r="A1115" t="s">
        <v>5662</v>
      </c>
      <c r="B1115" s="2" t="s">
        <v>5427</v>
      </c>
      <c r="C1115" s="2" t="s">
        <v>5427</v>
      </c>
    </row>
    <row r="1116" spans="1:3" x14ac:dyDescent="0.3">
      <c r="A1116" t="s">
        <v>5663</v>
      </c>
      <c r="B1116" s="2" t="s">
        <v>5427</v>
      </c>
      <c r="C1116" s="2" t="s">
        <v>5427</v>
      </c>
    </row>
    <row r="1117" spans="1:3" x14ac:dyDescent="0.3">
      <c r="A1117" t="s">
        <v>5664</v>
      </c>
      <c r="B1117" s="2" t="s">
        <v>5427</v>
      </c>
      <c r="C1117" s="2" t="s">
        <v>5427</v>
      </c>
    </row>
    <row r="1118" spans="1:3" x14ac:dyDescent="0.3">
      <c r="A1118" t="s">
        <v>5665</v>
      </c>
      <c r="B1118" s="2" t="s">
        <v>5427</v>
      </c>
      <c r="C1118" s="2" t="s">
        <v>5427</v>
      </c>
    </row>
    <row r="1119" spans="1:3" x14ac:dyDescent="0.3">
      <c r="A1119" t="s">
        <v>5666</v>
      </c>
      <c r="B1119" s="2" t="s">
        <v>5427</v>
      </c>
      <c r="C1119" s="2" t="s">
        <v>5427</v>
      </c>
    </row>
    <row r="1120" spans="1:3" x14ac:dyDescent="0.3">
      <c r="A1120" t="s">
        <v>5667</v>
      </c>
      <c r="B1120" s="2" t="s">
        <v>5427</v>
      </c>
      <c r="C1120" s="2" t="s">
        <v>5427</v>
      </c>
    </row>
    <row r="1121" spans="1:3" x14ac:dyDescent="0.3">
      <c r="A1121" t="s">
        <v>5668</v>
      </c>
      <c r="B1121" s="2" t="s">
        <v>5427</v>
      </c>
      <c r="C1121" s="2" t="s">
        <v>5427</v>
      </c>
    </row>
    <row r="1122" spans="1:3" x14ac:dyDescent="0.3">
      <c r="A1122" t="s">
        <v>5669</v>
      </c>
      <c r="B1122" s="2" t="s">
        <v>5427</v>
      </c>
      <c r="C1122" s="2" t="s">
        <v>5427</v>
      </c>
    </row>
    <row r="1123" spans="1:3" x14ac:dyDescent="0.3">
      <c r="A1123" t="s">
        <v>5670</v>
      </c>
      <c r="B1123" s="2" t="s">
        <v>5427</v>
      </c>
      <c r="C1123" s="2" t="s">
        <v>5427</v>
      </c>
    </row>
    <row r="1124" spans="1:3" x14ac:dyDescent="0.3">
      <c r="A1124" t="s">
        <v>5671</v>
      </c>
      <c r="B1124" s="2" t="s">
        <v>5427</v>
      </c>
      <c r="C1124" s="2" t="s">
        <v>5427</v>
      </c>
    </row>
    <row r="1125" spans="1:3" x14ac:dyDescent="0.3">
      <c r="A1125" t="s">
        <v>5672</v>
      </c>
      <c r="B1125" s="2" t="s">
        <v>5427</v>
      </c>
      <c r="C1125" s="2" t="s">
        <v>5427</v>
      </c>
    </row>
    <row r="1126" spans="1:3" x14ac:dyDescent="0.3">
      <c r="A1126" t="s">
        <v>5673</v>
      </c>
      <c r="B1126" s="2" t="s">
        <v>5427</v>
      </c>
      <c r="C1126" s="2" t="s">
        <v>5427</v>
      </c>
    </row>
    <row r="1127" spans="1:3" x14ac:dyDescent="0.3">
      <c r="A1127" t="s">
        <v>5674</v>
      </c>
      <c r="B1127" s="2" t="s">
        <v>5427</v>
      </c>
      <c r="C1127" s="2" t="s">
        <v>5427</v>
      </c>
    </row>
    <row r="1128" spans="1:3" x14ac:dyDescent="0.3">
      <c r="A1128" t="s">
        <v>5675</v>
      </c>
      <c r="B1128" s="2" t="s">
        <v>5427</v>
      </c>
      <c r="C1128" s="2" t="s">
        <v>5427</v>
      </c>
    </row>
    <row r="1129" spans="1:3" x14ac:dyDescent="0.3">
      <c r="A1129" t="s">
        <v>5676</v>
      </c>
      <c r="B1129" s="2" t="s">
        <v>5427</v>
      </c>
      <c r="C1129" s="2" t="s">
        <v>5427</v>
      </c>
    </row>
    <row r="1130" spans="1:3" x14ac:dyDescent="0.3">
      <c r="A1130" t="s">
        <v>5677</v>
      </c>
      <c r="B1130" s="2" t="s">
        <v>5427</v>
      </c>
      <c r="C1130" s="2" t="s">
        <v>5427</v>
      </c>
    </row>
    <row r="1131" spans="1:3" x14ac:dyDescent="0.3">
      <c r="A1131" t="s">
        <v>5678</v>
      </c>
      <c r="B1131" s="2" t="s">
        <v>5427</v>
      </c>
      <c r="C1131" s="2" t="s">
        <v>5427</v>
      </c>
    </row>
    <row r="1132" spans="1:3" x14ac:dyDescent="0.3">
      <c r="A1132" t="s">
        <v>5679</v>
      </c>
      <c r="B1132" s="2" t="s">
        <v>5427</v>
      </c>
      <c r="C1132" s="2" t="s">
        <v>5427</v>
      </c>
    </row>
    <row r="1133" spans="1:3" x14ac:dyDescent="0.3">
      <c r="A1133" t="s">
        <v>5680</v>
      </c>
      <c r="B1133" s="2" t="s">
        <v>5427</v>
      </c>
      <c r="C1133" s="2" t="s">
        <v>5427</v>
      </c>
    </row>
    <row r="1134" spans="1:3" x14ac:dyDescent="0.3">
      <c r="A1134" t="s">
        <v>5681</v>
      </c>
      <c r="B1134" s="2" t="s">
        <v>5427</v>
      </c>
      <c r="C1134" s="2" t="s">
        <v>5427</v>
      </c>
    </row>
    <row r="1135" spans="1:3" x14ac:dyDescent="0.3">
      <c r="A1135" t="s">
        <v>5682</v>
      </c>
      <c r="B1135" s="2" t="s">
        <v>5427</v>
      </c>
      <c r="C1135" s="2" t="s">
        <v>5427</v>
      </c>
    </row>
    <row r="1136" spans="1:3" x14ac:dyDescent="0.3">
      <c r="A1136" t="s">
        <v>5683</v>
      </c>
      <c r="B1136" s="2" t="s">
        <v>5427</v>
      </c>
      <c r="C1136" s="2" t="s">
        <v>5427</v>
      </c>
    </row>
    <row r="1137" spans="1:3" x14ac:dyDescent="0.3">
      <c r="A1137" t="s">
        <v>5684</v>
      </c>
      <c r="B1137" s="2" t="s">
        <v>5427</v>
      </c>
      <c r="C1137" s="2" t="s">
        <v>5427</v>
      </c>
    </row>
    <row r="1138" spans="1:3" x14ac:dyDescent="0.3">
      <c r="A1138" t="s">
        <v>5685</v>
      </c>
      <c r="B1138" s="2" t="s">
        <v>5427</v>
      </c>
      <c r="C1138" s="2" t="s">
        <v>5427</v>
      </c>
    </row>
    <row r="1139" spans="1:3" x14ac:dyDescent="0.3">
      <c r="A1139" t="s">
        <v>5686</v>
      </c>
      <c r="B1139" s="2" t="s">
        <v>5427</v>
      </c>
      <c r="C1139" s="2" t="s">
        <v>5427</v>
      </c>
    </row>
    <row r="1140" spans="1:3" x14ac:dyDescent="0.3">
      <c r="A1140" t="s">
        <v>5687</v>
      </c>
      <c r="B1140" s="2" t="s">
        <v>5427</v>
      </c>
      <c r="C1140" s="2" t="s">
        <v>5427</v>
      </c>
    </row>
    <row r="1141" spans="1:3" x14ac:dyDescent="0.3">
      <c r="A1141" t="s">
        <v>5688</v>
      </c>
      <c r="B1141" s="2" t="s">
        <v>5427</v>
      </c>
      <c r="C1141" s="2" t="s">
        <v>5427</v>
      </c>
    </row>
    <row r="1142" spans="1:3" x14ac:dyDescent="0.3">
      <c r="A1142" t="s">
        <v>5689</v>
      </c>
      <c r="B1142" s="2" t="s">
        <v>5427</v>
      </c>
      <c r="C1142" s="2" t="s">
        <v>5427</v>
      </c>
    </row>
    <row r="1143" spans="1:3" x14ac:dyDescent="0.3">
      <c r="A1143" t="s">
        <v>5690</v>
      </c>
      <c r="B1143" s="2" t="s">
        <v>5427</v>
      </c>
      <c r="C1143" s="2" t="s">
        <v>5427</v>
      </c>
    </row>
    <row r="1144" spans="1:3" x14ac:dyDescent="0.3">
      <c r="A1144" t="s">
        <v>5691</v>
      </c>
      <c r="B1144" s="2" t="s">
        <v>5427</v>
      </c>
      <c r="C1144" s="2" t="s">
        <v>5427</v>
      </c>
    </row>
    <row r="1145" spans="1:3" x14ac:dyDescent="0.3">
      <c r="A1145" t="s">
        <v>5692</v>
      </c>
      <c r="B1145" s="2" t="s">
        <v>5427</v>
      </c>
      <c r="C1145" s="2" t="s">
        <v>5427</v>
      </c>
    </row>
    <row r="1146" spans="1:3" x14ac:dyDescent="0.3">
      <c r="A1146" t="s">
        <v>5693</v>
      </c>
      <c r="B1146" s="2" t="s">
        <v>5427</v>
      </c>
      <c r="C1146" s="2" t="s">
        <v>5427</v>
      </c>
    </row>
    <row r="1147" spans="1:3" x14ac:dyDescent="0.3">
      <c r="A1147" t="s">
        <v>5694</v>
      </c>
      <c r="B1147" s="2" t="s">
        <v>5427</v>
      </c>
      <c r="C1147" s="2" t="s">
        <v>5427</v>
      </c>
    </row>
    <row r="1148" spans="1:3" x14ac:dyDescent="0.3">
      <c r="A1148" t="s">
        <v>5695</v>
      </c>
      <c r="B1148" s="2" t="s">
        <v>5427</v>
      </c>
      <c r="C1148" s="2" t="s">
        <v>5427</v>
      </c>
    </row>
    <row r="1149" spans="1:3" x14ac:dyDescent="0.3">
      <c r="A1149" t="s">
        <v>5696</v>
      </c>
      <c r="B1149" s="2" t="s">
        <v>5427</v>
      </c>
      <c r="C1149" s="2" t="s">
        <v>5427</v>
      </c>
    </row>
    <row r="1150" spans="1:3" x14ac:dyDescent="0.3">
      <c r="A1150" t="s">
        <v>5697</v>
      </c>
      <c r="B1150" s="2" t="s">
        <v>5427</v>
      </c>
      <c r="C1150" s="2" t="s">
        <v>5427</v>
      </c>
    </row>
    <row r="1151" spans="1:3" x14ac:dyDescent="0.3">
      <c r="A1151" t="s">
        <v>5698</v>
      </c>
      <c r="B1151" s="2" t="s">
        <v>5427</v>
      </c>
      <c r="C1151" s="2" t="s">
        <v>5427</v>
      </c>
    </row>
    <row r="1152" spans="1:3" x14ac:dyDescent="0.3">
      <c r="A1152" t="s">
        <v>5699</v>
      </c>
      <c r="B1152" s="2" t="s">
        <v>5427</v>
      </c>
      <c r="C1152" s="2" t="s">
        <v>5427</v>
      </c>
    </row>
    <row r="1153" spans="1:3" x14ac:dyDescent="0.3">
      <c r="A1153" t="s">
        <v>5700</v>
      </c>
      <c r="B1153" s="2" t="s">
        <v>5427</v>
      </c>
      <c r="C1153" s="2" t="s">
        <v>5427</v>
      </c>
    </row>
    <row r="1154" spans="1:3" x14ac:dyDescent="0.3">
      <c r="A1154" t="s">
        <v>5701</v>
      </c>
      <c r="B1154" s="2" t="s">
        <v>5427</v>
      </c>
      <c r="C1154" s="2" t="s">
        <v>5427</v>
      </c>
    </row>
    <row r="1155" spans="1:3" x14ac:dyDescent="0.3">
      <c r="A1155" t="s">
        <v>5702</v>
      </c>
      <c r="B1155" s="2" t="s">
        <v>3893</v>
      </c>
      <c r="C1155" s="2" t="s">
        <v>3893</v>
      </c>
    </row>
    <row r="1156" spans="1:3" x14ac:dyDescent="0.3">
      <c r="A1156" t="s">
        <v>5703</v>
      </c>
      <c r="B1156" s="2" t="s">
        <v>3893</v>
      </c>
      <c r="C1156" s="2" t="s">
        <v>3893</v>
      </c>
    </row>
    <row r="1157" spans="1:3" x14ac:dyDescent="0.3">
      <c r="A1157" t="s">
        <v>5704</v>
      </c>
      <c r="B1157" s="2" t="s">
        <v>3893</v>
      </c>
      <c r="C1157" s="2" t="s">
        <v>3893</v>
      </c>
    </row>
    <row r="1158" spans="1:3" x14ac:dyDescent="0.3">
      <c r="A1158" t="s">
        <v>5705</v>
      </c>
      <c r="B1158" s="2" t="s">
        <v>3893</v>
      </c>
      <c r="C1158" s="2" t="s">
        <v>3893</v>
      </c>
    </row>
    <row r="1159" spans="1:3" x14ac:dyDescent="0.3">
      <c r="A1159" t="s">
        <v>5706</v>
      </c>
      <c r="B1159" s="2" t="s">
        <v>3893</v>
      </c>
      <c r="C1159" s="2" t="s">
        <v>3893</v>
      </c>
    </row>
    <row r="1160" spans="1:3" x14ac:dyDescent="0.3">
      <c r="A1160" t="s">
        <v>5707</v>
      </c>
      <c r="B1160" s="2" t="s">
        <v>3893</v>
      </c>
      <c r="C1160" s="2" t="s">
        <v>3893</v>
      </c>
    </row>
    <row r="1161" spans="1:3" x14ac:dyDescent="0.3">
      <c r="A1161" t="s">
        <v>5708</v>
      </c>
      <c r="B1161" s="2" t="s">
        <v>3893</v>
      </c>
      <c r="C1161" s="2" t="s">
        <v>3893</v>
      </c>
    </row>
    <row r="1162" spans="1:3" x14ac:dyDescent="0.3">
      <c r="A1162" t="s">
        <v>5709</v>
      </c>
      <c r="B1162" s="2" t="s">
        <v>3893</v>
      </c>
      <c r="C1162" s="2" t="s">
        <v>3893</v>
      </c>
    </row>
    <row r="1163" spans="1:3" x14ac:dyDescent="0.3">
      <c r="A1163" t="s">
        <v>5710</v>
      </c>
      <c r="B1163" s="2" t="s">
        <v>3893</v>
      </c>
      <c r="C1163" s="2" t="s">
        <v>3893</v>
      </c>
    </row>
    <row r="1164" spans="1:3" x14ac:dyDescent="0.3">
      <c r="A1164" t="s">
        <v>5711</v>
      </c>
      <c r="B1164" s="2" t="s">
        <v>3893</v>
      </c>
      <c r="C1164" s="2" t="s">
        <v>3893</v>
      </c>
    </row>
    <row r="1165" spans="1:3" x14ac:dyDescent="0.3">
      <c r="A1165" t="s">
        <v>5712</v>
      </c>
      <c r="B1165" s="2" t="s">
        <v>3893</v>
      </c>
      <c r="C1165" s="2" t="s">
        <v>3893</v>
      </c>
    </row>
    <row r="1166" spans="1:3" x14ac:dyDescent="0.3">
      <c r="A1166" t="s">
        <v>5713</v>
      </c>
      <c r="B1166" s="2" t="s">
        <v>3893</v>
      </c>
      <c r="C1166" s="2" t="s">
        <v>3893</v>
      </c>
    </row>
    <row r="1167" spans="1:3" x14ac:dyDescent="0.3">
      <c r="A1167" t="s">
        <v>5714</v>
      </c>
      <c r="B1167" s="2" t="s">
        <v>3893</v>
      </c>
      <c r="C1167" s="2" t="s">
        <v>3893</v>
      </c>
    </row>
    <row r="1168" spans="1:3" x14ac:dyDescent="0.3">
      <c r="A1168" t="s">
        <v>5715</v>
      </c>
      <c r="B1168" s="2" t="s">
        <v>3893</v>
      </c>
      <c r="C1168" s="2" t="s">
        <v>3893</v>
      </c>
    </row>
    <row r="1169" spans="1:3" x14ac:dyDescent="0.3">
      <c r="A1169" t="s">
        <v>5716</v>
      </c>
      <c r="B1169" s="2" t="s">
        <v>3893</v>
      </c>
      <c r="C1169" s="2" t="s">
        <v>3893</v>
      </c>
    </row>
    <row r="1170" spans="1:3" x14ac:dyDescent="0.3">
      <c r="A1170" t="s">
        <v>5717</v>
      </c>
      <c r="B1170" s="2" t="s">
        <v>3893</v>
      </c>
      <c r="C1170" s="2" t="s">
        <v>3893</v>
      </c>
    </row>
    <row r="1171" spans="1:3" x14ac:dyDescent="0.3">
      <c r="A1171" t="s">
        <v>5718</v>
      </c>
      <c r="B1171" s="2" t="s">
        <v>3893</v>
      </c>
      <c r="C1171" s="2" t="s">
        <v>3893</v>
      </c>
    </row>
    <row r="1172" spans="1:3" x14ac:dyDescent="0.3">
      <c r="A1172" t="s">
        <v>5719</v>
      </c>
      <c r="B1172" s="2" t="s">
        <v>3893</v>
      </c>
      <c r="C1172" s="2" t="s">
        <v>3893</v>
      </c>
    </row>
    <row r="1173" spans="1:3" x14ac:dyDescent="0.3">
      <c r="A1173" t="s">
        <v>5720</v>
      </c>
      <c r="B1173" s="2" t="s">
        <v>3893</v>
      </c>
      <c r="C1173" s="2" t="s">
        <v>3893</v>
      </c>
    </row>
    <row r="1174" spans="1:3" x14ac:dyDescent="0.3">
      <c r="A1174" t="s">
        <v>5721</v>
      </c>
      <c r="B1174" s="2" t="s">
        <v>3893</v>
      </c>
      <c r="C1174" s="2" t="s">
        <v>3893</v>
      </c>
    </row>
    <row r="1175" spans="1:3" x14ac:dyDescent="0.3">
      <c r="A1175" t="s">
        <v>5722</v>
      </c>
      <c r="B1175" s="2" t="s">
        <v>3893</v>
      </c>
      <c r="C1175" s="2" t="s">
        <v>3893</v>
      </c>
    </row>
    <row r="1176" spans="1:3" x14ac:dyDescent="0.3">
      <c r="A1176" t="s">
        <v>5723</v>
      </c>
      <c r="B1176" s="2" t="s">
        <v>3893</v>
      </c>
      <c r="C1176" s="2" t="s">
        <v>3893</v>
      </c>
    </row>
    <row r="1177" spans="1:3" x14ac:dyDescent="0.3">
      <c r="A1177" t="s">
        <v>5724</v>
      </c>
      <c r="B1177" s="2" t="s">
        <v>3893</v>
      </c>
      <c r="C1177" s="2" t="s">
        <v>3893</v>
      </c>
    </row>
    <row r="1178" spans="1:3" x14ac:dyDescent="0.3">
      <c r="A1178" t="s">
        <v>5725</v>
      </c>
      <c r="B1178" s="2" t="s">
        <v>3893</v>
      </c>
      <c r="C1178" s="2" t="s">
        <v>3893</v>
      </c>
    </row>
    <row r="1179" spans="1:3" x14ac:dyDescent="0.3">
      <c r="A1179" t="s">
        <v>5726</v>
      </c>
      <c r="B1179" s="2" t="s">
        <v>3893</v>
      </c>
      <c r="C1179" s="2" t="s">
        <v>3893</v>
      </c>
    </row>
    <row r="1180" spans="1:3" x14ac:dyDescent="0.3">
      <c r="A1180" t="s">
        <v>5727</v>
      </c>
      <c r="B1180" s="2" t="s">
        <v>3893</v>
      </c>
      <c r="C1180" s="2" t="s">
        <v>3893</v>
      </c>
    </row>
    <row r="1181" spans="1:3" x14ac:dyDescent="0.3">
      <c r="A1181" t="s">
        <v>5728</v>
      </c>
      <c r="B1181" s="2" t="s">
        <v>3893</v>
      </c>
      <c r="C1181" s="2" t="s">
        <v>3893</v>
      </c>
    </row>
    <row r="1182" spans="1:3" x14ac:dyDescent="0.3">
      <c r="A1182" t="s">
        <v>5729</v>
      </c>
      <c r="B1182" s="2" t="s">
        <v>3893</v>
      </c>
      <c r="C1182" s="2" t="s">
        <v>3893</v>
      </c>
    </row>
    <row r="1183" spans="1:3" x14ac:dyDescent="0.3">
      <c r="A1183" t="s">
        <v>5730</v>
      </c>
      <c r="B1183" s="2" t="s">
        <v>3893</v>
      </c>
      <c r="C1183" s="2" t="s">
        <v>3893</v>
      </c>
    </row>
    <row r="1184" spans="1:3" x14ac:dyDescent="0.3">
      <c r="A1184" t="s">
        <v>5731</v>
      </c>
      <c r="B1184" s="2" t="s">
        <v>3893</v>
      </c>
      <c r="C1184" s="2" t="s">
        <v>3893</v>
      </c>
    </row>
    <row r="1185" spans="1:3" x14ac:dyDescent="0.3">
      <c r="A1185" t="s">
        <v>5732</v>
      </c>
      <c r="B1185" s="2" t="s">
        <v>3893</v>
      </c>
      <c r="C1185" s="2" t="s">
        <v>3893</v>
      </c>
    </row>
    <row r="1186" spans="1:3" x14ac:dyDescent="0.3">
      <c r="A1186" t="s">
        <v>5733</v>
      </c>
      <c r="B1186" s="2" t="s">
        <v>3893</v>
      </c>
      <c r="C1186" s="2" t="s">
        <v>3893</v>
      </c>
    </row>
    <row r="1187" spans="1:3" x14ac:dyDescent="0.3">
      <c r="A1187" t="s">
        <v>5734</v>
      </c>
      <c r="B1187" s="2" t="s">
        <v>3893</v>
      </c>
      <c r="C1187" s="2" t="s">
        <v>3893</v>
      </c>
    </row>
    <row r="1188" spans="1:3" x14ac:dyDescent="0.3">
      <c r="A1188" t="s">
        <v>5735</v>
      </c>
      <c r="B1188" s="2" t="s">
        <v>3893</v>
      </c>
      <c r="C1188" s="2" t="s">
        <v>3893</v>
      </c>
    </row>
    <row r="1189" spans="1:3" x14ac:dyDescent="0.3">
      <c r="A1189" t="s">
        <v>5736</v>
      </c>
      <c r="B1189" s="2" t="s">
        <v>3893</v>
      </c>
      <c r="C1189" s="2" t="s">
        <v>3893</v>
      </c>
    </row>
    <row r="1190" spans="1:3" x14ac:dyDescent="0.3">
      <c r="A1190" t="s">
        <v>5737</v>
      </c>
      <c r="B1190" s="2" t="s">
        <v>3893</v>
      </c>
      <c r="C1190" s="2" t="s">
        <v>3893</v>
      </c>
    </row>
    <row r="1191" spans="1:3" x14ac:dyDescent="0.3">
      <c r="A1191" t="s">
        <v>5738</v>
      </c>
      <c r="B1191" s="2" t="s">
        <v>3893</v>
      </c>
      <c r="C1191" s="2" t="s">
        <v>3893</v>
      </c>
    </row>
    <row r="1192" spans="1:3" x14ac:dyDescent="0.3">
      <c r="A1192" t="s">
        <v>5739</v>
      </c>
      <c r="B1192" s="2" t="s">
        <v>3893</v>
      </c>
      <c r="C1192" s="2" t="s">
        <v>3893</v>
      </c>
    </row>
    <row r="1193" spans="1:3" x14ac:dyDescent="0.3">
      <c r="A1193" t="s">
        <v>5740</v>
      </c>
      <c r="B1193" s="2" t="s">
        <v>3893</v>
      </c>
      <c r="C1193" s="2" t="s">
        <v>3893</v>
      </c>
    </row>
    <row r="1194" spans="1:3" x14ac:dyDescent="0.3">
      <c r="A1194" t="s">
        <v>5741</v>
      </c>
      <c r="B1194" s="2" t="s">
        <v>3893</v>
      </c>
      <c r="C1194" s="2" t="s">
        <v>3893</v>
      </c>
    </row>
    <row r="1195" spans="1:3" x14ac:dyDescent="0.3">
      <c r="A1195" t="s">
        <v>5742</v>
      </c>
      <c r="B1195" s="2" t="s">
        <v>3893</v>
      </c>
      <c r="C1195" s="2" t="s">
        <v>3893</v>
      </c>
    </row>
    <row r="1196" spans="1:3" x14ac:dyDescent="0.3">
      <c r="A1196" t="s">
        <v>5743</v>
      </c>
      <c r="B1196" s="2" t="s">
        <v>3893</v>
      </c>
      <c r="C1196" s="2" t="s">
        <v>3893</v>
      </c>
    </row>
    <row r="1197" spans="1:3" x14ac:dyDescent="0.3">
      <c r="A1197" t="s">
        <v>5744</v>
      </c>
      <c r="B1197" s="2" t="s">
        <v>3893</v>
      </c>
      <c r="C1197" s="2" t="s">
        <v>3893</v>
      </c>
    </row>
    <row r="1198" spans="1:3" x14ac:dyDescent="0.3">
      <c r="A1198" t="s">
        <v>5745</v>
      </c>
      <c r="B1198" s="2" t="s">
        <v>3893</v>
      </c>
      <c r="C1198" s="2" t="s">
        <v>3893</v>
      </c>
    </row>
    <row r="1199" spans="1:3" x14ac:dyDescent="0.3">
      <c r="A1199" t="s">
        <v>5746</v>
      </c>
      <c r="B1199" s="2" t="s">
        <v>3893</v>
      </c>
      <c r="C1199" s="2" t="s">
        <v>3893</v>
      </c>
    </row>
    <row r="1200" spans="1:3" x14ac:dyDescent="0.3">
      <c r="A1200" t="s">
        <v>5747</v>
      </c>
      <c r="B1200" s="2" t="s">
        <v>3893</v>
      </c>
      <c r="C1200" s="2" t="s">
        <v>3893</v>
      </c>
    </row>
    <row r="1201" spans="1:3" x14ac:dyDescent="0.3">
      <c r="A1201" t="s">
        <v>5748</v>
      </c>
      <c r="B1201" s="2" t="s">
        <v>3893</v>
      </c>
      <c r="C1201" s="2" t="s">
        <v>3893</v>
      </c>
    </row>
    <row r="1202" spans="1:3" x14ac:dyDescent="0.3">
      <c r="A1202" t="s">
        <v>5749</v>
      </c>
      <c r="B1202" s="2" t="s">
        <v>3893</v>
      </c>
      <c r="C1202" s="2" t="s">
        <v>3893</v>
      </c>
    </row>
    <row r="1203" spans="1:3" x14ac:dyDescent="0.3">
      <c r="A1203" t="s">
        <v>5750</v>
      </c>
      <c r="B1203" s="2" t="s">
        <v>3893</v>
      </c>
      <c r="C1203" s="2" t="s">
        <v>3893</v>
      </c>
    </row>
    <row r="1204" spans="1:3" x14ac:dyDescent="0.3">
      <c r="A1204" t="s">
        <v>5751</v>
      </c>
      <c r="B1204" s="2" t="s">
        <v>3893</v>
      </c>
      <c r="C1204" s="2" t="s">
        <v>3893</v>
      </c>
    </row>
    <row r="1205" spans="1:3" x14ac:dyDescent="0.3">
      <c r="A1205" t="s">
        <v>5752</v>
      </c>
      <c r="B1205" s="2" t="s">
        <v>3893</v>
      </c>
      <c r="C1205" s="2" t="s">
        <v>3893</v>
      </c>
    </row>
    <row r="1206" spans="1:3" x14ac:dyDescent="0.3">
      <c r="A1206" t="s">
        <v>5753</v>
      </c>
      <c r="B1206" s="2" t="s">
        <v>3893</v>
      </c>
      <c r="C1206" s="2" t="s">
        <v>3893</v>
      </c>
    </row>
    <row r="1207" spans="1:3" x14ac:dyDescent="0.3">
      <c r="A1207" t="s">
        <v>5754</v>
      </c>
      <c r="B1207" s="2" t="s">
        <v>3893</v>
      </c>
      <c r="C1207" s="2" t="s">
        <v>3893</v>
      </c>
    </row>
    <row r="1208" spans="1:3" x14ac:dyDescent="0.3">
      <c r="A1208" t="s">
        <v>5755</v>
      </c>
      <c r="B1208" s="2" t="s">
        <v>3893</v>
      </c>
      <c r="C1208" s="2" t="s">
        <v>3893</v>
      </c>
    </row>
    <row r="1209" spans="1:3" x14ac:dyDescent="0.3">
      <c r="A1209" t="s">
        <v>5756</v>
      </c>
      <c r="B1209" s="2" t="s">
        <v>3893</v>
      </c>
      <c r="C1209" s="2" t="s">
        <v>3893</v>
      </c>
    </row>
    <row r="1210" spans="1:3" x14ac:dyDescent="0.3">
      <c r="A1210" t="s">
        <v>5757</v>
      </c>
      <c r="B1210" s="2" t="s">
        <v>3893</v>
      </c>
      <c r="C1210" s="2" t="s">
        <v>3893</v>
      </c>
    </row>
    <row r="1211" spans="1:3" x14ac:dyDescent="0.3">
      <c r="A1211" t="s">
        <v>5758</v>
      </c>
      <c r="B1211" s="2" t="s">
        <v>3893</v>
      </c>
      <c r="C1211" s="2" t="s">
        <v>3893</v>
      </c>
    </row>
    <row r="1212" spans="1:3" x14ac:dyDescent="0.3">
      <c r="A1212" t="s">
        <v>5759</v>
      </c>
      <c r="B1212" s="2" t="s">
        <v>3893</v>
      </c>
      <c r="C1212" s="2" t="s">
        <v>3893</v>
      </c>
    </row>
    <row r="1213" spans="1:3" x14ac:dyDescent="0.3">
      <c r="A1213" t="s">
        <v>5760</v>
      </c>
      <c r="B1213" s="2" t="s">
        <v>3893</v>
      </c>
      <c r="C1213" s="2" t="s">
        <v>3893</v>
      </c>
    </row>
    <row r="1214" spans="1:3" x14ac:dyDescent="0.3">
      <c r="A1214" t="s">
        <v>5761</v>
      </c>
      <c r="B1214" s="2" t="s">
        <v>3893</v>
      </c>
      <c r="C1214" s="2" t="s">
        <v>3893</v>
      </c>
    </row>
    <row r="1215" spans="1:3" x14ac:dyDescent="0.3">
      <c r="A1215" t="s">
        <v>5762</v>
      </c>
      <c r="B1215" s="2" t="s">
        <v>3893</v>
      </c>
      <c r="C1215" s="2" t="s">
        <v>3893</v>
      </c>
    </row>
    <row r="1216" spans="1:3" x14ac:dyDescent="0.3">
      <c r="A1216" t="s">
        <v>5763</v>
      </c>
      <c r="B1216" s="2" t="s">
        <v>3893</v>
      </c>
      <c r="C1216" s="2" t="s">
        <v>3893</v>
      </c>
    </row>
    <row r="1217" spans="1:3" x14ac:dyDescent="0.3">
      <c r="A1217" t="s">
        <v>5764</v>
      </c>
      <c r="B1217" s="2" t="s">
        <v>3893</v>
      </c>
      <c r="C1217" s="2" t="s">
        <v>3893</v>
      </c>
    </row>
    <row r="1218" spans="1:3" x14ac:dyDescent="0.3">
      <c r="A1218" t="s">
        <v>5765</v>
      </c>
      <c r="B1218" s="2" t="s">
        <v>3893</v>
      </c>
      <c r="C1218" s="2" t="s">
        <v>3893</v>
      </c>
    </row>
    <row r="1219" spans="1:3" x14ac:dyDescent="0.3">
      <c r="A1219" t="s">
        <v>5766</v>
      </c>
      <c r="B1219" s="2" t="s">
        <v>3893</v>
      </c>
      <c r="C1219" s="2" t="s">
        <v>3893</v>
      </c>
    </row>
    <row r="1220" spans="1:3" x14ac:dyDescent="0.3">
      <c r="A1220" t="s">
        <v>5767</v>
      </c>
      <c r="B1220" s="2" t="s">
        <v>3893</v>
      </c>
      <c r="C1220" s="2" t="s">
        <v>3893</v>
      </c>
    </row>
    <row r="1221" spans="1:3" x14ac:dyDescent="0.3">
      <c r="A1221" t="s">
        <v>5768</v>
      </c>
      <c r="B1221" s="2" t="s">
        <v>3893</v>
      </c>
      <c r="C1221" s="2" t="s">
        <v>3893</v>
      </c>
    </row>
    <row r="1222" spans="1:3" x14ac:dyDescent="0.3">
      <c r="A1222" t="s">
        <v>5769</v>
      </c>
      <c r="B1222" s="2" t="s">
        <v>3893</v>
      </c>
      <c r="C1222" s="2" t="s">
        <v>3893</v>
      </c>
    </row>
    <row r="1223" spans="1:3" x14ac:dyDescent="0.3">
      <c r="A1223" t="s">
        <v>5770</v>
      </c>
      <c r="B1223" s="2" t="s">
        <v>3893</v>
      </c>
      <c r="C1223" s="2" t="s">
        <v>3893</v>
      </c>
    </row>
    <row r="1224" spans="1:3" x14ac:dyDescent="0.3">
      <c r="A1224" t="s">
        <v>5771</v>
      </c>
      <c r="B1224" s="2" t="s">
        <v>3893</v>
      </c>
      <c r="C1224" s="2" t="s">
        <v>3893</v>
      </c>
    </row>
    <row r="1225" spans="1:3" x14ac:dyDescent="0.3">
      <c r="A1225" t="s">
        <v>5772</v>
      </c>
      <c r="B1225" s="2" t="s">
        <v>3893</v>
      </c>
      <c r="C1225" s="2" t="s">
        <v>3893</v>
      </c>
    </row>
    <row r="1226" spans="1:3" x14ac:dyDescent="0.3">
      <c r="A1226" t="s">
        <v>5773</v>
      </c>
      <c r="B1226" s="2" t="s">
        <v>3893</v>
      </c>
      <c r="C1226" s="2" t="s">
        <v>3893</v>
      </c>
    </row>
    <row r="1227" spans="1:3" x14ac:dyDescent="0.3">
      <c r="A1227" t="s">
        <v>5774</v>
      </c>
      <c r="B1227" s="2" t="s">
        <v>3893</v>
      </c>
      <c r="C1227" s="2" t="s">
        <v>3893</v>
      </c>
    </row>
    <row r="1228" spans="1:3" x14ac:dyDescent="0.3">
      <c r="A1228" t="s">
        <v>5775</v>
      </c>
      <c r="B1228" s="2" t="s">
        <v>3893</v>
      </c>
      <c r="C1228" s="2" t="s">
        <v>3893</v>
      </c>
    </row>
    <row r="1229" spans="1:3" x14ac:dyDescent="0.3">
      <c r="A1229" t="s">
        <v>5776</v>
      </c>
      <c r="B1229" s="2" t="s">
        <v>3893</v>
      </c>
      <c r="C1229" s="2" t="s">
        <v>3893</v>
      </c>
    </row>
    <row r="1230" spans="1:3" x14ac:dyDescent="0.3">
      <c r="A1230" t="s">
        <v>5777</v>
      </c>
      <c r="B1230" s="2" t="s">
        <v>3893</v>
      </c>
      <c r="C1230" s="2" t="s">
        <v>3893</v>
      </c>
    </row>
  </sheetData>
  <mergeCells count="2">
    <mergeCell ref="A1:D1"/>
    <mergeCell ref="H6:I6"/>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XFB2583"/>
  <sheetViews>
    <sheetView tabSelected="1" topLeftCell="A219" zoomScale="70" zoomScaleNormal="70" workbookViewId="0">
      <selection activeCell="H217" sqref="E217:H218"/>
    </sheetView>
  </sheetViews>
  <sheetFormatPr defaultColWidth="8.6640625" defaultRowHeight="14.4" outlineLevelRow="2" x14ac:dyDescent="0.3"/>
  <cols>
    <col min="13" max="13" width="90" customWidth="1"/>
    <col min="12" max="12" width="46" customWidth="1"/>
    <col min="1" max="1" width="32.5546875" bestFit="1" customWidth="1"/>
    <col min="2" max="2" width="18.109375" bestFit="1" customWidth="1"/>
    <col min="3" max="3" width="13" customWidth="1"/>
    <col min="4" max="4" width="71.5546875" bestFit="1" customWidth="1"/>
    <col min="5" max="5" width="57.44140625" bestFit="1" customWidth="1"/>
    <col min="6" max="6" width="67.6640625" customWidth="1"/>
    <col min="7" max="7" width="20.21875" bestFit="1" customWidth="1"/>
    <col min="8" max="8" width="60.44140625" bestFit="1" customWidth="1"/>
    <col min="9" max="9" width="22.33203125" bestFit="1" customWidth="1"/>
    <col min="10" max="10" width="40" customWidth="1"/>
    <col min="11" max="11" width="26" customWidth="1"/>
  </cols>
  <sheetData>
    <row r="1" spans="1:10" ht="19.2" customHeight="1" x14ac:dyDescent="0.3">
      <c r="A1" s="35" t="s">
        <v>0</v>
      </c>
      <c r="B1" s="36"/>
      <c r="C1" s="36"/>
      <c r="D1" s="36"/>
    </row>
    <row r="2" spans="1:13" ht="30" customHeight="1" x14ac:dyDescent="0.3">
      <c r="A2" s="14" t="s">
        <v>1</v>
      </c>
      <c r="B2" s="1" t="s">
        <v>2</v>
      </c>
      <c r="C2" s="1" t="s">
        <v>3</v>
      </c>
      <c r="D2" s="12" t="s">
        <v>4</v>
      </c>
      <c r="H2" s="12" t="s">
        <v>9305</v>
      </c>
      <c r="J2" s="12" t="inlineStr">
        <is>
          <t>ROOM PER BMS SCREEN</t>
        </is>
      </c>
      <c r="K2" s="12" t="inlineStr">
        <is>
          <t>BMS SCREEN (IMAGE FILE)</t>
        </is>
      </c>
      <c r="L2" s="12" t="inlineStr">
        <is>
          <t>BMS SCREEN vs DRAWINGS</t>
        </is>
      </c>
      <c r="M2" s="12" t="inlineStr">
        <is>
          <t>WHY</t>
        </is>
      </c>
    </row>
    <row r="3" spans="1:10" ht="18" customHeight="1" x14ac:dyDescent="0.3">
      <c r="A3" s="37" t="s">
        <v>5</v>
      </c>
      <c r="B3" s="36"/>
      <c r="C3" s="36"/>
      <c r="D3" s="36"/>
    </row>
    <row r="4" spans="1:10" ht="18" customHeight="1" outlineLevel="1" x14ac:dyDescent="0.3">
      <c r="A4" t="s">
        <v>6</v>
      </c>
      <c r="B4" t="s">
        <v>7</v>
      </c>
      <c r="C4" t="s">
        <v>8</v>
      </c>
      <c r="D4" t="s">
        <v>6018</v>
      </c>
      <c r="E4" t="s">
        <v>8194</v>
      </c>
    </row>
    <row r="5" spans="1:10" ht="18" customHeight="1" outlineLevel="1" x14ac:dyDescent="0.3">
      <c r="A5" t="s">
        <v>9</v>
      </c>
      <c r="B5" t="s">
        <v>7</v>
      </c>
      <c r="C5" t="s">
        <v>10</v>
      </c>
      <c r="D5" t="s">
        <v>6018</v>
      </c>
      <c r="E5" t="s">
        <v>8194</v>
      </c>
    </row>
    <row r="6" spans="1:10" ht="18" customHeight="1" outlineLevel="1" x14ac:dyDescent="0.3">
      <c r="A6" t="s">
        <v>11</v>
      </c>
      <c r="B6" t="s">
        <v>7</v>
      </c>
      <c r="C6" t="s">
        <v>10</v>
      </c>
      <c r="D6" t="s">
        <v>6018</v>
      </c>
      <c r="E6" t="s">
        <v>8194</v>
      </c>
    </row>
    <row r="7" spans="1:10" ht="18" customHeight="1" outlineLevel="1" x14ac:dyDescent="0.3">
      <c r="A7" t="s">
        <v>12</v>
      </c>
      <c r="B7" t="s">
        <v>7</v>
      </c>
      <c r="C7" t="s">
        <v>8</v>
      </c>
      <c r="D7" t="s">
        <v>6018</v>
      </c>
      <c r="E7" t="s">
        <v>8194</v>
      </c>
    </row>
    <row r="8" spans="1:10" ht="18" customHeight="1" outlineLevel="1" x14ac:dyDescent="0.3">
      <c r="A8" t="s">
        <v>13</v>
      </c>
      <c r="B8" t="s">
        <v>7</v>
      </c>
      <c r="C8" t="s">
        <v>8</v>
      </c>
      <c r="D8" t="s">
        <v>6018</v>
      </c>
      <c r="E8" t="s">
        <v>8194</v>
      </c>
    </row>
    <row r="9" spans="1:10" ht="18" customHeight="1" outlineLevel="1" x14ac:dyDescent="0.3">
      <c r="A9" t="s">
        <v>14</v>
      </c>
      <c r="B9" t="s">
        <v>7</v>
      </c>
      <c r="C9" t="s">
        <v>8</v>
      </c>
      <c r="D9" t="s">
        <v>6018</v>
      </c>
      <c r="E9" t="s">
        <v>8194</v>
      </c>
    </row>
    <row r="10" spans="1:10" ht="18" customHeight="1" outlineLevel="1" x14ac:dyDescent="0.3">
      <c r="A10" t="s">
        <v>15</v>
      </c>
      <c r="B10" t="s">
        <v>7</v>
      </c>
      <c r="C10" t="s">
        <v>8</v>
      </c>
      <c r="D10" t="s">
        <v>6018</v>
      </c>
      <c r="E10" t="s">
        <v>8194</v>
      </c>
    </row>
    <row r="11" spans="1:10" ht="18" customHeight="1" outlineLevel="1" x14ac:dyDescent="0.3">
      <c r="A11" t="s">
        <v>16</v>
      </c>
      <c r="B11" t="s">
        <v>7</v>
      </c>
      <c r="C11" t="s">
        <v>8</v>
      </c>
      <c r="D11" t="s">
        <v>6018</v>
      </c>
      <c r="E11" t="s">
        <v>8194</v>
      </c>
    </row>
    <row r="12" spans="1:10" ht="18" customHeight="1" outlineLevel="1" x14ac:dyDescent="0.3">
      <c r="A12" t="s">
        <v>17</v>
      </c>
      <c r="B12" t="s">
        <v>7</v>
      </c>
      <c r="C12" t="s">
        <v>8</v>
      </c>
      <c r="D12" t="s">
        <v>6018</v>
      </c>
      <c r="E12" t="s">
        <v>8194</v>
      </c>
    </row>
    <row r="13" spans="1:10" ht="18" customHeight="1" outlineLevel="1" x14ac:dyDescent="0.3">
      <c r="A13" t="s">
        <v>18</v>
      </c>
      <c r="B13" t="s">
        <v>7</v>
      </c>
      <c r="C13" t="s">
        <v>8</v>
      </c>
      <c r="D13" t="s">
        <v>19</v>
      </c>
      <c r="E13" t="s">
        <v>6028</v>
      </c>
    </row>
    <row r="14" spans="1:10" ht="18" customHeight="1" outlineLevel="1" x14ac:dyDescent="0.3">
      <c r="A14" t="s">
        <v>20</v>
      </c>
      <c r="B14" t="s">
        <v>7</v>
      </c>
      <c r="C14" t="s">
        <v>8</v>
      </c>
      <c r="D14" t="s">
        <v>21</v>
      </c>
      <c r="E14" t="s">
        <v>6029</v>
      </c>
    </row>
    <row r="15" spans="1:10" outlineLevel="1" x14ac:dyDescent="0.3">
      <c r="A15" t="s">
        <v>22</v>
      </c>
      <c r="B15" t="s">
        <v>7</v>
      </c>
      <c r="C15" t="s">
        <v>8</v>
      </c>
      <c r="D15" t="s">
        <v>21</v>
      </c>
      <c r="E15" t="s">
        <v>6029</v>
      </c>
    </row>
    <row r="16" spans="1:10" ht="18" customHeight="1" outlineLevel="1" x14ac:dyDescent="0.3">
      <c r="A16" t="s">
        <v>23</v>
      </c>
      <c r="B16" t="s">
        <v>7</v>
      </c>
      <c r="C16" t="s">
        <v>8</v>
      </c>
      <c r="D16" t="s">
        <v>24</v>
      </c>
      <c r="E16" t="s">
        <v>6030</v>
      </c>
    </row>
    <row r="17" spans="1:8" ht="18" customHeight="1" outlineLevel="1" x14ac:dyDescent="0.3">
      <c r="A17" t="s">
        <v>25</v>
      </c>
      <c r="B17" t="s">
        <v>7</v>
      </c>
      <c r="C17" t="s">
        <v>8</v>
      </c>
      <c r="D17" t="s">
        <v>24</v>
      </c>
      <c r="E17" t="s">
        <v>6030</v>
      </c>
    </row>
    <row r="18" spans="1:8" ht="18" customHeight="1" outlineLevel="1" x14ac:dyDescent="0.3">
      <c r="A18" t="s">
        <v>26</v>
      </c>
      <c r="B18" t="s">
        <v>7</v>
      </c>
      <c r="C18" t="s">
        <v>8</v>
      </c>
      <c r="D18" t="s">
        <v>27</v>
      </c>
      <c r="E18" t="s">
        <v>6031</v>
      </c>
    </row>
    <row r="19" spans="1:8" ht="18" customHeight="1" outlineLevel="1" x14ac:dyDescent="0.3">
      <c r="A19" t="s">
        <v>28</v>
      </c>
      <c r="B19" t="s">
        <v>7</v>
      </c>
      <c r="C19" t="s">
        <v>10</v>
      </c>
      <c r="D19" t="s">
        <v>29</v>
      </c>
      <c r="E19" t="s">
        <v>6032</v>
      </c>
    </row>
    <row r="20" spans="1:8" ht="18" customHeight="1" outlineLevel="1" x14ac:dyDescent="0.3">
      <c r="A20" t="s">
        <v>30</v>
      </c>
      <c r="B20" t="s">
        <v>7</v>
      </c>
      <c r="C20" t="s">
        <v>10</v>
      </c>
      <c r="D20" t="s">
        <v>29</v>
      </c>
      <c r="E20" t="s">
        <v>6032</v>
      </c>
    </row>
    <row r="21" spans="1:8" ht="18" customHeight="1" outlineLevel="1" x14ac:dyDescent="0.3">
      <c r="A21" t="s">
        <v>31</v>
      </c>
      <c r="B21" t="s">
        <v>7</v>
      </c>
      <c r="C21" t="s">
        <v>10</v>
      </c>
      <c r="D21" t="s">
        <v>32</v>
      </c>
      <c r="E21" t="s">
        <v>6033</v>
      </c>
    </row>
    <row r="22" spans="1:8" ht="18" customHeight="1" outlineLevel="1" x14ac:dyDescent="0.3">
      <c r="A22" t="s">
        <v>33</v>
      </c>
      <c r="B22" t="s">
        <v>7</v>
      </c>
      <c r="C22" t="s">
        <v>10</v>
      </c>
      <c r="D22" t="s">
        <v>32</v>
      </c>
      <c r="E22" t="s">
        <v>6033</v>
      </c>
    </row>
    <row r="23" spans="1:8" ht="18" customHeight="1" outlineLevel="1" x14ac:dyDescent="0.3">
      <c r="A23" t="s">
        <v>34</v>
      </c>
      <c r="B23" t="s">
        <v>7</v>
      </c>
      <c r="C23" t="s">
        <v>10</v>
      </c>
      <c r="D23" t="s">
        <v>35</v>
      </c>
      <c r="E23" t="s">
        <v>6034</v>
      </c>
    </row>
    <row r="24" spans="1:8" ht="18" customHeight="1" outlineLevel="1" x14ac:dyDescent="0.3">
      <c r="A24" t="s">
        <v>36</v>
      </c>
      <c r="B24" t="s">
        <v>7</v>
      </c>
      <c r="C24" t="s">
        <v>10</v>
      </c>
      <c r="D24" t="s">
        <v>35</v>
      </c>
      <c r="E24" t="s">
        <v>6034</v>
      </c>
    </row>
    <row r="25" spans="1:8" ht="18" customHeight="1" outlineLevel="1" x14ac:dyDescent="0.3">
      <c r="A25" t="s">
        <v>37</v>
      </c>
      <c r="B25" t="s">
        <v>7</v>
      </c>
      <c r="C25" t="s">
        <v>10</v>
      </c>
      <c r="D25" t="s">
        <v>38</v>
      </c>
      <c r="E25" t="s">
        <v>6035</v>
      </c>
    </row>
    <row r="26" spans="1:8" ht="18" customHeight="1" outlineLevel="1" x14ac:dyDescent="0.3">
      <c r="A26" t="s">
        <v>39</v>
      </c>
      <c r="B26" t="s">
        <v>7</v>
      </c>
      <c r="C26" t="s">
        <v>10</v>
      </c>
      <c r="D26" t="s">
        <v>29</v>
      </c>
      <c r="E26" t="s">
        <v>6032</v>
      </c>
    </row>
    <row r="27" spans="1:8" ht="18" customHeight="1" outlineLevel="1" x14ac:dyDescent="0.3">
      <c r="A27" t="s">
        <v>40</v>
      </c>
      <c r="B27" t="s">
        <v>7</v>
      </c>
      <c r="C27" t="s">
        <v>10</v>
      </c>
      <c r="D27" t="s">
        <v>41</v>
      </c>
      <c r="E27" t="s">
        <v>6036</v>
      </c>
    </row>
    <row r="28" spans="1:8" ht="18" customHeight="1" outlineLevel="1" x14ac:dyDescent="0.3">
      <c r="A28" t="s">
        <v>42</v>
      </c>
      <c r="B28" t="s">
        <v>7</v>
      </c>
      <c r="C28" t="s">
        <v>10</v>
      </c>
      <c r="D28" t="s">
        <v>41</v>
      </c>
      <c r="E28" t="s">
        <v>6036</v>
      </c>
    </row>
    <row r="29" spans="1:8" ht="18" customHeight="1" outlineLevel="1" x14ac:dyDescent="0.3">
      <c r="A29" t="s">
        <v>43</v>
      </c>
      <c r="B29" t="s">
        <v>7</v>
      </c>
      <c r="C29" t="s">
        <v>10</v>
      </c>
      <c r="D29" t="s">
        <v>41</v>
      </c>
      <c r="E29" t="s">
        <v>6036</v>
      </c>
    </row>
    <row r="30" spans="1:11" ht="18" customHeight="1" outlineLevel="1" x14ac:dyDescent="0.3">
      <c r="A30" t="s">
        <v>44</v>
      </c>
      <c r="B30" t="s">
        <v>45</v>
      </c>
      <c r="C30" t="s">
        <v>8</v>
      </c>
      <c r="D30" t="s">
        <v>46</v>
      </c>
      <c r="E30" t="s">
        <v>6037</v>
      </c>
      <c r="J30" t="inlineStr" s="44">
        <is>
          <t>B.512 IDF ROOM</t>
        </is>
      </c>
      <c r="K30" t="inlineStr">
        <is>
          <t>HQ/Basment Floor/BF-2.jpg</t>
        </is>
      </c>
    </row>
    <row r="31" spans="1:11" ht="18" customHeight="1" outlineLevel="1" x14ac:dyDescent="0.3">
      <c r="A31" t="s">
        <v>47</v>
      </c>
      <c r="B31" t="s">
        <v>45</v>
      </c>
      <c r="C31" t="s">
        <v>8</v>
      </c>
      <c r="D31" t="s">
        <v>48</v>
      </c>
      <c r="E31" t="s">
        <v>6038</v>
      </c>
      <c r="H31" t="s">
        <v>9306</v>
      </c>
      <c r="J31" t="inlineStr">
        <is>
          <t>B.003</t>
        </is>
      </c>
      <c r="K31" t="inlineStr">
        <is>
          <t>HQ/Basment Floor/BF-1.jpg</t>
        </is>
      </c>
    </row>
    <row r="32" spans="1:11" ht="18" customHeight="1" outlineLevel="1" x14ac:dyDescent="0.3">
      <c r="A32" t="s">
        <v>49</v>
      </c>
      <c r="B32" t="s">
        <v>45</v>
      </c>
      <c r="C32" t="s">
        <v>10</v>
      </c>
      <c r="D32" t="s">
        <v>50</v>
      </c>
      <c r="E32" t="s">
        <v>6039</v>
      </c>
      <c r="H32" t="s">
        <v>9307</v>
      </c>
      <c r="J32" t="inlineStr">
        <is>
          <t>B.107 DOCK MASTER OFFICE</t>
        </is>
      </c>
      <c r="K32" t="inlineStr">
        <is>
          <t>HQ/Basment Floor/BF-2.jpg</t>
        </is>
      </c>
    </row>
    <row r="33" spans="1:10" ht="18" customHeight="1" outlineLevel="1" x14ac:dyDescent="0.3">
      <c r="A33" t="s">
        <v>51</v>
      </c>
      <c r="B33" t="s">
        <v>45</v>
      </c>
      <c r="C33" t="s">
        <v>8</v>
      </c>
      <c r="D33" t="s">
        <v>52</v>
      </c>
      <c r="E33" t="s">
        <v>6040</v>
      </c>
      <c r="H33" t="s">
        <v>9308</v>
      </c>
      <c r="J33" s="44"/>
    </row>
    <row r="34" spans="1:11" ht="18" customHeight="1" outlineLevel="1" x14ac:dyDescent="0.3">
      <c r="A34" s="30" t="s">
        <v>53</v>
      </c>
      <c r="B34" s="30" t="s">
        <v>45</v>
      </c>
      <c r="C34" s="30" t="s">
        <v>8</v>
      </c>
      <c r="D34" s="30" t="s">
        <v>54</v>
      </c>
      <c r="E34" s="30" t="s">
        <v>6041</v>
      </c>
      <c r="F34" s="30"/>
      <c r="G34" s="30"/>
      <c r="H34" s="30" t="s">
        <v>9306</v>
      </c>
      <c r="J34" t="inlineStr">
        <is>
          <t>B.401</t>
        </is>
      </c>
      <c r="K34" t="inlineStr">
        <is>
          <t>HQ/Basment Floor/BF-1.jpg</t>
        </is>
      </c>
    </row>
    <row r="35" spans="1:11" ht="18" customHeight="1" outlineLevel="1" x14ac:dyDescent="0.3">
      <c r="A35" t="s">
        <v>55</v>
      </c>
      <c r="B35" t="s">
        <v>45</v>
      </c>
      <c r="C35" t="s">
        <v>10</v>
      </c>
      <c r="D35" t="s">
        <v>56</v>
      </c>
      <c r="E35" t="s">
        <v>6042</v>
      </c>
      <c r="H35" t="s">
        <v>9309</v>
      </c>
      <c r="J35" t="inlineStr" s="44">
        <is>
          <t>B.122</t>
        </is>
      </c>
      <c r="K35" t="inlineStr">
        <is>
          <t>HQ/Basment Floor/BF-2.jpg</t>
        </is>
      </c>
    </row>
    <row r="36" spans="1:11" ht="18" customHeight="1" outlineLevel="1" x14ac:dyDescent="0.3">
      <c r="A36" t="s">
        <v>57</v>
      </c>
      <c r="B36" t="s">
        <v>45</v>
      </c>
      <c r="C36" t="s">
        <v>10</v>
      </c>
      <c r="D36" t="s">
        <v>58</v>
      </c>
      <c r="E36" t="s">
        <v>6043</v>
      </c>
      <c r="H36" t="s">
        <v>9310</v>
      </c>
      <c r="J36" t="inlineStr" s="44">
        <is>
          <t>B.123</t>
        </is>
      </c>
      <c r="K36" t="inlineStr">
        <is>
          <t>HQ/Basment Floor/BF-2.jpg</t>
        </is>
      </c>
    </row>
    <row r="37" spans="1:11" ht="18" customHeight="1" outlineLevel="1" x14ac:dyDescent="0.3">
      <c r="A37" s="30" t="s">
        <v>59</v>
      </c>
      <c r="B37" s="30" t="s">
        <v>45</v>
      </c>
      <c r="C37" s="30" t="s">
        <v>10</v>
      </c>
      <c r="D37" s="30" t="s">
        <v>60</v>
      </c>
      <c r="E37" s="30" t="s">
        <v>6044</v>
      </c>
      <c r="F37" s="30"/>
      <c r="G37" s="30"/>
      <c r="H37" s="30" t="s">
        <v>9311</v>
      </c>
      <c r="J37" t="inlineStr" s="44">
        <is>
          <t>B.014</t>
        </is>
      </c>
      <c r="K37" t="inlineStr">
        <is>
          <t>HQ/Basment Floor/BF-2.jpg</t>
        </is>
      </c>
    </row>
    <row r="38" spans="1:11" ht="18" customHeight="1" outlineLevel="1" x14ac:dyDescent="0.3">
      <c r="A38" t="s">
        <v>61</v>
      </c>
      <c r="B38" t="s">
        <v>45</v>
      </c>
      <c r="C38" t="s">
        <v>10</v>
      </c>
      <c r="D38" t="s">
        <v>60</v>
      </c>
      <c r="E38" t="s">
        <v>6044</v>
      </c>
      <c r="H38" t="s">
        <v>9312</v>
      </c>
      <c r="J38" t="inlineStr" s="44">
        <is>
          <t>B.014</t>
        </is>
      </c>
      <c r="K38" t="inlineStr">
        <is>
          <t>HQ/Basment Floor/BF-2.jpg</t>
        </is>
      </c>
    </row>
    <row r="39" spans="1:11" ht="18" customHeight="1" outlineLevel="1" x14ac:dyDescent="0.3">
      <c r="A39" s="30" t="s">
        <v>62</v>
      </c>
      <c r="B39" s="30" t="s">
        <v>45</v>
      </c>
      <c r="C39" s="30" t="s">
        <v>10</v>
      </c>
      <c r="D39" s="30" t="s">
        <v>63</v>
      </c>
      <c r="E39" s="30" t="s">
        <v>6045</v>
      </c>
      <c r="F39" s="30"/>
      <c r="G39" s="30"/>
      <c r="H39" s="30" t="s">
        <v>9313</v>
      </c>
      <c r="J39"/>
      <c r="K39" t="inlineStr">
        <is>
          <t>HQ/Basment Floor/BF-2.jpg</t>
        </is>
      </c>
    </row>
    <row r="40" spans="1:11" ht="18" customHeight="1" outlineLevel="1" x14ac:dyDescent="0.3">
      <c r="A40" t="s">
        <v>64</v>
      </c>
      <c r="B40" t="s">
        <v>45</v>
      </c>
      <c r="C40" t="s">
        <v>10</v>
      </c>
      <c r="D40" t="s">
        <v>65</v>
      </c>
      <c r="E40" t="s">
        <v>6046</v>
      </c>
      <c r="J40" t="inlineStr">
        <is>
          <t>B.117 CHAUFFER ROOM</t>
        </is>
      </c>
      <c r="K40" t="inlineStr">
        <is>
          <t>HQ/Basment Floor/BF-2.jpg</t>
        </is>
      </c>
    </row>
    <row r="41" spans="1:11" ht="18" customHeight="1" outlineLevel="1" x14ac:dyDescent="0.3">
      <c r="A41" t="s">
        <v>66</v>
      </c>
      <c r="B41" t="s">
        <v>45</v>
      </c>
      <c r="C41" t="s">
        <v>8</v>
      </c>
      <c r="D41" t="s">
        <v>67</v>
      </c>
      <c r="E41" t="s">
        <v>6047</v>
      </c>
      <c r="J41" t="inlineStr" s="44">
        <is>
          <t>G.531 IDF ROOM</t>
        </is>
      </c>
      <c r="K41" t="inlineStr">
        <is>
          <t>HQ/Ground Floor/GF-1.jpg</t>
        </is>
      </c>
    </row>
    <row r="42" spans="1:11" ht="18" customHeight="1" outlineLevel="1" x14ac:dyDescent="0.3">
      <c r="A42" t="s">
        <v>68</v>
      </c>
      <c r="B42" t="s">
        <v>45</v>
      </c>
      <c r="C42" t="s">
        <v>8</v>
      </c>
      <c r="D42" t="s">
        <v>67</v>
      </c>
      <c r="E42" t="s">
        <v>6047</v>
      </c>
      <c r="J42" t="s" s="44">
        <v>9831</v>
      </c>
      <c r="K42" t="inlineStr">
        <is>
          <t>HQ/Ground Floor/GF-1.jpg</t>
        </is>
      </c>
    </row>
    <row r="43" spans="1:11" ht="18" customHeight="1" outlineLevel="1" x14ac:dyDescent="0.3">
      <c r="A43" t="s">
        <v>69</v>
      </c>
      <c r="B43" t="s">
        <v>45</v>
      </c>
      <c r="C43" t="s">
        <v>8</v>
      </c>
      <c r="D43" t="s">
        <v>70</v>
      </c>
      <c r="E43" t="s">
        <v>6048</v>
      </c>
      <c r="J43" t="inlineStr" s="44">
        <is>
          <t>G.512 IDF ROOM</t>
        </is>
      </c>
      <c r="K43" t="inlineStr">
        <is>
          <t>HQ/Ground Floor/GF-2.jpg</t>
        </is>
      </c>
    </row>
    <row r="44" spans="1:11" ht="18" customHeight="1" outlineLevel="1" x14ac:dyDescent="0.3">
      <c r="A44" t="s">
        <v>71</v>
      </c>
      <c r="B44" t="s">
        <v>45</v>
      </c>
      <c r="C44" t="s">
        <v>8</v>
      </c>
      <c r="D44" t="s">
        <v>72</v>
      </c>
      <c r="E44" t="s">
        <v>6049</v>
      </c>
      <c r="H44" t="s">
        <v>9314</v>
      </c>
      <c r="J44" t="s">
        <v>9832</v>
      </c>
      <c r="K44" t="inlineStr">
        <is>
          <t>HQ/Ground Floor/GF-2.jpg</t>
        </is>
      </c>
    </row>
    <row r="45" spans="1:11" ht="18" customHeight="1" outlineLevel="1" x14ac:dyDescent="0.3">
      <c r="A45" t="s">
        <v>73</v>
      </c>
      <c r="B45" t="s">
        <v>45</v>
      </c>
      <c r="C45" t="s">
        <v>10</v>
      </c>
      <c r="D45" t="s">
        <v>74</v>
      </c>
      <c r="E45" t="s">
        <v>6050</v>
      </c>
      <c r="H45" t="s">
        <v>9315</v>
      </c>
      <c r="J45" t="inlineStr" s="44">
        <is>
          <t>G.017 COPY PRINT</t>
        </is>
      </c>
      <c r="K45" t="inlineStr">
        <is>
          <t>HQ/Ground Floor/GF-1.jpg</t>
        </is>
      </c>
    </row>
    <row r="46" spans="1:11" ht="18" customHeight="1" outlineLevel="1" x14ac:dyDescent="0.3">
      <c r="A46" s="30" t="s">
        <v>75</v>
      </c>
      <c r="B46" s="30" t="s">
        <v>45</v>
      </c>
      <c r="C46" s="30" t="s">
        <v>8</v>
      </c>
      <c r="D46" s="30" t="s">
        <v>76</v>
      </c>
      <c r="E46" s="30" t="s">
        <v>6051</v>
      </c>
      <c r="F46" s="30"/>
      <c r="G46" s="30"/>
      <c r="H46" s="30" t="s">
        <v>9316</v>
      </c>
      <c r="I46" s="30"/>
      <c r="J46" s="30" t="s">
        <v>9833</v>
      </c>
      <c r="K46" t="inlineStr">
        <is>
          <t>HQ/Ground Floor/GF-1.jpg</t>
        </is>
      </c>
    </row>
    <row r="47" spans="1:11" ht="18" customHeight="1" outlineLevel="1" x14ac:dyDescent="0.3">
      <c r="A47" t="s">
        <v>77</v>
      </c>
      <c r="B47" t="s">
        <v>45</v>
      </c>
      <c r="C47" t="s">
        <v>8</v>
      </c>
      <c r="D47" t="s">
        <v>78</v>
      </c>
      <c r="E47" t="s">
        <v>6052</v>
      </c>
      <c r="H47" t="s">
        <v>9317</v>
      </c>
      <c r="J47" t="inlineStr" s="44">
        <is>
          <t>G.511 VESTIBULE</t>
        </is>
      </c>
      <c r="K47" t="inlineStr">
        <is>
          <t>HQ/Ground Floor/GF-2.jpg</t>
        </is>
      </c>
    </row>
    <row r="48" spans="1:11" ht="18" customHeight="1" outlineLevel="1" x14ac:dyDescent="0.3">
      <c r="A48" t="s">
        <v>79</v>
      </c>
      <c r="B48" t="s">
        <v>45</v>
      </c>
      <c r="C48" t="s">
        <v>8</v>
      </c>
      <c r="D48" t="s">
        <v>80</v>
      </c>
      <c r="E48" t="s">
        <v>6053</v>
      </c>
      <c r="J48" t="inlineStr">
        <is>
          <t>1.531 IDF ROOM</t>
        </is>
      </c>
      <c r="K48" t="inlineStr">
        <is>
          <t>HQ/1F/FF-1.jpg</t>
        </is>
      </c>
    </row>
    <row r="49" spans="1:11" ht="18" customHeight="1" outlineLevel="1" x14ac:dyDescent="0.3">
      <c r="A49" t="s">
        <v>81</v>
      </c>
      <c r="B49" t="s">
        <v>45</v>
      </c>
      <c r="C49" t="s">
        <v>8</v>
      </c>
      <c r="D49" t="s">
        <v>80</v>
      </c>
      <c r="E49" t="s">
        <v>6053</v>
      </c>
      <c r="J49" t="inlineStr">
        <is>
          <t>1.531 IDF ROOM</t>
        </is>
      </c>
      <c r="K49" t="inlineStr">
        <is>
          <t>HQ/1F/FF-1.jpg</t>
        </is>
      </c>
    </row>
    <row r="50" spans="1:11" ht="18" customHeight="1" outlineLevel="1" x14ac:dyDescent="0.3">
      <c r="A50" t="s">
        <v>82</v>
      </c>
      <c r="B50" t="s">
        <v>45</v>
      </c>
      <c r="C50" t="s">
        <v>8</v>
      </c>
      <c r="D50" t="s">
        <v>83</v>
      </c>
      <c r="E50" t="s">
        <v>6054</v>
      </c>
      <c r="J50" t="inlineStr">
        <is>
          <t>1.512 IDF ROOM</t>
        </is>
      </c>
      <c r="K50" t="inlineStr">
        <is>
          <t>HQ/1F/FF-2.jpg</t>
        </is>
      </c>
    </row>
    <row r="51" spans="1:11" ht="18" customHeight="1" outlineLevel="1" x14ac:dyDescent="0.3">
      <c r="A51" t="s">
        <v>84</v>
      </c>
      <c r="B51" t="s">
        <v>45</v>
      </c>
      <c r="C51" t="s">
        <v>10</v>
      </c>
      <c r="D51" t="s">
        <v>85</v>
      </c>
      <c r="E51" t="s">
        <v>6055</v>
      </c>
      <c r="H51" t="s">
        <v>9318</v>
      </c>
      <c r="J51" t="inlineStr">
        <is>
          <t>1.112 PRINT COPY</t>
        </is>
      </c>
      <c r="K51" t="inlineStr">
        <is>
          <t>HQ/1F/FF-2.jpg</t>
        </is>
      </c>
    </row>
    <row r="52" spans="1:11" ht="18" customHeight="1" outlineLevel="1" x14ac:dyDescent="0.3">
      <c r="A52" t="s">
        <v>86</v>
      </c>
      <c r="B52" t="s">
        <v>45</v>
      </c>
      <c r="C52" t="s">
        <v>8</v>
      </c>
      <c r="D52" t="s">
        <v>87</v>
      </c>
      <c r="E52" t="s">
        <v>6056</v>
      </c>
      <c r="J52" t="inlineStr">
        <is>
          <t>2.531 IDF ROOM</t>
        </is>
      </c>
      <c r="K52" t="inlineStr">
        <is>
          <t>HQ/2F/SF-1.jpg</t>
        </is>
      </c>
    </row>
    <row r="53" spans="1:11" ht="18" customHeight="1" outlineLevel="1" x14ac:dyDescent="0.3">
      <c r="A53" t="s">
        <v>88</v>
      </c>
      <c r="B53" t="s">
        <v>45</v>
      </c>
      <c r="C53" t="s">
        <v>8</v>
      </c>
      <c r="D53" t="s">
        <v>87</v>
      </c>
      <c r="E53" t="s">
        <v>6056</v>
      </c>
      <c r="J53" t="inlineStr">
        <is>
          <t>2.531 IDF ROOM</t>
        </is>
      </c>
      <c r="K53" t="inlineStr">
        <is>
          <t>HQ/2F/SF-1.jpg</t>
        </is>
      </c>
    </row>
    <row r="54" spans="1:11" ht="18" customHeight="1" outlineLevel="1" x14ac:dyDescent="0.3">
      <c r="A54" s="31" t="s">
        <v>89</v>
      </c>
      <c r="B54" t="s">
        <v>45</v>
      </c>
      <c r="C54" t="s">
        <v>8</v>
      </c>
      <c r="D54" t="s">
        <v>90</v>
      </c>
      <c r="E54" t="s">
        <v>6057</v>
      </c>
      <c r="H54" t="s">
        <v>9319</v>
      </c>
      <c r="J54" t="inlineStr">
        <is>
          <t>2.701 TERRACE</t>
        </is>
      </c>
      <c r="K54" t="inlineStr">
        <is>
          <t>HQ/2F/SF-1.jpg</t>
        </is>
      </c>
    </row>
    <row r="55" spans="1:11" ht="18" customHeight="1" outlineLevel="1" x14ac:dyDescent="0.3">
      <c r="A55" s="31" t="s">
        <v>91</v>
      </c>
      <c r="B55" t="s">
        <v>45</v>
      </c>
      <c r="C55" t="s">
        <v>8</v>
      </c>
      <c r="D55" t="s">
        <v>90</v>
      </c>
      <c r="E55" t="s">
        <v>6057</v>
      </c>
      <c r="H55" t="s">
        <v>9319</v>
      </c>
      <c r="J55" t="inlineStr">
        <is>
          <t>2.701 TERRACE</t>
        </is>
      </c>
      <c r="K55" t="inlineStr">
        <is>
          <t>HQ/2F/SF-1.jpg</t>
        </is>
      </c>
    </row>
    <row r="56" spans="1:11" ht="18" customHeight="1" outlineLevel="1" x14ac:dyDescent="0.3">
      <c r="A56" s="31" t="s">
        <v>92</v>
      </c>
      <c r="B56" t="s">
        <v>45</v>
      </c>
      <c r="C56" t="s">
        <v>8</v>
      </c>
      <c r="D56" t="s">
        <v>90</v>
      </c>
      <c r="E56" t="s">
        <v>6057</v>
      </c>
      <c r="H56" t="s">
        <v>9319</v>
      </c>
      <c r="J56" t="inlineStr">
        <is>
          <t>2.701 TERRACE</t>
        </is>
      </c>
      <c r="K56" t="inlineStr">
        <is>
          <t>HQ/2F/SF-1.jpg</t>
        </is>
      </c>
    </row>
    <row r="57" spans="1:11" ht="18" customHeight="1" outlineLevel="1" x14ac:dyDescent="0.3">
      <c r="A57" t="s">
        <v>93</v>
      </c>
      <c r="B57" t="s">
        <v>45</v>
      </c>
      <c r="C57" t="s">
        <v>10</v>
      </c>
      <c r="D57" t="s">
        <v>94</v>
      </c>
      <c r="E57" t="s">
        <v>6058</v>
      </c>
      <c r="H57" t="s">
        <v>9320</v>
      </c>
      <c r="J57" t="inlineStr">
        <is>
          <t>2.103 PRINT COPY</t>
        </is>
      </c>
      <c r="K57" t="inlineStr">
        <is>
          <t>HQ/2F/SF-1.jpg</t>
        </is>
      </c>
    </row>
    <row r="58" spans="1:11" ht="18" customHeight="1" outlineLevel="1" x14ac:dyDescent="0.3">
      <c r="A58" s="31" t="s">
        <v>95</v>
      </c>
      <c r="B58" t="s">
        <v>45</v>
      </c>
      <c r="C58" t="s">
        <v>8</v>
      </c>
      <c r="D58" t="s">
        <v>96</v>
      </c>
      <c r="E58" t="s">
        <v>6059</v>
      </c>
      <c r="H58" t="s">
        <v>9321</v>
      </c>
      <c r="J58" t="inlineStr">
        <is>
          <t>2.207 SPA LOUNGE BAR</t>
        </is>
      </c>
      <c r="K58" t="inlineStr">
        <is>
          <t>HQ/2F/SF-1.jpg</t>
        </is>
      </c>
    </row>
    <row r="59" spans="1:11" ht="18" customHeight="1" outlineLevel="1" x14ac:dyDescent="0.3">
      <c r="A59" t="s">
        <v>97</v>
      </c>
      <c r="B59" t="s">
        <v>45</v>
      </c>
      <c r="C59" t="s">
        <v>8</v>
      </c>
      <c r="D59" t="s">
        <v>96</v>
      </c>
      <c r="E59" t="s">
        <v>6059</v>
      </c>
      <c r="J59" t="inlineStr">
        <is>
          <t>2.207 SPA LOUNGE BAR</t>
        </is>
      </c>
      <c r="K59" t="inlineStr">
        <is>
          <t>HQ/2F/SF-1.jpg</t>
        </is>
      </c>
    </row>
    <row r="60" spans="1:11" ht="18" customHeight="1" outlineLevel="1" x14ac:dyDescent="0.3">
      <c r="A60" t="s">
        <v>98</v>
      </c>
      <c r="B60" t="s">
        <v>45</v>
      </c>
      <c r="C60" t="s">
        <v>8</v>
      </c>
      <c r="D60" t="s">
        <v>99</v>
      </c>
      <c r="E60" t="s">
        <v>6060</v>
      </c>
      <c r="H60" t="s">
        <v>9322</v>
      </c>
      <c r="J60" t="inlineStr">
        <is>
          <t>2.208 SPA FITNESS STUDIO</t>
        </is>
      </c>
      <c r="K60" t="inlineStr">
        <is>
          <t>HQ/2F/SF-2.jpg</t>
        </is>
      </c>
    </row>
    <row r="61" spans="1:11" ht="18" customHeight="1" outlineLevel="1" x14ac:dyDescent="0.3">
      <c r="A61" t="s">
        <v>100</v>
      </c>
      <c r="B61" t="s">
        <v>45</v>
      </c>
      <c r="C61" t="s">
        <v>8</v>
      </c>
      <c r="D61" t="s">
        <v>99</v>
      </c>
      <c r="E61" t="s">
        <v>6060</v>
      </c>
      <c r="J61" t="inlineStr">
        <is>
          <t>2.208 SPA FITNESS STUDIO</t>
        </is>
      </c>
      <c r="K61" t="inlineStr">
        <is>
          <t>HQ/2F/SF-2.jpg</t>
        </is>
      </c>
    </row>
    <row r="62" spans="1:11" ht="18" customHeight="1" outlineLevel="1" x14ac:dyDescent="0.3">
      <c r="A62" t="s">
        <v>101</v>
      </c>
      <c r="B62" t="s">
        <v>45</v>
      </c>
      <c r="C62" t="s">
        <v>8</v>
      </c>
      <c r="D62" t="s">
        <v>99</v>
      </c>
      <c r="E62" t="s">
        <v>6060</v>
      </c>
      <c r="J62" t="inlineStr">
        <is>
          <t>2.208 SPA FITNESS STUDIO</t>
        </is>
      </c>
      <c r="K62" t="inlineStr">
        <is>
          <t>HQ/2F/SF-2.jpg</t>
        </is>
      </c>
    </row>
    <row r="63" spans="1:11" ht="18" customHeight="1" outlineLevel="1" x14ac:dyDescent="0.3">
      <c r="A63" t="s">
        <v>102</v>
      </c>
      <c r="B63" t="s">
        <v>45</v>
      </c>
      <c r="C63" t="s">
        <v>8</v>
      </c>
      <c r="D63" t="s">
        <v>103</v>
      </c>
      <c r="E63" t="s">
        <v>6061</v>
      </c>
      <c r="H63" t="s">
        <v>9323</v>
      </c>
      <c r="J63" t="inlineStr">
        <is>
          <t>2.209 SPA OFFICE</t>
        </is>
      </c>
      <c r="K63" t="inlineStr">
        <is>
          <t>HQ/2F/SF-2.jpg</t>
        </is>
      </c>
    </row>
    <row r="64" spans="1:11" ht="18" customHeight="1" outlineLevel="1" x14ac:dyDescent="0.3">
      <c r="A64" t="s">
        <v>104</v>
      </c>
      <c r="B64" t="s">
        <v>45</v>
      </c>
      <c r="C64" t="s">
        <v>8</v>
      </c>
      <c r="D64" t="s">
        <v>105</v>
      </c>
      <c r="E64" t="s">
        <v>6062</v>
      </c>
      <c r="H64" t="s">
        <v>9324</v>
      </c>
      <c r="J64" t="inlineStr">
        <is>
          <t>2.210 STAFF FEMALE WC</t>
        </is>
      </c>
      <c r="K64" t="inlineStr">
        <is>
          <t>HQ/2F/SF-2.jpg</t>
        </is>
      </c>
    </row>
    <row r="65" spans="1:11" ht="18" customHeight="1" outlineLevel="1" x14ac:dyDescent="0.3">
      <c r="A65" t="s">
        <v>106</v>
      </c>
      <c r="B65" t="s">
        <v>45</v>
      </c>
      <c r="C65" t="s">
        <v>8</v>
      </c>
      <c r="D65" t="s">
        <v>107</v>
      </c>
      <c r="E65" t="s">
        <v>6063</v>
      </c>
      <c r="H65" t="s">
        <v>9325</v>
      </c>
      <c r="J65" t="inlineStr">
        <is>
          <t>2.211 SPA. FM BEAUTY SALON</t>
        </is>
      </c>
      <c r="K65" t="inlineStr">
        <is>
          <t>HQ/2F/SF-2.jpg</t>
        </is>
      </c>
    </row>
    <row r="66" spans="1:11" ht="18" customHeight="1" outlineLevel="1" x14ac:dyDescent="0.3">
      <c r="A66" t="s">
        <v>108</v>
      </c>
      <c r="B66" t="s">
        <v>45</v>
      </c>
      <c r="C66" t="s">
        <v>8</v>
      </c>
      <c r="D66" t="s">
        <v>107</v>
      </c>
      <c r="E66" t="s">
        <v>6063</v>
      </c>
      <c r="J66" t="inlineStr">
        <is>
          <t>2.211 SPA. FM BEAUTY SALON</t>
        </is>
      </c>
      <c r="K66" t="inlineStr">
        <is>
          <t>HQ/2F/SF-2.jpg</t>
        </is>
      </c>
    </row>
    <row r="67" spans="1:11" ht="18" customHeight="1" outlineLevel="1" x14ac:dyDescent="0.3">
      <c r="A67" t="s">
        <v>109</v>
      </c>
      <c r="B67" t="s">
        <v>45</v>
      </c>
      <c r="C67" t="s">
        <v>8</v>
      </c>
      <c r="D67" t="s">
        <v>110</v>
      </c>
      <c r="E67" t="s">
        <v>6064</v>
      </c>
      <c r="H67" t="s">
        <v>9326</v>
      </c>
      <c r="J67" t="inlineStr">
        <is>
          <t>2.212 SPA FM TREATMENT</t>
        </is>
      </c>
      <c r="K67" t="inlineStr">
        <is>
          <t>HQ/2F/SF-2.jpg</t>
        </is>
      </c>
    </row>
    <row r="68" spans="1:11" ht="18" customHeight="1" outlineLevel="1" x14ac:dyDescent="0.3">
      <c r="A68" t="s">
        <v>111</v>
      </c>
      <c r="B68" t="s">
        <v>45</v>
      </c>
      <c r="C68" t="s">
        <v>8</v>
      </c>
      <c r="D68" t="s">
        <v>112</v>
      </c>
      <c r="E68" t="s">
        <v>6065</v>
      </c>
      <c r="H68" t="s">
        <v>9327</v>
      </c>
      <c r="J68" t="inlineStr">
        <is>
          <t>2.213 SPA CHANGING ROOM</t>
        </is>
      </c>
      <c r="K68" t="inlineStr">
        <is>
          <t>HQ/2F/SF-2.jpg</t>
        </is>
      </c>
    </row>
    <row r="69" spans="1:11" ht="18" customHeight="1" outlineLevel="1" x14ac:dyDescent="0.3">
      <c r="A69" t="s">
        <v>113</v>
      </c>
      <c r="B69" t="s">
        <v>45</v>
      </c>
      <c r="C69" t="s">
        <v>8</v>
      </c>
      <c r="D69" t="s">
        <v>112</v>
      </c>
      <c r="E69" t="s">
        <v>6065</v>
      </c>
      <c r="J69" t="inlineStr">
        <is>
          <t>2.213 SPA CHANGING ROOM</t>
        </is>
      </c>
      <c r="K69" t="inlineStr">
        <is>
          <t>HQ/2F/SF-2.jpg</t>
        </is>
      </c>
    </row>
    <row r="70" spans="1:11" ht="18" customHeight="1" outlineLevel="1" x14ac:dyDescent="0.3">
      <c r="A70" t="s">
        <v>114</v>
      </c>
      <c r="B70" t="s">
        <v>45</v>
      </c>
      <c r="C70" t="s">
        <v>8</v>
      </c>
      <c r="D70" t="s">
        <v>115</v>
      </c>
      <c r="E70" t="s">
        <v>6066</v>
      </c>
      <c r="H70" t="s">
        <v>9328</v>
      </c>
      <c r="J70" t="inlineStr">
        <is>
          <t>2.214 SPA FM TREATMENT</t>
        </is>
      </c>
      <c r="K70" t="inlineStr">
        <is>
          <t>HQ/2F/SF-2.jpg</t>
        </is>
      </c>
    </row>
    <row r="71" spans="1:11" ht="18" customHeight="1" outlineLevel="1" x14ac:dyDescent="0.3">
      <c r="A71" t="s">
        <v>116</v>
      </c>
      <c r="B71" t="s">
        <v>45</v>
      </c>
      <c r="C71" t="s">
        <v>8</v>
      </c>
      <c r="D71" t="s">
        <v>117</v>
      </c>
      <c r="E71" t="s">
        <v>6067</v>
      </c>
      <c r="H71" t="s">
        <v>9329</v>
      </c>
      <c r="J71" t="inlineStr">
        <is>
          <t>2.215 SPA FM TREATMENT</t>
        </is>
      </c>
      <c r="K71" t="inlineStr">
        <is>
          <t>HQ/2F/SF-2.jpg</t>
        </is>
      </c>
    </row>
    <row r="72" spans="1:11" ht="18" customHeight="1" outlineLevel="1" x14ac:dyDescent="0.3">
      <c r="A72" t="s">
        <v>118</v>
      </c>
      <c r="B72" t="s">
        <v>45</v>
      </c>
      <c r="C72" t="s">
        <v>8</v>
      </c>
      <c r="D72" t="s">
        <v>119</v>
      </c>
      <c r="E72" t="s">
        <v>6068</v>
      </c>
      <c r="H72" t="s">
        <v>9330</v>
      </c>
      <c r="J72" t="inlineStr">
        <is>
          <t>2.216 SPA FM RELAXATION</t>
        </is>
      </c>
      <c r="K72" t="inlineStr">
        <is>
          <t>HQ/2F/SF-2.jpg</t>
        </is>
      </c>
    </row>
    <row r="73" spans="1:11" ht="18" customHeight="1" outlineLevel="1" x14ac:dyDescent="0.3">
      <c r="A73" t="s">
        <v>120</v>
      </c>
      <c r="B73" t="s">
        <v>45</v>
      </c>
      <c r="C73" t="s">
        <v>8</v>
      </c>
      <c r="D73" t="s">
        <v>119</v>
      </c>
      <c r="E73" t="s">
        <v>6068</v>
      </c>
      <c r="J73" t="inlineStr">
        <is>
          <t>2.216 SPA FM RELAXATION</t>
        </is>
      </c>
      <c r="K73" t="inlineStr">
        <is>
          <t>HQ/2F/SF-2.jpg</t>
        </is>
      </c>
    </row>
    <row r="74" spans="1:11" ht="18" customHeight="1" outlineLevel="1" x14ac:dyDescent="0.3">
      <c r="A74" t="s">
        <v>121</v>
      </c>
      <c r="B74" t="s">
        <v>45</v>
      </c>
      <c r="C74" t="s">
        <v>8</v>
      </c>
      <c r="D74" t="s">
        <v>122</v>
      </c>
      <c r="E74" t="s">
        <v>6069</v>
      </c>
      <c r="H74" t="s">
        <v>9331</v>
      </c>
      <c r="J74" t="inlineStr">
        <is>
          <t>2.201 SPA MALE RELAXATION</t>
        </is>
      </c>
      <c r="K74" t="inlineStr">
        <is>
          <t>HQ/2F/SF-2.jpg</t>
        </is>
      </c>
    </row>
    <row r="75" spans="1:11" ht="18" customHeight="1" outlineLevel="1" x14ac:dyDescent="0.3">
      <c r="A75" t="s">
        <v>123</v>
      </c>
      <c r="B75" t="s">
        <v>45</v>
      </c>
      <c r="C75" t="s">
        <v>8</v>
      </c>
      <c r="D75" t="s">
        <v>122</v>
      </c>
      <c r="E75" t="s">
        <v>6069</v>
      </c>
      <c r="J75" t="inlineStr">
        <is>
          <t>2.201 SPA MALE RELAXATION</t>
        </is>
      </c>
      <c r="K75" t="inlineStr">
        <is>
          <t>HQ/2F/SF-1.jpg</t>
        </is>
      </c>
    </row>
    <row r="76" spans="1:11" ht="18" customHeight="1" outlineLevel="1" x14ac:dyDescent="0.3">
      <c r="A76" t="s">
        <v>124</v>
      </c>
      <c r="B76" t="s">
        <v>45</v>
      </c>
      <c r="C76" t="s">
        <v>8</v>
      </c>
      <c r="D76" t="s">
        <v>122</v>
      </c>
      <c r="E76" t="s">
        <v>6069</v>
      </c>
      <c r="J76" t="inlineStr">
        <is>
          <t>2.201 SPA MALE RELAXATION</t>
        </is>
      </c>
      <c r="K76" t="inlineStr">
        <is>
          <t>HQ/2F/SF-1.jpg</t>
        </is>
      </c>
    </row>
    <row r="77" spans="1:11" ht="18" customHeight="1" outlineLevel="1" x14ac:dyDescent="0.3">
      <c r="A77" t="s">
        <v>125</v>
      </c>
      <c r="B77" t="s">
        <v>45</v>
      </c>
      <c r="C77" t="s">
        <v>8</v>
      </c>
      <c r="D77" t="s">
        <v>126</v>
      </c>
      <c r="E77" t="s">
        <v>6070</v>
      </c>
      <c r="H77" t="s">
        <v>9332</v>
      </c>
      <c r="J77" t="inlineStr">
        <is>
          <t>2.202 SPA MALE TREATMENT 3</t>
        </is>
      </c>
      <c r="K77" t="inlineStr">
        <is>
          <t>HQ/2F/SF-1.jpg</t>
        </is>
      </c>
    </row>
    <row r="78" spans="1:11" ht="18" customHeight="1" outlineLevel="1" x14ac:dyDescent="0.3">
      <c r="A78" t="s">
        <v>127</v>
      </c>
      <c r="B78" t="s">
        <v>45</v>
      </c>
      <c r="C78" t="s">
        <v>8</v>
      </c>
      <c r="D78" t="s">
        <v>128</v>
      </c>
      <c r="E78" t="s">
        <v>6071</v>
      </c>
      <c r="H78" t="s">
        <v>9333</v>
      </c>
      <c r="J78" t="inlineStr">
        <is>
          <t>2.203 SPA MALE TREATMENT 2</t>
        </is>
      </c>
      <c r="K78" t="inlineStr">
        <is>
          <t>HQ/2F/SF-1.jpg</t>
        </is>
      </c>
    </row>
    <row r="79" spans="1:11" ht="18" customHeight="1" outlineLevel="1" x14ac:dyDescent="0.3">
      <c r="A79" t="s">
        <v>129</v>
      </c>
      <c r="B79" t="s">
        <v>45</v>
      </c>
      <c r="C79" t="s">
        <v>8</v>
      </c>
      <c r="D79" t="s">
        <v>130</v>
      </c>
      <c r="E79" t="s">
        <v>6072</v>
      </c>
      <c r="H79" t="s">
        <v>9334</v>
      </c>
      <c r="J79" t="inlineStr">
        <is>
          <t>2.204 SPA MALE TREATMENT 1</t>
        </is>
      </c>
      <c r="K79" t="inlineStr">
        <is>
          <t>HQ/2F/SF-1.jpg</t>
        </is>
      </c>
    </row>
    <row r="80" spans="1:11" ht="18" customHeight="1" outlineLevel="1" x14ac:dyDescent="0.3">
      <c r="A80" t="s">
        <v>131</v>
      </c>
      <c r="B80" t="s">
        <v>45</v>
      </c>
      <c r="C80" t="s">
        <v>8</v>
      </c>
      <c r="D80" t="s">
        <v>132</v>
      </c>
      <c r="E80" t="s">
        <v>6073</v>
      </c>
      <c r="H80" t="s">
        <v>9335</v>
      </c>
      <c r="J80" t="inlineStr">
        <is>
          <t>2.205 MALE CHANGING ROOM</t>
        </is>
      </c>
      <c r="K80" t="inlineStr">
        <is>
          <t>HQ/2F/SF-1.jpg</t>
        </is>
      </c>
    </row>
    <row r="81" spans="1:11" ht="18" customHeight="1" outlineLevel="1" x14ac:dyDescent="0.3">
      <c r="A81" t="s">
        <v>133</v>
      </c>
      <c r="B81" t="s">
        <v>45</v>
      </c>
      <c r="C81" t="s">
        <v>8</v>
      </c>
      <c r="D81" t="s">
        <v>132</v>
      </c>
      <c r="E81" t="s">
        <v>6073</v>
      </c>
      <c r="J81" t="inlineStr">
        <is>
          <t>2.205 MALE CHANGING ROOM</t>
        </is>
      </c>
      <c r="K81" t="inlineStr">
        <is>
          <t>HQ/2F/SF-1.jpg</t>
        </is>
      </c>
    </row>
    <row r="82" spans="1:11" ht="18" customHeight="1" outlineLevel="1" x14ac:dyDescent="0.3">
      <c r="A82" t="s">
        <v>134</v>
      </c>
      <c r="B82" t="s">
        <v>45</v>
      </c>
      <c r="C82" t="s">
        <v>8</v>
      </c>
      <c r="D82" t="s">
        <v>135</v>
      </c>
      <c r="E82" t="s">
        <v>6074</v>
      </c>
      <c r="H82" t="s">
        <v>9336</v>
      </c>
      <c r="J82" t="inlineStr">
        <is>
          <t>2.206 SPA ENTRANCE</t>
        </is>
      </c>
      <c r="K82" t="inlineStr">
        <is>
          <t>HQ/2F/SF-1.jpg</t>
        </is>
      </c>
    </row>
    <row r="83" spans="1:11" ht="18" customHeight="1" outlineLevel="1" x14ac:dyDescent="0.3">
      <c r="A83" t="s">
        <v>136</v>
      </c>
      <c r="B83" t="s">
        <v>45</v>
      </c>
      <c r="C83" t="s">
        <v>8</v>
      </c>
      <c r="D83" t="s">
        <v>137</v>
      </c>
      <c r="E83" t="s">
        <v>6075</v>
      </c>
      <c r="H83" t="s">
        <v>9337</v>
      </c>
      <c r="J83" t="inlineStr">
        <is>
          <t>2.603 SPA LOBBY</t>
        </is>
      </c>
      <c r="K83" t="inlineStr">
        <is>
          <t>HQ/2F/SF-2.jpg</t>
        </is>
      </c>
    </row>
    <row r="84" spans="1:11" ht="18" customHeight="1" outlineLevel="1" x14ac:dyDescent="0.3">
      <c r="A84" t="s">
        <v>138</v>
      </c>
      <c r="B84" t="s">
        <v>45</v>
      </c>
      <c r="C84" t="s">
        <v>8</v>
      </c>
      <c r="D84" t="s">
        <v>137</v>
      </c>
      <c r="E84" t="s">
        <v>6075</v>
      </c>
      <c r="J84" t="inlineStr">
        <is>
          <t>2.603 SPA LOBBY</t>
        </is>
      </c>
      <c r="K84" t="inlineStr">
        <is>
          <t>HQ/2F/SF-2.jpg</t>
        </is>
      </c>
    </row>
    <row r="85" spans="1:11" ht="18" customHeight="1" outlineLevel="1" x14ac:dyDescent="0.3">
      <c r="A85" t="s">
        <v>139</v>
      </c>
      <c r="B85" t="s">
        <v>45</v>
      </c>
      <c r="C85" t="s">
        <v>8</v>
      </c>
      <c r="D85" t="s">
        <v>140</v>
      </c>
      <c r="E85" t="s">
        <v>6076</v>
      </c>
      <c r="J85" t="inlineStr">
        <is>
          <t>2.512 IDF ROOM</t>
        </is>
      </c>
      <c r="K85" t="inlineStr">
        <is>
          <t>HQ/2F/SF-2.jpg</t>
        </is>
      </c>
    </row>
    <row r="86" spans="1:11" ht="18" customHeight="1" outlineLevel="1" x14ac:dyDescent="0.3">
      <c r="A86" t="s">
        <v>141</v>
      </c>
      <c r="B86" t="s">
        <v>45</v>
      </c>
      <c r="C86" t="s">
        <v>8</v>
      </c>
      <c r="D86" t="s">
        <v>19</v>
      </c>
      <c r="E86" t="s">
        <v>6028</v>
      </c>
      <c r="H86" t="s">
        <v>9338</v>
      </c>
      <c r="J86" t="inlineStr">
        <is>
          <t>2.302 SPA PLANT ROOM</t>
        </is>
      </c>
      <c r="K86" t="inlineStr">
        <is>
          <t>HQ/2F/SF-2.jpg</t>
        </is>
      </c>
    </row>
    <row r="87" spans="1:11" ht="18" customHeight="1" outlineLevel="1" x14ac:dyDescent="0.3">
      <c r="A87" t="s">
        <v>142</v>
      </c>
      <c r="B87" t="s">
        <v>45</v>
      </c>
      <c r="C87" t="s">
        <v>8</v>
      </c>
      <c r="D87" t="s">
        <v>19</v>
      </c>
      <c r="E87" t="s">
        <v>6028</v>
      </c>
      <c r="H87" t="s">
        <v>9338</v>
      </c>
      <c r="J87" t="inlineStr" s="44">
        <is>
          <t>2.311 SPA MALE HEAT EXP</t>
        </is>
      </c>
      <c r="K87" t="inlineStr">
        <is>
          <t>HQ/2F/SF-2.jpg</t>
        </is>
      </c>
    </row>
    <row r="88" spans="1:11" ht="18" customHeight="1" outlineLevel="1" x14ac:dyDescent="0.3">
      <c r="A88" t="s">
        <v>143</v>
      </c>
      <c r="B88" t="s">
        <v>45</v>
      </c>
      <c r="C88" t="s">
        <v>8</v>
      </c>
      <c r="D88" t="s">
        <v>144</v>
      </c>
      <c r="E88" t="s">
        <v>6077</v>
      </c>
      <c r="J88" t="inlineStr">
        <is>
          <t>3.531 IDF ROOM</t>
        </is>
      </c>
      <c r="K88" t="inlineStr">
        <is>
          <t>HQ/3F/3F-1.jpg</t>
        </is>
      </c>
    </row>
    <row r="89" spans="1:11" ht="18" customHeight="1" outlineLevel="1" x14ac:dyDescent="0.3">
      <c r="A89" t="s">
        <v>145</v>
      </c>
      <c r="B89" t="s">
        <v>45</v>
      </c>
      <c r="C89" t="s">
        <v>8</v>
      </c>
      <c r="D89" t="s">
        <v>144</v>
      </c>
      <c r="E89" t="s">
        <v>6077</v>
      </c>
      <c r="J89" t="inlineStr" s="44">
        <is>
          <t>NORTH WEST CORRIDOR</t>
        </is>
      </c>
      <c r="K89" t="inlineStr">
        <is>
          <t>HQ/3F/3F-1.jpg</t>
        </is>
      </c>
    </row>
    <row r="90" spans="1:11" ht="18" customHeight="1" outlineLevel="1" x14ac:dyDescent="0.3">
      <c r="A90" t="s">
        <v>146</v>
      </c>
      <c r="B90" t="s">
        <v>45</v>
      </c>
      <c r="C90" t="s">
        <v>8</v>
      </c>
      <c r="D90" t="s">
        <v>147</v>
      </c>
      <c r="E90" t="s">
        <v>6078</v>
      </c>
      <c r="J90" t="inlineStr">
        <is>
          <t>3.512 IDF ROOM</t>
        </is>
      </c>
      <c r="K90" t="inlineStr">
        <is>
          <t>HQ/3F/3F-2.jpg</t>
        </is>
      </c>
    </row>
    <row r="91" spans="1:11" ht="18" customHeight="1" outlineLevel="1" x14ac:dyDescent="0.3">
      <c r="A91" t="s">
        <v>148</v>
      </c>
      <c r="B91" t="s">
        <v>45</v>
      </c>
      <c r="C91" t="s">
        <v>10</v>
      </c>
      <c r="D91" t="s">
        <v>149</v>
      </c>
      <c r="E91" t="s">
        <v>6079</v>
      </c>
      <c r="H91" t="s">
        <v>9339</v>
      </c>
      <c r="J91" t="inlineStr">
        <is>
          <t>3.203 COPY/PRINT</t>
        </is>
      </c>
      <c r="K91" t="inlineStr">
        <is>
          <t>HQ/3F/3F-1.jpg</t>
        </is>
      </c>
    </row>
    <row r="92" spans="1:11" ht="18" customHeight="1" outlineLevel="1" x14ac:dyDescent="0.3">
      <c r="A92" t="s">
        <v>150</v>
      </c>
      <c r="B92" t="s">
        <v>45</v>
      </c>
      <c r="C92" t="s">
        <v>10</v>
      </c>
      <c r="D92" t="s">
        <v>151</v>
      </c>
      <c r="E92" t="s">
        <v>6080</v>
      </c>
      <c r="H92" t="s">
        <v>9340</v>
      </c>
      <c r="J92" t="inlineStr">
        <is>
          <t>3.103 PRINT COPY</t>
        </is>
      </c>
      <c r="K92" t="inlineStr">
        <is>
          <t>HQ/3F/3F-1.jpg</t>
        </is>
      </c>
    </row>
    <row r="93" spans="1:11" ht="18" customHeight="1" outlineLevel="1" x14ac:dyDescent="0.3">
      <c r="A93" s="30" t="s">
        <v>152</v>
      </c>
      <c r="B93" s="30" t="s">
        <v>45</v>
      </c>
      <c r="C93" s="30" t="s">
        <v>8</v>
      </c>
      <c r="D93" s="30" t="s">
        <v>153</v>
      </c>
      <c r="E93" s="30" t="s">
        <v>6081</v>
      </c>
      <c r="F93" s="30"/>
      <c r="G93" s="30"/>
      <c r="H93" s="30" t="s">
        <v>9341</v>
      </c>
      <c r="J93" t="inlineStr">
        <is>
          <t>3.63 CORRIDOR BRIDGE</t>
        </is>
      </c>
      <c r="K93" t="inlineStr">
        <is>
          <t>HQ/3F/3F-1.jpg</t>
        </is>
      </c>
    </row>
    <row r="94" spans="1:11" ht="18" customHeight="1" outlineLevel="1" x14ac:dyDescent="0.3">
      <c r="A94" s="30" t="s">
        <v>154</v>
      </c>
      <c r="B94" s="30" t="s">
        <v>45</v>
      </c>
      <c r="C94" s="30" t="s">
        <v>8</v>
      </c>
      <c r="D94" s="30" t="s">
        <v>153</v>
      </c>
      <c r="E94" s="30" t="s">
        <v>6081</v>
      </c>
      <c r="F94" s="30"/>
      <c r="G94" s="30"/>
      <c r="H94" s="30" t="s">
        <v>9341</v>
      </c>
      <c r="J94" t="inlineStr">
        <is>
          <t>3.63 CORRIDOR BRIDGE</t>
        </is>
      </c>
      <c r="K94" t="inlineStr">
        <is>
          <t>HQ/3F/3F-1.jpg</t>
        </is>
      </c>
    </row>
    <row r="95" spans="1:11" ht="18" customHeight="1" outlineLevel="1" x14ac:dyDescent="0.3">
      <c r="A95" s="30" t="s">
        <v>155</v>
      </c>
      <c r="B95" s="30" t="s">
        <v>45</v>
      </c>
      <c r="C95" s="30" t="s">
        <v>8</v>
      </c>
      <c r="D95" s="30" t="s">
        <v>153</v>
      </c>
      <c r="E95" s="30" t="s">
        <v>6081</v>
      </c>
      <c r="F95" s="30"/>
      <c r="G95" s="30"/>
      <c r="H95" s="30" t="s">
        <v>9341</v>
      </c>
      <c r="J95" t="inlineStr">
        <is>
          <t>3.63 CORRIDOR BRIDGE</t>
        </is>
      </c>
      <c r="K95" t="inlineStr">
        <is>
          <t>HQ/3F/3F-1.jpg</t>
        </is>
      </c>
    </row>
    <row r="96" spans="1:10" ht="18" customHeight="1" outlineLevel="1" x14ac:dyDescent="0.3">
      <c r="A96" s="30" t="s">
        <v>156</v>
      </c>
      <c r="B96" s="30" t="s">
        <v>45</v>
      </c>
      <c r="C96" s="30" t="s">
        <v>10</v>
      </c>
      <c r="D96" s="30" t="s">
        <v>157</v>
      </c>
      <c r="E96" s="30" t="s">
        <v>6082</v>
      </c>
      <c r="F96" s="30"/>
      <c r="G96" s="30"/>
      <c r="H96" s="30" t="s">
        <v>9342</v>
      </c>
      <c r="K96" t="inlineStr">
        <is>
          <t>HQ/3F/3F-2.jpg</t>
        </is>
      </c>
      <c r="J96" s="44"/>
    </row>
    <row r="97" spans="1:10" ht="18" customHeight="1" outlineLevel="1" x14ac:dyDescent="0.3">
      <c r="A97" s="30" t="s">
        <v>158</v>
      </c>
      <c r="B97" s="30" t="s">
        <v>45</v>
      </c>
      <c r="C97" s="30" t="s">
        <v>10</v>
      </c>
      <c r="D97" s="30" t="s">
        <v>157</v>
      </c>
      <c r="E97" s="30" t="s">
        <v>6082</v>
      </c>
      <c r="F97" s="30"/>
      <c r="G97" s="30"/>
      <c r="H97" s="30" t="s">
        <v>9342</v>
      </c>
      <c r="K97" t="inlineStr">
        <is>
          <t>HQ/3F/3F-2.jpg</t>
        </is>
      </c>
      <c r="J97" s="44"/>
    </row>
    <row r="98" spans="1:10" ht="18" customHeight="1" outlineLevel="1" x14ac:dyDescent="0.3">
      <c r="A98" s="30" t="s">
        <v>159</v>
      </c>
      <c r="B98" s="30" t="s">
        <v>45</v>
      </c>
      <c r="C98" s="30" t="s">
        <v>10</v>
      </c>
      <c r="D98" s="30" t="s">
        <v>157</v>
      </c>
      <c r="E98" s="30" t="s">
        <v>6082</v>
      </c>
      <c r="F98" s="30"/>
      <c r="G98" s="30"/>
      <c r="H98" s="30" t="s">
        <v>9342</v>
      </c>
      <c r="K98" t="inlineStr">
        <is>
          <t>HQ/3F/3F-2.jpg</t>
        </is>
      </c>
      <c r="J98" s="44"/>
    </row>
    <row r="99" spans="1:10" ht="18" customHeight="1" outlineLevel="1" x14ac:dyDescent="0.3">
      <c r="A99" s="30" t="s">
        <v>160</v>
      </c>
      <c r="B99" s="30" t="s">
        <v>45</v>
      </c>
      <c r="C99" s="30" t="s">
        <v>10</v>
      </c>
      <c r="D99" s="30" t="s">
        <v>157</v>
      </c>
      <c r="E99" s="30" t="s">
        <v>6082</v>
      </c>
      <c r="F99" s="30"/>
      <c r="G99" s="30"/>
      <c r="H99" s="30" t="s">
        <v>9342</v>
      </c>
      <c r="K99" t="inlineStr">
        <is>
          <t>HQ/3F/3F-2.jpg</t>
        </is>
      </c>
      <c r="J99" s="44"/>
    </row>
    <row r="100" spans="1:10" ht="18" customHeight="1" outlineLevel="1" x14ac:dyDescent="0.3">
      <c r="A100" t="s">
        <v>161</v>
      </c>
      <c r="B100" t="s">
        <v>45</v>
      </c>
      <c r="C100" t="s">
        <v>8</v>
      </c>
      <c r="D100" t="s">
        <v>162</v>
      </c>
      <c r="E100" t="s">
        <v>6083</v>
      </c>
      <c r="K100" t="inlineStr">
        <is>
          <t>HQ/4F/4F-1.jpg</t>
        </is>
      </c>
      <c r="J100" s="44"/>
    </row>
    <row r="101" spans="1:11" ht="18" customHeight="1" outlineLevel="1" x14ac:dyDescent="0.3">
      <c r="A101" t="s">
        <v>163</v>
      </c>
      <c r="B101" t="s">
        <v>45</v>
      </c>
      <c r="C101" t="s">
        <v>8</v>
      </c>
      <c r="D101" t="s">
        <v>162</v>
      </c>
      <c r="E101" t="s">
        <v>6083</v>
      </c>
      <c r="J101" t="inlineStr" s="44">
        <is>
          <t>4.105 PANTRY</t>
        </is>
      </c>
      <c r="K101" t="inlineStr">
        <is>
          <t>HQ/4F/4F-1.jpg</t>
        </is>
      </c>
    </row>
    <row r="102" spans="1:11" ht="18" customHeight="1" outlineLevel="1" x14ac:dyDescent="0.3">
      <c r="A102" t="s">
        <v>164</v>
      </c>
      <c r="B102" t="s">
        <v>45</v>
      </c>
      <c r="C102" t="s">
        <v>8</v>
      </c>
      <c r="D102" t="s">
        <v>165</v>
      </c>
      <c r="E102" t="s">
        <v>6084</v>
      </c>
      <c r="J102" t="inlineStr">
        <is>
          <t>4.512 IDF ROOM</t>
        </is>
      </c>
      <c r="K102" t="inlineStr">
        <is>
          <t>HQ/4F/4F-2.jpg</t>
        </is>
      </c>
    </row>
    <row r="103" spans="1:11" ht="18" customHeight="1" outlineLevel="1" x14ac:dyDescent="0.3">
      <c r="A103" s="30" t="s">
        <v>166</v>
      </c>
      <c r="B103" s="30" t="s">
        <v>45</v>
      </c>
      <c r="C103" s="30" t="s">
        <v>10</v>
      </c>
      <c r="D103" s="30" t="s">
        <v>167</v>
      </c>
      <c r="E103" s="30" t="s">
        <v>9776</v>
      </c>
      <c r="F103" s="30"/>
      <c r="G103" s="30"/>
      <c r="H103" s="30" t="s">
        <v>9343</v>
      </c>
      <c r="J103" t="s" s="44">
        <v>9837</v>
      </c>
      <c r="K103" t="inlineStr">
        <is>
          <t>HQ/4F/4F-2.jpg</t>
        </is>
      </c>
    </row>
    <row r="104" spans="1:11" ht="18" customHeight="1" outlineLevel="1" x14ac:dyDescent="0.3">
      <c r="A104" s="30" t="s">
        <v>168</v>
      </c>
      <c r="B104" s="30" t="s">
        <v>45</v>
      </c>
      <c r="C104" s="30" t="s">
        <v>8</v>
      </c>
      <c r="D104" s="30" t="s">
        <v>169</v>
      </c>
      <c r="E104" s="30" t="s">
        <v>8195</v>
      </c>
      <c r="F104" s="30"/>
      <c r="G104" s="30"/>
      <c r="H104" s="30" t="s">
        <v>9344</v>
      </c>
      <c r="J104" t="s" s="44">
        <v>9838</v>
      </c>
      <c r="K104" t="inlineStr">
        <is>
          <t>HQ/4F/4F-2.jpg</t>
        </is>
      </c>
    </row>
    <row r="105" spans="1:11" ht="18" customHeight="1" outlineLevel="1" x14ac:dyDescent="0.3">
      <c r="A105" s="30" t="s">
        <v>170</v>
      </c>
      <c r="B105" s="30" t="s">
        <v>45</v>
      </c>
      <c r="C105" s="30" t="s">
        <v>8</v>
      </c>
      <c r="D105" s="30" t="s">
        <v>169</v>
      </c>
      <c r="E105" s="30" t="s">
        <v>8195</v>
      </c>
      <c r="F105" s="30"/>
      <c r="G105" s="30"/>
      <c r="H105" s="30" t="s">
        <v>9344</v>
      </c>
      <c r="J105" t="s" s="44">
        <v>9838</v>
      </c>
      <c r="K105" t="inlineStr">
        <is>
          <t>HQ/4F/4F-2.jpg</t>
        </is>
      </c>
    </row>
    <row r="106" spans="1:10" ht="18" customHeight="1" outlineLevel="1" x14ac:dyDescent="0.3">
      <c r="A106" t="s">
        <v>171</v>
      </c>
      <c r="B106" t="s">
        <v>45</v>
      </c>
      <c r="C106" t="s">
        <v>10</v>
      </c>
      <c r="D106" t="s">
        <v>6017</v>
      </c>
      <c r="E106" t="s">
        <v>6086</v>
      </c>
      <c r="H106" t="s">
        <v>9345</v>
      </c>
      <c r="K106" t="inlineStr">
        <is>
          <t>HQ/4F/4F-1.jpg</t>
        </is>
      </c>
      <c r="J106" s="44"/>
    </row>
    <row r="107" spans="1:10" outlineLevel="1" x14ac:dyDescent="0.3">
      <c r="A107" t="s">
        <v>172</v>
      </c>
      <c r="B107" t="s">
        <v>45</v>
      </c>
      <c r="C107" t="s">
        <v>10</v>
      </c>
      <c r="D107" t="s">
        <v>6017</v>
      </c>
      <c r="E107" t="s">
        <v>6086</v>
      </c>
      <c r="H107" t="s">
        <v>9345</v>
      </c>
      <c r="K107" t="inlineStr">
        <is>
          <t>HQ/4F/4F-1.jpg</t>
        </is>
      </c>
      <c r="J107" s="44"/>
    </row>
    <row r="108" spans="1:10" outlineLevel="1" x14ac:dyDescent="0.3">
      <c r="A108" t="s">
        <v>173</v>
      </c>
      <c r="B108" t="s">
        <v>45</v>
      </c>
      <c r="C108" t="s">
        <v>10</v>
      </c>
      <c r="D108" t="s">
        <v>6017</v>
      </c>
      <c r="E108" t="s">
        <v>6086</v>
      </c>
      <c r="H108" t="s">
        <v>9345</v>
      </c>
      <c r="K108" t="inlineStr">
        <is>
          <t>HQ/4F/4F-1.jpg</t>
        </is>
      </c>
      <c r="J108" s="44"/>
    </row>
    <row r="109" spans="1:10" ht="18" customHeight="1" outlineLevel="1" x14ac:dyDescent="0.3">
      <c r="A109" t="s">
        <v>174</v>
      </c>
      <c r="B109" t="s">
        <v>45</v>
      </c>
      <c r="C109" t="s">
        <v>10</v>
      </c>
      <c r="D109" t="s">
        <v>6017</v>
      </c>
      <c r="E109" t="s">
        <v>6086</v>
      </c>
      <c r="H109" t="s">
        <v>9345</v>
      </c>
      <c r="K109" t="inlineStr">
        <is>
          <t>HQ/4F/4F-1.jpg</t>
        </is>
      </c>
      <c r="J109" s="44"/>
    </row>
    <row r="110" spans="1:11" ht="18" customHeight="1" outlineLevel="1" x14ac:dyDescent="0.3">
      <c r="A110" t="s">
        <v>175</v>
      </c>
      <c r="B110" t="s">
        <v>45</v>
      </c>
      <c r="C110" t="s">
        <v>8</v>
      </c>
      <c r="D110" t="s">
        <v>176</v>
      </c>
      <c r="E110" t="s">
        <v>6087</v>
      </c>
      <c r="H110" t="s">
        <v>9346</v>
      </c>
      <c r="J110" t="inlineStr">
        <is>
          <t>4.702 TERRACE</t>
        </is>
      </c>
      <c r="K110" t="inlineStr">
        <is>
          <t>HQ/4F/4F-1.jpg</t>
        </is>
      </c>
    </row>
    <row r="111" spans="1:11" ht="18" customHeight="1" outlineLevel="1" x14ac:dyDescent="0.3">
      <c r="A111" t="s">
        <v>177</v>
      </c>
      <c r="B111" t="s">
        <v>45</v>
      </c>
      <c r="C111" t="s">
        <v>8</v>
      </c>
      <c r="D111" t="s">
        <v>178</v>
      </c>
      <c r="E111" t="s">
        <v>6088</v>
      </c>
      <c r="H111" t="s">
        <v>9347</v>
      </c>
      <c r="J111" t="inlineStr">
        <is>
          <t>4.703 TERRACE</t>
        </is>
      </c>
      <c r="K111" t="inlineStr">
        <is>
          <t>HQ/4F/4F-1.jpg</t>
        </is>
      </c>
    </row>
    <row r="112" spans="1:11" ht="18" customHeight="1" outlineLevel="1" x14ac:dyDescent="0.3">
      <c r="A112" t="s">
        <v>179</v>
      </c>
      <c r="B112" t="s">
        <v>45</v>
      </c>
      <c r="C112" t="s">
        <v>8</v>
      </c>
      <c r="D112" t="s">
        <v>176</v>
      </c>
      <c r="E112" t="s">
        <v>6087</v>
      </c>
      <c r="H112" t="s">
        <v>9346</v>
      </c>
      <c r="J112" t="inlineStr">
        <is>
          <t>4.702 TERRACE</t>
        </is>
      </c>
      <c r="K112" t="inlineStr">
        <is>
          <t>HQ/4F/4F-1.jpg</t>
        </is>
      </c>
    </row>
    <row r="113" spans="1:11" ht="18" customHeight="1" outlineLevel="1" x14ac:dyDescent="0.3">
      <c r="A113" t="s">
        <v>180</v>
      </c>
      <c r="B113" t="s">
        <v>45</v>
      </c>
      <c r="C113" t="s">
        <v>10</v>
      </c>
      <c r="D113" t="s">
        <v>181</v>
      </c>
      <c r="E113" t="s">
        <v>8196</v>
      </c>
      <c r="H113" t="s">
        <v>9348</v>
      </c>
      <c r="J113" t="inlineStr">
        <is>
          <t>4.110 PRINT COPY</t>
        </is>
      </c>
      <c r="K113" t="inlineStr">
        <is>
          <t>HQ/4F/4F-2.jpg</t>
        </is>
      </c>
    </row>
    <row r="114" spans="1:11" ht="18" customHeight="1" outlineLevel="1" x14ac:dyDescent="0.3">
      <c r="A114" t="s">
        <v>182</v>
      </c>
      <c r="B114" t="s">
        <v>45</v>
      </c>
      <c r="C114" t="s">
        <v>8</v>
      </c>
      <c r="D114" t="s">
        <v>183</v>
      </c>
      <c r="E114" t="s">
        <v>6089</v>
      </c>
      <c r="J114" t="inlineStr">
        <is>
          <t>5.531 IDF ROOM</t>
        </is>
      </c>
      <c r="K114" t="inlineStr">
        <is>
          <t>HQ/5F/5F-1.jpg</t>
        </is>
      </c>
    </row>
    <row r="115" spans="1:11" ht="18" customHeight="1" outlineLevel="1" x14ac:dyDescent="0.3">
      <c r="A115" t="s">
        <v>184</v>
      </c>
      <c r="B115" t="s">
        <v>45</v>
      </c>
      <c r="C115" t="s">
        <v>8</v>
      </c>
      <c r="D115" t="s">
        <v>183</v>
      </c>
      <c r="E115" t="s">
        <v>6089</v>
      </c>
      <c r="J115" t="inlineStr">
        <is>
          <t>5.531 IDF ROOM</t>
        </is>
      </c>
      <c r="K115" t="inlineStr">
        <is>
          <t>HQ/5F/5F-1.jpg</t>
        </is>
      </c>
    </row>
    <row r="116" spans="1:11" ht="18" customHeight="1" outlineLevel="1" x14ac:dyDescent="0.3">
      <c r="A116" t="s">
        <v>185</v>
      </c>
      <c r="B116" t="s">
        <v>45</v>
      </c>
      <c r="C116" t="s">
        <v>8</v>
      </c>
      <c r="D116" t="s">
        <v>186</v>
      </c>
      <c r="E116" t="s">
        <v>6090</v>
      </c>
      <c r="J116" t="inlineStr">
        <is>
          <t>5.512 IDF ROOM</t>
        </is>
      </c>
      <c r="K116" t="inlineStr">
        <is>
          <t>HQ/5F/5F-2.jpg</t>
        </is>
      </c>
    </row>
    <row r="117" spans="1:11" ht="18" customHeight="1" outlineLevel="1" x14ac:dyDescent="0.3">
      <c r="A117" t="s">
        <v>187</v>
      </c>
      <c r="B117" t="s">
        <v>45</v>
      </c>
      <c r="C117" t="s">
        <v>10</v>
      </c>
      <c r="D117" t="s">
        <v>188</v>
      </c>
      <c r="E117" t="s">
        <v>6091</v>
      </c>
      <c r="H117" t="s">
        <v>9349</v>
      </c>
      <c r="J117" t="inlineStr">
        <is>
          <t>5.103 PRINT COPY</t>
        </is>
      </c>
      <c r="K117" t="inlineStr">
        <is>
          <t>HQ/5F/5F-1.jpg</t>
        </is>
      </c>
    </row>
    <row r="118" spans="1:11" outlineLevel="1" x14ac:dyDescent="0.3">
      <c r="A118" t="s">
        <v>189</v>
      </c>
      <c r="B118" t="s">
        <v>45</v>
      </c>
      <c r="C118" t="s">
        <v>8</v>
      </c>
      <c r="D118" t="s">
        <v>190</v>
      </c>
      <c r="E118" t="s">
        <v>6092</v>
      </c>
      <c r="H118" t="s">
        <v>9350</v>
      </c>
      <c r="J118" t="inlineStr">
        <is>
          <t>BRIDGE 06.604</t>
        </is>
      </c>
      <c r="K118" t="inlineStr">
        <is>
          <t>HQ/5F/5F-1.jpg</t>
        </is>
      </c>
    </row>
    <row r="119" spans="1:11" ht="18" customHeight="1" outlineLevel="1" x14ac:dyDescent="0.3">
      <c r="A119" t="s">
        <v>191</v>
      </c>
      <c r="B119" t="s">
        <v>45</v>
      </c>
      <c r="C119" t="s">
        <v>8</v>
      </c>
      <c r="D119" t="s">
        <v>190</v>
      </c>
      <c r="E119" t="s">
        <v>6092</v>
      </c>
      <c r="H119" t="s">
        <v>9350</v>
      </c>
      <c r="J119" t="inlineStr">
        <is>
          <t>BRIDGE 06.604</t>
        </is>
      </c>
      <c r="K119" t="inlineStr">
        <is>
          <t>HQ/5F/5F-1.jpg</t>
        </is>
      </c>
    </row>
    <row r="120" spans="1:11" ht="18" customHeight="1" outlineLevel="1" x14ac:dyDescent="0.3">
      <c r="A120" t="s">
        <v>192</v>
      </c>
      <c r="B120" t="s">
        <v>45</v>
      </c>
      <c r="C120" t="s">
        <v>8</v>
      </c>
      <c r="D120" t="s">
        <v>190</v>
      </c>
      <c r="E120" t="s">
        <v>6092</v>
      </c>
      <c r="H120" t="s">
        <v>9350</v>
      </c>
      <c r="J120" t="inlineStr">
        <is>
          <t>BRIDGE 06.604</t>
        </is>
      </c>
      <c r="K120" t="inlineStr">
        <is>
          <t>HQ/5F/5F-1.jpg</t>
        </is>
      </c>
    </row>
    <row r="121" spans="1:11" ht="18" customHeight="1" outlineLevel="1" x14ac:dyDescent="0.3">
      <c r="A121" t="s">
        <v>193</v>
      </c>
      <c r="B121" t="s">
        <v>45</v>
      </c>
      <c r="C121" t="s">
        <v>8</v>
      </c>
      <c r="D121" t="s">
        <v>194</v>
      </c>
      <c r="E121" t="s">
        <v>6082</v>
      </c>
      <c r="H121" t="s">
        <v>9351</v>
      </c>
      <c r="J121" t="inlineStr">
        <is>
          <t>BRIDGE 5.602</t>
        </is>
      </c>
      <c r="K121" t="inlineStr">
        <is>
          <t>HQ/5F/5F-1.jpg</t>
        </is>
      </c>
    </row>
    <row r="122" spans="1:11" ht="18" customHeight="1" outlineLevel="1" x14ac:dyDescent="0.3">
      <c r="A122" t="s">
        <v>195</v>
      </c>
      <c r="B122" t="s">
        <v>45</v>
      </c>
      <c r="C122" t="s">
        <v>8</v>
      </c>
      <c r="D122" t="s">
        <v>194</v>
      </c>
      <c r="E122" t="s">
        <v>6082</v>
      </c>
      <c r="H122" t="s">
        <v>9351</v>
      </c>
      <c r="J122" t="inlineStr">
        <is>
          <t>BRIDGE 5.602</t>
        </is>
      </c>
      <c r="K122" t="inlineStr">
        <is>
          <t>HQ/5F/5F-1.jpg</t>
        </is>
      </c>
    </row>
    <row r="123" spans="1:11" ht="18" customHeight="1" outlineLevel="1" x14ac:dyDescent="0.3">
      <c r="A123" t="s">
        <v>196</v>
      </c>
      <c r="B123" t="s">
        <v>45</v>
      </c>
      <c r="C123" t="s">
        <v>8</v>
      </c>
      <c r="D123" t="s">
        <v>194</v>
      </c>
      <c r="E123" t="s">
        <v>6082</v>
      </c>
      <c r="H123" t="s">
        <v>9351</v>
      </c>
      <c r="J123" t="inlineStr">
        <is>
          <t>BRIDGE 5.602</t>
        </is>
      </c>
      <c r="K123" t="inlineStr">
        <is>
          <t>HQ/5F/5F-1.jpg</t>
        </is>
      </c>
    </row>
    <row r="124" spans="1:11" ht="18" customHeight="1" outlineLevel="1" x14ac:dyDescent="0.3">
      <c r="A124" t="s">
        <v>197</v>
      </c>
      <c r="B124" t="s">
        <v>45</v>
      </c>
      <c r="C124" t="s">
        <v>8</v>
      </c>
      <c r="D124" t="s">
        <v>194</v>
      </c>
      <c r="E124" t="s">
        <v>6082</v>
      </c>
      <c r="H124" t="s">
        <v>9351</v>
      </c>
      <c r="J124" t="inlineStr">
        <is>
          <t>BRIDGE 5.602</t>
        </is>
      </c>
      <c r="K124" t="inlineStr">
        <is>
          <t>HQ/5F/5F-1.jpg</t>
        </is>
      </c>
    </row>
    <row r="125" spans="1:11" ht="18" customHeight="1" outlineLevel="1" x14ac:dyDescent="0.3">
      <c r="A125" t="s">
        <v>198</v>
      </c>
      <c r="B125" t="s">
        <v>45</v>
      </c>
      <c r="C125" t="s">
        <v>8</v>
      </c>
      <c r="D125" t="s">
        <v>199</v>
      </c>
      <c r="E125" t="s">
        <v>6093</v>
      </c>
      <c r="J125" t="inlineStr">
        <is>
          <t>6.531 IDF ROOM</t>
        </is>
      </c>
      <c r="K125" t="inlineStr">
        <is>
          <t>HQ/6F/6F-1.jpg</t>
        </is>
      </c>
    </row>
    <row r="126" spans="1:11" ht="18" customHeight="1" outlineLevel="1" x14ac:dyDescent="0.3">
      <c r="A126" s="30" t="s">
        <v>200</v>
      </c>
      <c r="B126" s="30" t="s">
        <v>45</v>
      </c>
      <c r="C126" s="32"/>
      <c r="D126" s="30" t="s">
        <v>201</v>
      </c>
      <c r="E126" s="30"/>
      <c r="F126" s="30"/>
      <c r="G126" s="30"/>
      <c r="H126" s="30" t="s">
        <v>46</v>
      </c>
      <c r="J126" t="s">
        <v>9839</v>
      </c>
      <c r="K126" t="inlineStr">
        <is>
          <t>HQ/Basment Floor/BF-2.jpg</t>
        </is>
      </c>
    </row>
    <row r="127" spans="1:11" ht="18" customHeight="1" outlineLevel="1" x14ac:dyDescent="0.3">
      <c r="A127" t="s">
        <v>202</v>
      </c>
      <c r="B127" t="s">
        <v>45</v>
      </c>
      <c r="C127" t="s">
        <v>8</v>
      </c>
      <c r="D127" t="s">
        <v>203</v>
      </c>
      <c r="E127" t="s">
        <v>6094</v>
      </c>
      <c r="J127" t="inlineStr">
        <is>
          <t>6.512 IDF ROOM</t>
        </is>
      </c>
      <c r="K127" t="inlineStr">
        <is>
          <t>HQ/6F/6F-2.jpg</t>
        </is>
      </c>
    </row>
    <row r="128" spans="1:11" ht="18" customHeight="1" outlineLevel="1" x14ac:dyDescent="0.3">
      <c r="A128" t="s">
        <v>204</v>
      </c>
      <c r="B128" t="s">
        <v>45</v>
      </c>
      <c r="C128" t="s">
        <v>8</v>
      </c>
      <c r="D128" t="s">
        <v>205</v>
      </c>
      <c r="E128" t="s">
        <v>6095</v>
      </c>
      <c r="H128" t="s">
        <v>9352</v>
      </c>
      <c r="J128" t="inlineStr">
        <is>
          <t>BRIDGE 07.602</t>
        </is>
      </c>
      <c r="K128" t="inlineStr">
        <is>
          <t>HQ/6F/6F-2.jpg</t>
        </is>
      </c>
    </row>
    <row r="129" spans="1:11" ht="18" customHeight="1" outlineLevel="1" x14ac:dyDescent="0.3">
      <c r="A129" t="s">
        <v>206</v>
      </c>
      <c r="B129" t="s">
        <v>45</v>
      </c>
      <c r="C129" t="s">
        <v>8</v>
      </c>
      <c r="D129" t="s">
        <v>205</v>
      </c>
      <c r="E129" t="s">
        <v>6095</v>
      </c>
      <c r="H129" t="s">
        <v>9352</v>
      </c>
      <c r="J129" t="inlineStr">
        <is>
          <t>BRIDGE 07.602</t>
        </is>
      </c>
      <c r="K129" t="inlineStr">
        <is>
          <t>HQ/6F/6F-2.jpg</t>
        </is>
      </c>
    </row>
    <row r="130" spans="1:11" ht="18" customHeight="1" outlineLevel="1" x14ac:dyDescent="0.3">
      <c r="A130" t="s">
        <v>207</v>
      </c>
      <c r="B130" t="s">
        <v>45</v>
      </c>
      <c r="C130" t="s">
        <v>8</v>
      </c>
      <c r="D130" t="s">
        <v>205</v>
      </c>
      <c r="E130" t="s">
        <v>6095</v>
      </c>
      <c r="H130" t="s">
        <v>9352</v>
      </c>
      <c r="J130" t="inlineStr">
        <is>
          <t>BRIDGE 07.602</t>
        </is>
      </c>
      <c r="K130" t="inlineStr">
        <is>
          <t>HQ/6F/6F-2.jpg</t>
        </is>
      </c>
    </row>
    <row r="131" spans="1:11" ht="18" customHeight="1" outlineLevel="1" x14ac:dyDescent="0.3">
      <c r="A131" t="s">
        <v>208</v>
      </c>
      <c r="B131" t="s">
        <v>45</v>
      </c>
      <c r="C131" t="s">
        <v>10</v>
      </c>
      <c r="D131" t="s">
        <v>209</v>
      </c>
      <c r="E131" t="s">
        <v>6096</v>
      </c>
      <c r="H131" t="s">
        <v>9353</v>
      </c>
      <c r="J131" t="inlineStr">
        <is>
          <t>6.104 PRINT COPY</t>
        </is>
      </c>
      <c r="K131" t="inlineStr">
        <is>
          <t>HQ/6F/6F-1.jpg</t>
        </is>
      </c>
    </row>
    <row r="132" spans="1:11" ht="18" customHeight="1" outlineLevel="1" x14ac:dyDescent="0.3">
      <c r="A132" t="s">
        <v>210</v>
      </c>
      <c r="B132" t="s">
        <v>45</v>
      </c>
      <c r="C132" t="s">
        <v>10</v>
      </c>
      <c r="D132" t="s">
        <v>211</v>
      </c>
      <c r="E132" t="s">
        <v>6097</v>
      </c>
      <c r="H132" t="s">
        <v>9354</v>
      </c>
      <c r="J132" t="inlineStr">
        <is>
          <t>6.208 PRINT COPY</t>
        </is>
      </c>
      <c r="K132" t="inlineStr">
        <is>
          <t>HQ/6F/6F-2.jpg</t>
        </is>
      </c>
    </row>
    <row r="133" spans="1:11" ht="18" customHeight="1" outlineLevel="1" x14ac:dyDescent="0.3">
      <c r="A133" t="s">
        <v>212</v>
      </c>
      <c r="B133" t="s">
        <v>45</v>
      </c>
      <c r="C133" t="s">
        <v>8</v>
      </c>
      <c r="D133" t="s">
        <v>213</v>
      </c>
      <c r="E133" t="s">
        <v>6098</v>
      </c>
      <c r="J133" t="inlineStr">
        <is>
          <t>7.531 IDF ROOM</t>
        </is>
      </c>
      <c r="K133" t="inlineStr">
        <is>
          <t>HQ/7F/7F-1.jpg</t>
        </is>
      </c>
    </row>
    <row r="134" spans="1:11" ht="18" customHeight="1" outlineLevel="1" x14ac:dyDescent="0.3">
      <c r="A134" t="s">
        <v>214</v>
      </c>
      <c r="B134" t="s">
        <v>45</v>
      </c>
      <c r="C134" t="s">
        <v>8</v>
      </c>
      <c r="D134" t="s">
        <v>213</v>
      </c>
      <c r="E134" t="s">
        <v>6098</v>
      </c>
      <c r="J134" t="inlineStr">
        <is>
          <t>7.531 IDF ROOM</t>
        </is>
      </c>
      <c r="K134" t="inlineStr">
        <is>
          <t>HQ/7F/7F-1.jpg</t>
        </is>
      </c>
    </row>
    <row r="135" spans="1:11" ht="18" customHeight="1" outlineLevel="1" x14ac:dyDescent="0.3">
      <c r="A135" t="s">
        <v>215</v>
      </c>
      <c r="B135" t="s">
        <v>45</v>
      </c>
      <c r="C135" t="s">
        <v>8</v>
      </c>
      <c r="D135" t="s">
        <v>216</v>
      </c>
      <c r="E135" t="s">
        <v>6099</v>
      </c>
      <c r="J135" t="inlineStr">
        <is>
          <t>7.512 IDF ROOM</t>
        </is>
      </c>
      <c r="K135" t="inlineStr">
        <is>
          <t>HQ/7F/7F-2.jpg</t>
        </is>
      </c>
    </row>
    <row r="136" spans="1:11" ht="18" customHeight="1" outlineLevel="1" x14ac:dyDescent="0.3">
      <c r="A136" t="s">
        <v>217</v>
      </c>
      <c r="B136" t="s">
        <v>45</v>
      </c>
      <c r="C136" t="s">
        <v>10</v>
      </c>
      <c r="D136" t="s">
        <v>218</v>
      </c>
      <c r="E136" t="s">
        <v>6100</v>
      </c>
      <c r="H136" t="s">
        <v>9355</v>
      </c>
      <c r="J136" t="inlineStr">
        <is>
          <t>7.101 PRINT COPY</t>
        </is>
      </c>
      <c r="K136" t="inlineStr">
        <is>
          <t>HQ/7F/7F-1.jpg</t>
        </is>
      </c>
    </row>
    <row r="137" spans="1:11" ht="18" customHeight="1" outlineLevel="1" x14ac:dyDescent="0.3">
      <c r="A137" t="s">
        <v>219</v>
      </c>
      <c r="B137" t="s">
        <v>45</v>
      </c>
      <c r="C137" t="s">
        <v>10</v>
      </c>
      <c r="D137" t="s">
        <v>220</v>
      </c>
      <c r="E137" t="s">
        <v>6101</v>
      </c>
      <c r="H137" t="s">
        <v>9356</v>
      </c>
      <c r="J137" t="inlineStr" s="44">
        <is>
          <t>7.104 PRINT COPY</t>
        </is>
      </c>
      <c r="K137" t="inlineStr">
        <is>
          <t>HQ/7F/7F-1.jpg</t>
        </is>
      </c>
    </row>
    <row r="138" spans="1:11" ht="18" customHeight="1" outlineLevel="1" x14ac:dyDescent="0.3">
      <c r="A138" t="s">
        <v>221</v>
      </c>
      <c r="B138" t="s">
        <v>45</v>
      </c>
      <c r="C138" t="s">
        <v>8</v>
      </c>
      <c r="D138" t="s">
        <v>222</v>
      </c>
      <c r="E138" t="s">
        <v>6102</v>
      </c>
      <c r="J138" t="inlineStr">
        <is>
          <t>8.512 IDF ROOM</t>
        </is>
      </c>
      <c r="K138" t="inlineStr">
        <is>
          <t>HQ/8F/8F.jpg</t>
        </is>
      </c>
    </row>
    <row r="139" spans="1:11" ht="18" customHeight="1" outlineLevel="1" x14ac:dyDescent="0.3">
      <c r="A139" t="s">
        <v>223</v>
      </c>
      <c r="B139" t="s">
        <v>45</v>
      </c>
      <c r="C139" t="s">
        <v>8</v>
      </c>
      <c r="D139" t="s">
        <v>224</v>
      </c>
      <c r="E139" t="s">
        <v>6103</v>
      </c>
      <c r="J139" t="inlineStr" s="44">
        <is>
          <t>9.532</t>
        </is>
      </c>
      <c r="K139" t="inlineStr">
        <is>
          <t>HQ/9F/9F-1.jpg</t>
        </is>
      </c>
    </row>
    <row r="140" spans="1:11" ht="18" customHeight="1" outlineLevel="1" x14ac:dyDescent="0.3">
      <c r="A140" t="s">
        <v>225</v>
      </c>
      <c r="B140" t="s">
        <v>45</v>
      </c>
      <c r="C140" t="s">
        <v>8</v>
      </c>
      <c r="D140" t="s">
        <v>70</v>
      </c>
      <c r="E140" t="s">
        <v>6048</v>
      </c>
      <c r="J140" t="inlineStr" s="44">
        <is>
          <t>G.512 IDF ROOM</t>
        </is>
      </c>
      <c r="K140" t="inlineStr">
        <is>
          <t>HQ/Ground Floor/GF-2.jpg</t>
        </is>
      </c>
    </row>
    <row r="141" spans="1:11" ht="18" customHeight="1" outlineLevel="1" x14ac:dyDescent="0.3">
      <c r="A141" t="s">
        <v>226</v>
      </c>
      <c r="B141" t="s">
        <v>45</v>
      </c>
      <c r="C141" t="s">
        <v>8</v>
      </c>
      <c r="D141" t="s">
        <v>227</v>
      </c>
      <c r="E141" t="s">
        <v>6104</v>
      </c>
      <c r="J141" t="inlineStr">
        <is>
          <t>9.512 IDF ROOM</t>
        </is>
      </c>
      <c r="K141" t="inlineStr">
        <is>
          <t>HQ/9F/9F-2.jpg</t>
        </is>
      </c>
    </row>
    <row r="142" spans="1:11" ht="18" customHeight="1" outlineLevel="1" x14ac:dyDescent="0.3">
      <c r="A142" t="s">
        <v>228</v>
      </c>
      <c r="B142" t="s">
        <v>45</v>
      </c>
      <c r="C142" t="s">
        <v>8</v>
      </c>
      <c r="D142" t="s">
        <v>229</v>
      </c>
      <c r="E142" t="s">
        <v>6105</v>
      </c>
      <c r="J142" t="inlineStr">
        <is>
          <t>10.531 IDF ROOM</t>
        </is>
      </c>
      <c r="K142" t="inlineStr">
        <is>
          <t>HQ/10F/10F-1.jpg</t>
        </is>
      </c>
    </row>
    <row r="143" spans="1:11" ht="18" customHeight="1" outlineLevel="1" x14ac:dyDescent="0.3">
      <c r="A143" s="30" t="s">
        <v>230</v>
      </c>
      <c r="B143" s="30" t="s">
        <v>45</v>
      </c>
      <c r="C143" s="30" t="s">
        <v>8</v>
      </c>
      <c r="D143" s="30" t="s">
        <v>231</v>
      </c>
      <c r="E143" s="30" t="s">
        <v>6106</v>
      </c>
      <c r="F143" s="30"/>
      <c r="G143" s="30"/>
      <c r="H143" s="30" t="s">
        <v>9357</v>
      </c>
      <c r="J143" t="s">
        <v>9840</v>
      </c>
      <c r="K143" t="inlineStr">
        <is>
          <t>HQ/1F/FF-2.jpg</t>
        </is>
      </c>
    </row>
    <row r="144" spans="1:11" ht="18" customHeight="1" outlineLevel="1" x14ac:dyDescent="0.3">
      <c r="A144" t="s">
        <v>232</v>
      </c>
      <c r="B144" t="s">
        <v>45</v>
      </c>
      <c r="C144" t="s">
        <v>8</v>
      </c>
      <c r="D144" t="s">
        <v>233</v>
      </c>
      <c r="E144" t="s">
        <v>6107</v>
      </c>
      <c r="J144" t="inlineStr">
        <is>
          <t>10.512 IDF ROOM</t>
        </is>
      </c>
      <c r="K144" t="inlineStr">
        <is>
          <t>HQ/10F/10F-2.jpg</t>
        </is>
      </c>
    </row>
    <row r="145" spans="1:11" ht="18" customHeight="1" outlineLevel="1" x14ac:dyDescent="0.3">
      <c r="A145" t="s">
        <v>234</v>
      </c>
      <c r="B145" t="s">
        <v>45</v>
      </c>
      <c r="C145" t="s">
        <v>10</v>
      </c>
      <c r="D145" t="s">
        <v>235</v>
      </c>
      <c r="E145" t="s">
        <v>6108</v>
      </c>
      <c r="H145" t="s">
        <v>9358</v>
      </c>
      <c r="J145" t="inlineStr">
        <is>
          <t>10.038 PRINT COPY</t>
        </is>
      </c>
      <c r="K145" t="inlineStr">
        <is>
          <t>HQ/10F/10F-1.jpg</t>
        </is>
      </c>
    </row>
    <row r="146" spans="1:11" ht="18" customHeight="1" outlineLevel="1" x14ac:dyDescent="0.3">
      <c r="A146" t="s">
        <v>236</v>
      </c>
      <c r="B146" t="s">
        <v>45</v>
      </c>
      <c r="C146" t="s">
        <v>10</v>
      </c>
      <c r="D146" t="s">
        <v>237</v>
      </c>
      <c r="E146" t="s">
        <v>6109</v>
      </c>
      <c r="H146" t="s">
        <v>9359</v>
      </c>
      <c r="J146" t="inlineStr">
        <is>
          <t>10.014 PRINT COPY</t>
        </is>
      </c>
      <c r="K146" t="inlineStr">
        <is>
          <t>HQ/10F/10F-1.jpg</t>
        </is>
      </c>
    </row>
    <row r="147" spans="1:11" ht="18" customHeight="1" outlineLevel="1" x14ac:dyDescent="0.3">
      <c r="A147" t="s">
        <v>238</v>
      </c>
      <c r="B147" t="s">
        <v>45</v>
      </c>
      <c r="C147" t="s">
        <v>10</v>
      </c>
      <c r="D147" t="s">
        <v>239</v>
      </c>
      <c r="E147" t="s">
        <v>6110</v>
      </c>
      <c r="H147" t="s">
        <v>9360</v>
      </c>
      <c r="J147" t="inlineStr" s="44">
        <is>
          <t>10.112 AV ROOM</t>
        </is>
      </c>
      <c r="K147" t="inlineStr">
        <is>
          <t>HQ/10F/10F-2.jpg</t>
        </is>
      </c>
    </row>
    <row r="148" spans="1:11" ht="18" customHeight="1" outlineLevel="1" x14ac:dyDescent="0.3">
      <c r="A148" t="s">
        <v>240</v>
      </c>
      <c r="B148" t="s">
        <v>45</v>
      </c>
      <c r="C148" t="s">
        <v>8</v>
      </c>
      <c r="D148" t="s">
        <v>241</v>
      </c>
      <c r="E148" t="s">
        <v>6111</v>
      </c>
      <c r="J148" t="inlineStr">
        <is>
          <t>11.531 IDF ROOM</t>
        </is>
      </c>
      <c r="K148" t="inlineStr">
        <is>
          <t>HQ/11F/11F-1.jpg</t>
        </is>
      </c>
    </row>
    <row r="149" spans="1:11" ht="18" customHeight="1" outlineLevel="1" x14ac:dyDescent="0.3">
      <c r="A149" t="s">
        <v>242</v>
      </c>
      <c r="B149" t="s">
        <v>45</v>
      </c>
      <c r="C149" t="s">
        <v>8</v>
      </c>
      <c r="D149" t="s">
        <v>241</v>
      </c>
      <c r="E149" t="s">
        <v>6111</v>
      </c>
      <c r="J149" t="inlineStr">
        <is>
          <t>11.531 IDF ROOM</t>
        </is>
      </c>
      <c r="K149" t="inlineStr">
        <is>
          <t>HQ/11F/11F-1.jpg</t>
        </is>
      </c>
    </row>
    <row r="150" spans="1:11" ht="18" customHeight="1" outlineLevel="1" x14ac:dyDescent="0.3">
      <c r="A150" s="30" t="s">
        <v>243</v>
      </c>
      <c r="B150" s="30" t="s">
        <v>45</v>
      </c>
      <c r="C150" s="30" t="s">
        <v>10</v>
      </c>
      <c r="D150" s="30" t="s">
        <v>244</v>
      </c>
      <c r="E150" s="30" t="s">
        <v>6112</v>
      </c>
      <c r="F150" s="30"/>
      <c r="G150" s="30"/>
      <c r="H150" s="30" t="s">
        <v>9361</v>
      </c>
      <c r="J150" t="s">
        <v>9841</v>
      </c>
      <c r="K150" t="inlineStr">
        <is>
          <t>HQ/11F/11F-1.jpg</t>
        </is>
      </c>
    </row>
    <row r="151" spans="1:11" ht="18" customHeight="1" outlineLevel="1" x14ac:dyDescent="0.3">
      <c r="A151" t="s">
        <v>245</v>
      </c>
      <c r="B151" t="s">
        <v>45</v>
      </c>
      <c r="C151" t="s">
        <v>8</v>
      </c>
      <c r="D151" t="s">
        <v>246</v>
      </c>
      <c r="E151" t="s">
        <v>6113</v>
      </c>
      <c r="J151" t="inlineStr" s="44">
        <is>
          <t>11.108 PRINT COPY ROOM</t>
        </is>
      </c>
      <c r="K151" t="inlineStr">
        <is>
          <t>HQ/11F/11F-2.jpg</t>
        </is>
      </c>
    </row>
    <row r="152" spans="1:11" ht="18" customHeight="1" outlineLevel="1" x14ac:dyDescent="0.3">
      <c r="A152" t="s">
        <v>247</v>
      </c>
      <c r="B152" t="s">
        <v>45</v>
      </c>
      <c r="C152" t="s">
        <v>10</v>
      </c>
      <c r="D152" t="s">
        <v>248</v>
      </c>
      <c r="E152" t="s">
        <v>6114</v>
      </c>
      <c r="J152" t="inlineStr" s="44">
        <is>
          <t>11.106 MCC/ELEC ROOM</t>
        </is>
      </c>
      <c r="K152" t="inlineStr">
        <is>
          <t>HQ/11F/11F-2.jpg</t>
        </is>
      </c>
    </row>
    <row r="153" spans="1:11" ht="18" customHeight="1" outlineLevel="1" x14ac:dyDescent="0.3">
      <c r="A153" t="s">
        <v>249</v>
      </c>
      <c r="B153" t="s">
        <v>45</v>
      </c>
      <c r="C153" t="s">
        <v>8</v>
      </c>
      <c r="D153" t="s">
        <v>250</v>
      </c>
      <c r="E153" t="s">
        <v>6115</v>
      </c>
      <c r="J153" t="inlineStr">
        <is>
          <t>11.107 AV ROOM</t>
        </is>
      </c>
      <c r="K153" t="inlineStr">
        <is>
          <t>HQ/11F/11F-2.jpg</t>
        </is>
      </c>
    </row>
    <row r="154" spans="1:11" ht="18" customHeight="1" outlineLevel="1" x14ac:dyDescent="0.3">
      <c r="A154" t="s">
        <v>251</v>
      </c>
      <c r="B154" t="s">
        <v>45</v>
      </c>
      <c r="C154" t="s">
        <v>8</v>
      </c>
      <c r="D154" t="s">
        <v>252</v>
      </c>
      <c r="E154" t="s">
        <v>6116</v>
      </c>
      <c r="J154" t="inlineStr">
        <is>
          <t>11.512 IDF ROOM</t>
        </is>
      </c>
      <c r="K154" t="inlineStr">
        <is>
          <t>HQ/11F/11F-2.jpg</t>
        </is>
      </c>
    </row>
    <row r="155" spans="1:11" ht="18" customHeight="1" outlineLevel="1" x14ac:dyDescent="0.3">
      <c r="A155" t="s">
        <v>253</v>
      </c>
      <c r="B155" t="s">
        <v>45</v>
      </c>
      <c r="C155" t="s">
        <v>8</v>
      </c>
      <c r="D155" t="s">
        <v>254</v>
      </c>
      <c r="E155" t="s">
        <v>6117</v>
      </c>
      <c r="H155" t="s">
        <v>9362</v>
      </c>
      <c r="J155" t="inlineStr" s="44">
        <is>
          <t>12.002 MCC CLOSET</t>
        </is>
      </c>
      <c r="K155" t="inlineStr">
        <is>
          <t>HQ/RF/RF-2.jpg</t>
        </is>
      </c>
    </row>
    <row r="156" spans="1:11" ht="18" customHeight="1" outlineLevel="1" x14ac:dyDescent="0.3">
      <c r="A156" t="s">
        <v>255</v>
      </c>
      <c r="B156" t="s">
        <v>45</v>
      </c>
      <c r="C156" t="s">
        <v>8</v>
      </c>
      <c r="D156" t="s">
        <v>254</v>
      </c>
      <c r="E156" t="s">
        <v>6117</v>
      </c>
      <c r="H156" t="s">
        <v>9363</v>
      </c>
      <c r="J156" t="inlineStr" s="44">
        <is>
          <t>12.002 MCC CLOSET</t>
        </is>
      </c>
      <c r="K156" t="inlineStr">
        <is>
          <t>HQ/RF/RF-2.jpg</t>
        </is>
      </c>
    </row>
    <row r="157" spans="1:11" ht="18" customHeight="1" outlineLevel="1" x14ac:dyDescent="0.3">
      <c r="A157" t="s">
        <v>256</v>
      </c>
      <c r="B157" t="s">
        <v>45</v>
      </c>
      <c r="C157" t="s">
        <v>8</v>
      </c>
      <c r="D157" t="s">
        <v>257</v>
      </c>
      <c r="E157" t="s">
        <v>6118</v>
      </c>
      <c r="H157" t="s">
        <v>9364</v>
      </c>
      <c r="J157" t="inlineStr">
        <is>
          <t>12.003 MCC CLOSET</t>
        </is>
      </c>
      <c r="K157" t="inlineStr">
        <is>
          <t>HQ/RF/RF-1.jpg</t>
        </is>
      </c>
    </row>
    <row r="158" spans="1:11" ht="18" customHeight="1" outlineLevel="1" x14ac:dyDescent="0.3">
      <c r="A158" t="s">
        <v>258</v>
      </c>
      <c r="B158" t="s">
        <v>45</v>
      </c>
      <c r="C158" t="s">
        <v>8</v>
      </c>
      <c r="D158" t="s">
        <v>257</v>
      </c>
      <c r="E158" t="s">
        <v>6118</v>
      </c>
      <c r="H158" t="s">
        <v>9365</v>
      </c>
      <c r="J158" t="inlineStr">
        <is>
          <t>12.003 MCC CLOSET</t>
        </is>
      </c>
      <c r="K158" t="inlineStr">
        <is>
          <t>HQ/RF/RF-1.jpg</t>
        </is>
      </c>
    </row>
    <row r="159" spans="1:11" ht="18" customHeight="1" outlineLevel="1" x14ac:dyDescent="0.3">
      <c r="A159" t="s">
        <v>259</v>
      </c>
      <c r="B159" t="s">
        <v>45</v>
      </c>
      <c r="C159" t="s">
        <v>8</v>
      </c>
      <c r="D159" t="s">
        <v>260</v>
      </c>
      <c r="E159" t="s">
        <v>6119</v>
      </c>
      <c r="H159" t="s">
        <v>9366</v>
      </c>
      <c r="J159" t="inlineStr">
        <is>
          <t>12.004 MCC CLOSET</t>
        </is>
      </c>
      <c r="K159" t="inlineStr">
        <is>
          <t>HQ/RF/RF-1.jpg</t>
        </is>
      </c>
    </row>
    <row r="160" spans="1:11" ht="18" customHeight="1" outlineLevel="1" x14ac:dyDescent="0.3">
      <c r="A160" t="s">
        <v>261</v>
      </c>
      <c r="B160" t="s">
        <v>45</v>
      </c>
      <c r="C160" t="s">
        <v>8</v>
      </c>
      <c r="D160" t="s">
        <v>262</v>
      </c>
      <c r="E160" t="s">
        <v>8197</v>
      </c>
      <c r="H160" t="s">
        <v>9367</v>
      </c>
      <c r="J160" t="inlineStr">
        <is>
          <t>ROOF PLANT / WALKWAY (NEAR CSRR-0008)</t>
        </is>
      </c>
      <c r="K160" t="inlineStr">
        <is>
          <t>HQ/RF/RF-1.jpg</t>
        </is>
      </c>
    </row>
    <row r="161" spans="1:11" ht="18" customHeight="1" outlineLevel="1" x14ac:dyDescent="0.3">
      <c r="A161" s="30" t="s">
        <v>263</v>
      </c>
      <c r="B161" s="30" t="s">
        <v>45</v>
      </c>
      <c r="C161" s="30" t="s">
        <v>8</v>
      </c>
      <c r="D161" s="30" t="s">
        <v>264</v>
      </c>
      <c r="E161" s="30" t="s">
        <v>6120</v>
      </c>
      <c r="F161" s="30"/>
      <c r="G161" s="30"/>
      <c r="H161" s="30" t="s">
        <v>9368</v>
      </c>
      <c r="J161" t="s" s="44">
        <v>9842</v>
      </c>
      <c r="K161" t="inlineStr">
        <is>
          <t>HQ/9F/9F-1.jpg</t>
        </is>
      </c>
    </row>
    <row r="162" spans="1:11" ht="18" customHeight="1" outlineLevel="1" x14ac:dyDescent="0.3">
      <c r="A162" s="30" t="s">
        <v>265</v>
      </c>
      <c r="B162" s="30" t="s">
        <v>266</v>
      </c>
      <c r="C162" s="30" t="s">
        <v>8</v>
      </c>
      <c r="D162" s="30" t="s">
        <v>267</v>
      </c>
      <c r="E162" s="30" t="s">
        <v>6121</v>
      </c>
      <c r="F162" s="30"/>
      <c r="G162" s="30"/>
      <c r="H162" s="30" t="s">
        <v>9369</v>
      </c>
      <c r="J162" t="s">
        <v>9843</v>
      </c>
      <c r="K162" t="inlineStr">
        <is>
          <t>HQ/Basment Floor/BF-1.jpg</t>
        </is>
      </c>
    </row>
    <row r="163" spans="1:11" ht="18" customHeight="1" outlineLevel="1" x14ac:dyDescent="0.3">
      <c r="A163" t="s">
        <v>268</v>
      </c>
      <c r="B163" t="s">
        <v>266</v>
      </c>
      <c r="C163" t="s">
        <v>8</v>
      </c>
      <c r="D163" t="s">
        <v>269</v>
      </c>
      <c r="E163" t="s">
        <v>6122</v>
      </c>
      <c r="J163" t="inlineStr">
        <is>
          <t>B.103 STAFF LOBBY</t>
        </is>
      </c>
      <c r="K163" t="inlineStr">
        <is>
          <t>HQ/Basment Floor/BF-1.jpg</t>
        </is>
      </c>
    </row>
    <row r="164" spans="1:11" ht="18" customHeight="1" outlineLevel="1" x14ac:dyDescent="0.3">
      <c r="A164" t="s">
        <v>270</v>
      </c>
      <c r="B164" t="s">
        <v>266</v>
      </c>
      <c r="C164" t="s">
        <v>8</v>
      </c>
      <c r="D164" t="s">
        <v>269</v>
      </c>
      <c r="E164" t="s">
        <v>6122</v>
      </c>
      <c r="J164" t="inlineStr">
        <is>
          <t>B.103 STAFF LOBBY</t>
        </is>
      </c>
      <c r="K164" t="inlineStr">
        <is>
          <t>HQ/Basment Floor/BF-1.jpg</t>
        </is>
      </c>
    </row>
    <row r="165" spans="1:11" ht="18" customHeight="1" outlineLevel="1" x14ac:dyDescent="0.3">
      <c r="A165" t="s">
        <v>271</v>
      </c>
      <c r="B165" t="s">
        <v>266</v>
      </c>
      <c r="C165" t="s">
        <v>10</v>
      </c>
      <c r="D165" t="s">
        <v>272</v>
      </c>
      <c r="E165" t="s">
        <v>6123</v>
      </c>
      <c r="H165" t="s">
        <v>9370</v>
      </c>
      <c r="J165" t="inlineStr" s="44">
        <is>
          <t>B.116 LOBBY</t>
        </is>
      </c>
      <c r="K165" t="inlineStr">
        <is>
          <t>HQ/Basment Floor/BF-2.jpg</t>
        </is>
      </c>
    </row>
    <row r="166" spans="1:11" ht="18" customHeight="1" outlineLevel="1" x14ac:dyDescent="0.3">
      <c r="A166" t="s">
        <v>273</v>
      </c>
      <c r="B166" t="s">
        <v>266</v>
      </c>
      <c r="C166" t="s">
        <v>8</v>
      </c>
      <c r="D166" t="s">
        <v>274</v>
      </c>
      <c r="E166" t="s">
        <v>6124</v>
      </c>
      <c r="H166" t="s">
        <v>9371</v>
      </c>
      <c r="J166" t="inlineStr">
        <is>
          <t>B.116 LOBBY</t>
        </is>
      </c>
      <c r="K166" t="inlineStr">
        <is>
          <t>HQ/Basment Floor/BF-2.jpg</t>
        </is>
      </c>
    </row>
    <row r="167" spans="1:11" ht="18" customHeight="1" outlineLevel="1" x14ac:dyDescent="0.3">
      <c r="A167" t="s">
        <v>275</v>
      </c>
      <c r="B167" t="s">
        <v>266</v>
      </c>
      <c r="C167" t="s">
        <v>8</v>
      </c>
      <c r="D167" t="s">
        <v>274</v>
      </c>
      <c r="E167" t="s">
        <v>6124</v>
      </c>
      <c r="J167" t="inlineStr" s="44">
        <is>
          <t>B.116 LOBBY</t>
        </is>
      </c>
      <c r="K167" t="inlineStr">
        <is>
          <t>HQ/Basment Floor/BF-2.jpg</t>
        </is>
      </c>
    </row>
    <row r="168" spans="1:11" ht="18" customHeight="1" outlineLevel="1" x14ac:dyDescent="0.3">
      <c r="A168" t="s">
        <v>276</v>
      </c>
      <c r="B168" t="s">
        <v>266</v>
      </c>
      <c r="C168" t="s">
        <v>8</v>
      </c>
      <c r="D168" t="s">
        <v>277</v>
      </c>
      <c r="E168" t="s">
        <v>6125</v>
      </c>
      <c r="J168" t="s">
        <v>9844</v>
      </c>
      <c r="K168" t="inlineStr">
        <is>
          <t>HQ/Ground Floor/GF-1.jpg</t>
        </is>
      </c>
    </row>
    <row r="169" spans="1:11" ht="18" customHeight="1" outlineLevel="1" x14ac:dyDescent="0.3">
      <c r="A169" t="s">
        <v>278</v>
      </c>
      <c r="B169" t="s">
        <v>266</v>
      </c>
      <c r="C169" t="s">
        <v>8</v>
      </c>
      <c r="D169" t="s">
        <v>279</v>
      </c>
      <c r="E169" t="s">
        <v>6126</v>
      </c>
      <c r="J169" t="s" s="44">
        <v>6777</v>
      </c>
      <c r="K169" t="inlineStr">
        <is>
          <t>HQ/Ground Floor/GF-1.jpg</t>
        </is>
      </c>
    </row>
    <row r="170" spans="1:11" ht="18" customHeight="1" outlineLevel="1" x14ac:dyDescent="0.3">
      <c r="A170" t="s">
        <v>280</v>
      </c>
      <c r="B170" t="s">
        <v>266</v>
      </c>
      <c r="C170" t="s">
        <v>10</v>
      </c>
      <c r="D170" t="s">
        <v>281</v>
      </c>
      <c r="E170" t="s">
        <v>6127</v>
      </c>
      <c r="J170" t="s">
        <v>9845</v>
      </c>
      <c r="K170" t="inlineStr">
        <is>
          <t>HQ/Ground Floor/GF-1.jpg</t>
        </is>
      </c>
    </row>
    <row r="171" spans="1:11" ht="18" customHeight="1" outlineLevel="1" x14ac:dyDescent="0.3">
      <c r="A171" t="s">
        <v>282</v>
      </c>
      <c r="B171" t="s">
        <v>266</v>
      </c>
      <c r="C171" t="s">
        <v>10</v>
      </c>
      <c r="D171" t="s">
        <v>283</v>
      </c>
      <c r="E171" t="s">
        <v>6128</v>
      </c>
      <c r="H171" t="s">
        <v>9372</v>
      </c>
      <c r="J171" t="s">
        <v>9846</v>
      </c>
      <c r="K171" t="inlineStr">
        <is>
          <t>HQ/Ground Floor/GF-1.jpg</t>
        </is>
      </c>
    </row>
    <row r="172" spans="1:11" ht="18" customHeight="1" outlineLevel="1" x14ac:dyDescent="0.3">
      <c r="A172" t="s">
        <v>284</v>
      </c>
      <c r="B172" t="s">
        <v>266</v>
      </c>
      <c r="C172" t="s">
        <v>10</v>
      </c>
      <c r="D172" t="s">
        <v>285</v>
      </c>
      <c r="E172" t="s">
        <v>6129</v>
      </c>
      <c r="J172" t="s">
        <v>9847</v>
      </c>
      <c r="K172" t="inlineStr">
        <is>
          <t>HQ/Ground Floor/GF-1.jpg</t>
        </is>
      </c>
    </row>
    <row r="173" spans="1:11" ht="18" customHeight="1" outlineLevel="1" x14ac:dyDescent="0.3">
      <c r="A173" t="s">
        <v>286</v>
      </c>
      <c r="B173" t="s">
        <v>266</v>
      </c>
      <c r="C173" t="s">
        <v>8</v>
      </c>
      <c r="D173" t="s">
        <v>287</v>
      </c>
      <c r="E173" t="s">
        <v>6130</v>
      </c>
      <c r="H173" t="s">
        <v>9373</v>
      </c>
      <c r="J173" t="s">
        <v>9848</v>
      </c>
      <c r="K173" t="inlineStr">
        <is>
          <t>HQ/Ground Floor/GF-1.jpg</t>
        </is>
      </c>
    </row>
    <row r="174" spans="1:11" ht="18" customHeight="1" outlineLevel="1" x14ac:dyDescent="0.3">
      <c r="A174" t="s">
        <v>288</v>
      </c>
      <c r="B174" t="s">
        <v>266</v>
      </c>
      <c r="C174" t="s">
        <v>10</v>
      </c>
      <c r="D174" t="s">
        <v>289</v>
      </c>
      <c r="E174" t="s">
        <v>6131</v>
      </c>
      <c r="J174" t="s">
        <v>9849</v>
      </c>
      <c r="K174" t="inlineStr">
        <is>
          <t>HQ/Ground Floor/GF-1.jpg</t>
        </is>
      </c>
    </row>
    <row r="175" spans="1:11" ht="18" customHeight="1" outlineLevel="1" x14ac:dyDescent="0.3">
      <c r="A175" t="s">
        <v>290</v>
      </c>
      <c r="B175" t="s">
        <v>266</v>
      </c>
      <c r="C175" t="s">
        <v>10</v>
      </c>
      <c r="D175" t="s">
        <v>291</v>
      </c>
      <c r="E175" t="s">
        <v>6132</v>
      </c>
      <c r="H175" t="s">
        <v>9374</v>
      </c>
      <c r="J175" t="s">
        <v>9850</v>
      </c>
      <c r="K175" t="inlineStr">
        <is>
          <t>HQ/Ground Floor/GF-2.jpg</t>
        </is>
      </c>
    </row>
    <row r="176" spans="1:11" ht="18" customHeight="1" outlineLevel="1" x14ac:dyDescent="0.3">
      <c r="A176" t="s">
        <v>292</v>
      </c>
      <c r="B176" t="s">
        <v>266</v>
      </c>
      <c r="C176" t="s">
        <v>10</v>
      </c>
      <c r="D176" t="s">
        <v>293</v>
      </c>
      <c r="E176" t="s">
        <v>6133</v>
      </c>
      <c r="H176" t="s">
        <v>9375</v>
      </c>
      <c r="J176" t="s">
        <v>9851</v>
      </c>
      <c r="K176" t="inlineStr">
        <is>
          <t>HQ/Ground Floor/GF-2.jpg</t>
        </is>
      </c>
    </row>
    <row r="177" spans="1:11" ht="18" customHeight="1" outlineLevel="1" x14ac:dyDescent="0.3">
      <c r="A177" t="s">
        <v>294</v>
      </c>
      <c r="B177" t="s">
        <v>266</v>
      </c>
      <c r="C177" t="s">
        <v>10</v>
      </c>
      <c r="D177" t="s">
        <v>295</v>
      </c>
      <c r="E177" t="s">
        <v>6134</v>
      </c>
      <c r="H177" t="s">
        <v>9376</v>
      </c>
      <c r="J177" t="s">
        <v>9852</v>
      </c>
      <c r="K177" t="inlineStr">
        <is>
          <t>HQ/Ground Floor/GF-2.jpg</t>
        </is>
      </c>
    </row>
    <row r="178" spans="1:11" ht="18" customHeight="1" outlineLevel="1" x14ac:dyDescent="0.3">
      <c r="A178" t="s">
        <v>296</v>
      </c>
      <c r="B178" t="s">
        <v>266</v>
      </c>
      <c r="C178" t="s">
        <v>10</v>
      </c>
      <c r="D178" t="s">
        <v>297</v>
      </c>
      <c r="E178" t="s">
        <v>6135</v>
      </c>
      <c r="H178" t="s">
        <v>9377</v>
      </c>
      <c r="J178" t="s">
        <v>9853</v>
      </c>
      <c r="K178" t="inlineStr">
        <is>
          <t>HQ/Ground Floor/GF-2.jpg</t>
        </is>
      </c>
    </row>
    <row r="179" spans="1:11" ht="18" customHeight="1" outlineLevel="1" x14ac:dyDescent="0.3">
      <c r="A179" t="s">
        <v>298</v>
      </c>
      <c r="B179" t="s">
        <v>266</v>
      </c>
      <c r="C179" t="s">
        <v>10</v>
      </c>
      <c r="D179" t="s">
        <v>299</v>
      </c>
      <c r="E179" t="s">
        <v>6136</v>
      </c>
      <c r="H179" t="s">
        <v>9378</v>
      </c>
      <c r="J179" t="s">
        <v>9854</v>
      </c>
      <c r="K179" t="inlineStr">
        <is>
          <t>HQ/Ground Floor/GF-2.jpg</t>
        </is>
      </c>
    </row>
    <row r="180" spans="1:11" ht="18" customHeight="1" outlineLevel="1" x14ac:dyDescent="0.3">
      <c r="A180" t="s">
        <v>300</v>
      </c>
      <c r="B180" t="s">
        <v>266</v>
      </c>
      <c r="C180" t="s">
        <v>10</v>
      </c>
      <c r="D180" t="s">
        <v>301</v>
      </c>
      <c r="E180" t="s">
        <v>6137</v>
      </c>
      <c r="J180" t="inlineStr" s="44">
        <is>
          <t>G.023 PR &amp; MARKET STAFF</t>
        </is>
      </c>
      <c r="K180" t="inlineStr">
        <is>
          <t>HQ/Ground Floor/GF-2.jpg</t>
        </is>
      </c>
    </row>
    <row r="181" spans="1:11" ht="18" customHeight="1" outlineLevel="1" x14ac:dyDescent="0.3">
      <c r="A181" t="s">
        <v>302</v>
      </c>
      <c r="B181" t="s">
        <v>266</v>
      </c>
      <c r="C181" t="s">
        <v>8</v>
      </c>
      <c r="D181" t="s">
        <v>303</v>
      </c>
      <c r="E181" t="s">
        <v>6138</v>
      </c>
      <c r="H181" t="s">
        <v>9379</v>
      </c>
      <c r="J181" t="s">
        <v>9855</v>
      </c>
      <c r="K181" t="inlineStr">
        <is>
          <t>HQ/Ground Floor/GF-2.jpg</t>
        </is>
      </c>
    </row>
    <row r="182" spans="1:11" ht="18" customHeight="1" outlineLevel="1" x14ac:dyDescent="0.3">
      <c r="A182" t="s">
        <v>304</v>
      </c>
      <c r="B182" t="s">
        <v>266</v>
      </c>
      <c r="C182" t="s">
        <v>8</v>
      </c>
      <c r="D182" t="s">
        <v>303</v>
      </c>
      <c r="E182" t="s">
        <v>6138</v>
      </c>
      <c r="J182" t="s">
        <v>9855</v>
      </c>
      <c r="K182" t="inlineStr">
        <is>
          <t>HQ/Ground Floor/GF-2.jpg</t>
        </is>
      </c>
    </row>
    <row r="183" spans="1:11" ht="18" customHeight="1" outlineLevel="1" x14ac:dyDescent="0.3">
      <c r="A183" t="s">
        <v>305</v>
      </c>
      <c r="B183" t="s">
        <v>266</v>
      </c>
      <c r="C183" t="s">
        <v>10</v>
      </c>
      <c r="D183" t="s">
        <v>306</v>
      </c>
      <c r="E183" t="s">
        <v>6139</v>
      </c>
      <c r="J183" t="s">
        <v>9856</v>
      </c>
      <c r="K183" t="inlineStr">
        <is>
          <t>HQ/Ground Floor/GF-1.jpg</t>
        </is>
      </c>
    </row>
    <row r="184" spans="1:11" ht="18" customHeight="1" outlineLevel="1" x14ac:dyDescent="0.3">
      <c r="A184" t="s">
        <v>307</v>
      </c>
      <c r="B184" t="s">
        <v>266</v>
      </c>
      <c r="C184" t="s">
        <v>8</v>
      </c>
      <c r="D184" t="s">
        <v>308</v>
      </c>
      <c r="E184" t="s">
        <v>6140</v>
      </c>
      <c r="H184" t="s">
        <v>9380</v>
      </c>
      <c r="J184" t="s">
        <v>9857</v>
      </c>
      <c r="K184" t="inlineStr">
        <is>
          <t>HQ/Ground Floor/GF-1.jpg</t>
        </is>
      </c>
    </row>
    <row r="185" spans="1:11" ht="18" customHeight="1" outlineLevel="1" x14ac:dyDescent="0.3">
      <c r="A185" s="30" t="s">
        <v>309</v>
      </c>
      <c r="B185" s="30" t="s">
        <v>266</v>
      </c>
      <c r="C185" s="30" t="s">
        <v>8</v>
      </c>
      <c r="D185" s="30" t="s">
        <v>308</v>
      </c>
      <c r="E185" s="30" t="s">
        <v>6140</v>
      </c>
      <c r="F185" s="30"/>
      <c r="G185" s="30"/>
      <c r="H185" s="30" t="s">
        <v>9381</v>
      </c>
      <c r="J185" t="s">
        <v>9857</v>
      </c>
      <c r="K185" t="inlineStr">
        <is>
          <t>HQ/Ground Floor/GF-1.jpg</t>
        </is>
      </c>
    </row>
    <row r="186" spans="1:11" ht="18" customHeight="1" outlineLevel="1" x14ac:dyDescent="0.3">
      <c r="A186" t="s">
        <v>310</v>
      </c>
      <c r="B186" t="s">
        <v>266</v>
      </c>
      <c r="C186" t="s">
        <v>8</v>
      </c>
      <c r="D186" t="s">
        <v>311</v>
      </c>
      <c r="E186" t="s">
        <v>6141</v>
      </c>
      <c r="J186" s="42" t="inlineStr">
        <is>
          <t>G.103 BMS ROOM</t>
        </is>
      </c>
      <c r="K186" t="inlineStr">
        <is>
          <t>HQ/Ground Floor/GF-1.jpg</t>
        </is>
      </c>
    </row>
    <row r="187" spans="1:11" ht="18" customHeight="1" outlineLevel="1" x14ac:dyDescent="0.3">
      <c r="A187" t="s">
        <v>312</v>
      </c>
      <c r="B187" t="s">
        <v>266</v>
      </c>
      <c r="C187" t="s">
        <v>8</v>
      </c>
      <c r="D187" t="s">
        <v>313</v>
      </c>
      <c r="E187" t="s">
        <v>6142</v>
      </c>
      <c r="J187" t="s">
        <v>6767</v>
      </c>
      <c r="K187" t="inlineStr">
        <is>
          <t>HQ/Ground Floor/GF-1.jpg</t>
        </is>
      </c>
    </row>
    <row r="188" spans="1:11" ht="18" customHeight="1" outlineLevel="1" x14ac:dyDescent="0.3">
      <c r="A188" t="s">
        <v>314</v>
      </c>
      <c r="B188" t="s">
        <v>266</v>
      </c>
      <c r="C188" t="s">
        <v>8</v>
      </c>
      <c r="D188" t="s">
        <v>315</v>
      </c>
      <c r="E188" t="s">
        <v>6143</v>
      </c>
      <c r="J188" s="42" t="inlineStr">
        <is>
          <t>G.003</t>
        </is>
      </c>
      <c r="K188" t="inlineStr">
        <is>
          <t>HQ/Ground Floor/GF-1.jpg</t>
        </is>
      </c>
    </row>
    <row r="189" spans="1:11" ht="18" customHeight="1" outlineLevel="1" x14ac:dyDescent="0.3">
      <c r="A189" t="s">
        <v>316</v>
      </c>
      <c r="B189" t="s">
        <v>266</v>
      </c>
      <c r="C189" t="s">
        <v>8</v>
      </c>
      <c r="D189" t="s">
        <v>317</v>
      </c>
      <c r="E189" t="s">
        <v>6144</v>
      </c>
      <c r="J189" t="inlineStr" s="44">
        <is>
          <t>G.002</t>
        </is>
      </c>
      <c r="K189" t="inlineStr">
        <is>
          <t>HQ/Ground Floor/GF-1.jpg</t>
        </is>
      </c>
    </row>
    <row r="190" spans="1:11" ht="18" customHeight="1" outlineLevel="1" x14ac:dyDescent="0.3">
      <c r="A190" t="s">
        <v>318</v>
      </c>
      <c r="B190" t="s">
        <v>266</v>
      </c>
      <c r="C190" t="s">
        <v>8</v>
      </c>
      <c r="D190" t="s">
        <v>319</v>
      </c>
      <c r="E190" t="s">
        <v>8198</v>
      </c>
      <c r="H190" t="s">
        <v>9382</v>
      </c>
      <c r="J190" s="42"/>
      <c r="K190" t="inlineStr">
        <is>
          <t>HQ/Ground Floor/GF-1.jpg</t>
        </is>
      </c>
    </row>
    <row r="191" spans="1:11" ht="18" customHeight="1" outlineLevel="1" x14ac:dyDescent="0.3">
      <c r="A191" t="s">
        <v>320</v>
      </c>
      <c r="B191" t="s">
        <v>266</v>
      </c>
      <c r="C191" t="s">
        <v>10</v>
      </c>
      <c r="D191" t="s">
        <v>321</v>
      </c>
      <c r="E191" t="s">
        <v>6145</v>
      </c>
      <c r="J191" t="s">
        <v>7428</v>
      </c>
      <c r="K191" t="inlineStr">
        <is>
          <t>HQ/Ground Floor/GF-1.jpg</t>
        </is>
      </c>
    </row>
    <row r="192" spans="1:11" ht="18" customHeight="1" outlineLevel="1" x14ac:dyDescent="0.3">
      <c r="A192" t="s">
        <v>322</v>
      </c>
      <c r="B192" t="s">
        <v>266</v>
      </c>
      <c r="C192" t="s">
        <v>10</v>
      </c>
      <c r="D192" t="s">
        <v>323</v>
      </c>
      <c r="E192" t="s">
        <v>6146</v>
      </c>
      <c r="J192" t="s">
        <v>6819</v>
      </c>
      <c r="K192" t="inlineStr">
        <is>
          <t>HQ/Ground Floor/GF-1.jpg</t>
        </is>
      </c>
    </row>
    <row r="193" spans="1:11" ht="18" customHeight="1" outlineLevel="1" x14ac:dyDescent="0.3">
      <c r="A193" t="s">
        <v>324</v>
      </c>
      <c r="B193" t="s">
        <v>266</v>
      </c>
      <c r="C193" t="s">
        <v>10</v>
      </c>
      <c r="D193" t="s">
        <v>325</v>
      </c>
      <c r="E193" t="s">
        <v>6147</v>
      </c>
      <c r="J193" t="s">
        <v>6818</v>
      </c>
      <c r="K193" t="inlineStr">
        <is>
          <t>HQ/Ground Floor/GF-1.jpg</t>
        </is>
      </c>
    </row>
    <row r="194" spans="1:11" ht="18" customHeight="1" outlineLevel="1" x14ac:dyDescent="0.3">
      <c r="A194" t="s">
        <v>326</v>
      </c>
      <c r="B194" t="s">
        <v>266</v>
      </c>
      <c r="C194" t="s">
        <v>10</v>
      </c>
      <c r="D194" t="s">
        <v>327</v>
      </c>
      <c r="E194" t="s">
        <v>6148</v>
      </c>
      <c r="J194" t="s">
        <v>6817</v>
      </c>
      <c r="K194" t="inlineStr">
        <is>
          <t>HQ/Ground Floor/GF-1.jpg</t>
        </is>
      </c>
    </row>
    <row r="195" spans="1:11" ht="18" customHeight="1" outlineLevel="1" x14ac:dyDescent="0.3">
      <c r="A195" t="s">
        <v>328</v>
      </c>
      <c r="B195" t="s">
        <v>266</v>
      </c>
      <c r="C195" t="s">
        <v>10</v>
      </c>
      <c r="D195" t="s">
        <v>329</v>
      </c>
      <c r="E195" t="s">
        <v>6149</v>
      </c>
      <c r="J195" t="s">
        <v>6816</v>
      </c>
      <c r="K195" t="inlineStr">
        <is>
          <t>HQ/Ground Floor/GF-1.jpg</t>
        </is>
      </c>
    </row>
    <row r="196" spans="1:11" ht="18" customHeight="1" outlineLevel="1" x14ac:dyDescent="0.3">
      <c r="A196" t="s">
        <v>330</v>
      </c>
      <c r="B196" t="s">
        <v>266</v>
      </c>
      <c r="C196" t="s">
        <v>10</v>
      </c>
      <c r="D196" t="s">
        <v>331</v>
      </c>
      <c r="E196" t="s">
        <v>6150</v>
      </c>
      <c r="J196" t="s">
        <v>6815</v>
      </c>
      <c r="K196" t="inlineStr">
        <is>
          <t>HQ/Ground Floor/GF-1.jpg</t>
        </is>
      </c>
    </row>
    <row r="197" spans="1:11" ht="18" customHeight="1" outlineLevel="1" x14ac:dyDescent="0.3">
      <c r="A197" t="s">
        <v>332</v>
      </c>
      <c r="B197" t="s">
        <v>266</v>
      </c>
      <c r="C197" t="s">
        <v>10</v>
      </c>
      <c r="D197" t="s">
        <v>333</v>
      </c>
      <c r="E197" t="s">
        <v>6151</v>
      </c>
      <c r="J197" t="s">
        <v>6814</v>
      </c>
      <c r="K197" t="inlineStr">
        <is>
          <t>HQ/Ground Floor/GF-1.jpg</t>
        </is>
      </c>
    </row>
    <row r="198" spans="1:11" ht="18" customHeight="1" outlineLevel="1" x14ac:dyDescent="0.3">
      <c r="A198" t="s">
        <v>334</v>
      </c>
      <c r="B198" t="s">
        <v>266</v>
      </c>
      <c r="C198" t="s">
        <v>10</v>
      </c>
      <c r="D198" t="s">
        <v>335</v>
      </c>
      <c r="E198" t="s">
        <v>6152</v>
      </c>
      <c r="J198" t="s">
        <v>6813</v>
      </c>
      <c r="K198" t="inlineStr">
        <is>
          <t>HQ/Ground Floor/GF-1.jpg</t>
        </is>
      </c>
    </row>
    <row r="199" spans="1:11" ht="18" customHeight="1" outlineLevel="1" x14ac:dyDescent="0.3">
      <c r="A199" t="s">
        <v>336</v>
      </c>
      <c r="B199" t="s">
        <v>266</v>
      </c>
      <c r="C199" t="s">
        <v>10</v>
      </c>
      <c r="D199" t="s">
        <v>337</v>
      </c>
      <c r="E199" t="s">
        <v>6153</v>
      </c>
      <c r="H199" t="s">
        <v>9383</v>
      </c>
      <c r="J199" t="inlineStr" s="44">
        <is>
          <t>G.030 PR &amp; MARKET STAFF</t>
        </is>
      </c>
      <c r="K199" t="inlineStr">
        <is>
          <t>HQ/Ground Floor/GF-2.jpg</t>
        </is>
      </c>
    </row>
    <row r="200" spans="1:11" ht="18" customHeight="1" outlineLevel="1" x14ac:dyDescent="0.3">
      <c r="A200" t="s">
        <v>338</v>
      </c>
      <c r="B200" t="s">
        <v>266</v>
      </c>
      <c r="C200" t="s">
        <v>10</v>
      </c>
      <c r="D200" t="s">
        <v>339</v>
      </c>
      <c r="E200" t="s">
        <v>6154</v>
      </c>
      <c r="H200" t="s">
        <v>9384</v>
      </c>
      <c r="J200" t="inlineStr" s="44">
        <is>
          <t>G.029 PR &amp; MARKET STAFF</t>
        </is>
      </c>
      <c r="K200" t="inlineStr">
        <is>
          <t>HQ/Ground Floor/GF-2.jpg</t>
        </is>
      </c>
    </row>
    <row r="201" spans="1:11" ht="18" customHeight="1" outlineLevel="1" x14ac:dyDescent="0.3">
      <c r="A201" t="s">
        <v>340</v>
      </c>
      <c r="B201" t="s">
        <v>266</v>
      </c>
      <c r="C201" t="s">
        <v>10</v>
      </c>
      <c r="D201" t="s">
        <v>339</v>
      </c>
      <c r="E201" t="s">
        <v>6154</v>
      </c>
      <c r="J201" t="s">
        <v>9858</v>
      </c>
      <c r="K201" t="inlineStr">
        <is>
          <t>HQ/Ground Floor/GF-2.jpg</t>
        </is>
      </c>
    </row>
    <row r="202" spans="1:11" ht="18" customHeight="1" outlineLevel="1" x14ac:dyDescent="0.3">
      <c r="A202" t="s">
        <v>341</v>
      </c>
      <c r="B202" t="s">
        <v>266</v>
      </c>
      <c r="C202" t="s">
        <v>8</v>
      </c>
      <c r="D202" t="s">
        <v>342</v>
      </c>
      <c r="E202" t="s">
        <v>6155</v>
      </c>
      <c r="H202" t="s">
        <v>9385</v>
      </c>
      <c r="J202" t="s" s="44">
        <v>9859</v>
      </c>
      <c r="K202" t="inlineStr">
        <is>
          <t>HQ/Ground Floor/GF-2.jpg</t>
        </is>
      </c>
    </row>
    <row r="203" spans="1:11" ht="18" customHeight="1" outlineLevel="1" x14ac:dyDescent="0.3">
      <c r="A203" t="s">
        <v>343</v>
      </c>
      <c r="B203" t="s">
        <v>266</v>
      </c>
      <c r="C203" t="s">
        <v>10</v>
      </c>
      <c r="D203" t="s">
        <v>344</v>
      </c>
      <c r="E203" t="s">
        <v>6156</v>
      </c>
      <c r="J203" t="inlineStr" s="44">
        <is>
          <t>G.026 FINANCE CASHIER</t>
        </is>
      </c>
      <c r="K203" t="inlineStr">
        <is>
          <t>HQ/Ground Floor/GF-2.jpg</t>
        </is>
      </c>
    </row>
    <row r="204" spans="1:11" ht="18" customHeight="1" outlineLevel="1" x14ac:dyDescent="0.3">
      <c r="A204" t="s">
        <v>345</v>
      </c>
      <c r="B204" t="s">
        <v>266</v>
      </c>
      <c r="C204" t="s">
        <v>8</v>
      </c>
      <c r="D204" t="s">
        <v>346</v>
      </c>
      <c r="E204" t="s">
        <v>6157</v>
      </c>
      <c r="J204" t="inlineStr" s="44">
        <is>
          <t>G.025 VIP LOUNGE</t>
        </is>
      </c>
      <c r="K204" t="inlineStr">
        <is>
          <t>HQ/Ground Floor/GF-2.jpg</t>
        </is>
      </c>
    </row>
    <row r="205" spans="1:11" ht="18" customHeight="1" outlineLevel="1" x14ac:dyDescent="0.3">
      <c r="A205" t="s">
        <v>347</v>
      </c>
      <c r="B205" t="s">
        <v>266</v>
      </c>
      <c r="C205" t="s">
        <v>8</v>
      </c>
      <c r="D205" t="s">
        <v>348</v>
      </c>
      <c r="E205" t="s">
        <v>6158</v>
      </c>
      <c r="H205" t="s">
        <v>9386</v>
      </c>
      <c r="J205" t="s">
        <v>9860</v>
      </c>
      <c r="K205" t="inlineStr">
        <is>
          <t>HQ/Ground Floor/GF-2.jpg</t>
        </is>
      </c>
    </row>
    <row r="206" spans="1:11" ht="18" customHeight="1" outlineLevel="1" x14ac:dyDescent="0.3">
      <c r="A206" t="s">
        <v>349</v>
      </c>
      <c r="B206" t="s">
        <v>266</v>
      </c>
      <c r="C206" t="s">
        <v>8</v>
      </c>
      <c r="D206" t="s">
        <v>350</v>
      </c>
      <c r="E206" t="s">
        <v>6159</v>
      </c>
      <c r="J206" t="s" s="44">
        <v>5816</v>
      </c>
      <c r="K206" t="inlineStr">
        <is>
          <t>HQ/Ground Floor/GF-2.jpg</t>
        </is>
      </c>
    </row>
    <row r="207" spans="1:11" ht="18" customHeight="1" outlineLevel="1" x14ac:dyDescent="0.3">
      <c r="A207" t="s">
        <v>351</v>
      </c>
      <c r="B207" t="s">
        <v>266</v>
      </c>
      <c r="C207" t="s">
        <v>8</v>
      </c>
      <c r="D207" t="s">
        <v>352</v>
      </c>
      <c r="E207" t="s">
        <v>6160</v>
      </c>
      <c r="J207" t="inlineStr" s="44">
        <is>
          <t>SOUTH EAST CORRIDOR</t>
        </is>
      </c>
      <c r="K207" t="inlineStr">
        <is>
          <t>HQ/Ground Floor/GF-2.jpg</t>
        </is>
      </c>
    </row>
    <row r="208" spans="1:11" ht="18" customHeight="1" outlineLevel="1" x14ac:dyDescent="0.3">
      <c r="A208" t="s">
        <v>353</v>
      </c>
      <c r="B208" t="s">
        <v>266</v>
      </c>
      <c r="C208" t="s">
        <v>10</v>
      </c>
      <c r="D208" t="s">
        <v>354</v>
      </c>
      <c r="E208" t="s">
        <v>6161</v>
      </c>
      <c r="J208" t="inlineStr" s="44">
        <is>
          <t>G.101 CONFERENCE ROOM</t>
        </is>
      </c>
      <c r="K208" t="inlineStr">
        <is>
          <t>HQ/Ground Floor/GF-1.jpg</t>
        </is>
      </c>
    </row>
    <row r="209" spans="1:11" ht="18" customHeight="1" outlineLevel="1" x14ac:dyDescent="0.3">
      <c r="A209" t="s">
        <v>355</v>
      </c>
      <c r="B209" t="s">
        <v>266</v>
      </c>
      <c r="C209" t="s">
        <v>10</v>
      </c>
      <c r="D209" t="s">
        <v>354</v>
      </c>
      <c r="E209" t="s">
        <v>6161</v>
      </c>
      <c r="J209" t="inlineStr" s="44">
        <is>
          <t>G.101 CONFERENCE ROOM</t>
        </is>
      </c>
      <c r="K209" t="inlineStr">
        <is>
          <t>HQ/Ground Floor/GF-1.jpg</t>
        </is>
      </c>
    </row>
    <row r="210" spans="1:11" ht="18" customHeight="1" outlineLevel="1" x14ac:dyDescent="0.3">
      <c r="A210" t="s">
        <v>356</v>
      </c>
      <c r="B210" t="s">
        <v>266</v>
      </c>
      <c r="C210" t="s">
        <v>10</v>
      </c>
      <c r="D210" t="s">
        <v>354</v>
      </c>
      <c r="E210" t="s">
        <v>6161</v>
      </c>
      <c r="J210" t="s">
        <v>9861</v>
      </c>
      <c r="K210" t="inlineStr">
        <is>
          <t>HQ/Ground Floor/GF-1.jpg</t>
        </is>
      </c>
    </row>
    <row r="211" spans="1:11" ht="18" customHeight="1" outlineLevel="1" x14ac:dyDescent="0.3">
      <c r="A211" t="s">
        <v>357</v>
      </c>
      <c r="B211" t="s">
        <v>266</v>
      </c>
      <c r="C211" t="s">
        <v>10</v>
      </c>
      <c r="D211" t="s">
        <v>354</v>
      </c>
      <c r="E211" t="s">
        <v>6161</v>
      </c>
      <c r="J211" t="s">
        <v>9861</v>
      </c>
      <c r="K211" t="inlineStr">
        <is>
          <t>HQ/Ground Floor/GF-1.jpg</t>
        </is>
      </c>
    </row>
    <row r="212" spans="1:11" ht="18" customHeight="1" outlineLevel="1" x14ac:dyDescent="0.3">
      <c r="A212" s="43" t="s">
        <v>358</v>
      </c>
      <c r="B212" s="43" t="s">
        <v>266</v>
      </c>
      <c r="C212" s="43" t="s">
        <v>10</v>
      </c>
      <c r="D212" s="43" t="s">
        <v>359</v>
      </c>
      <c r="E212" s="43" t="s">
        <v>6162</v>
      </c>
      <c r="F212" s="43"/>
      <c r="G212" s="43"/>
      <c r="H212" s="43" t="s">
        <v>9387</v>
      </c>
      <c r="I212" s="43"/>
      <c r="J212" s="42" t="inlineStr">
        <is>
          <t>G.108 CONSULTANT SPACE</t>
        </is>
      </c>
      <c r="K212" t="inlineStr">
        <is>
          <t>HQ/Ground Floor/GF-2.jpg</t>
        </is>
      </c>
    </row>
    <row r="213" spans="1:11" ht="18" customHeight="1" outlineLevel="1" x14ac:dyDescent="0.3">
      <c r="A213" t="s">
        <v>360</v>
      </c>
      <c r="B213" t="s">
        <v>266</v>
      </c>
      <c r="C213" t="s">
        <v>10</v>
      </c>
      <c r="D213" t="s">
        <v>359</v>
      </c>
      <c r="E213" t="s">
        <v>6162</v>
      </c>
      <c r="J213" s="42"/>
      <c r="K213" t="inlineStr">
        <is>
          <t>HQ/Ground Floor/GF-2.jpg</t>
        </is>
      </c>
    </row>
    <row r="214" spans="1:11" ht="18" customHeight="1" outlineLevel="1" x14ac:dyDescent="0.3">
      <c r="A214" t="s">
        <v>361</v>
      </c>
      <c r="B214" t="s">
        <v>266</v>
      </c>
      <c r="C214" t="s">
        <v>8</v>
      </c>
      <c r="D214" t="s">
        <v>362</v>
      </c>
      <c r="E214" t="s">
        <v>6163</v>
      </c>
      <c r="J214" t="inlineStr">
        <is>
          <t>1.011 FINANCE MANAGER</t>
        </is>
      </c>
      <c r="K214" t="inlineStr">
        <is>
          <t>HQ/1F/FF-2.jpg</t>
        </is>
      </c>
    </row>
    <row r="215" spans="1:11" ht="18" customHeight="1" outlineLevel="1" x14ac:dyDescent="0.3">
      <c r="A215" t="s">
        <v>363</v>
      </c>
      <c r="B215" t="s">
        <v>266</v>
      </c>
      <c r="C215" t="s">
        <v>8</v>
      </c>
      <c r="D215" t="s">
        <v>364</v>
      </c>
      <c r="E215" t="s">
        <v>6164</v>
      </c>
      <c r="J215" t="inlineStr">
        <is>
          <t>1.012 FINANCE MANAGER</t>
        </is>
      </c>
      <c r="K215" t="inlineStr">
        <is>
          <t>HQ/1F/FF-2.jpg</t>
        </is>
      </c>
    </row>
    <row r="216" spans="1:11" ht="18" customHeight="1" outlineLevel="1" x14ac:dyDescent="0.3">
      <c r="A216" t="s">
        <v>365</v>
      </c>
      <c r="B216" t="s">
        <v>266</v>
      </c>
      <c r="C216" t="s">
        <v>8</v>
      </c>
      <c r="D216" t="s">
        <v>366</v>
      </c>
      <c r="E216" t="s">
        <v>6165</v>
      </c>
      <c r="J216" t="inlineStr">
        <is>
          <t>1.013 FINANCE MANAGER</t>
        </is>
      </c>
      <c r="K216" t="inlineStr">
        <is>
          <t>HQ/1F/FF-2.jpg</t>
        </is>
      </c>
    </row>
    <row r="217" spans="1:11" ht="18" customHeight="1" outlineLevel="1" x14ac:dyDescent="0.3">
      <c r="A217" t="s">
        <v>367</v>
      </c>
      <c r="B217" t="s">
        <v>266</v>
      </c>
      <c r="C217" t="s">
        <v>10</v>
      </c>
      <c r="D217" t="s">
        <v>368</v>
      </c>
      <c r="E217" t="s">
        <v>6166</v>
      </c>
      <c r="H217" t="s">
        <v>9388</v>
      </c>
      <c r="J217" t="inlineStr">
        <is>
          <t>1.014 FINANCE STAFF</t>
        </is>
      </c>
      <c r="K217" t="inlineStr">
        <is>
          <t>HQ/1F/FF-2.jpg</t>
        </is>
      </c>
    </row>
    <row r="218" spans="1:11" ht="18" customHeight="1" outlineLevel="1" x14ac:dyDescent="0.3">
      <c r="A218" t="s">
        <v>369</v>
      </c>
      <c r="B218" t="s">
        <v>266</v>
      </c>
      <c r="C218" t="s">
        <v>10</v>
      </c>
      <c r="D218" t="s">
        <v>370</v>
      </c>
      <c r="E218" t="s">
        <v>6167</v>
      </c>
      <c r="H218" t="s">
        <v>9389</v>
      </c>
      <c r="J218" t="inlineStr">
        <is>
          <t>1.015 FINANCE STAFF</t>
        </is>
      </c>
      <c r="K218" t="inlineStr">
        <is>
          <t>HQ/1F/FF-2.jpg</t>
        </is>
      </c>
    </row>
    <row r="219" spans="1:11" ht="18" customHeight="1" outlineLevel="1" x14ac:dyDescent="0.3">
      <c r="A219" t="s">
        <v>371</v>
      </c>
      <c r="B219" t="s">
        <v>266</v>
      </c>
      <c r="C219" t="s">
        <v>10</v>
      </c>
      <c r="D219" t="s">
        <v>372</v>
      </c>
      <c r="E219" t="s">
        <v>6168</v>
      </c>
      <c r="J219" t="inlineStr">
        <is>
          <t>1.016 FINANCE SECRETARY</t>
        </is>
      </c>
      <c r="K219" t="inlineStr">
        <is>
          <t>HQ/1F/FF-2.jpg</t>
        </is>
      </c>
    </row>
    <row r="220" spans="1:11" ht="18" customHeight="1" outlineLevel="1" x14ac:dyDescent="0.3">
      <c r="A220" t="s">
        <v>373</v>
      </c>
      <c r="B220" t="s">
        <v>266</v>
      </c>
      <c r="C220" t="s">
        <v>8</v>
      </c>
      <c r="D220" t="s">
        <v>374</v>
      </c>
      <c r="E220" t="s">
        <v>6169</v>
      </c>
      <c r="H220" t="s">
        <v>9390</v>
      </c>
      <c r="J220" t="inlineStr">
        <is>
          <t>1.017 FINANCE DIRECTOR</t>
        </is>
      </c>
      <c r="K220" t="inlineStr">
        <is>
          <t>HQ/1F/FF-2.jpg</t>
        </is>
      </c>
    </row>
    <row r="221" spans="1:11" ht="18" customHeight="1" outlineLevel="1" x14ac:dyDescent="0.3">
      <c r="A221" t="s">
        <v>375</v>
      </c>
      <c r="B221" t="s">
        <v>266</v>
      </c>
      <c r="C221" t="s">
        <v>8</v>
      </c>
      <c r="D221" t="s">
        <v>376</v>
      </c>
      <c r="E221" t="s">
        <v>6170</v>
      </c>
      <c r="J221" t="inlineStr">
        <is>
          <t>1.018 FINANCE MANAGER</t>
        </is>
      </c>
      <c r="K221" t="inlineStr">
        <is>
          <t>HQ/1F/FF-2.jpg</t>
        </is>
      </c>
    </row>
    <row r="222" spans="1:11" ht="18" customHeight="1" outlineLevel="1" x14ac:dyDescent="0.3">
      <c r="A222" t="s">
        <v>377</v>
      </c>
      <c r="B222" t="s">
        <v>266</v>
      </c>
      <c r="C222" t="s">
        <v>8</v>
      </c>
      <c r="D222" t="s">
        <v>378</v>
      </c>
      <c r="E222" t="s">
        <v>6171</v>
      </c>
      <c r="J222" t="inlineStr">
        <is>
          <t>1.019 FINANCE MANAGER</t>
        </is>
      </c>
      <c r="K222" t="inlineStr">
        <is>
          <t>HQ/1F/FF-2.jpg</t>
        </is>
      </c>
    </row>
    <row r="223" spans="1:11" ht="18" customHeight="1" outlineLevel="1" x14ac:dyDescent="0.3">
      <c r="A223" t="s">
        <v>379</v>
      </c>
      <c r="B223" t="s">
        <v>266</v>
      </c>
      <c r="C223" t="s">
        <v>8</v>
      </c>
      <c r="D223" t="s">
        <v>380</v>
      </c>
      <c r="E223" t="s">
        <v>6172</v>
      </c>
      <c r="J223" t="inlineStr">
        <is>
          <t>1.020 FINANCE MANAGER</t>
        </is>
      </c>
      <c r="K223" t="inlineStr">
        <is>
          <t>HQ/1F/FF-2.jpg</t>
        </is>
      </c>
    </row>
    <row r="224" spans="1:11" ht="18" customHeight="1" outlineLevel="1" x14ac:dyDescent="0.3">
      <c r="A224" t="s">
        <v>381</v>
      </c>
      <c r="B224" t="s">
        <v>266</v>
      </c>
      <c r="C224" t="s">
        <v>10</v>
      </c>
      <c r="D224" t="s">
        <v>382</v>
      </c>
      <c r="E224" t="s">
        <v>6173</v>
      </c>
      <c r="H224" t="s">
        <v>9391</v>
      </c>
      <c r="J224" t="inlineStr">
        <is>
          <t>1.021 FINANCE SEC</t>
        </is>
      </c>
      <c r="K224" t="inlineStr">
        <is>
          <t>HQ/1F/FF-2.jpg</t>
        </is>
      </c>
    </row>
    <row r="225" spans="1:11" ht="18" customHeight="1" outlineLevel="1" x14ac:dyDescent="0.3">
      <c r="A225" t="s">
        <v>383</v>
      </c>
      <c r="B225" t="s">
        <v>266</v>
      </c>
      <c r="C225" t="s">
        <v>10</v>
      </c>
      <c r="D225" t="s">
        <v>384</v>
      </c>
      <c r="E225" t="s">
        <v>6174</v>
      </c>
      <c r="H225" t="s">
        <v>9392</v>
      </c>
      <c r="J225" t="inlineStr">
        <is>
          <t>1.022 FINANCE SEC</t>
        </is>
      </c>
      <c r="K225" t="inlineStr">
        <is>
          <t>HQ/1F/FF-1.jpg</t>
        </is>
      </c>
    </row>
    <row r="226" spans="1:11" ht="18" customHeight="1" outlineLevel="1" x14ac:dyDescent="0.3">
      <c r="A226" t="s">
        <v>385</v>
      </c>
      <c r="B226" t="s">
        <v>266</v>
      </c>
      <c r="C226" t="s">
        <v>10</v>
      </c>
      <c r="D226" t="s">
        <v>386</v>
      </c>
      <c r="E226" t="s">
        <v>6175</v>
      </c>
      <c r="H226" t="s">
        <v>9393</v>
      </c>
      <c r="J226" t="inlineStr">
        <is>
          <t>1.023 FINANCE AUDIT</t>
        </is>
      </c>
      <c r="K226" t="inlineStr">
        <is>
          <t>HQ/1F/FF-1.jpg</t>
        </is>
      </c>
    </row>
    <row r="227" spans="1:11" ht="18" customHeight="1" outlineLevel="1" x14ac:dyDescent="0.3">
      <c r="A227" t="s">
        <v>387</v>
      </c>
      <c r="B227" t="s">
        <v>266</v>
      </c>
      <c r="C227" t="s">
        <v>10</v>
      </c>
      <c r="D227" t="s">
        <v>388</v>
      </c>
      <c r="E227" t="s">
        <v>6176</v>
      </c>
      <c r="H227" t="s">
        <v>9394</v>
      </c>
      <c r="J227" t="inlineStr">
        <is>
          <t>1.024 FINANCE AUDIT</t>
        </is>
      </c>
      <c r="K227" t="inlineStr">
        <is>
          <t>HQ/1F/FF-1.jpg</t>
        </is>
      </c>
    </row>
    <row r="228" spans="1:11" ht="18" customHeight="1" outlineLevel="1" x14ac:dyDescent="0.3">
      <c r="A228" t="s">
        <v>389</v>
      </c>
      <c r="B228" t="s">
        <v>266</v>
      </c>
      <c r="C228" t="s">
        <v>10</v>
      </c>
      <c r="D228" t="s">
        <v>390</v>
      </c>
      <c r="E228" t="s">
        <v>6177</v>
      </c>
      <c r="H228" t="s">
        <v>9395</v>
      </c>
      <c r="J228" t="inlineStr">
        <is>
          <t>1.025 FINANCE STAFF</t>
        </is>
      </c>
      <c r="K228" t="inlineStr">
        <is>
          <t>HQ/1F/FF-1.jpg</t>
        </is>
      </c>
    </row>
    <row r="229" spans="1:11" ht="18" customHeight="1" outlineLevel="1" x14ac:dyDescent="0.3">
      <c r="A229" t="s">
        <v>391</v>
      </c>
      <c r="B229" t="s">
        <v>266</v>
      </c>
      <c r="C229" t="s">
        <v>10</v>
      </c>
      <c r="D229" t="s">
        <v>392</v>
      </c>
      <c r="E229" t="s">
        <v>6178</v>
      </c>
      <c r="H229" t="s">
        <v>9396</v>
      </c>
      <c r="J229" t="inlineStr">
        <is>
          <t>1.026 FINANCE STAFF</t>
        </is>
      </c>
      <c r="K229" t="inlineStr">
        <is>
          <t>HQ/1F/FF-1.jpg</t>
        </is>
      </c>
    </row>
    <row r="230" spans="1:11" ht="18" customHeight="1" outlineLevel="1" x14ac:dyDescent="0.3">
      <c r="A230" t="s">
        <v>393</v>
      </c>
      <c r="B230" t="s">
        <v>266</v>
      </c>
      <c r="C230" t="s">
        <v>8</v>
      </c>
      <c r="D230" t="s">
        <v>394</v>
      </c>
      <c r="E230" t="s">
        <v>6179</v>
      </c>
      <c r="H230" t="s">
        <v>9397</v>
      </c>
      <c r="J230" t="inlineStr">
        <is>
          <t>1.027 FINANCE MANAGER</t>
        </is>
      </c>
      <c r="K230" t="inlineStr">
        <is>
          <t>HQ/1F/FF-1.jpg</t>
        </is>
      </c>
    </row>
    <row r="231" spans="1:11" ht="18" customHeight="1" outlineLevel="1" x14ac:dyDescent="0.3">
      <c r="A231" t="s">
        <v>395</v>
      </c>
      <c r="B231" t="s">
        <v>266</v>
      </c>
      <c r="C231" t="s">
        <v>8</v>
      </c>
      <c r="D231" t="s">
        <v>396</v>
      </c>
      <c r="E231" t="s">
        <v>6180</v>
      </c>
      <c r="J231" t="inlineStr">
        <is>
          <t>1.028 FINANCE MANAGER</t>
        </is>
      </c>
      <c r="K231" t="inlineStr">
        <is>
          <t>HQ/1F/FF-1.jpg</t>
        </is>
      </c>
    </row>
    <row r="232" spans="1:11" ht="18" customHeight="1" outlineLevel="1" x14ac:dyDescent="0.3">
      <c r="A232" t="s">
        <v>397</v>
      </c>
      <c r="B232" t="s">
        <v>266</v>
      </c>
      <c r="C232" t="s">
        <v>8</v>
      </c>
      <c r="D232" t="s">
        <v>398</v>
      </c>
      <c r="E232" t="s">
        <v>6181</v>
      </c>
      <c r="J232" t="inlineStr">
        <is>
          <t>1.029 FINANCE MANAGER</t>
        </is>
      </c>
      <c r="K232" t="inlineStr">
        <is>
          <t>HQ/1F/FF-1.jpg</t>
        </is>
      </c>
    </row>
    <row r="233" spans="1:11" ht="18" customHeight="1" outlineLevel="1" x14ac:dyDescent="0.3">
      <c r="A233" t="s">
        <v>399</v>
      </c>
      <c r="B233" t="s">
        <v>266</v>
      </c>
      <c r="C233" t="s">
        <v>10</v>
      </c>
      <c r="D233" t="s">
        <v>400</v>
      </c>
      <c r="E233" t="s">
        <v>6182</v>
      </c>
      <c r="H233" t="s">
        <v>9398</v>
      </c>
      <c r="J233" t="inlineStr">
        <is>
          <t>1.001 FINANCE SECRETARY</t>
        </is>
      </c>
      <c r="K233" t="inlineStr">
        <is>
          <t>HQ/1F/FF-1.jpg</t>
        </is>
      </c>
    </row>
    <row r="234" spans="1:11" ht="18" customHeight="1" outlineLevel="1" x14ac:dyDescent="0.3">
      <c r="A234" t="s">
        <v>401</v>
      </c>
      <c r="B234" t="s">
        <v>266</v>
      </c>
      <c r="C234" t="s">
        <v>8</v>
      </c>
      <c r="D234" t="s">
        <v>402</v>
      </c>
      <c r="E234" t="s">
        <v>6183</v>
      </c>
      <c r="H234" t="s">
        <v>9399</v>
      </c>
      <c r="J234" t="inlineStr">
        <is>
          <t>1.002 FINANCE MANAGER</t>
        </is>
      </c>
      <c r="K234" t="inlineStr">
        <is>
          <t>HQ/1F/FF-1.jpg</t>
        </is>
      </c>
    </row>
    <row r="235" spans="1:11" ht="18" customHeight="1" outlineLevel="1" x14ac:dyDescent="0.3">
      <c r="A235" t="s">
        <v>403</v>
      </c>
      <c r="B235" t="s">
        <v>266</v>
      </c>
      <c r="C235" t="s">
        <v>8</v>
      </c>
      <c r="D235" t="s">
        <v>404</v>
      </c>
      <c r="E235" t="s">
        <v>6184</v>
      </c>
      <c r="J235" t="inlineStr">
        <is>
          <t>1.003 FINANCE MANAGER</t>
        </is>
      </c>
      <c r="K235" t="inlineStr">
        <is>
          <t>HQ/1F/FF-1.jpg</t>
        </is>
      </c>
    </row>
    <row r="236" spans="1:11" ht="18" customHeight="1" outlineLevel="1" x14ac:dyDescent="0.3">
      <c r="A236" t="s">
        <v>405</v>
      </c>
      <c r="B236" t="s">
        <v>266</v>
      </c>
      <c r="C236" t="s">
        <v>8</v>
      </c>
      <c r="D236" t="s">
        <v>406</v>
      </c>
      <c r="E236" t="s">
        <v>6185</v>
      </c>
      <c r="J236" t="inlineStr">
        <is>
          <t>1.004 FINANCE MANAGER</t>
        </is>
      </c>
      <c r="K236" t="inlineStr">
        <is>
          <t>HQ/1F/FF-1.jpg</t>
        </is>
      </c>
    </row>
    <row r="237" spans="1:11" ht="18" customHeight="1" outlineLevel="1" x14ac:dyDescent="0.3">
      <c r="A237" t="s">
        <v>407</v>
      </c>
      <c r="B237" t="s">
        <v>266</v>
      </c>
      <c r="C237" t="s">
        <v>10</v>
      </c>
      <c r="D237" t="s">
        <v>408</v>
      </c>
      <c r="E237" t="s">
        <v>6186</v>
      </c>
      <c r="J237" t="inlineStr">
        <is>
          <t>1.005 FINANCE SECRETARY</t>
        </is>
      </c>
      <c r="K237" t="inlineStr">
        <is>
          <t>HQ/1F/FF-1.jpg</t>
        </is>
      </c>
    </row>
    <row r="238" spans="1:11" ht="18" customHeight="1" outlineLevel="1" x14ac:dyDescent="0.3">
      <c r="A238" t="s">
        <v>409</v>
      </c>
      <c r="B238" t="s">
        <v>266</v>
      </c>
      <c r="C238" t="s">
        <v>10</v>
      </c>
      <c r="D238" t="s">
        <v>410</v>
      </c>
      <c r="E238" t="s">
        <v>6187</v>
      </c>
      <c r="H238" t="s">
        <v>9400</v>
      </c>
      <c r="J238" t="inlineStr">
        <is>
          <t>1.006 FINANCE STAFF</t>
        </is>
      </c>
      <c r="K238" t="inlineStr">
        <is>
          <t>HQ/1F/FF-1.jpg</t>
        </is>
      </c>
    </row>
    <row r="239" spans="1:11" ht="18" customHeight="1" outlineLevel="1" x14ac:dyDescent="0.3">
      <c r="A239" t="s">
        <v>411</v>
      </c>
      <c r="B239" t="s">
        <v>266</v>
      </c>
      <c r="C239" t="s">
        <v>10</v>
      </c>
      <c r="D239" t="s">
        <v>412</v>
      </c>
      <c r="E239" t="s">
        <v>6188</v>
      </c>
      <c r="H239" t="s">
        <v>9401</v>
      </c>
      <c r="J239" t="inlineStr">
        <is>
          <t>1.007 FINANCE STAFF</t>
        </is>
      </c>
      <c r="K239" t="inlineStr">
        <is>
          <t>HQ/1F/FF-1.jpg</t>
        </is>
      </c>
    </row>
    <row r="240" spans="1:11" ht="18" customHeight="1" outlineLevel="1" x14ac:dyDescent="0.3">
      <c r="A240" t="s">
        <v>413</v>
      </c>
      <c r="B240" t="s">
        <v>266</v>
      </c>
      <c r="C240" t="s">
        <v>8</v>
      </c>
      <c r="D240" t="s">
        <v>414</v>
      </c>
      <c r="E240" t="s">
        <v>6189</v>
      </c>
      <c r="H240" t="s">
        <v>9402</v>
      </c>
      <c r="J240" t="inlineStr">
        <is>
          <t>1.401 GROUND FLOOR VIP ENTRANCE</t>
        </is>
      </c>
      <c r="K240" t="inlineStr">
        <is>
          <t>HQ/1F/FF-1.jpg</t>
        </is>
      </c>
    </row>
    <row r="241" spans="1:11" ht="18" customHeight="1" outlineLevel="1" x14ac:dyDescent="0.3">
      <c r="A241" t="s">
        <v>415</v>
      </c>
      <c r="B241" t="s">
        <v>266</v>
      </c>
      <c r="C241" t="s">
        <v>8</v>
      </c>
      <c r="D241" t="s">
        <v>414</v>
      </c>
      <c r="E241" t="s">
        <v>6189</v>
      </c>
      <c r="J241" t="inlineStr">
        <is>
          <t>1.401 GROUND FLOOR VIP ENTRANCE</t>
        </is>
      </c>
      <c r="K241" t="inlineStr">
        <is>
          <t>HQ/1F/FF-1.jpg</t>
        </is>
      </c>
    </row>
    <row r="242" spans="1:11" ht="18" customHeight="1" outlineLevel="1" x14ac:dyDescent="0.3">
      <c r="A242" t="s">
        <v>416</v>
      </c>
      <c r="B242" t="s">
        <v>266</v>
      </c>
      <c r="C242" t="s">
        <v>8</v>
      </c>
      <c r="D242" t="s">
        <v>414</v>
      </c>
      <c r="E242" t="s">
        <v>6189</v>
      </c>
      <c r="J242" t="inlineStr">
        <is>
          <t>1.401 GROUND FLOOR VIP ENTRANCE</t>
        </is>
      </c>
      <c r="K242" t="inlineStr">
        <is>
          <t>HQ/1F/FF-1.jpg</t>
        </is>
      </c>
    </row>
    <row r="243" spans="1:11" ht="18" customHeight="1" outlineLevel="1" x14ac:dyDescent="0.3">
      <c r="A243" t="s">
        <v>417</v>
      </c>
      <c r="B243" t="s">
        <v>266</v>
      </c>
      <c r="C243" t="s">
        <v>8</v>
      </c>
      <c r="D243" t="s">
        <v>418</v>
      </c>
      <c r="E243" t="s">
        <v>6190</v>
      </c>
      <c r="J243" t="inlineStr">
        <is>
          <t>1.101 STAFF LOUNGE</t>
        </is>
      </c>
      <c r="K243" t="inlineStr">
        <is>
          <t>HQ/1F/FF-1.jpg</t>
        </is>
      </c>
    </row>
    <row r="244" spans="1:11" ht="18" customHeight="1" outlineLevel="1" x14ac:dyDescent="0.3">
      <c r="A244" t="s">
        <v>419</v>
      </c>
      <c r="B244" t="s">
        <v>266</v>
      </c>
      <c r="C244" t="s">
        <v>8</v>
      </c>
      <c r="D244" t="s">
        <v>418</v>
      </c>
      <c r="E244" t="s">
        <v>6190</v>
      </c>
      <c r="J244" t="inlineStr">
        <is>
          <t>1.101 STAFF LOUNGE</t>
        </is>
      </c>
      <c r="K244" t="inlineStr">
        <is>
          <t>HQ/1F/FF-1.jpg</t>
        </is>
      </c>
    </row>
    <row r="245" spans="1:11" ht="18" customHeight="1" outlineLevel="1" x14ac:dyDescent="0.3">
      <c r="A245" t="s">
        <v>420</v>
      </c>
      <c r="B245" t="s">
        <v>266</v>
      </c>
      <c r="C245" t="s">
        <v>8</v>
      </c>
      <c r="D245" t="s">
        <v>418</v>
      </c>
      <c r="E245" t="s">
        <v>6190</v>
      </c>
      <c r="J245" t="inlineStr">
        <is>
          <t>1.101 STAFF LOUNGE</t>
        </is>
      </c>
      <c r="K245" t="inlineStr">
        <is>
          <t>HQ/1F/FF-1.jpg</t>
        </is>
      </c>
    </row>
    <row r="246" spans="1:11" ht="18" customHeight="1" outlineLevel="1" x14ac:dyDescent="0.3">
      <c r="A246" t="s">
        <v>421</v>
      </c>
      <c r="B246" t="s">
        <v>266</v>
      </c>
      <c r="C246" t="s">
        <v>8</v>
      </c>
      <c r="D246" t="s">
        <v>418</v>
      </c>
      <c r="E246" t="s">
        <v>6190</v>
      </c>
      <c r="J246" t="inlineStr">
        <is>
          <t>1.101 STAFF LOUNGE</t>
        </is>
      </c>
      <c r="K246" t="inlineStr">
        <is>
          <t>HQ/1F/FF-1.jpg</t>
        </is>
      </c>
    </row>
    <row r="247" spans="1:11" ht="18" customHeight="1" outlineLevel="1" x14ac:dyDescent="0.3">
      <c r="A247" t="s">
        <v>422</v>
      </c>
      <c r="B247" t="s">
        <v>266</v>
      </c>
      <c r="C247" t="s">
        <v>10</v>
      </c>
      <c r="D247" t="s">
        <v>423</v>
      </c>
      <c r="E247" t="s">
        <v>6191</v>
      </c>
      <c r="H247" t="s">
        <v>9403</v>
      </c>
      <c r="J247" t="inlineStr">
        <is>
          <t>1.108 FINANCE MEETING ROOM</t>
        </is>
      </c>
      <c r="K247" t="inlineStr">
        <is>
          <t>HQ/1F/FF-1.jpg</t>
        </is>
      </c>
    </row>
    <row r="248" spans="1:11" ht="18" customHeight="1" outlineLevel="1" x14ac:dyDescent="0.3">
      <c r="A248" t="s">
        <v>424</v>
      </c>
      <c r="B248" t="s">
        <v>266</v>
      </c>
      <c r="C248" t="s">
        <v>10</v>
      </c>
      <c r="D248" t="s">
        <v>425</v>
      </c>
      <c r="E248" t="s">
        <v>6192</v>
      </c>
      <c r="H248" t="s">
        <v>9404</v>
      </c>
      <c r="J248" t="inlineStr">
        <is>
          <t>1.109 CONSULTANT SPACE</t>
        </is>
      </c>
      <c r="K248" t="inlineStr">
        <is>
          <t>HQ/1F/FF-1.jpg</t>
        </is>
      </c>
    </row>
    <row r="249" spans="1:11" ht="18" customHeight="1" outlineLevel="1" x14ac:dyDescent="0.3">
      <c r="A249" t="s">
        <v>426</v>
      </c>
      <c r="B249" t="s">
        <v>266</v>
      </c>
      <c r="C249" t="s">
        <v>10</v>
      </c>
      <c r="D249" t="s">
        <v>425</v>
      </c>
      <c r="E249" t="s">
        <v>6192</v>
      </c>
      <c r="J249" t="inlineStr">
        <is>
          <t>1.109 CONSULTANT SPACE</t>
        </is>
      </c>
      <c r="K249" t="inlineStr">
        <is>
          <t>HQ/1F/FF-2.jpg</t>
        </is>
      </c>
    </row>
    <row r="250" spans="1:11" ht="18" customHeight="1" outlineLevel="1" x14ac:dyDescent="0.3">
      <c r="A250" t="s">
        <v>427</v>
      </c>
      <c r="B250" t="s">
        <v>266</v>
      </c>
      <c r="C250" t="s">
        <v>10</v>
      </c>
      <c r="D250" t="s">
        <v>428</v>
      </c>
      <c r="E250" t="s">
        <v>6193</v>
      </c>
      <c r="J250" t="inlineStr" s="44">
        <is>
          <t>LOBBY (GROUND FLOOR)</t>
        </is>
      </c>
      <c r="K250" t="inlineStr">
        <is>
          <t>HQ/1F/FF-2.jpg</t>
        </is>
      </c>
    </row>
    <row r="251" spans="1:11" ht="18" customHeight="1" outlineLevel="1" x14ac:dyDescent="0.3">
      <c r="A251" t="s">
        <v>429</v>
      </c>
      <c r="B251" t="s">
        <v>266</v>
      </c>
      <c r="C251" t="s">
        <v>8</v>
      </c>
      <c r="D251" t="s">
        <v>430</v>
      </c>
      <c r="E251" t="s">
        <v>6194</v>
      </c>
      <c r="H251" t="s">
        <v>9405</v>
      </c>
      <c r="J251" t="inlineStr" s="44">
        <is>
          <t>1.105 PRAYER ROOM</t>
        </is>
      </c>
      <c r="K251" t="inlineStr">
        <is>
          <t>HQ/1F/FF-1.jpg</t>
        </is>
      </c>
    </row>
    <row r="252" spans="1:11" ht="18" customHeight="1" outlineLevel="1" x14ac:dyDescent="0.3">
      <c r="A252" t="s">
        <v>431</v>
      </c>
      <c r="B252" t="s">
        <v>266</v>
      </c>
      <c r="C252" t="s">
        <v>10</v>
      </c>
      <c r="D252" t="s">
        <v>432</v>
      </c>
      <c r="E252" t="s">
        <v>6195</v>
      </c>
      <c r="J252" t="inlineStr" s="44">
        <is>
          <t>1.117 FINANCE AUDITOR</t>
        </is>
      </c>
      <c r="K252" t="inlineStr">
        <is>
          <t>HQ/1F/FF-1.jpg</t>
        </is>
      </c>
    </row>
    <row r="253" spans="1:11" ht="18" customHeight="1" outlineLevel="1" x14ac:dyDescent="0.3">
      <c r="A253" t="s">
        <v>433</v>
      </c>
      <c r="B253" t="s">
        <v>266</v>
      </c>
      <c r="C253" t="s">
        <v>10</v>
      </c>
      <c r="D253" t="s">
        <v>434</v>
      </c>
      <c r="E253" t="s">
        <v>6196</v>
      </c>
      <c r="H253" t="s">
        <v>9406</v>
      </c>
      <c r="J253" t="inlineStr" s="44">
        <is>
          <t>1.106 FINANCE ROOM</t>
        </is>
      </c>
      <c r="K253" t="inlineStr">
        <is>
          <t>HQ/1F/FF-1.jpg</t>
        </is>
      </c>
    </row>
    <row r="254" spans="1:11" ht="18" customHeight="1" outlineLevel="1" x14ac:dyDescent="0.3">
      <c r="A254" t="s">
        <v>435</v>
      </c>
      <c r="B254" t="s">
        <v>266</v>
      </c>
      <c r="C254" t="s">
        <v>10</v>
      </c>
      <c r="D254" t="s">
        <v>436</v>
      </c>
      <c r="E254" t="s">
        <v>6197</v>
      </c>
      <c r="J254" t="inlineStr" s="44">
        <is>
          <t>1.116 FINANCE CASHIER</t>
        </is>
      </c>
      <c r="K254" t="inlineStr">
        <is>
          <t>HQ/1F/FF-1.jpg</t>
        </is>
      </c>
    </row>
    <row r="255" spans="1:11" ht="18" customHeight="1" outlineLevel="1" x14ac:dyDescent="0.3">
      <c r="A255" t="s">
        <v>437</v>
      </c>
      <c r="B255" t="s">
        <v>266</v>
      </c>
      <c r="C255" t="s">
        <v>10</v>
      </c>
      <c r="D255" t="s">
        <v>438</v>
      </c>
      <c r="E255" t="s">
        <v>6198</v>
      </c>
      <c r="J255" t="inlineStr">
        <is>
          <t>1.115 FINANCE AUDITOR</t>
        </is>
      </c>
      <c r="K255" t="inlineStr">
        <is>
          <t>HQ/1F/FF-1.jpg</t>
        </is>
      </c>
    </row>
    <row r="256" spans="1:11" ht="18" customHeight="1" outlineLevel="1" x14ac:dyDescent="0.3">
      <c r="A256" s="30" t="s">
        <v>439</v>
      </c>
      <c r="B256" s="30" t="s">
        <v>266</v>
      </c>
      <c r="C256" s="30" t="s">
        <v>8</v>
      </c>
      <c r="D256" s="30" t="s">
        <v>418</v>
      </c>
      <c r="E256" s="30" t="s">
        <v>6190</v>
      </c>
      <c r="F256" s="30"/>
      <c r="G256" s="30"/>
      <c r="H256" s="30" t="s">
        <v>9382</v>
      </c>
      <c r="J256" t="s">
        <v>9863</v>
      </c>
      <c r="K256" t="inlineStr">
        <is>
          <t>HQ/1F/FF-1.jpg</t>
        </is>
      </c>
    </row>
    <row r="257" spans="1:11" ht="18" customHeight="1" outlineLevel="1" x14ac:dyDescent="0.3">
      <c r="A257" t="s">
        <v>440</v>
      </c>
      <c r="B257" t="s">
        <v>266</v>
      </c>
      <c r="C257" t="s">
        <v>8</v>
      </c>
      <c r="D257" t="s">
        <v>441</v>
      </c>
      <c r="E257" t="s">
        <v>6199</v>
      </c>
      <c r="H257" t="s">
        <v>9407</v>
      </c>
      <c r="J257" t="inlineStr">
        <is>
          <t>1.602 CORRIDOR</t>
        </is>
      </c>
      <c r="K257" t="inlineStr">
        <is>
          <t>HQ/1F/FF-1.jpg</t>
        </is>
      </c>
    </row>
    <row r="258" spans="1:11" ht="18" customHeight="1" outlineLevel="1" x14ac:dyDescent="0.3">
      <c r="A258" t="s">
        <v>442</v>
      </c>
      <c r="B258" t="s">
        <v>266</v>
      </c>
      <c r="C258" t="s">
        <v>8</v>
      </c>
      <c r="D258" t="s">
        <v>441</v>
      </c>
      <c r="E258" t="s">
        <v>6199</v>
      </c>
      <c r="H258" t="s">
        <v>9408</v>
      </c>
      <c r="J258" t="inlineStr">
        <is>
          <t>1.602 CORRIDOR</t>
        </is>
      </c>
      <c r="K258" t="inlineStr">
        <is>
          <t>HQ/1F/FF-2.jpg</t>
        </is>
      </c>
    </row>
    <row r="259" spans="1:11" ht="18" customHeight="1" outlineLevel="1" x14ac:dyDescent="0.3">
      <c r="A259" t="s">
        <v>443</v>
      </c>
      <c r="B259" t="s">
        <v>266</v>
      </c>
      <c r="C259" t="s">
        <v>10</v>
      </c>
      <c r="D259" t="s">
        <v>444</v>
      </c>
      <c r="E259" t="s">
        <v>6200</v>
      </c>
      <c r="H259" t="s">
        <v>9409</v>
      </c>
      <c r="J259" t="inlineStr">
        <is>
          <t>SOUTH EAST ZONE</t>
        </is>
      </c>
      <c r="K259" t="inlineStr">
        <is>
          <t>HQ/1F/FF-2.jpg</t>
        </is>
      </c>
    </row>
    <row r="260" spans="1:11" ht="18" customHeight="1" outlineLevel="1" x14ac:dyDescent="0.3">
      <c r="A260" t="s">
        <v>445</v>
      </c>
      <c r="B260" t="s">
        <v>266</v>
      </c>
      <c r="C260" t="s">
        <v>10</v>
      </c>
      <c r="D260" t="s">
        <v>446</v>
      </c>
      <c r="E260" t="s">
        <v>6201</v>
      </c>
      <c r="H260" t="s">
        <v>9410</v>
      </c>
      <c r="J260" t="inlineStr">
        <is>
          <t>1.111 FINANCE RECORD STORAGE</t>
        </is>
      </c>
      <c r="K260" t="inlineStr">
        <is>
          <t>HQ/1F/FF-2.jpg</t>
        </is>
      </c>
    </row>
    <row r="261" spans="1:11" ht="18" customHeight="1" outlineLevel="1" x14ac:dyDescent="0.3">
      <c r="A261" t="s">
        <v>447</v>
      </c>
      <c r="B261" t="s">
        <v>266</v>
      </c>
      <c r="C261" t="s">
        <v>10</v>
      </c>
      <c r="D261" t="s">
        <v>448</v>
      </c>
      <c r="E261" t="s">
        <v>6202</v>
      </c>
      <c r="J261" t="inlineStr">
        <is>
          <t>1.702 FOOD HEAT UP</t>
        </is>
      </c>
      <c r="K261" t="inlineStr">
        <is>
          <t>HQ/1F/FF-1.jpg</t>
        </is>
      </c>
    </row>
    <row r="262" spans="1:11" ht="18" customHeight="1" outlineLevel="1" x14ac:dyDescent="0.3">
      <c r="A262" s="30" t="s">
        <v>449</v>
      </c>
      <c r="B262" s="30" t="s">
        <v>266</v>
      </c>
      <c r="C262" s="30" t="s">
        <v>10</v>
      </c>
      <c r="D262" s="30" t="s">
        <v>450</v>
      </c>
      <c r="E262" s="30" t="s">
        <v>6203</v>
      </c>
      <c r="F262" s="30"/>
      <c r="G262" s="30"/>
      <c r="H262" s="30" t="s">
        <v>9411</v>
      </c>
      <c r="J262" t="s">
        <v>9864</v>
      </c>
      <c r="K262" t="inlineStr">
        <is>
          <t>HQ/1F/FF-2.jpg</t>
        </is>
      </c>
    </row>
    <row r="263" spans="1:11" ht="18" customHeight="1" outlineLevel="1" x14ac:dyDescent="0.3">
      <c r="A263" t="s">
        <v>451</v>
      </c>
      <c r="B263" t="s">
        <v>266</v>
      </c>
      <c r="C263" t="s">
        <v>8</v>
      </c>
      <c r="D263" t="s">
        <v>452</v>
      </c>
      <c r="E263" t="s">
        <v>6140</v>
      </c>
      <c r="H263" t="s">
        <v>9412</v>
      </c>
      <c r="J263" t="inlineStr">
        <is>
          <t>LOBBY (GROUND FLOOR)</t>
        </is>
      </c>
      <c r="K263" t="inlineStr">
        <is>
          <t>HQ/1F/FF-1.jpg</t>
        </is>
      </c>
    </row>
    <row r="264" spans="1:11" ht="18" customHeight="1" outlineLevel="1" x14ac:dyDescent="0.3">
      <c r="A264" t="s">
        <v>453</v>
      </c>
      <c r="B264" t="s">
        <v>266</v>
      </c>
      <c r="C264" t="s">
        <v>8</v>
      </c>
      <c r="D264" t="s">
        <v>452</v>
      </c>
      <c r="E264" t="s">
        <v>6140</v>
      </c>
      <c r="J264" t="inlineStr">
        <is>
          <t>LOBBY (GROUND FLOOR)</t>
        </is>
      </c>
      <c r="K264" t="inlineStr">
        <is>
          <t>HQ/1F/FF-1.jpg</t>
        </is>
      </c>
    </row>
    <row r="265" spans="1:11" ht="18" customHeight="1" outlineLevel="1" x14ac:dyDescent="0.3">
      <c r="A265" t="s">
        <v>454</v>
      </c>
      <c r="B265" t="s">
        <v>266</v>
      </c>
      <c r="C265" t="s">
        <v>8</v>
      </c>
      <c r="D265" t="s">
        <v>452</v>
      </c>
      <c r="E265" t="s">
        <v>6140</v>
      </c>
      <c r="J265" t="inlineStr">
        <is>
          <t>LOBBY (GROUND FLOOR)</t>
        </is>
      </c>
      <c r="K265" t="inlineStr">
        <is>
          <t>HQ/1F/FF-2.jpg</t>
        </is>
      </c>
    </row>
    <row r="266" spans="1:11" ht="18" customHeight="1" outlineLevel="1" x14ac:dyDescent="0.3">
      <c r="A266" t="s">
        <v>455</v>
      </c>
      <c r="B266" t="s">
        <v>266</v>
      </c>
      <c r="C266" t="s">
        <v>8</v>
      </c>
      <c r="D266" t="s">
        <v>452</v>
      </c>
      <c r="E266" t="s">
        <v>6140</v>
      </c>
      <c r="J266" t="inlineStr">
        <is>
          <t>LOBBY (GROUND FLOOR)</t>
        </is>
      </c>
      <c r="K266" t="inlineStr">
        <is>
          <t>HQ/1F/FF-2.jpg</t>
        </is>
      </c>
    </row>
    <row r="267" spans="1:11" ht="18" customHeight="1" outlineLevel="1" x14ac:dyDescent="0.3">
      <c r="A267" t="s">
        <v>456</v>
      </c>
      <c r="B267" t="s">
        <v>266</v>
      </c>
      <c r="C267" t="s">
        <v>8</v>
      </c>
      <c r="D267" t="s">
        <v>457</v>
      </c>
      <c r="E267" t="s">
        <v>6204</v>
      </c>
      <c r="J267" t="inlineStr">
        <is>
          <t>1.701 STAFF CAFETERIA</t>
        </is>
      </c>
      <c r="K267" t="inlineStr">
        <is>
          <t>HQ/1F/FF-1.jpg</t>
        </is>
      </c>
    </row>
    <row r="268" spans="1:11" ht="18" customHeight="1" outlineLevel="1" x14ac:dyDescent="0.3">
      <c r="A268" t="s">
        <v>458</v>
      </c>
      <c r="B268" t="s">
        <v>266</v>
      </c>
      <c r="C268" t="s">
        <v>8</v>
      </c>
      <c r="D268" t="s">
        <v>457</v>
      </c>
      <c r="E268" t="s">
        <v>6204</v>
      </c>
      <c r="J268" t="inlineStr">
        <is>
          <t>1.701 STAFF CAFETERIA</t>
        </is>
      </c>
      <c r="K268" t="inlineStr">
        <is>
          <t>HQ/1F/FF-2.jpg</t>
        </is>
      </c>
    </row>
    <row r="269" spans="1:11" ht="18" customHeight="1" outlineLevel="1" x14ac:dyDescent="0.3">
      <c r="A269" t="s">
        <v>459</v>
      </c>
      <c r="B269" t="s">
        <v>266</v>
      </c>
      <c r="C269" t="s">
        <v>8</v>
      </c>
      <c r="D269" t="s">
        <v>460</v>
      </c>
      <c r="E269" t="s">
        <v>6205</v>
      </c>
      <c r="H269" t="s">
        <v>9413</v>
      </c>
      <c r="J269" t="inlineStr">
        <is>
          <t>2.018 DIRECTOR ENSUIT</t>
        </is>
      </c>
      <c r="K269" t="inlineStr">
        <is>
          <t>HQ/2F/SF-1.jpg</t>
        </is>
      </c>
    </row>
    <row r="270" spans="1:11" ht="18" customHeight="1" outlineLevel="1" x14ac:dyDescent="0.3">
      <c r="A270" t="s">
        <v>461</v>
      </c>
      <c r="B270" t="s">
        <v>266</v>
      </c>
      <c r="C270" t="s">
        <v>10</v>
      </c>
      <c r="D270" t="s">
        <v>462</v>
      </c>
      <c r="E270" t="s">
        <v>6206</v>
      </c>
      <c r="H270" t="s">
        <v>9414</v>
      </c>
      <c r="J270" t="inlineStr">
        <is>
          <t>2.019 SUPP. SER. ADMIN</t>
        </is>
      </c>
      <c r="K270" t="inlineStr">
        <is>
          <t>HQ/2F/SF-1.jpg</t>
        </is>
      </c>
    </row>
    <row r="271" spans="1:11" ht="18" customHeight="1" outlineLevel="1" x14ac:dyDescent="0.3">
      <c r="A271" t="s">
        <v>463</v>
      </c>
      <c r="B271" t="s">
        <v>266</v>
      </c>
      <c r="C271" t="s">
        <v>10</v>
      </c>
      <c r="D271" t="s">
        <v>464</v>
      </c>
      <c r="E271" t="s">
        <v>6207</v>
      </c>
      <c r="H271" t="s">
        <v>9415</v>
      </c>
      <c r="J271" t="inlineStr">
        <is>
          <t>2.020 SUPP. SER. ADMIN</t>
        </is>
      </c>
      <c r="K271" t="inlineStr">
        <is>
          <t>HQ/2F/SF-1.jpg</t>
        </is>
      </c>
    </row>
    <row r="272" spans="1:11" ht="18" customHeight="1" outlineLevel="1" x14ac:dyDescent="0.3">
      <c r="A272" t="s">
        <v>465</v>
      </c>
      <c r="B272" t="s">
        <v>266</v>
      </c>
      <c r="C272" t="s">
        <v>10</v>
      </c>
      <c r="D272" t="s">
        <v>466</v>
      </c>
      <c r="E272" t="s">
        <v>6208</v>
      </c>
      <c r="H272" t="s">
        <v>9416</v>
      </c>
      <c r="J272" t="inlineStr">
        <is>
          <t>2.021 SUPP. SER. ADMIN</t>
        </is>
      </c>
      <c r="K272" t="inlineStr">
        <is>
          <t>HQ/2F/SF-1.jpg</t>
        </is>
      </c>
    </row>
    <row r="273" spans="1:11" ht="18" customHeight="1" outlineLevel="1" x14ac:dyDescent="0.3">
      <c r="A273" t="s">
        <v>467</v>
      </c>
      <c r="B273" t="s">
        <v>266</v>
      </c>
      <c r="C273" t="s">
        <v>10</v>
      </c>
      <c r="D273" t="s">
        <v>468</v>
      </c>
      <c r="E273" t="s">
        <v>6209</v>
      </c>
      <c r="H273" t="s">
        <v>9417</v>
      </c>
      <c r="J273" t="inlineStr">
        <is>
          <t>2.022 SUPP. SER. SECRETARY</t>
        </is>
      </c>
      <c r="K273" t="inlineStr">
        <is>
          <t>HQ/2F/SF-1.jpg</t>
        </is>
      </c>
    </row>
    <row r="274" spans="1:11" ht="18" customHeight="1" outlineLevel="1" x14ac:dyDescent="0.3">
      <c r="A274" t="s">
        <v>469</v>
      </c>
      <c r="B274" t="s">
        <v>266</v>
      </c>
      <c r="C274" t="s">
        <v>10</v>
      </c>
      <c r="D274" t="s">
        <v>470</v>
      </c>
      <c r="E274" t="s">
        <v>6210</v>
      </c>
      <c r="H274" t="s">
        <v>9418</v>
      </c>
      <c r="J274" t="inlineStr">
        <is>
          <t>2.023 SUPP. SER. ADMIN</t>
        </is>
      </c>
      <c r="K274" t="inlineStr">
        <is>
          <t>HQ/2F/SF-1.jpg</t>
        </is>
      </c>
    </row>
    <row r="275" spans="1:11" ht="18" customHeight="1" outlineLevel="1" x14ac:dyDescent="0.3">
      <c r="A275" t="s">
        <v>471</v>
      </c>
      <c r="B275" t="s">
        <v>266</v>
      </c>
      <c r="C275" t="s">
        <v>10</v>
      </c>
      <c r="D275" t="s">
        <v>472</v>
      </c>
      <c r="E275" t="s">
        <v>6211</v>
      </c>
      <c r="H275" t="s">
        <v>9419</v>
      </c>
      <c r="J275" t="inlineStr">
        <is>
          <t>2.024 SUPP. SER. ADMIN</t>
        </is>
      </c>
      <c r="K275" t="inlineStr">
        <is>
          <t>HQ/2F/SF-1.jpg</t>
        </is>
      </c>
    </row>
    <row r="276" spans="1:11" ht="18" customHeight="1" outlineLevel="1" x14ac:dyDescent="0.3">
      <c r="A276" t="s">
        <v>473</v>
      </c>
      <c r="B276" t="s">
        <v>266</v>
      </c>
      <c r="C276" t="s">
        <v>10</v>
      </c>
      <c r="D276" t="s">
        <v>474</v>
      </c>
      <c r="E276" t="s">
        <v>6212</v>
      </c>
      <c r="H276" t="s">
        <v>9420</v>
      </c>
      <c r="J276" t="inlineStr">
        <is>
          <t>2.025 SUPP. SER. ADMIN</t>
        </is>
      </c>
      <c r="K276" t="inlineStr">
        <is>
          <t>HQ/2F/SF-1.jpg</t>
        </is>
      </c>
    </row>
    <row r="277" spans="1:11" ht="18" customHeight="1" outlineLevel="1" x14ac:dyDescent="0.3">
      <c r="A277" t="s">
        <v>475</v>
      </c>
      <c r="B277" t="s">
        <v>266</v>
      </c>
      <c r="C277" t="s">
        <v>10</v>
      </c>
      <c r="D277" t="s">
        <v>476</v>
      </c>
      <c r="E277" t="s">
        <v>6213</v>
      </c>
      <c r="H277" t="s">
        <v>9421</v>
      </c>
      <c r="J277" t="inlineStr">
        <is>
          <t>2.026 SUPP. SER. SECRETARY</t>
        </is>
      </c>
      <c r="K277" t="inlineStr">
        <is>
          <t>HQ/2F/SF-1.jpg</t>
        </is>
      </c>
    </row>
    <row r="278" spans="1:11" ht="18" customHeight="1" outlineLevel="1" x14ac:dyDescent="0.3">
      <c r="A278" t="s">
        <v>477</v>
      </c>
      <c r="B278" t="s">
        <v>266</v>
      </c>
      <c r="C278" t="s">
        <v>10</v>
      </c>
      <c r="D278" t="s">
        <v>478</v>
      </c>
      <c r="E278" t="s">
        <v>6214</v>
      </c>
      <c r="H278" t="s">
        <v>9422</v>
      </c>
      <c r="J278" t="inlineStr">
        <is>
          <t>2.027 SUPP. SER. ADMIN</t>
        </is>
      </c>
      <c r="K278" t="inlineStr">
        <is>
          <t>HQ/2F/SF-1.jpg</t>
        </is>
      </c>
    </row>
    <row r="279" spans="1:11" ht="18" customHeight="1" outlineLevel="1" x14ac:dyDescent="0.3">
      <c r="A279" t="s">
        <v>479</v>
      </c>
      <c r="B279" t="s">
        <v>266</v>
      </c>
      <c r="C279" t="s">
        <v>10</v>
      </c>
      <c r="D279" t="s">
        <v>480</v>
      </c>
      <c r="E279" t="s">
        <v>6215</v>
      </c>
      <c r="H279" t="s">
        <v>9423</v>
      </c>
      <c r="J279" t="inlineStr">
        <is>
          <t>2.028 SUPP. SER. ADMIN</t>
        </is>
      </c>
      <c r="K279" t="inlineStr">
        <is>
          <t>HQ/2F/SF-2.jpg</t>
        </is>
      </c>
    </row>
    <row r="280" spans="1:11" ht="18" customHeight="1" outlineLevel="1" x14ac:dyDescent="0.3">
      <c r="A280" t="s">
        <v>481</v>
      </c>
      <c r="B280" t="s">
        <v>266</v>
      </c>
      <c r="C280" t="s">
        <v>10</v>
      </c>
      <c r="D280" t="s">
        <v>482</v>
      </c>
      <c r="E280" t="s">
        <v>6216</v>
      </c>
      <c r="H280" t="s">
        <v>9424</v>
      </c>
      <c r="J280" t="inlineStr">
        <is>
          <t>2.029 SUPP. SER. ADMIN</t>
        </is>
      </c>
      <c r="K280" t="inlineStr">
        <is>
          <t>HQ/2F/SF-2.jpg</t>
        </is>
      </c>
    </row>
    <row r="281" spans="1:11" ht="18" customHeight="1" outlineLevel="1" x14ac:dyDescent="0.3">
      <c r="A281" t="s">
        <v>483</v>
      </c>
      <c r="B281" t="s">
        <v>266</v>
      </c>
      <c r="C281" t="s">
        <v>10</v>
      </c>
      <c r="D281" t="s">
        <v>484</v>
      </c>
      <c r="E281" t="s">
        <v>6217</v>
      </c>
      <c r="H281" t="s">
        <v>9425</v>
      </c>
      <c r="J281" t="inlineStr">
        <is>
          <t>2.030 SUPP. SER. SECRETARY</t>
        </is>
      </c>
      <c r="K281" t="inlineStr">
        <is>
          <t>HQ/2F/SF-2.jpg</t>
        </is>
      </c>
    </row>
    <row r="282" spans="1:11" ht="18" customHeight="1" outlineLevel="1" x14ac:dyDescent="0.3">
      <c r="A282" t="s">
        <v>485</v>
      </c>
      <c r="B282" t="s">
        <v>266</v>
      </c>
      <c r="C282" t="s">
        <v>10</v>
      </c>
      <c r="D282" t="s">
        <v>486</v>
      </c>
      <c r="E282" t="s">
        <v>6218</v>
      </c>
      <c r="H282" t="s">
        <v>9426</v>
      </c>
      <c r="J282" t="inlineStr">
        <is>
          <t>2.031 SUPP. SER. ADMIN</t>
        </is>
      </c>
      <c r="K282" t="inlineStr">
        <is>
          <t>HQ/2F/SF-2.jpg</t>
        </is>
      </c>
    </row>
    <row r="283" spans="1:11" ht="18" customHeight="1" outlineLevel="1" x14ac:dyDescent="0.3">
      <c r="A283" t="s">
        <v>487</v>
      </c>
      <c r="B283" t="s">
        <v>266</v>
      </c>
      <c r="C283" t="s">
        <v>10</v>
      </c>
      <c r="D283" t="s">
        <v>488</v>
      </c>
      <c r="E283" t="s">
        <v>6219</v>
      </c>
      <c r="H283" t="s">
        <v>9427</v>
      </c>
      <c r="J283" t="inlineStr">
        <is>
          <t>2.032 SUPP. SER. ADMIN</t>
        </is>
      </c>
      <c r="K283" t="inlineStr">
        <is>
          <t>HQ/2F/SF-2.jpg</t>
        </is>
      </c>
    </row>
    <row r="284" spans="1:11" ht="18" customHeight="1" outlineLevel="1" x14ac:dyDescent="0.3">
      <c r="A284" t="s">
        <v>489</v>
      </c>
      <c r="B284" t="s">
        <v>266</v>
      </c>
      <c r="C284" t="s">
        <v>10</v>
      </c>
      <c r="D284" t="s">
        <v>490</v>
      </c>
      <c r="E284" t="s">
        <v>6220</v>
      </c>
      <c r="H284" t="s">
        <v>9428</v>
      </c>
      <c r="J284" t="inlineStr">
        <is>
          <t>2.033 SUPP. SER. ADMIN</t>
        </is>
      </c>
      <c r="K284" t="inlineStr">
        <is>
          <t>HQ/2F/SF-2.jpg</t>
        </is>
      </c>
    </row>
    <row r="285" spans="1:11" ht="18" customHeight="1" outlineLevel="1" x14ac:dyDescent="0.3">
      <c r="A285" t="s">
        <v>491</v>
      </c>
      <c r="B285" t="s">
        <v>266</v>
      </c>
      <c r="C285" t="s">
        <v>10</v>
      </c>
      <c r="D285" t="s">
        <v>492</v>
      </c>
      <c r="E285" t="s">
        <v>6221</v>
      </c>
      <c r="H285" t="s">
        <v>9429</v>
      </c>
      <c r="J285" t="inlineStr">
        <is>
          <t>2.034 SUPP. SER. SECRETARY</t>
        </is>
      </c>
      <c r="K285" t="inlineStr">
        <is>
          <t>HQ/2F/SF-2.jpg</t>
        </is>
      </c>
    </row>
    <row r="286" spans="1:11" ht="18" customHeight="1" outlineLevel="1" x14ac:dyDescent="0.3">
      <c r="A286" t="s">
        <v>493</v>
      </c>
      <c r="B286" t="s">
        <v>266</v>
      </c>
      <c r="C286" t="s">
        <v>10</v>
      </c>
      <c r="D286" t="s">
        <v>494</v>
      </c>
      <c r="E286" t="s">
        <v>6222</v>
      </c>
      <c r="H286" t="s">
        <v>9430</v>
      </c>
      <c r="J286" t="inlineStr">
        <is>
          <t>2.035 SUPP. SER. ADMIN</t>
        </is>
      </c>
      <c r="K286" t="inlineStr">
        <is>
          <t>HQ/2F/SF-2.jpg</t>
        </is>
      </c>
    </row>
    <row r="287" spans="1:11" ht="18" customHeight="1" outlineLevel="1" x14ac:dyDescent="0.3">
      <c r="A287" t="s">
        <v>495</v>
      </c>
      <c r="B287" t="s">
        <v>266</v>
      </c>
      <c r="C287" t="s">
        <v>10</v>
      </c>
      <c r="D287" t="s">
        <v>496</v>
      </c>
      <c r="E287" t="s">
        <v>6223</v>
      </c>
      <c r="H287" t="s">
        <v>9431</v>
      </c>
      <c r="J287" t="inlineStr">
        <is>
          <t>2.036 SUPP. SER. ADMIN</t>
        </is>
      </c>
      <c r="K287" t="inlineStr">
        <is>
          <t>HQ/2F/SF-2.jpg</t>
        </is>
      </c>
    </row>
    <row r="288" spans="1:11" ht="18" customHeight="1" outlineLevel="1" x14ac:dyDescent="0.3">
      <c r="A288" t="s">
        <v>497</v>
      </c>
      <c r="B288" t="s">
        <v>266</v>
      </c>
      <c r="C288" t="s">
        <v>10</v>
      </c>
      <c r="D288" t="s">
        <v>498</v>
      </c>
      <c r="E288" t="s">
        <v>6224</v>
      </c>
      <c r="H288" t="s">
        <v>9432</v>
      </c>
      <c r="J288" t="inlineStr">
        <is>
          <t>2.110A OFFICE SPACE</t>
        </is>
      </c>
      <c r="K288" t="inlineStr">
        <is>
          <t>HQ/2F/SF-2.jpg</t>
        </is>
      </c>
    </row>
    <row r="289" spans="1:11" ht="18" customHeight="1" outlineLevel="1" x14ac:dyDescent="0.3">
      <c r="A289" t="s">
        <v>499</v>
      </c>
      <c r="B289" t="s">
        <v>266</v>
      </c>
      <c r="C289" t="s">
        <v>8</v>
      </c>
      <c r="D289" t="s">
        <v>500</v>
      </c>
      <c r="E289" t="s">
        <v>6225</v>
      </c>
      <c r="H289" t="s">
        <v>9379</v>
      </c>
      <c r="J289" t="inlineStr">
        <is>
          <t>NORTH EAST CORRIDOR</t>
        </is>
      </c>
      <c r="K289" t="inlineStr">
        <is>
          <t>HQ/2F/SF-2.jpg</t>
        </is>
      </c>
    </row>
    <row r="290" spans="1:11" ht="18" customHeight="1" outlineLevel="1" x14ac:dyDescent="0.3">
      <c r="A290" t="s">
        <v>501</v>
      </c>
      <c r="B290" t="s">
        <v>266</v>
      </c>
      <c r="C290" t="s">
        <v>8</v>
      </c>
      <c r="D290" t="s">
        <v>500</v>
      </c>
      <c r="E290" t="s">
        <v>6225</v>
      </c>
      <c r="H290" t="s">
        <v>5816</v>
      </c>
      <c r="J290" t="inlineStr">
        <is>
          <t>NORTH EAST CORRIDOR</t>
        </is>
      </c>
      <c r="K290" t="inlineStr">
        <is>
          <t>HQ/2F/SF-2.jpg</t>
        </is>
      </c>
    </row>
    <row r="291" spans="1:11" ht="18" customHeight="1" outlineLevel="1" x14ac:dyDescent="0.3">
      <c r="A291" t="s">
        <v>502</v>
      </c>
      <c r="B291" t="s">
        <v>266</v>
      </c>
      <c r="C291" t="s">
        <v>8</v>
      </c>
      <c r="D291" t="s">
        <v>503</v>
      </c>
      <c r="E291" t="s">
        <v>6226</v>
      </c>
      <c r="H291" t="s">
        <v>9433</v>
      </c>
      <c r="J291" t="inlineStr">
        <is>
          <t>2.109 FEMALE PRAYER ROOM</t>
        </is>
      </c>
      <c r="K291" t="inlineStr">
        <is>
          <t>HQ/2F/SF-1.jpg</t>
        </is>
      </c>
    </row>
    <row r="292" spans="1:11" ht="18" customHeight="1" outlineLevel="1" x14ac:dyDescent="0.3">
      <c r="A292" t="s">
        <v>504</v>
      </c>
      <c r="B292" t="s">
        <v>266</v>
      </c>
      <c r="C292" t="s">
        <v>10</v>
      </c>
      <c r="D292" t="s">
        <v>505</v>
      </c>
      <c r="E292" t="s">
        <v>6227</v>
      </c>
      <c r="H292" t="s">
        <v>9434</v>
      </c>
      <c r="J292" t="inlineStr">
        <is>
          <t>2.108 MEETING ROOM</t>
        </is>
      </c>
      <c r="K292" t="inlineStr">
        <is>
          <t>HQ/2F/SF-1.jpg</t>
        </is>
      </c>
    </row>
    <row r="293" spans="1:11" ht="18" customHeight="1" outlineLevel="1" x14ac:dyDescent="0.3">
      <c r="A293" t="s">
        <v>506</v>
      </c>
      <c r="B293" t="s">
        <v>266</v>
      </c>
      <c r="C293" t="s">
        <v>10</v>
      </c>
      <c r="D293" t="s">
        <v>505</v>
      </c>
      <c r="E293" t="s">
        <v>6227</v>
      </c>
      <c r="J293" t="inlineStr">
        <is>
          <t>2.108 MEETING ROOM</t>
        </is>
      </c>
      <c r="K293" t="inlineStr">
        <is>
          <t>HQ/2F/SF-1.jpg</t>
        </is>
      </c>
    </row>
    <row r="294" spans="1:11" ht="18" customHeight="1" outlineLevel="1" x14ac:dyDescent="0.3">
      <c r="A294" t="s">
        <v>507</v>
      </c>
      <c r="B294" t="s">
        <v>266</v>
      </c>
      <c r="C294" t="s">
        <v>8</v>
      </c>
      <c r="D294" t="s">
        <v>508</v>
      </c>
      <c r="E294" t="s">
        <v>6228</v>
      </c>
      <c r="J294" t="inlineStr">
        <is>
          <t>2.105 LOUNGE</t>
        </is>
      </c>
      <c r="K294" t="inlineStr">
        <is>
          <t>HQ/2F/SF-1.jpg</t>
        </is>
      </c>
    </row>
    <row r="295" spans="1:11" ht="18" customHeight="1" outlineLevel="1" x14ac:dyDescent="0.3">
      <c r="A295" t="s">
        <v>509</v>
      </c>
      <c r="B295" t="s">
        <v>266</v>
      </c>
      <c r="C295" t="s">
        <v>10</v>
      </c>
      <c r="D295" t="s">
        <v>510</v>
      </c>
      <c r="E295" t="s">
        <v>6229</v>
      </c>
      <c r="H295" t="s">
        <v>9435</v>
      </c>
      <c r="J295" t="inlineStr">
        <is>
          <t>2.104 CONSULTANT SPACE</t>
        </is>
      </c>
      <c r="K295" t="inlineStr">
        <is>
          <t>HQ/2F/SF-1.jpg</t>
        </is>
      </c>
    </row>
    <row r="296" spans="1:11" ht="18" customHeight="1" outlineLevel="1" x14ac:dyDescent="0.3">
      <c r="A296" t="s">
        <v>511</v>
      </c>
      <c r="B296" t="s">
        <v>266</v>
      </c>
      <c r="C296" t="s">
        <v>10</v>
      </c>
      <c r="D296" t="s">
        <v>510</v>
      </c>
      <c r="E296" t="s">
        <v>6229</v>
      </c>
      <c r="J296" t="inlineStr">
        <is>
          <t>2.104 CONSULTANT SPACE</t>
        </is>
      </c>
      <c r="K296" t="inlineStr">
        <is>
          <t>HQ/2F/SF-1.jpg</t>
        </is>
      </c>
    </row>
    <row r="297" spans="1:11" ht="18" customHeight="1" outlineLevel="1" x14ac:dyDescent="0.3">
      <c r="A297" t="s">
        <v>512</v>
      </c>
      <c r="B297" t="s">
        <v>266</v>
      </c>
      <c r="C297" t="s">
        <v>10</v>
      </c>
      <c r="D297" t="s">
        <v>513</v>
      </c>
      <c r="E297" t="s">
        <v>6230</v>
      </c>
      <c r="H297" t="s">
        <v>9436</v>
      </c>
      <c r="J297" t="inlineStr">
        <is>
          <t>2.102 CONSULTANT SPACE</t>
        </is>
      </c>
      <c r="K297" t="inlineStr">
        <is>
          <t>HQ/2F/SF-1.jpg</t>
        </is>
      </c>
    </row>
    <row r="298" spans="1:11" ht="18" customHeight="1" outlineLevel="1" x14ac:dyDescent="0.3">
      <c r="A298" t="s">
        <v>514</v>
      </c>
      <c r="B298" t="s">
        <v>266</v>
      </c>
      <c r="C298" t="s">
        <v>10</v>
      </c>
      <c r="D298" t="s">
        <v>515</v>
      </c>
      <c r="E298" t="s">
        <v>6231</v>
      </c>
      <c r="H298" t="s">
        <v>9437</v>
      </c>
      <c r="J298" t="inlineStr">
        <is>
          <t>2.017 SUPP. SER. SECRETARY</t>
        </is>
      </c>
      <c r="K298" t="inlineStr">
        <is>
          <t>HQ/2F/SF-1.jpg</t>
        </is>
      </c>
    </row>
    <row r="299" spans="1:11" ht="18" customHeight="1" outlineLevel="1" x14ac:dyDescent="0.3">
      <c r="A299" t="s">
        <v>516</v>
      </c>
      <c r="B299" t="s">
        <v>266</v>
      </c>
      <c r="C299" t="s">
        <v>10</v>
      </c>
      <c r="D299" t="s">
        <v>517</v>
      </c>
      <c r="E299" t="s">
        <v>6232</v>
      </c>
      <c r="H299" t="s">
        <v>9438</v>
      </c>
      <c r="J299" t="inlineStr">
        <is>
          <t>2.016 SUPP. SER. ADMIN</t>
        </is>
      </c>
      <c r="K299" t="inlineStr">
        <is>
          <t>HQ/2F/SF-1.jpg</t>
        </is>
      </c>
    </row>
    <row r="300" spans="1:11" ht="18" customHeight="1" outlineLevel="1" x14ac:dyDescent="0.3">
      <c r="A300" t="s">
        <v>518</v>
      </c>
      <c r="B300" t="s">
        <v>266</v>
      </c>
      <c r="C300" t="s">
        <v>10</v>
      </c>
      <c r="D300" t="s">
        <v>519</v>
      </c>
      <c r="E300" t="s">
        <v>6233</v>
      </c>
      <c r="H300" t="s">
        <v>9439</v>
      </c>
      <c r="J300" t="inlineStr">
        <is>
          <t>2.015 SUPP. SER. ADMIN</t>
        </is>
      </c>
      <c r="K300" t="inlineStr">
        <is>
          <t>HQ/2F/SF-1.jpg</t>
        </is>
      </c>
    </row>
    <row r="301" spans="1:11" ht="18" customHeight="1" outlineLevel="1" x14ac:dyDescent="0.3">
      <c r="A301" t="s">
        <v>520</v>
      </c>
      <c r="B301" t="s">
        <v>266</v>
      </c>
      <c r="C301" t="s">
        <v>10</v>
      </c>
      <c r="D301" t="s">
        <v>521</v>
      </c>
      <c r="E301" t="s">
        <v>6234</v>
      </c>
      <c r="H301" t="s">
        <v>9440</v>
      </c>
      <c r="J301" t="inlineStr">
        <is>
          <t>2.014 SUPP. SER. ADMIN</t>
        </is>
      </c>
      <c r="K301" t="inlineStr">
        <is>
          <t>HQ/2F/SF-1.jpg</t>
        </is>
      </c>
    </row>
    <row r="302" spans="1:11" ht="18" customHeight="1" outlineLevel="1" x14ac:dyDescent="0.3">
      <c r="A302" t="s">
        <v>522</v>
      </c>
      <c r="B302" t="s">
        <v>266</v>
      </c>
      <c r="C302" t="s">
        <v>10</v>
      </c>
      <c r="D302" t="s">
        <v>523</v>
      </c>
      <c r="E302" t="s">
        <v>6235</v>
      </c>
      <c r="H302" t="s">
        <v>9441</v>
      </c>
      <c r="J302" t="inlineStr">
        <is>
          <t>2.013 SUPP. SER. SECRETARY</t>
        </is>
      </c>
      <c r="K302" t="inlineStr">
        <is>
          <t>HQ/2F/SF-1.jpg</t>
        </is>
      </c>
    </row>
    <row r="303" spans="1:11" ht="18" customHeight="1" outlineLevel="1" x14ac:dyDescent="0.3">
      <c r="A303" t="s">
        <v>524</v>
      </c>
      <c r="B303" t="s">
        <v>266</v>
      </c>
      <c r="C303" t="s">
        <v>10</v>
      </c>
      <c r="D303" t="s">
        <v>525</v>
      </c>
      <c r="E303" t="s">
        <v>6236</v>
      </c>
      <c r="H303" t="s">
        <v>9442</v>
      </c>
      <c r="J303" t="inlineStr">
        <is>
          <t>2.012 SUPP. SER. ADMIN</t>
        </is>
      </c>
      <c r="K303" t="inlineStr">
        <is>
          <t>HQ/2F/SF-1.jpg</t>
        </is>
      </c>
    </row>
    <row r="304" spans="1:11" ht="18" customHeight="1" outlineLevel="1" x14ac:dyDescent="0.3">
      <c r="A304" t="s">
        <v>526</v>
      </c>
      <c r="B304" t="s">
        <v>266</v>
      </c>
      <c r="C304" t="s">
        <v>10</v>
      </c>
      <c r="D304" t="s">
        <v>527</v>
      </c>
      <c r="E304" t="s">
        <v>6237</v>
      </c>
      <c r="H304" t="s">
        <v>9443</v>
      </c>
      <c r="J304" t="inlineStr">
        <is>
          <t>2.011 SUPP. SER. ADMIN</t>
        </is>
      </c>
      <c r="K304" t="inlineStr">
        <is>
          <t>HQ/2F/SF-1.jpg</t>
        </is>
      </c>
    </row>
    <row r="305" spans="1:11" ht="18" customHeight="1" outlineLevel="1" x14ac:dyDescent="0.3">
      <c r="A305" t="s">
        <v>528</v>
      </c>
      <c r="B305" t="s">
        <v>266</v>
      </c>
      <c r="C305" t="s">
        <v>10</v>
      </c>
      <c r="D305" t="s">
        <v>529</v>
      </c>
      <c r="E305" t="s">
        <v>6238</v>
      </c>
      <c r="H305" t="s">
        <v>9444</v>
      </c>
      <c r="J305" t="inlineStr">
        <is>
          <t>2.010 SUPP. SER. ADMIN</t>
        </is>
      </c>
      <c r="K305" t="inlineStr">
        <is>
          <t>HQ/2F/SF-1.jpg</t>
        </is>
      </c>
    </row>
    <row r="306" spans="1:11" ht="18" customHeight="1" outlineLevel="1" x14ac:dyDescent="0.3">
      <c r="A306" t="s">
        <v>530</v>
      </c>
      <c r="B306" t="s">
        <v>266</v>
      </c>
      <c r="C306" t="s">
        <v>10</v>
      </c>
      <c r="D306" t="s">
        <v>531</v>
      </c>
      <c r="E306" t="s">
        <v>6239</v>
      </c>
      <c r="H306" t="s">
        <v>9445</v>
      </c>
      <c r="J306" t="inlineStr">
        <is>
          <t>2.009 SUPP. SER. SECRETARY</t>
        </is>
      </c>
      <c r="K306" t="inlineStr">
        <is>
          <t>HQ/2F/SF-1.jpg</t>
        </is>
      </c>
    </row>
    <row r="307" spans="1:11" ht="18" customHeight="1" outlineLevel="1" x14ac:dyDescent="0.3">
      <c r="A307" t="s">
        <v>532</v>
      </c>
      <c r="B307" t="s">
        <v>266</v>
      </c>
      <c r="C307" t="s">
        <v>8</v>
      </c>
      <c r="D307" t="s">
        <v>533</v>
      </c>
      <c r="E307" t="s">
        <v>6240</v>
      </c>
      <c r="H307" t="s">
        <v>9446</v>
      </c>
      <c r="J307" t="inlineStr">
        <is>
          <t>2.008 DEBATE EXECUTIVE</t>
        </is>
      </c>
      <c r="K307" t="inlineStr">
        <is>
          <t>HQ/2F/SF-1.jpg</t>
        </is>
      </c>
    </row>
    <row r="308" spans="1:11" ht="18" customHeight="1" outlineLevel="1" x14ac:dyDescent="0.3">
      <c r="A308" t="s">
        <v>534</v>
      </c>
      <c r="B308" t="s">
        <v>266</v>
      </c>
      <c r="C308" t="s">
        <v>8</v>
      </c>
      <c r="D308" t="s">
        <v>535</v>
      </c>
      <c r="E308" t="s">
        <v>6241</v>
      </c>
      <c r="H308" t="s">
        <v>9447</v>
      </c>
      <c r="J308" t="inlineStr">
        <is>
          <t>2.007 DEBATE EXECUTIVE</t>
        </is>
      </c>
      <c r="K308" t="inlineStr">
        <is>
          <t>HQ/2F/SF-1.jpg</t>
        </is>
      </c>
    </row>
    <row r="309" spans="1:11" ht="18" customHeight="1" outlineLevel="1" x14ac:dyDescent="0.3">
      <c r="A309" t="s">
        <v>536</v>
      </c>
      <c r="B309" t="s">
        <v>266</v>
      </c>
      <c r="C309" t="s">
        <v>8</v>
      </c>
      <c r="D309" t="s">
        <v>537</v>
      </c>
      <c r="E309" t="s">
        <v>6242</v>
      </c>
      <c r="H309" t="s">
        <v>9448</v>
      </c>
      <c r="J309" t="inlineStr">
        <is>
          <t>2.006 DEBATE EXECUTIVE</t>
        </is>
      </c>
      <c r="K309" t="inlineStr">
        <is>
          <t>HQ/2F/SF-1.jpg</t>
        </is>
      </c>
    </row>
    <row r="310" spans="1:11" ht="18" customHeight="1" outlineLevel="1" x14ac:dyDescent="0.3">
      <c r="A310" t="s">
        <v>538</v>
      </c>
      <c r="B310" t="s">
        <v>266</v>
      </c>
      <c r="C310" t="s">
        <v>8</v>
      </c>
      <c r="D310" t="s">
        <v>539</v>
      </c>
      <c r="E310" t="s">
        <v>6243</v>
      </c>
      <c r="H310" t="s">
        <v>9449</v>
      </c>
      <c r="J310" t="inlineStr">
        <is>
          <t>2.005 DEBATE EXECUTIVE</t>
        </is>
      </c>
      <c r="K310" t="inlineStr">
        <is>
          <t>HQ/2F/SF-1.jpg</t>
        </is>
      </c>
    </row>
    <row r="311" spans="1:11" ht="18" customHeight="1" outlineLevel="1" x14ac:dyDescent="0.3">
      <c r="A311" t="s">
        <v>540</v>
      </c>
      <c r="B311" t="s">
        <v>266</v>
      </c>
      <c r="C311" t="s">
        <v>10</v>
      </c>
      <c r="D311" t="s">
        <v>541</v>
      </c>
      <c r="E311" t="s">
        <v>6244</v>
      </c>
      <c r="H311" t="s">
        <v>9450</v>
      </c>
      <c r="J311" t="inlineStr">
        <is>
          <t>2.004 DEBATE SECRETARY</t>
        </is>
      </c>
      <c r="K311" t="inlineStr">
        <is>
          <t>HQ/2F/SF-1.jpg</t>
        </is>
      </c>
    </row>
    <row r="312" spans="1:11" ht="18" customHeight="1" outlineLevel="1" x14ac:dyDescent="0.3">
      <c r="A312" t="s">
        <v>542</v>
      </c>
      <c r="B312" t="s">
        <v>266</v>
      </c>
      <c r="C312" t="s">
        <v>8</v>
      </c>
      <c r="D312" t="s">
        <v>543</v>
      </c>
      <c r="E312" t="s">
        <v>6245</v>
      </c>
      <c r="H312" t="s">
        <v>9451</v>
      </c>
      <c r="J312" t="inlineStr">
        <is>
          <t>2.003 DEBATE EXECUTIVE</t>
        </is>
      </c>
      <c r="K312" t="inlineStr">
        <is>
          <t>HQ/2F/SF-1.jpg</t>
        </is>
      </c>
    </row>
    <row r="313" spans="1:11" ht="18" customHeight="1" outlineLevel="1" x14ac:dyDescent="0.3">
      <c r="A313" t="s">
        <v>544</v>
      </c>
      <c r="B313" t="s">
        <v>266</v>
      </c>
      <c r="C313" t="s">
        <v>8</v>
      </c>
      <c r="D313" t="s">
        <v>545</v>
      </c>
      <c r="E313" t="s">
        <v>6246</v>
      </c>
      <c r="H313" t="s">
        <v>9452</v>
      </c>
      <c r="J313" t="inlineStr">
        <is>
          <t>2.002 DEBATE EXECUTIVE</t>
        </is>
      </c>
      <c r="K313" t="inlineStr">
        <is>
          <t>HQ/2F/SF-1.jpg</t>
        </is>
      </c>
    </row>
    <row r="314" spans="1:11" ht="18" customHeight="1" outlineLevel="1" x14ac:dyDescent="0.3">
      <c r="A314" t="s">
        <v>546</v>
      </c>
      <c r="B314" t="s">
        <v>266</v>
      </c>
      <c r="C314" t="s">
        <v>10</v>
      </c>
      <c r="D314" t="s">
        <v>547</v>
      </c>
      <c r="E314" t="s">
        <v>6247</v>
      </c>
      <c r="J314" t="inlineStr">
        <is>
          <t>2.001 STORAGE ROOM</t>
        </is>
      </c>
      <c r="K314" t="inlineStr">
        <is>
          <t>HQ/2F/SF-1.jpg</t>
        </is>
      </c>
    </row>
    <row r="315" spans="1:11" ht="18" customHeight="1" outlineLevel="1" x14ac:dyDescent="0.3">
      <c r="A315" t="s">
        <v>548</v>
      </c>
      <c r="B315" t="s">
        <v>266</v>
      </c>
      <c r="C315" t="s">
        <v>10</v>
      </c>
      <c r="D315" t="s">
        <v>549</v>
      </c>
      <c r="E315" t="s">
        <v>6248</v>
      </c>
      <c r="H315" t="s">
        <v>9453</v>
      </c>
      <c r="J315" t="inlineStr">
        <is>
          <t>2.101A OFFICE SPACE</t>
        </is>
      </c>
      <c r="K315" t="inlineStr">
        <is>
          <t>HQ/2F/SF-1.jpg</t>
        </is>
      </c>
    </row>
    <row r="316" spans="1:11" ht="18" customHeight="1" outlineLevel="1" x14ac:dyDescent="0.3">
      <c r="A316" t="s">
        <v>550</v>
      </c>
      <c r="B316" t="s">
        <v>266</v>
      </c>
      <c r="C316" t="s">
        <v>8</v>
      </c>
      <c r="D316" t="s">
        <v>500</v>
      </c>
      <c r="E316" t="s">
        <v>6225</v>
      </c>
      <c r="H316" t="s">
        <v>9382</v>
      </c>
      <c r="J316" t="inlineStr">
        <is>
          <t>SOUTH WEST CORRIDOR</t>
        </is>
      </c>
      <c r="K316" t="inlineStr">
        <is>
          <t>HQ/2F/SF-1.jpg</t>
        </is>
      </c>
    </row>
    <row r="317" spans="1:11" ht="18" customHeight="1" outlineLevel="1" x14ac:dyDescent="0.3">
      <c r="A317" t="s">
        <v>551</v>
      </c>
      <c r="B317" t="s">
        <v>266</v>
      </c>
      <c r="C317" t="s">
        <v>10</v>
      </c>
      <c r="D317" t="s">
        <v>552</v>
      </c>
      <c r="E317" t="s">
        <v>6249</v>
      </c>
      <c r="H317" t="s">
        <v>9454</v>
      </c>
      <c r="J317" t="inlineStr">
        <is>
          <t>3.017 HR IMMIG STAFF</t>
        </is>
      </c>
      <c r="K317" t="inlineStr">
        <is>
          <t>HQ/3F/3F-1.jpg</t>
        </is>
      </c>
    </row>
    <row r="318" spans="1:11" ht="18" customHeight="1" outlineLevel="1" x14ac:dyDescent="0.3">
      <c r="A318" t="s">
        <v>553</v>
      </c>
      <c r="B318" t="s">
        <v>266</v>
      </c>
      <c r="C318" t="s">
        <v>10</v>
      </c>
      <c r="D318" t="s">
        <v>554</v>
      </c>
      <c r="E318" t="s">
        <v>6250</v>
      </c>
      <c r="H318" t="s">
        <v>9455</v>
      </c>
      <c r="J318" t="inlineStr">
        <is>
          <t>3.018 HR IMMIG STAFF</t>
        </is>
      </c>
      <c r="K318" t="inlineStr">
        <is>
          <t>HQ/3F/3F-1.jpg</t>
        </is>
      </c>
    </row>
    <row r="319" spans="1:11" ht="18" customHeight="1" outlineLevel="1" x14ac:dyDescent="0.3">
      <c r="A319" t="s">
        <v>555</v>
      </c>
      <c r="B319" t="s">
        <v>266</v>
      </c>
      <c r="C319" t="s">
        <v>10</v>
      </c>
      <c r="D319" t="s">
        <v>556</v>
      </c>
      <c r="E319" t="s">
        <v>6251</v>
      </c>
      <c r="H319" t="s">
        <v>9456</v>
      </c>
      <c r="J319" t="inlineStr">
        <is>
          <t>3.019 HR IMMIG STAFF</t>
        </is>
      </c>
      <c r="K319" t="inlineStr">
        <is>
          <t>HQ/3F/3F-1.jpg</t>
        </is>
      </c>
    </row>
    <row r="320" spans="1:11" ht="18" customHeight="1" outlineLevel="1" x14ac:dyDescent="0.3">
      <c r="A320" t="s">
        <v>557</v>
      </c>
      <c r="B320" t="s">
        <v>266</v>
      </c>
      <c r="C320" t="s">
        <v>10</v>
      </c>
      <c r="D320" t="s">
        <v>558</v>
      </c>
      <c r="E320" t="s">
        <v>6252</v>
      </c>
      <c r="H320" t="s">
        <v>9457</v>
      </c>
      <c r="J320" t="inlineStr">
        <is>
          <t>3.020 HR IMMIG STAFF</t>
        </is>
      </c>
      <c r="K320" t="inlineStr">
        <is>
          <t>HQ/3F/3F-1.jpg</t>
        </is>
      </c>
    </row>
    <row r="321" spans="1:11" ht="18" customHeight="1" outlineLevel="1" x14ac:dyDescent="0.3">
      <c r="A321" t="s">
        <v>559</v>
      </c>
      <c r="B321" t="s">
        <v>266</v>
      </c>
      <c r="C321" t="s">
        <v>10</v>
      </c>
      <c r="D321" t="s">
        <v>560</v>
      </c>
      <c r="E321" t="s">
        <v>6253</v>
      </c>
      <c r="H321" t="s">
        <v>9458</v>
      </c>
      <c r="J321" t="inlineStr">
        <is>
          <t>3.021 HR IMMIG STAFF</t>
        </is>
      </c>
      <c r="K321" t="inlineStr">
        <is>
          <t>HQ/3F/3F-1.jpg</t>
        </is>
      </c>
    </row>
    <row r="322" spans="1:11" ht="18" customHeight="1" outlineLevel="1" x14ac:dyDescent="0.3">
      <c r="A322" t="s">
        <v>561</v>
      </c>
      <c r="B322" t="s">
        <v>266</v>
      </c>
      <c r="C322" t="s">
        <v>10</v>
      </c>
      <c r="D322" t="s">
        <v>562</v>
      </c>
      <c r="E322" t="s">
        <v>6254</v>
      </c>
      <c r="H322" t="s">
        <v>9459</v>
      </c>
      <c r="J322" t="inlineStr">
        <is>
          <t>3.022 HR IMMIG STAFF</t>
        </is>
      </c>
      <c r="K322" t="inlineStr">
        <is>
          <t>HQ/3F/3F-1.jpg</t>
        </is>
      </c>
    </row>
    <row r="323" spans="1:11" ht="18" customHeight="1" outlineLevel="1" x14ac:dyDescent="0.3">
      <c r="A323" t="s">
        <v>563</v>
      </c>
      <c r="B323" t="s">
        <v>266</v>
      </c>
      <c r="C323" t="s">
        <v>10</v>
      </c>
      <c r="D323" t="s">
        <v>564</v>
      </c>
      <c r="E323" t="s">
        <v>6255</v>
      </c>
      <c r="H323" t="s">
        <v>9460</v>
      </c>
      <c r="J323" t="inlineStr">
        <is>
          <t>3.023 HR IMMIG STAFF</t>
        </is>
      </c>
      <c r="K323" t="inlineStr">
        <is>
          <t>HQ/3F/3F-1.jpg</t>
        </is>
      </c>
    </row>
    <row r="324" spans="1:11" ht="18" customHeight="1" outlineLevel="1" x14ac:dyDescent="0.3">
      <c r="A324" t="s">
        <v>565</v>
      </c>
      <c r="B324" t="s">
        <v>266</v>
      </c>
      <c r="C324" t="s">
        <v>10</v>
      </c>
      <c r="D324" t="s">
        <v>566</v>
      </c>
      <c r="E324" t="s">
        <v>6256</v>
      </c>
      <c r="H324" t="s">
        <v>9461</v>
      </c>
      <c r="J324" t="inlineStr">
        <is>
          <t>3.024 HR IMMIG STAFF</t>
        </is>
      </c>
      <c r="K324" t="inlineStr">
        <is>
          <t>HQ/3F/3F-1.jpg</t>
        </is>
      </c>
    </row>
    <row r="325" spans="1:11" ht="18" customHeight="1" outlineLevel="1" x14ac:dyDescent="0.3">
      <c r="A325" t="s">
        <v>567</v>
      </c>
      <c r="B325" t="s">
        <v>266</v>
      </c>
      <c r="C325" t="s">
        <v>10</v>
      </c>
      <c r="D325" t="s">
        <v>568</v>
      </c>
      <c r="E325" t="s">
        <v>6257</v>
      </c>
      <c r="H325" t="s">
        <v>9462</v>
      </c>
      <c r="J325" t="inlineStr">
        <is>
          <t>3.025 HR IMMIG STAFF</t>
        </is>
      </c>
      <c r="K325" t="inlineStr">
        <is>
          <t>HQ/3F/3F-1.jpg</t>
        </is>
      </c>
    </row>
    <row r="326" spans="1:11" ht="18" customHeight="1" outlineLevel="1" x14ac:dyDescent="0.3">
      <c r="A326" t="s">
        <v>569</v>
      </c>
      <c r="B326" t="s">
        <v>266</v>
      </c>
      <c r="C326" t="s">
        <v>10</v>
      </c>
      <c r="D326" t="s">
        <v>570</v>
      </c>
      <c r="E326" t="s">
        <v>6258</v>
      </c>
      <c r="H326" t="s">
        <v>9463</v>
      </c>
      <c r="J326" t="inlineStr">
        <is>
          <t>3.026 HR IMMIG STAFF</t>
        </is>
      </c>
      <c r="K326" t="inlineStr">
        <is>
          <t>HQ/3F/3F-1.jpg</t>
        </is>
      </c>
    </row>
    <row r="327" spans="1:11" ht="18" customHeight="1" outlineLevel="1" x14ac:dyDescent="0.3">
      <c r="A327" t="s">
        <v>571</v>
      </c>
      <c r="B327" t="s">
        <v>266</v>
      </c>
      <c r="C327" t="s">
        <v>10</v>
      </c>
      <c r="D327" t="s">
        <v>572</v>
      </c>
      <c r="E327" t="s">
        <v>6259</v>
      </c>
      <c r="H327" t="s">
        <v>9464</v>
      </c>
      <c r="J327" t="inlineStr">
        <is>
          <t>3.027 HR IMMIG STAFF</t>
        </is>
      </c>
      <c r="K327" t="inlineStr">
        <is>
          <t>HQ/3F/3F-2.jpg</t>
        </is>
      </c>
    </row>
    <row r="328" spans="1:11" ht="18" customHeight="1" outlineLevel="1" x14ac:dyDescent="0.3">
      <c r="A328" t="s">
        <v>573</v>
      </c>
      <c r="B328" t="s">
        <v>266</v>
      </c>
      <c r="C328" t="s">
        <v>10</v>
      </c>
      <c r="D328" t="s">
        <v>574</v>
      </c>
      <c r="E328" t="s">
        <v>6260</v>
      </c>
      <c r="H328" t="s">
        <v>9465</v>
      </c>
      <c r="J328" t="inlineStr">
        <is>
          <t>3.028 HR IMMIG STAFF</t>
        </is>
      </c>
      <c r="K328" t="inlineStr">
        <is>
          <t>HQ/3F/3F-2.jpg</t>
        </is>
      </c>
    </row>
    <row r="329" spans="1:11" ht="18" customHeight="1" outlineLevel="1" x14ac:dyDescent="0.3">
      <c r="A329" t="s">
        <v>575</v>
      </c>
      <c r="B329" t="s">
        <v>266</v>
      </c>
      <c r="C329" t="s">
        <v>10</v>
      </c>
      <c r="D329" t="s">
        <v>576</v>
      </c>
      <c r="E329" t="s">
        <v>6261</v>
      </c>
      <c r="H329" t="s">
        <v>9466</v>
      </c>
      <c r="J329" t="inlineStr">
        <is>
          <t>3.029 HR IMMIG STAFF</t>
        </is>
      </c>
      <c r="K329" t="inlineStr">
        <is>
          <t>HQ/3F/3F-2.jpg</t>
        </is>
      </c>
    </row>
    <row r="330" spans="1:11" ht="18" customHeight="1" outlineLevel="1" x14ac:dyDescent="0.3">
      <c r="A330" t="s">
        <v>577</v>
      </c>
      <c r="B330" t="s">
        <v>266</v>
      </c>
      <c r="C330" t="s">
        <v>10</v>
      </c>
      <c r="D330" t="s">
        <v>578</v>
      </c>
      <c r="E330" t="s">
        <v>6262</v>
      </c>
      <c r="H330" t="s">
        <v>9467</v>
      </c>
      <c r="J330" t="inlineStr">
        <is>
          <t>3.030 HR IMMIG STAFF</t>
        </is>
      </c>
      <c r="K330" t="inlineStr">
        <is>
          <t>HQ/3F/3F-2.jpg</t>
        </is>
      </c>
    </row>
    <row r="331" spans="1:11" ht="18" customHeight="1" outlineLevel="1" x14ac:dyDescent="0.3">
      <c r="A331" t="s">
        <v>579</v>
      </c>
      <c r="B331" t="s">
        <v>266</v>
      </c>
      <c r="C331" t="s">
        <v>10</v>
      </c>
      <c r="D331" t="s">
        <v>580</v>
      </c>
      <c r="E331" t="s">
        <v>6263</v>
      </c>
      <c r="H331" t="s">
        <v>9468</v>
      </c>
      <c r="J331" t="inlineStr">
        <is>
          <t>3.031 HR IMMIG STAFF</t>
        </is>
      </c>
      <c r="K331" t="inlineStr">
        <is>
          <t>HQ/3F/3F-2.jpg</t>
        </is>
      </c>
    </row>
    <row r="332" spans="1:11" ht="18" customHeight="1" outlineLevel="1" x14ac:dyDescent="0.3">
      <c r="A332" t="s">
        <v>581</v>
      </c>
      <c r="B332" t="s">
        <v>266</v>
      </c>
      <c r="C332" t="s">
        <v>10</v>
      </c>
      <c r="D332" t="s">
        <v>582</v>
      </c>
      <c r="E332" t="s">
        <v>6264</v>
      </c>
      <c r="H332" t="s">
        <v>9469</v>
      </c>
      <c r="J332" t="inlineStr">
        <is>
          <t>3.032 HR IMMIG STAFF</t>
        </is>
      </c>
      <c r="K332" t="inlineStr">
        <is>
          <t>HQ/3F/3F-2.jpg</t>
        </is>
      </c>
    </row>
    <row r="333" spans="1:11" ht="18" customHeight="1" outlineLevel="1" x14ac:dyDescent="0.3">
      <c r="A333" t="s">
        <v>583</v>
      </c>
      <c r="B333" t="s">
        <v>266</v>
      </c>
      <c r="C333" t="s">
        <v>10</v>
      </c>
      <c r="D333" t="s">
        <v>584</v>
      </c>
      <c r="E333" t="s">
        <v>6265</v>
      </c>
      <c r="J333" t="inlineStr">
        <is>
          <t>3.033 MEETING ROOM</t>
        </is>
      </c>
      <c r="K333" t="inlineStr">
        <is>
          <t>HQ/3F/3F-2.jpg</t>
        </is>
      </c>
    </row>
    <row r="334" spans="1:11" ht="18" customHeight="1" outlineLevel="1" x14ac:dyDescent="0.3">
      <c r="A334" t="s">
        <v>585</v>
      </c>
      <c r="B334" t="s">
        <v>266</v>
      </c>
      <c r="C334" t="s">
        <v>10</v>
      </c>
      <c r="D334" t="s">
        <v>584</v>
      </c>
      <c r="E334" t="s">
        <v>6265</v>
      </c>
      <c r="J334" t="inlineStr">
        <is>
          <t>3.033 MEETING ROOM</t>
        </is>
      </c>
      <c r="K334" t="inlineStr">
        <is>
          <t>HQ/3F/3F-2.jpg</t>
        </is>
      </c>
    </row>
    <row r="335" spans="1:11" ht="18" customHeight="1" outlineLevel="1" x14ac:dyDescent="0.3">
      <c r="A335" t="s">
        <v>586</v>
      </c>
      <c r="B335" t="s">
        <v>266</v>
      </c>
      <c r="C335" t="s">
        <v>10</v>
      </c>
      <c r="D335" t="s">
        <v>587</v>
      </c>
      <c r="E335" t="s">
        <v>6266</v>
      </c>
      <c r="H335" t="s">
        <v>9470</v>
      </c>
      <c r="J335" t="inlineStr">
        <is>
          <t>3.105B OFFICE SPACE</t>
        </is>
      </c>
      <c r="K335" t="inlineStr">
        <is>
          <t>HQ/3F/3F-2.jpg</t>
        </is>
      </c>
    </row>
    <row r="336" spans="1:11" ht="18" customHeight="1" outlineLevel="1" x14ac:dyDescent="0.3">
      <c r="A336" t="s">
        <v>588</v>
      </c>
      <c r="B336" t="s">
        <v>266</v>
      </c>
      <c r="C336" t="s">
        <v>8</v>
      </c>
      <c r="D336" t="s">
        <v>589</v>
      </c>
      <c r="E336" t="s">
        <v>6267</v>
      </c>
      <c r="H336" t="s">
        <v>9379</v>
      </c>
      <c r="J336" t="inlineStr">
        <is>
          <t>NORTH EAST CORRIDOR</t>
        </is>
      </c>
      <c r="K336" t="inlineStr">
        <is>
          <t>HQ/3F/3F-2.jpg</t>
        </is>
      </c>
    </row>
    <row r="337" spans="1:11" ht="18" customHeight="1" outlineLevel="1" x14ac:dyDescent="0.3">
      <c r="A337" t="s">
        <v>590</v>
      </c>
      <c r="B337" t="s">
        <v>266</v>
      </c>
      <c r="C337" t="s">
        <v>8</v>
      </c>
      <c r="D337" t="s">
        <v>591</v>
      </c>
      <c r="E337" t="s">
        <v>6268</v>
      </c>
      <c r="H337" t="s">
        <v>9471</v>
      </c>
      <c r="J337" t="inlineStr">
        <is>
          <t>3.36 ABLUTION ROOM</t>
        </is>
      </c>
      <c r="K337" t="inlineStr">
        <is>
          <t>HQ/3F/3F-1.jpg</t>
        </is>
      </c>
    </row>
    <row r="338" spans="1:11" outlineLevel="1" x14ac:dyDescent="0.3">
      <c r="A338" t="s">
        <v>592</v>
      </c>
      <c r="B338" t="s">
        <v>266</v>
      </c>
      <c r="C338" t="s">
        <v>8</v>
      </c>
      <c r="D338" t="s">
        <v>593</v>
      </c>
      <c r="E338" t="s">
        <v>6269</v>
      </c>
      <c r="J338" t="inlineStr">
        <is>
          <t>3.105A FEMALE PRAYER ROOM</t>
        </is>
      </c>
      <c r="K338" t="inlineStr">
        <is>
          <t>HQ/3F/3F-1.jpg</t>
        </is>
      </c>
    </row>
    <row r="339" spans="1:11" outlineLevel="1" x14ac:dyDescent="0.3">
      <c r="A339" t="s">
        <v>594</v>
      </c>
      <c r="B339" t="s">
        <v>266</v>
      </c>
      <c r="C339" t="s">
        <v>8</v>
      </c>
      <c r="D339" t="s">
        <v>589</v>
      </c>
      <c r="E339" t="s">
        <v>6267</v>
      </c>
      <c r="H339" t="s">
        <v>5816</v>
      </c>
      <c r="J339" t="inlineStr">
        <is>
          <t>NORTH EAST CORRIDOR</t>
        </is>
      </c>
      <c r="K339" t="inlineStr">
        <is>
          <t>HQ/3F/3F-2.jpg</t>
        </is>
      </c>
    </row>
    <row r="340" spans="1:11" outlineLevel="1" x14ac:dyDescent="0.3">
      <c r="A340" t="s">
        <v>595</v>
      </c>
      <c r="B340" t="s">
        <v>266</v>
      </c>
      <c r="C340" t="s">
        <v>8</v>
      </c>
      <c r="D340" t="s">
        <v>596</v>
      </c>
      <c r="E340" t="s">
        <v>6270</v>
      </c>
      <c r="J340" t="inlineStr">
        <is>
          <t>3.001 LOUNGE</t>
        </is>
      </c>
      <c r="K340" t="inlineStr">
        <is>
          <t>HQ/3F/3F-1.jpg</t>
        </is>
      </c>
    </row>
    <row r="341" spans="1:11" outlineLevel="1" x14ac:dyDescent="0.3">
      <c r="A341" t="s">
        <v>597</v>
      </c>
      <c r="B341" t="s">
        <v>266</v>
      </c>
      <c r="C341" t="s">
        <v>10</v>
      </c>
      <c r="D341" t="s">
        <v>598</v>
      </c>
      <c r="E341" t="s">
        <v>6271</v>
      </c>
      <c r="J341" t="inlineStr">
        <is>
          <t>3.102 CONSULTANT SPACE TRAINEES</t>
        </is>
      </c>
      <c r="K341" t="inlineStr">
        <is>
          <t>HQ/3F/3F-1.jpg</t>
        </is>
      </c>
    </row>
    <row r="342" spans="1:11" outlineLevel="1" x14ac:dyDescent="0.3">
      <c r="A342" t="s">
        <v>599</v>
      </c>
      <c r="B342" t="s">
        <v>266</v>
      </c>
      <c r="C342" t="s">
        <v>10</v>
      </c>
      <c r="D342" t="s">
        <v>598</v>
      </c>
      <c r="E342" t="s">
        <v>6271</v>
      </c>
      <c r="J342" t="inlineStr">
        <is>
          <t>3.102 CONSULTANT SPACE TRAINEES</t>
        </is>
      </c>
      <c r="K342" t="inlineStr">
        <is>
          <t>HQ/3F/3F-1.jpg</t>
        </is>
      </c>
    </row>
    <row r="343" spans="1:11" outlineLevel="1" x14ac:dyDescent="0.3">
      <c r="A343" t="s">
        <v>600</v>
      </c>
      <c r="B343" t="s">
        <v>266</v>
      </c>
      <c r="C343" t="s">
        <v>10</v>
      </c>
      <c r="D343" t="s">
        <v>598</v>
      </c>
      <c r="E343" t="s">
        <v>6271</v>
      </c>
      <c r="J343" t="inlineStr">
        <is>
          <t>3.102 CONSULTANT SPACE TRAINEES</t>
        </is>
      </c>
      <c r="K343" t="inlineStr">
        <is>
          <t>HQ/3F/3F-1.jpg</t>
        </is>
      </c>
    </row>
    <row r="344" spans="1:11" outlineLevel="1" x14ac:dyDescent="0.3">
      <c r="A344" t="s">
        <v>601</v>
      </c>
      <c r="B344" t="s">
        <v>266</v>
      </c>
      <c r="C344" t="s">
        <v>10</v>
      </c>
      <c r="D344" t="s">
        <v>602</v>
      </c>
      <c r="E344" t="s">
        <v>6272</v>
      </c>
      <c r="H344" t="s">
        <v>9472</v>
      </c>
      <c r="J344" t="inlineStr">
        <is>
          <t>3.104 HR IMMG SECRETARY</t>
        </is>
      </c>
      <c r="K344" t="inlineStr">
        <is>
          <t>HQ/3F/3F-1.jpg</t>
        </is>
      </c>
    </row>
    <row r="345" spans="1:11" outlineLevel="1" x14ac:dyDescent="0.3">
      <c r="A345" t="s">
        <v>603</v>
      </c>
      <c r="B345" t="s">
        <v>266</v>
      </c>
      <c r="C345" t="s">
        <v>10</v>
      </c>
      <c r="D345" t="s">
        <v>604</v>
      </c>
      <c r="E345" t="s">
        <v>6273</v>
      </c>
      <c r="H345" t="s">
        <v>9473</v>
      </c>
      <c r="J345" t="inlineStr">
        <is>
          <t>3.012 HR IMMIG STAFF</t>
        </is>
      </c>
      <c r="K345" t="inlineStr">
        <is>
          <t>HQ/3F/3F-1.jpg</t>
        </is>
      </c>
    </row>
    <row r="346" spans="1:11" outlineLevel="1" x14ac:dyDescent="0.3">
      <c r="A346" t="s">
        <v>605</v>
      </c>
      <c r="B346" t="s">
        <v>266</v>
      </c>
      <c r="C346" t="s">
        <v>10</v>
      </c>
      <c r="D346" t="s">
        <v>606</v>
      </c>
      <c r="E346" t="s">
        <v>6274</v>
      </c>
      <c r="H346" t="s">
        <v>9474</v>
      </c>
      <c r="J346" t="inlineStr">
        <is>
          <t>3.013 HR IMMIG STAFF</t>
        </is>
      </c>
      <c r="K346" t="inlineStr">
        <is>
          <t>HQ/3F/3F-1.jpg</t>
        </is>
      </c>
    </row>
    <row r="347" spans="1:11" outlineLevel="1" x14ac:dyDescent="0.3">
      <c r="A347" t="s">
        <v>607</v>
      </c>
      <c r="B347" t="s">
        <v>266</v>
      </c>
      <c r="C347" t="s">
        <v>10</v>
      </c>
      <c r="D347" t="s">
        <v>608</v>
      </c>
      <c r="E347" t="s">
        <v>6275</v>
      </c>
      <c r="H347" t="s">
        <v>9475</v>
      </c>
      <c r="J347" t="inlineStr">
        <is>
          <t>3.014 HR IMMIG STAFF</t>
        </is>
      </c>
      <c r="K347" t="inlineStr">
        <is>
          <t>HQ/3F/3F-1.jpg</t>
        </is>
      </c>
    </row>
    <row r="348" spans="1:11" outlineLevel="1" x14ac:dyDescent="0.3">
      <c r="A348" t="s">
        <v>609</v>
      </c>
      <c r="B348" t="s">
        <v>266</v>
      </c>
      <c r="C348" t="s">
        <v>10</v>
      </c>
      <c r="D348" t="s">
        <v>610</v>
      </c>
      <c r="E348" t="s">
        <v>6276</v>
      </c>
      <c r="H348" t="s">
        <v>9476</v>
      </c>
      <c r="J348" t="inlineStr">
        <is>
          <t>3.015 HR IMMIG STAFF</t>
        </is>
      </c>
      <c r="K348" t="inlineStr">
        <is>
          <t>HQ/3F/3F-1.jpg</t>
        </is>
      </c>
    </row>
    <row r="349" spans="1:11" outlineLevel="1" x14ac:dyDescent="0.3">
      <c r="A349" t="s">
        <v>611</v>
      </c>
      <c r="B349" t="s">
        <v>266</v>
      </c>
      <c r="C349" t="s">
        <v>10</v>
      </c>
      <c r="D349" t="s">
        <v>612</v>
      </c>
      <c r="E349" t="s">
        <v>6277</v>
      </c>
      <c r="H349" t="s">
        <v>9477</v>
      </c>
      <c r="J349" t="inlineStr">
        <is>
          <t>3.016 HR IMMIG STAFF</t>
        </is>
      </c>
      <c r="K349" t="inlineStr">
        <is>
          <t>HQ/3F/3F-1.jpg</t>
        </is>
      </c>
    </row>
    <row r="350" spans="1:11" outlineLevel="1" x14ac:dyDescent="0.3">
      <c r="A350" t="s">
        <v>613</v>
      </c>
      <c r="B350" t="s">
        <v>266</v>
      </c>
      <c r="C350" t="s">
        <v>10</v>
      </c>
      <c r="D350" t="s">
        <v>614</v>
      </c>
      <c r="E350" t="s">
        <v>6278</v>
      </c>
      <c r="H350" t="s">
        <v>9478</v>
      </c>
      <c r="J350" t="inlineStr">
        <is>
          <t>3.003 HR IMMIG STAFF</t>
        </is>
      </c>
      <c r="K350" t="inlineStr">
        <is>
          <t>HQ/3F/3F-1.jpg</t>
        </is>
      </c>
    </row>
    <row r="351" spans="1:11" outlineLevel="1" x14ac:dyDescent="0.3">
      <c r="A351" t="s">
        <v>615</v>
      </c>
      <c r="B351" t="s">
        <v>266</v>
      </c>
      <c r="C351" t="s">
        <v>10</v>
      </c>
      <c r="D351" t="s">
        <v>616</v>
      </c>
      <c r="E351" t="s">
        <v>6279</v>
      </c>
      <c r="H351" t="s">
        <v>9479</v>
      </c>
      <c r="J351" t="inlineStr">
        <is>
          <t>3.004 HR IMMIG STAFF</t>
        </is>
      </c>
      <c r="K351" t="inlineStr">
        <is>
          <t>HQ/3F/3F-1.jpg</t>
        </is>
      </c>
    </row>
    <row r="352" spans="1:11" outlineLevel="1" x14ac:dyDescent="0.3">
      <c r="A352" t="s">
        <v>617</v>
      </c>
      <c r="B352" t="s">
        <v>266</v>
      </c>
      <c r="C352" t="s">
        <v>10</v>
      </c>
      <c r="D352" t="s">
        <v>618</v>
      </c>
      <c r="E352" t="s">
        <v>6280</v>
      </c>
      <c r="H352" t="s">
        <v>9480</v>
      </c>
      <c r="J352" t="inlineStr">
        <is>
          <t>3.005 HR IMMIG STAFF</t>
        </is>
      </c>
      <c r="K352" t="inlineStr">
        <is>
          <t>HQ/3F/3F-1.jpg</t>
        </is>
      </c>
    </row>
    <row r="353" spans="1:11" outlineLevel="1" x14ac:dyDescent="0.3">
      <c r="A353" t="s">
        <v>619</v>
      </c>
      <c r="B353" t="s">
        <v>266</v>
      </c>
      <c r="C353" t="s">
        <v>10</v>
      </c>
      <c r="D353" t="s">
        <v>620</v>
      </c>
      <c r="E353" t="s">
        <v>6281</v>
      </c>
      <c r="H353" t="s">
        <v>9481</v>
      </c>
      <c r="J353" t="inlineStr">
        <is>
          <t>3.006 HR IMMIG STAFF</t>
        </is>
      </c>
      <c r="K353" t="inlineStr">
        <is>
          <t>HQ/3F/3F-1.jpg</t>
        </is>
      </c>
    </row>
    <row r="354" spans="1:11" outlineLevel="1" x14ac:dyDescent="0.3">
      <c r="A354" t="s">
        <v>621</v>
      </c>
      <c r="B354" t="s">
        <v>266</v>
      </c>
      <c r="C354" t="s">
        <v>10</v>
      </c>
      <c r="D354" t="s">
        <v>622</v>
      </c>
      <c r="E354" t="s">
        <v>6282</v>
      </c>
      <c r="H354" t="s">
        <v>9482</v>
      </c>
      <c r="J354" t="inlineStr">
        <is>
          <t>3.007 HR IMMIG STAFF</t>
        </is>
      </c>
      <c r="K354" t="inlineStr">
        <is>
          <t>HQ/3F/3F-1.jpg</t>
        </is>
      </c>
    </row>
    <row r="355" spans="1:11" outlineLevel="1" x14ac:dyDescent="0.3">
      <c r="A355" t="s">
        <v>623</v>
      </c>
      <c r="B355" t="s">
        <v>266</v>
      </c>
      <c r="C355" t="s">
        <v>10</v>
      </c>
      <c r="D355" t="s">
        <v>624</v>
      </c>
      <c r="E355" t="s">
        <v>6283</v>
      </c>
      <c r="H355" t="s">
        <v>9483</v>
      </c>
      <c r="J355" t="inlineStr">
        <is>
          <t>3.008 HR IMMIG STAFF</t>
        </is>
      </c>
      <c r="K355" t="inlineStr">
        <is>
          <t>HQ/3F/3F-1.jpg</t>
        </is>
      </c>
    </row>
    <row r="356" spans="1:11" outlineLevel="1" x14ac:dyDescent="0.3">
      <c r="A356" t="s">
        <v>625</v>
      </c>
      <c r="B356" t="s">
        <v>266</v>
      </c>
      <c r="C356" t="s">
        <v>10</v>
      </c>
      <c r="D356" t="s">
        <v>626</v>
      </c>
      <c r="E356" t="s">
        <v>6284</v>
      </c>
      <c r="H356" t="s">
        <v>9484</v>
      </c>
      <c r="J356" t="inlineStr">
        <is>
          <t>3.009 HR IMMIG STAFF</t>
        </is>
      </c>
      <c r="K356" t="inlineStr">
        <is>
          <t>HQ/3F/3F-1.jpg</t>
        </is>
      </c>
    </row>
    <row r="357" spans="1:11" outlineLevel="1" x14ac:dyDescent="0.3">
      <c r="A357" t="s">
        <v>627</v>
      </c>
      <c r="B357" t="s">
        <v>266</v>
      </c>
      <c r="C357" t="s">
        <v>10</v>
      </c>
      <c r="D357" t="s">
        <v>628</v>
      </c>
      <c r="E357" t="s">
        <v>6285</v>
      </c>
      <c r="H357" t="s">
        <v>9485</v>
      </c>
      <c r="J357" t="inlineStr">
        <is>
          <t>3.010 HR IMMIG STAFF</t>
        </is>
      </c>
      <c r="K357" t="inlineStr">
        <is>
          <t>HQ/3F/3F-1.jpg</t>
        </is>
      </c>
    </row>
    <row r="358" spans="1:11" outlineLevel="1" x14ac:dyDescent="0.3">
      <c r="A358" t="s">
        <v>629</v>
      </c>
      <c r="B358" t="s">
        <v>266</v>
      </c>
      <c r="C358" t="s">
        <v>10</v>
      </c>
      <c r="D358" t="s">
        <v>630</v>
      </c>
      <c r="E358" t="s">
        <v>6286</v>
      </c>
      <c r="H358" t="s">
        <v>9486</v>
      </c>
      <c r="J358" t="inlineStr">
        <is>
          <t>3.011 HR IMMIG STAFF</t>
        </is>
      </c>
      <c r="K358" t="inlineStr">
        <is>
          <t>HQ/3F/3F-1.jpg</t>
        </is>
      </c>
    </row>
    <row r="359" spans="1:11" outlineLevel="1" x14ac:dyDescent="0.3">
      <c r="A359" t="s">
        <v>631</v>
      </c>
      <c r="B359" t="s">
        <v>266</v>
      </c>
      <c r="C359" t="s">
        <v>10</v>
      </c>
      <c r="D359" t="s">
        <v>632</v>
      </c>
      <c r="E359" t="s">
        <v>6287</v>
      </c>
      <c r="H359" t="s">
        <v>9487</v>
      </c>
      <c r="J359" t="inlineStr">
        <is>
          <t>3.101 OFFICE SPACE</t>
        </is>
      </c>
      <c r="K359" t="inlineStr">
        <is>
          <t>HQ/3F/3F-1.jpg</t>
        </is>
      </c>
    </row>
    <row r="360" spans="1:11" outlineLevel="1" x14ac:dyDescent="0.3">
      <c r="A360" t="s">
        <v>633</v>
      </c>
      <c r="B360" t="s">
        <v>266</v>
      </c>
      <c r="C360" t="s">
        <v>10</v>
      </c>
      <c r="D360" t="s">
        <v>634</v>
      </c>
      <c r="E360" t="s">
        <v>6288</v>
      </c>
      <c r="H360" t="s">
        <v>9488</v>
      </c>
      <c r="J360" t="inlineStr">
        <is>
          <t>3.002 HR IMMIG STAFF</t>
        </is>
      </c>
      <c r="K360" t="inlineStr">
        <is>
          <t>HQ/3F/3F-1.jpg</t>
        </is>
      </c>
    </row>
    <row r="361" spans="1:11" outlineLevel="1" x14ac:dyDescent="0.3">
      <c r="A361" t="s">
        <v>635</v>
      </c>
      <c r="B361" t="s">
        <v>266</v>
      </c>
      <c r="C361" t="s">
        <v>8</v>
      </c>
      <c r="D361" t="s">
        <v>589</v>
      </c>
      <c r="E361" t="s">
        <v>6267</v>
      </c>
      <c r="H361" t="s">
        <v>9489</v>
      </c>
      <c r="J361" t="inlineStr">
        <is>
          <t>SOUTH WEST CORRIDOR</t>
        </is>
      </c>
      <c r="K361" t="inlineStr">
        <is>
          <t>HQ/3F/3F-1.jpg</t>
        </is>
      </c>
    </row>
    <row r="362" spans="1:11" outlineLevel="1" x14ac:dyDescent="0.3">
      <c r="A362" t="s">
        <v>636</v>
      </c>
      <c r="B362" t="s">
        <v>266</v>
      </c>
      <c r="C362" t="s">
        <v>10</v>
      </c>
      <c r="D362" t="s">
        <v>637</v>
      </c>
      <c r="E362" t="s">
        <v>6289</v>
      </c>
      <c r="H362" t="s">
        <v>9490</v>
      </c>
      <c r="J362" t="inlineStr">
        <is>
          <t>3.202A OFFICE SPACE</t>
        </is>
      </c>
      <c r="K362" t="inlineStr">
        <is>
          <t>HQ/3F/3F-1.jpg</t>
        </is>
      </c>
    </row>
    <row r="363" spans="1:11" outlineLevel="1" x14ac:dyDescent="0.3">
      <c r="A363" t="s">
        <v>638</v>
      </c>
      <c r="B363" t="s">
        <v>266</v>
      </c>
      <c r="C363" t="s">
        <v>10</v>
      </c>
      <c r="D363" t="s">
        <v>639</v>
      </c>
      <c r="E363" t="s">
        <v>6290</v>
      </c>
      <c r="H363" t="s">
        <v>9491</v>
      </c>
      <c r="J363" t="inlineStr">
        <is>
          <t>3.202B OFFICE SPACE</t>
        </is>
      </c>
      <c r="K363" t="inlineStr">
        <is>
          <t>HQ/3F/3F-1.jpg</t>
        </is>
      </c>
    </row>
    <row r="364" spans="1:11" outlineLevel="1" x14ac:dyDescent="0.3">
      <c r="A364" t="s">
        <v>640</v>
      </c>
      <c r="B364" t="s">
        <v>266</v>
      </c>
      <c r="C364" t="s">
        <v>10</v>
      </c>
      <c r="D364" t="s">
        <v>641</v>
      </c>
      <c r="E364" t="s">
        <v>6291</v>
      </c>
      <c r="H364" t="s">
        <v>9492</v>
      </c>
      <c r="J364" t="inlineStr">
        <is>
          <t>3.205 HR IMMIGRATION</t>
        </is>
      </c>
      <c r="K364" t="inlineStr">
        <is>
          <t>HQ/3F/3F-1.jpg</t>
        </is>
      </c>
    </row>
    <row r="365" spans="1:11" outlineLevel="1" x14ac:dyDescent="0.3">
      <c r="A365" t="s">
        <v>642</v>
      </c>
      <c r="B365" t="s">
        <v>266</v>
      </c>
      <c r="C365" t="s">
        <v>8</v>
      </c>
      <c r="D365" t="s">
        <v>643</v>
      </c>
      <c r="E365" t="s">
        <v>6292</v>
      </c>
      <c r="H365" t="s">
        <v>9493</v>
      </c>
      <c r="J365" t="inlineStr">
        <is>
          <t>3.206 HR IMMIG MANAGER</t>
        </is>
      </c>
      <c r="K365" t="inlineStr">
        <is>
          <t>HQ/3F/3F-2.jpg</t>
        </is>
      </c>
    </row>
    <row r="366" spans="1:11" outlineLevel="1" x14ac:dyDescent="0.3">
      <c r="A366" t="s">
        <v>644</v>
      </c>
      <c r="B366" t="s">
        <v>266</v>
      </c>
      <c r="C366" t="s">
        <v>8</v>
      </c>
      <c r="D366" t="s">
        <v>645</v>
      </c>
      <c r="E366" t="s">
        <v>6293</v>
      </c>
      <c r="H366" t="s">
        <v>9494</v>
      </c>
      <c r="J366" t="inlineStr">
        <is>
          <t>3.207 HR IMMIG MANAGER</t>
        </is>
      </c>
      <c r="K366" t="inlineStr">
        <is>
          <t>HQ/3F/3F-2.jpg</t>
        </is>
      </c>
    </row>
    <row r="367" spans="1:11" outlineLevel="1" x14ac:dyDescent="0.3">
      <c r="A367" t="s">
        <v>646</v>
      </c>
      <c r="B367" t="s">
        <v>266</v>
      </c>
      <c r="C367" t="s">
        <v>8</v>
      </c>
      <c r="D367" t="s">
        <v>647</v>
      </c>
      <c r="E367" t="s">
        <v>6294</v>
      </c>
      <c r="H367" t="s">
        <v>9495</v>
      </c>
      <c r="J367" t="inlineStr">
        <is>
          <t>3.208 HR IMMIG MANAGER</t>
        </is>
      </c>
      <c r="K367" t="inlineStr">
        <is>
          <t>HQ/3F/3F-2.jpg</t>
        </is>
      </c>
    </row>
    <row r="368" spans="1:11" outlineLevel="1" x14ac:dyDescent="0.3">
      <c r="A368" t="s">
        <v>648</v>
      </c>
      <c r="B368" t="s">
        <v>266</v>
      </c>
      <c r="C368" t="s">
        <v>8</v>
      </c>
      <c r="D368" t="s">
        <v>649</v>
      </c>
      <c r="E368" t="s">
        <v>6295</v>
      </c>
      <c r="H368" t="s">
        <v>9496</v>
      </c>
      <c r="J368" t="inlineStr">
        <is>
          <t>3.209 HR IMMIG MANAGER</t>
        </is>
      </c>
      <c r="K368" t="inlineStr">
        <is>
          <t>HQ/3F/3F-2.jpg</t>
        </is>
      </c>
    </row>
    <row r="369" spans="1:11" outlineLevel="1" x14ac:dyDescent="0.3">
      <c r="A369" t="s">
        <v>650</v>
      </c>
      <c r="B369" t="s">
        <v>266</v>
      </c>
      <c r="C369" t="s">
        <v>10</v>
      </c>
      <c r="D369" t="s">
        <v>651</v>
      </c>
      <c r="E369" t="s">
        <v>6296</v>
      </c>
      <c r="H369" t="s">
        <v>9497</v>
      </c>
      <c r="J369" t="inlineStr">
        <is>
          <t>3.210 HR IMMIG OFFICER</t>
        </is>
      </c>
      <c r="K369" t="inlineStr">
        <is>
          <t>HQ/3F/3F-2.jpg</t>
        </is>
      </c>
    </row>
    <row r="370" spans="1:11" outlineLevel="1" x14ac:dyDescent="0.3">
      <c r="A370" t="s">
        <v>652</v>
      </c>
      <c r="B370" t="s">
        <v>266</v>
      </c>
      <c r="C370" t="s">
        <v>10</v>
      </c>
      <c r="D370" t="s">
        <v>651</v>
      </c>
      <c r="E370" t="s">
        <v>6296</v>
      </c>
      <c r="J370" t="inlineStr">
        <is>
          <t>3.210 HR IMMIG OFFICER</t>
        </is>
      </c>
      <c r="K370" t="inlineStr">
        <is>
          <t>HQ/3F/3F-2.jpg</t>
        </is>
      </c>
    </row>
    <row r="371" spans="1:11" outlineLevel="1" x14ac:dyDescent="0.3">
      <c r="A371" t="s">
        <v>653</v>
      </c>
      <c r="B371" t="s">
        <v>266</v>
      </c>
      <c r="C371" t="s">
        <v>8</v>
      </c>
      <c r="D371" t="s">
        <v>654</v>
      </c>
      <c r="E371" t="s">
        <v>6297</v>
      </c>
      <c r="H371" t="s">
        <v>9498</v>
      </c>
      <c r="J371" t="inlineStr">
        <is>
          <t>3.211 HR IMMIG MANAGER</t>
        </is>
      </c>
      <c r="K371" t="inlineStr">
        <is>
          <t>HQ/3F/3F-2.jpg</t>
        </is>
      </c>
    </row>
    <row r="372" spans="1:11" outlineLevel="1" x14ac:dyDescent="0.3">
      <c r="A372" t="s">
        <v>655</v>
      </c>
      <c r="B372" t="s">
        <v>266</v>
      </c>
      <c r="C372" t="s">
        <v>10</v>
      </c>
      <c r="D372" t="s">
        <v>656</v>
      </c>
      <c r="E372" t="s">
        <v>6298</v>
      </c>
      <c r="H372" t="s">
        <v>9499</v>
      </c>
      <c r="J372" t="inlineStr">
        <is>
          <t>3.212 HR IMMIG SEC.</t>
        </is>
      </c>
      <c r="K372" t="inlineStr">
        <is>
          <t>HQ/3F/3F-2.jpg</t>
        </is>
      </c>
    </row>
    <row r="373" spans="1:11" outlineLevel="1" x14ac:dyDescent="0.3">
      <c r="A373" t="s">
        <v>657</v>
      </c>
      <c r="B373" t="s">
        <v>266</v>
      </c>
      <c r="C373" t="s">
        <v>8</v>
      </c>
      <c r="D373" t="s">
        <v>658</v>
      </c>
      <c r="E373" t="s">
        <v>6299</v>
      </c>
      <c r="H373" t="s">
        <v>9500</v>
      </c>
      <c r="J373" t="inlineStr">
        <is>
          <t>3.213 HR IMMIG DIR. ENSUIT</t>
        </is>
      </c>
      <c r="K373" t="inlineStr">
        <is>
          <t>HQ/3F/3F-2.jpg</t>
        </is>
      </c>
    </row>
    <row r="374" spans="1:11" outlineLevel="1" x14ac:dyDescent="0.3">
      <c r="A374" t="s">
        <v>659</v>
      </c>
      <c r="B374" t="s">
        <v>266</v>
      </c>
      <c r="C374" t="s">
        <v>8</v>
      </c>
      <c r="D374" t="s">
        <v>660</v>
      </c>
      <c r="E374" t="s">
        <v>6300</v>
      </c>
      <c r="H374" t="s">
        <v>9501</v>
      </c>
      <c r="J374" t="inlineStr">
        <is>
          <t>3.214 IT DIR. ENSUIT</t>
        </is>
      </c>
      <c r="K374" t="inlineStr">
        <is>
          <t>HQ/3F/3F-2.jpg</t>
        </is>
      </c>
    </row>
    <row r="375" spans="1:11" outlineLevel="1" x14ac:dyDescent="0.3">
      <c r="A375" t="s">
        <v>661</v>
      </c>
      <c r="B375" t="s">
        <v>266</v>
      </c>
      <c r="C375" t="s">
        <v>8</v>
      </c>
      <c r="D375" t="s">
        <v>662</v>
      </c>
      <c r="E375" t="s">
        <v>6301</v>
      </c>
      <c r="H375" t="s">
        <v>9502</v>
      </c>
      <c r="J375" t="inlineStr">
        <is>
          <t>3.215 IT DIR. ENSUIT</t>
        </is>
      </c>
      <c r="K375" t="inlineStr">
        <is>
          <t>HQ/3F/3F-2.jpg</t>
        </is>
      </c>
    </row>
    <row r="376" spans="1:11" outlineLevel="1" x14ac:dyDescent="0.3">
      <c r="A376" t="s">
        <v>663</v>
      </c>
      <c r="B376" t="s">
        <v>266</v>
      </c>
      <c r="C376" t="s">
        <v>10</v>
      </c>
      <c r="D376" t="s">
        <v>664</v>
      </c>
      <c r="E376" t="s">
        <v>6302</v>
      </c>
      <c r="H376" t="s">
        <v>9503</v>
      </c>
      <c r="J376" t="inlineStr">
        <is>
          <t>3.216 PROC. CONTR. SECRETARY</t>
        </is>
      </c>
      <c r="K376" t="inlineStr">
        <is>
          <t>HQ/3F/3F-2.jpg</t>
        </is>
      </c>
    </row>
    <row r="377" spans="1:11" outlineLevel="1" x14ac:dyDescent="0.3">
      <c r="A377" t="s">
        <v>665</v>
      </c>
      <c r="B377" t="s">
        <v>266</v>
      </c>
      <c r="C377" t="s">
        <v>8</v>
      </c>
      <c r="D377" t="s">
        <v>666</v>
      </c>
      <c r="E377" t="s">
        <v>6303</v>
      </c>
      <c r="H377" t="s">
        <v>9504</v>
      </c>
      <c r="J377" t="inlineStr">
        <is>
          <t>3.201 PROC. &amp; CONTR. DIR. E</t>
        </is>
      </c>
      <c r="K377" t="inlineStr">
        <is>
          <t>HQ/3F/3F-1.jpg</t>
        </is>
      </c>
    </row>
    <row r="378" spans="1:11" outlineLevel="1" x14ac:dyDescent="0.3">
      <c r="A378" t="s">
        <v>667</v>
      </c>
      <c r="B378" t="s">
        <v>266</v>
      </c>
      <c r="C378" t="s">
        <v>10</v>
      </c>
      <c r="D378" t="s">
        <v>668</v>
      </c>
      <c r="E378" t="s">
        <v>6304</v>
      </c>
      <c r="H378" t="s">
        <v>9505</v>
      </c>
      <c r="J378" t="inlineStr">
        <is>
          <t>3.301 PROC. &amp; CONTR. MEETING ROOM</t>
        </is>
      </c>
      <c r="K378" t="inlineStr">
        <is>
          <t>HQ/3F/3F-2.jpg</t>
        </is>
      </c>
    </row>
    <row r="379" spans="1:11" outlineLevel="1" x14ac:dyDescent="0.3">
      <c r="A379" t="s">
        <v>669</v>
      </c>
      <c r="B379" t="s">
        <v>266</v>
      </c>
      <c r="C379" t="s">
        <v>10</v>
      </c>
      <c r="D379" t="s">
        <v>668</v>
      </c>
      <c r="E379" t="s">
        <v>6304</v>
      </c>
      <c r="J379" t="inlineStr">
        <is>
          <t>3.301 PROC. &amp; CONTR. MEETING ROOM</t>
        </is>
      </c>
      <c r="K379" t="inlineStr">
        <is>
          <t>HQ/3F/3F-2.jpg</t>
        </is>
      </c>
    </row>
    <row r="380" spans="1:11" outlineLevel="1" x14ac:dyDescent="0.3">
      <c r="A380" t="s">
        <v>670</v>
      </c>
      <c r="B380" t="s">
        <v>266</v>
      </c>
      <c r="C380" t="s">
        <v>10</v>
      </c>
      <c r="D380" t="s">
        <v>671</v>
      </c>
      <c r="E380" t="s">
        <v>6305</v>
      </c>
      <c r="H380" t="s">
        <v>9506</v>
      </c>
      <c r="J380" t="inlineStr">
        <is>
          <t>3.302 HR IMMG. MEETING ROOM</t>
        </is>
      </c>
      <c r="K380" t="inlineStr">
        <is>
          <t>HQ/3F/3F-2.jpg</t>
        </is>
      </c>
    </row>
    <row r="381" spans="1:11" outlineLevel="1" x14ac:dyDescent="0.3">
      <c r="A381" t="s">
        <v>672</v>
      </c>
      <c r="B381" t="s">
        <v>266</v>
      </c>
      <c r="C381" t="s">
        <v>8</v>
      </c>
      <c r="D381" t="s">
        <v>673</v>
      </c>
      <c r="E381" t="s">
        <v>6306</v>
      </c>
      <c r="H381" t="s">
        <v>9386</v>
      </c>
      <c r="J381" t="inlineStr">
        <is>
          <t>3.602 SOUTH EAST CORRIDOR</t>
        </is>
      </c>
      <c r="K381" t="inlineStr">
        <is>
          <t>HQ/3F/3F-2.jpg</t>
        </is>
      </c>
    </row>
    <row r="382" spans="1:11" outlineLevel="1" x14ac:dyDescent="0.3">
      <c r="A382" t="s">
        <v>674</v>
      </c>
      <c r="B382" t="s">
        <v>266</v>
      </c>
      <c r="C382" t="s">
        <v>8</v>
      </c>
      <c r="D382" t="s">
        <v>675</v>
      </c>
      <c r="E382" t="s">
        <v>8199</v>
      </c>
      <c r="J382" t="inlineStr">
        <is>
          <t>4.004 STR. PL. DIR. ENSUIT</t>
        </is>
      </c>
      <c r="K382" t="inlineStr">
        <is>
          <t>HQ/4F/4F-1.jpg</t>
        </is>
      </c>
    </row>
    <row r="383" spans="1:11" outlineLevel="1" x14ac:dyDescent="0.3">
      <c r="A383" t="s">
        <v>676</v>
      </c>
      <c r="B383" t="s">
        <v>266</v>
      </c>
      <c r="C383" t="s">
        <v>8</v>
      </c>
      <c r="D383" t="s">
        <v>677</v>
      </c>
      <c r="E383" t="s">
        <v>6307</v>
      </c>
      <c r="H383" t="s">
        <v>9507</v>
      </c>
      <c r="J383" t="inlineStr">
        <is>
          <t>4.005 STR.PL.DIR.MEETING ROOM</t>
        </is>
      </c>
      <c r="K383" t="inlineStr">
        <is>
          <t>HQ/4F/4F-1.jpg</t>
        </is>
      </c>
    </row>
    <row r="384" spans="1:11" outlineLevel="1" x14ac:dyDescent="0.3">
      <c r="A384" t="s">
        <v>678</v>
      </c>
      <c r="B384" t="s">
        <v>266</v>
      </c>
      <c r="C384" t="s">
        <v>8</v>
      </c>
      <c r="D384" t="s">
        <v>679</v>
      </c>
      <c r="E384" t="s">
        <v>6308</v>
      </c>
      <c r="J384" t="inlineStr">
        <is>
          <t>4.006 STR. PL. DIR. MANAGER</t>
        </is>
      </c>
      <c r="K384" t="inlineStr">
        <is>
          <t>HQ/4F/4F-1.jpg</t>
        </is>
      </c>
    </row>
    <row r="385" spans="1:11" outlineLevel="1" x14ac:dyDescent="0.3">
      <c r="A385" t="s">
        <v>680</v>
      </c>
      <c r="B385" t="s">
        <v>266</v>
      </c>
      <c r="C385" t="s">
        <v>8</v>
      </c>
      <c r="D385" t="s">
        <v>681</v>
      </c>
      <c r="E385" t="s">
        <v>6309</v>
      </c>
      <c r="J385" t="inlineStr">
        <is>
          <t>4.007 STR. PL. DIR. MANAGER</t>
        </is>
      </c>
      <c r="K385" t="inlineStr">
        <is>
          <t>HQ/4F/4F-1.jpg</t>
        </is>
      </c>
    </row>
    <row r="386" spans="1:11" outlineLevel="1" x14ac:dyDescent="0.3">
      <c r="A386" t="s">
        <v>682</v>
      </c>
      <c r="B386" t="s">
        <v>266</v>
      </c>
      <c r="C386" t="s">
        <v>8</v>
      </c>
      <c r="D386" t="s">
        <v>683</v>
      </c>
      <c r="E386" t="s">
        <v>6310</v>
      </c>
      <c r="J386" t="inlineStr">
        <is>
          <t>4.008 STR. PL. DIR. MANAGER</t>
        </is>
      </c>
      <c r="K386" t="inlineStr">
        <is>
          <t>HQ/4F/4F-1.jpg</t>
        </is>
      </c>
    </row>
    <row r="387" spans="1:11" outlineLevel="1" x14ac:dyDescent="0.3">
      <c r="A387" t="s">
        <v>684</v>
      </c>
      <c r="B387" t="s">
        <v>266</v>
      </c>
      <c r="C387" t="s">
        <v>8</v>
      </c>
      <c r="D387" t="s">
        <v>685</v>
      </c>
      <c r="E387" t="s">
        <v>6311</v>
      </c>
      <c r="J387" t="inlineStr">
        <is>
          <t>4.009 STR. PL. DIR. HEAD OF PL.</t>
        </is>
      </c>
      <c r="K387" t="inlineStr">
        <is>
          <t>HQ/4F/4F-1.jpg</t>
        </is>
      </c>
    </row>
    <row r="388" spans="1:11" outlineLevel="1" x14ac:dyDescent="0.3">
      <c r="A388" t="s">
        <v>686</v>
      </c>
      <c r="B388" t="s">
        <v>266</v>
      </c>
      <c r="C388" t="s">
        <v>8</v>
      </c>
      <c r="D388" t="s">
        <v>687</v>
      </c>
      <c r="E388" t="s">
        <v>6312</v>
      </c>
      <c r="J388" t="inlineStr">
        <is>
          <t>4.010 STR. PL. DIR. HEAD OF PL.</t>
        </is>
      </c>
      <c r="K388" t="inlineStr">
        <is>
          <t>HQ/4F/4F-2.jpg</t>
        </is>
      </c>
    </row>
    <row r="389" spans="1:11" outlineLevel="1" x14ac:dyDescent="0.3">
      <c r="A389" t="s">
        <v>688</v>
      </c>
      <c r="B389" t="s">
        <v>266</v>
      </c>
      <c r="C389" t="s">
        <v>8</v>
      </c>
      <c r="D389" t="s">
        <v>689</v>
      </c>
      <c r="E389" t="s">
        <v>6313</v>
      </c>
      <c r="J389" t="inlineStr">
        <is>
          <t>4.011 STR. PL. DIR. HEAD OF PL.</t>
        </is>
      </c>
      <c r="K389" t="inlineStr">
        <is>
          <t>HQ/4F/4F-2.jpg</t>
        </is>
      </c>
    </row>
    <row r="390" spans="1:11" outlineLevel="1" x14ac:dyDescent="0.3">
      <c r="A390" t="s">
        <v>690</v>
      </c>
      <c r="B390" t="s">
        <v>266</v>
      </c>
      <c r="C390" t="s">
        <v>8</v>
      </c>
      <c r="D390" t="s">
        <v>691</v>
      </c>
      <c r="E390" t="s">
        <v>6314</v>
      </c>
      <c r="J390" t="inlineStr">
        <is>
          <t>4.012 STR. PL. DIR. HEAD OF PL.</t>
        </is>
      </c>
      <c r="K390" t="inlineStr">
        <is>
          <t>HQ/4F/4F-2.jpg</t>
        </is>
      </c>
    </row>
    <row r="391" spans="1:11" outlineLevel="1" x14ac:dyDescent="0.3">
      <c r="A391" t="s">
        <v>692</v>
      </c>
      <c r="B391" t="s">
        <v>266</v>
      </c>
      <c r="C391" t="s">
        <v>8</v>
      </c>
      <c r="D391" t="s">
        <v>693</v>
      </c>
      <c r="E391" t="s">
        <v>6315</v>
      </c>
      <c r="J391" t="inlineStr">
        <is>
          <t>4.013 STR. PL. DIR. HEAD OF PL.</t>
        </is>
      </c>
      <c r="K391" t="inlineStr">
        <is>
          <t>HQ/4F/4F-2.jpg</t>
        </is>
      </c>
    </row>
    <row r="392" spans="1:11" outlineLevel="1" x14ac:dyDescent="0.3">
      <c r="A392" t="s">
        <v>694</v>
      </c>
      <c r="B392" t="s">
        <v>266</v>
      </c>
      <c r="C392" t="s">
        <v>8</v>
      </c>
      <c r="D392" t="s">
        <v>695</v>
      </c>
      <c r="E392" t="s">
        <v>6316</v>
      </c>
      <c r="J392" t="inlineStr">
        <is>
          <t>4.014 STR. PL. DIR. MANAGER</t>
        </is>
      </c>
      <c r="K392" t="inlineStr">
        <is>
          <t>HQ/4F/4F-2.jpg</t>
        </is>
      </c>
    </row>
    <row r="393" spans="1:11" outlineLevel="1" x14ac:dyDescent="0.3">
      <c r="A393" t="s">
        <v>696</v>
      </c>
      <c r="B393" t="s">
        <v>266</v>
      </c>
      <c r="C393" t="s">
        <v>10</v>
      </c>
      <c r="D393" t="s">
        <v>697</v>
      </c>
      <c r="E393" t="s">
        <v>8200</v>
      </c>
      <c r="H393" t="s">
        <v>9508</v>
      </c>
      <c r="J393" t="inlineStr" s="44">
        <is>
          <t>4.015A OFFICE SPACE</t>
        </is>
      </c>
      <c r="K393" t="inlineStr">
        <is>
          <t>HQ/4F/4F-2.jpg</t>
        </is>
      </c>
    </row>
    <row r="394" spans="1:11" outlineLevel="1" x14ac:dyDescent="0.3">
      <c r="A394" t="s">
        <v>698</v>
      </c>
      <c r="B394" t="s">
        <v>266</v>
      </c>
      <c r="C394" t="s">
        <v>10</v>
      </c>
      <c r="D394" t="s">
        <v>699</v>
      </c>
      <c r="E394" t="s">
        <v>8201</v>
      </c>
      <c r="H394" t="s">
        <v>9509</v>
      </c>
      <c r="J394" t="inlineStr" s="44">
        <is>
          <t>4.015C OFFICE SPACE</t>
        </is>
      </c>
      <c r="K394" t="inlineStr">
        <is>
          <t>HQ/4F/4F-2.jpg</t>
        </is>
      </c>
    </row>
    <row r="395" spans="1:11" outlineLevel="1" x14ac:dyDescent="0.3">
      <c r="A395" t="s">
        <v>700</v>
      </c>
      <c r="B395" t="s">
        <v>266</v>
      </c>
      <c r="C395" t="s">
        <v>8</v>
      </c>
      <c r="D395" t="s">
        <v>6019</v>
      </c>
      <c r="E395" t="s">
        <v>6317</v>
      </c>
      <c r="H395" t="s">
        <v>9379</v>
      </c>
      <c r="J395" t="inlineStr">
        <is>
          <t>NORTH EAST CORRIDOR</t>
        </is>
      </c>
      <c r="K395" t="inlineStr">
        <is>
          <t>HQ/4F/4F-2.jpg</t>
        </is>
      </c>
    </row>
    <row r="396" spans="1:11" outlineLevel="1" x14ac:dyDescent="0.3">
      <c r="A396" t="s">
        <v>701</v>
      </c>
      <c r="B396" t="s">
        <v>266</v>
      </c>
      <c r="C396" t="s">
        <v>8</v>
      </c>
      <c r="D396" t="s">
        <v>702</v>
      </c>
      <c r="E396" t="s">
        <v>6318</v>
      </c>
      <c r="H396" t="s">
        <v>9510</v>
      </c>
      <c r="J396" t="inlineStr">
        <is>
          <t>4.109 VP EDU STORAGE</t>
        </is>
      </c>
      <c r="K396" t="inlineStr">
        <is>
          <t>HQ/4F/4F-2.jpg</t>
        </is>
      </c>
    </row>
    <row r="397" spans="1:11" outlineLevel="1" x14ac:dyDescent="0.3">
      <c r="A397" t="s">
        <v>703</v>
      </c>
      <c r="B397" t="s">
        <v>266</v>
      </c>
      <c r="C397" t="s">
        <v>8</v>
      </c>
      <c r="D397" t="s">
        <v>6019</v>
      </c>
      <c r="E397" t="s">
        <v>6317</v>
      </c>
      <c r="H397" t="s">
        <v>9379</v>
      </c>
      <c r="J397" t="inlineStr">
        <is>
          <t>NORTH EAST CORRIDOR</t>
        </is>
      </c>
      <c r="K397" t="inlineStr">
        <is>
          <t>HQ/4F/4F-2.jpg</t>
        </is>
      </c>
    </row>
    <row r="398" spans="1:11" outlineLevel="1" x14ac:dyDescent="0.3">
      <c r="A398" t="s">
        <v>704</v>
      </c>
      <c r="B398" t="s">
        <v>266</v>
      </c>
      <c r="C398" t="s">
        <v>10</v>
      </c>
      <c r="D398" t="s">
        <v>705</v>
      </c>
      <c r="E398" t="s">
        <v>6319</v>
      </c>
      <c r="H398" t="s">
        <v>9511</v>
      </c>
      <c r="J398" t="inlineStr">
        <is>
          <t>4.108 STR. PL. DIR. TECH. STAFF</t>
        </is>
      </c>
      <c r="K398" t="inlineStr">
        <is>
          <t>HQ/4F/4F-1.jpg</t>
        </is>
      </c>
    </row>
    <row r="399" spans="1:11" outlineLevel="1" x14ac:dyDescent="0.3">
      <c r="A399" t="s">
        <v>706</v>
      </c>
      <c r="B399" t="s">
        <v>266</v>
      </c>
      <c r="C399" t="s">
        <v>10</v>
      </c>
      <c r="D399" t="s">
        <v>707</v>
      </c>
      <c r="E399" t="s">
        <v>6320</v>
      </c>
      <c r="H399" t="s">
        <v>9512</v>
      </c>
      <c r="J399" t="inlineStr">
        <is>
          <t>4.107 STR. PL. DIR. TECH. STAFF</t>
        </is>
      </c>
      <c r="K399" t="inlineStr">
        <is>
          <t>HQ/4F/4F-1.jpg</t>
        </is>
      </c>
    </row>
    <row r="400" spans="1:11" outlineLevel="1" x14ac:dyDescent="0.3">
      <c r="A400" t="s">
        <v>708</v>
      </c>
      <c r="B400" t="s">
        <v>266</v>
      </c>
      <c r="C400" t="s">
        <v>8</v>
      </c>
      <c r="D400" t="s">
        <v>709</v>
      </c>
      <c r="E400" t="s">
        <v>6321</v>
      </c>
      <c r="J400" t="inlineStr">
        <is>
          <t>4.104 WAITING LOUNGE</t>
        </is>
      </c>
      <c r="K400" t="inlineStr">
        <is>
          <t>HQ/4F/4F-1.jpg</t>
        </is>
      </c>
    </row>
    <row r="401" spans="1:11" outlineLevel="1" x14ac:dyDescent="0.3">
      <c r="A401" t="s">
        <v>710</v>
      </c>
      <c r="B401" t="s">
        <v>266</v>
      </c>
      <c r="C401" t="s">
        <v>8</v>
      </c>
      <c r="D401" t="s">
        <v>709</v>
      </c>
      <c r="E401" t="s">
        <v>6321</v>
      </c>
      <c r="J401" t="inlineStr">
        <is>
          <t>4.104 WAITING LOUNGE</t>
        </is>
      </c>
      <c r="K401" t="inlineStr">
        <is>
          <t>HQ/4F/4F-1.jpg</t>
        </is>
      </c>
    </row>
    <row r="402" spans="1:11" outlineLevel="1" x14ac:dyDescent="0.3">
      <c r="A402" t="s">
        <v>711</v>
      </c>
      <c r="B402" t="s">
        <v>266</v>
      </c>
      <c r="C402" t="s">
        <v>8</v>
      </c>
      <c r="D402" t="s">
        <v>712</v>
      </c>
      <c r="E402" t="s">
        <v>6322</v>
      </c>
      <c r="J402" t="inlineStr">
        <is>
          <t>4.002 MANAGER</t>
        </is>
      </c>
      <c r="K402" t="inlineStr">
        <is>
          <t>HQ/4F/4F-1.jpg</t>
        </is>
      </c>
    </row>
    <row r="403" spans="1:11" outlineLevel="1" x14ac:dyDescent="0.3">
      <c r="A403" t="s">
        <v>713</v>
      </c>
      <c r="B403" t="s">
        <v>266</v>
      </c>
      <c r="C403" t="s">
        <v>10</v>
      </c>
      <c r="D403" t="s">
        <v>714</v>
      </c>
      <c r="E403" t="s">
        <v>8202</v>
      </c>
      <c r="H403" t="s">
        <v>9513</v>
      </c>
      <c r="J403" t="inlineStr">
        <is>
          <t>4.003 SECRETARY</t>
        </is>
      </c>
      <c r="K403" t="inlineStr">
        <is>
          <t>HQ/4F/4F-1.jpg</t>
        </is>
      </c>
    </row>
    <row r="404" spans="1:11" outlineLevel="1" x14ac:dyDescent="0.3">
      <c r="A404" t="s">
        <v>715</v>
      </c>
      <c r="B404" t="s">
        <v>266</v>
      </c>
      <c r="C404" t="s">
        <v>10</v>
      </c>
      <c r="D404" t="s">
        <v>716</v>
      </c>
      <c r="E404" t="s">
        <v>8203</v>
      </c>
      <c r="H404" t="s">
        <v>9514</v>
      </c>
      <c r="J404" t="inlineStr">
        <is>
          <t>4.001B OFFICE SPACE</t>
        </is>
      </c>
      <c r="K404" t="inlineStr">
        <is>
          <t>HQ/4F/4F-1.jpg</t>
        </is>
      </c>
    </row>
    <row r="405" spans="1:11" outlineLevel="1" x14ac:dyDescent="0.3">
      <c r="A405" t="s">
        <v>717</v>
      </c>
      <c r="B405" t="s">
        <v>266</v>
      </c>
      <c r="C405" t="s">
        <v>10</v>
      </c>
      <c r="D405" t="s">
        <v>718</v>
      </c>
      <c r="E405" t="s">
        <v>8204</v>
      </c>
      <c r="H405" t="s">
        <v>9515</v>
      </c>
      <c r="J405" t="inlineStr">
        <is>
          <t>4.001D OFFICE SPACE</t>
        </is>
      </c>
      <c r="K405" t="inlineStr">
        <is>
          <t>HQ/4F/4F-1.jpg</t>
        </is>
      </c>
    </row>
    <row r="406" spans="1:11" outlineLevel="1" x14ac:dyDescent="0.3">
      <c r="A406" t="s">
        <v>719</v>
      </c>
      <c r="B406" t="s">
        <v>266</v>
      </c>
      <c r="C406" t="s">
        <v>10</v>
      </c>
      <c r="D406" t="s">
        <v>720</v>
      </c>
      <c r="E406" t="s">
        <v>8205</v>
      </c>
      <c r="H406" t="s">
        <v>9516</v>
      </c>
      <c r="J406" t="inlineStr">
        <is>
          <t>4.001F OFFICE SPACE</t>
        </is>
      </c>
      <c r="K406" t="inlineStr">
        <is>
          <t>HQ/4F/4F-1.jpg</t>
        </is>
      </c>
    </row>
    <row r="407" spans="1:11" outlineLevel="1" x14ac:dyDescent="0.3">
      <c r="A407" t="s">
        <v>721</v>
      </c>
      <c r="B407" t="s">
        <v>266</v>
      </c>
      <c r="C407" t="s">
        <v>10</v>
      </c>
      <c r="D407" t="s">
        <v>722</v>
      </c>
      <c r="E407" t="s">
        <v>8206</v>
      </c>
      <c r="H407" t="s">
        <v>9517</v>
      </c>
      <c r="J407" t="inlineStr">
        <is>
          <t>4.001G OFFICE SPACE</t>
        </is>
      </c>
      <c r="K407" t="inlineStr">
        <is>
          <t>HQ/4F/4F-1.jpg</t>
        </is>
      </c>
    </row>
    <row r="408" spans="1:11" outlineLevel="1" x14ac:dyDescent="0.3">
      <c r="A408" t="s">
        <v>723</v>
      </c>
      <c r="B408" t="s">
        <v>266</v>
      </c>
      <c r="C408" t="s">
        <v>10</v>
      </c>
      <c r="D408" t="s">
        <v>724</v>
      </c>
      <c r="E408" t="s">
        <v>8207</v>
      </c>
      <c r="J408" t="inlineStr">
        <is>
          <t>4.103 STORAGE SPACE</t>
        </is>
      </c>
      <c r="K408" t="inlineStr">
        <is>
          <t>HQ/4F/4F-1.jpg</t>
        </is>
      </c>
    </row>
    <row r="409" spans="1:11" outlineLevel="1" x14ac:dyDescent="0.3">
      <c r="A409" t="s">
        <v>725</v>
      </c>
      <c r="B409" t="s">
        <v>266</v>
      </c>
      <c r="C409" t="s">
        <v>10</v>
      </c>
      <c r="D409" t="s">
        <v>726</v>
      </c>
      <c r="E409" t="s">
        <v>6323</v>
      </c>
      <c r="H409" t="s">
        <v>9518</v>
      </c>
      <c r="J409" t="inlineStr">
        <is>
          <t>4.102 OFFICE SPACE</t>
        </is>
      </c>
      <c r="K409" t="inlineStr">
        <is>
          <t>HQ/4F/4F-1.jpg</t>
        </is>
      </c>
    </row>
    <row r="410" spans="1:11" outlineLevel="1" x14ac:dyDescent="0.3">
      <c r="A410" t="s">
        <v>727</v>
      </c>
      <c r="B410" t="s">
        <v>266</v>
      </c>
      <c r="C410" t="s">
        <v>10</v>
      </c>
      <c r="D410" t="s">
        <v>728</v>
      </c>
      <c r="E410" t="s">
        <v>6324</v>
      </c>
      <c r="H410" t="s">
        <v>9519</v>
      </c>
      <c r="J410" t="inlineStr">
        <is>
          <t>4.101 OFFICE SPACE</t>
        </is>
      </c>
      <c r="K410" t="inlineStr">
        <is>
          <t>HQ/4F/4F-1.jpg</t>
        </is>
      </c>
    </row>
    <row r="411" spans="1:11" outlineLevel="1" x14ac:dyDescent="0.3">
      <c r="A411" t="s">
        <v>729</v>
      </c>
      <c r="B411" t="s">
        <v>266</v>
      </c>
      <c r="C411" t="s">
        <v>8</v>
      </c>
      <c r="D411" t="s">
        <v>6019</v>
      </c>
      <c r="E411" t="s">
        <v>6317</v>
      </c>
      <c r="H411" t="s">
        <v>9489</v>
      </c>
      <c r="J411" t="inlineStr">
        <is>
          <t>SOUTH WEST CORRIDOR</t>
        </is>
      </c>
      <c r="K411" t="inlineStr">
        <is>
          <t>HQ/4F/4F-1.jpg</t>
        </is>
      </c>
    </row>
    <row r="412" spans="1:11" outlineLevel="1" x14ac:dyDescent="0.3">
      <c r="A412" t="s">
        <v>730</v>
      </c>
      <c r="B412" t="s">
        <v>266</v>
      </c>
      <c r="C412" t="s">
        <v>10</v>
      </c>
      <c r="D412" t="s">
        <v>731</v>
      </c>
      <c r="E412" t="s">
        <v>6325</v>
      </c>
      <c r="H412" t="s">
        <v>9520</v>
      </c>
      <c r="J412" t="inlineStr">
        <is>
          <t>4.201 OFFICE SPACE</t>
        </is>
      </c>
      <c r="K412" t="inlineStr">
        <is>
          <t>HQ/4F/4F-2.jpg</t>
        </is>
      </c>
    </row>
    <row r="413" spans="1:11" outlineLevel="1" x14ac:dyDescent="0.3">
      <c r="A413" t="s">
        <v>732</v>
      </c>
      <c r="B413" t="s">
        <v>266</v>
      </c>
      <c r="C413" t="s">
        <v>10</v>
      </c>
      <c r="D413" t="s">
        <v>733</v>
      </c>
      <c r="E413" t="s">
        <v>6326</v>
      </c>
      <c r="H413" t="s">
        <v>9521</v>
      </c>
      <c r="J413" t="inlineStr">
        <is>
          <t>4.204 OFFICE SPACE</t>
        </is>
      </c>
      <c r="K413" t="inlineStr">
        <is>
          <t>HQ/4F/4F-2.jpg</t>
        </is>
      </c>
    </row>
    <row r="414" spans="1:11" outlineLevel="1" x14ac:dyDescent="0.3">
      <c r="A414" t="s">
        <v>734</v>
      </c>
      <c r="B414" t="s">
        <v>266</v>
      </c>
      <c r="C414" t="s">
        <v>8</v>
      </c>
      <c r="D414" t="s">
        <v>735</v>
      </c>
      <c r="E414" t="s">
        <v>6327</v>
      </c>
      <c r="H414" t="s">
        <v>9522</v>
      </c>
      <c r="J414" t="inlineStr">
        <is>
          <t>4.205 VP ADM MANAGER</t>
        </is>
      </c>
      <c r="K414" t="inlineStr">
        <is>
          <t>HQ/4F/4F-2.jpg</t>
        </is>
      </c>
    </row>
    <row r="415" spans="1:11" outlineLevel="1" x14ac:dyDescent="0.3">
      <c r="A415" t="s">
        <v>736</v>
      </c>
      <c r="B415" t="s">
        <v>266</v>
      </c>
      <c r="C415" t="s">
        <v>8</v>
      </c>
      <c r="D415" t="s">
        <v>737</v>
      </c>
      <c r="E415" t="s">
        <v>6328</v>
      </c>
      <c r="H415" t="s">
        <v>9523</v>
      </c>
      <c r="J415" t="inlineStr">
        <is>
          <t>4.206 VP ADM MANAGER</t>
        </is>
      </c>
      <c r="K415" t="inlineStr">
        <is>
          <t>HQ/4F/4F-2.jpg</t>
        </is>
      </c>
    </row>
    <row r="416" spans="1:11" outlineLevel="1" x14ac:dyDescent="0.3">
      <c r="A416" t="s">
        <v>738</v>
      </c>
      <c r="B416" t="s">
        <v>266</v>
      </c>
      <c r="C416" t="s">
        <v>10</v>
      </c>
      <c r="D416" t="s">
        <v>739</v>
      </c>
      <c r="E416" t="s">
        <v>6329</v>
      </c>
      <c r="H416" t="s">
        <v>9524</v>
      </c>
      <c r="J416" t="inlineStr">
        <is>
          <t>4.208 VP ADM SEC.</t>
        </is>
      </c>
      <c r="K416" t="inlineStr">
        <is>
          <t>HQ/4F/4F-2.jpg</t>
        </is>
      </c>
    </row>
    <row r="417" spans="1:11" outlineLevel="1" x14ac:dyDescent="0.3">
      <c r="A417" t="s">
        <v>740</v>
      </c>
      <c r="B417" t="s">
        <v>266</v>
      </c>
      <c r="C417" t="s">
        <v>10</v>
      </c>
      <c r="D417" t="s">
        <v>739</v>
      </c>
      <c r="E417" t="s">
        <v>6329</v>
      </c>
      <c r="J417" t="inlineStr">
        <is>
          <t>4.208 VP ADM SEC.</t>
        </is>
      </c>
      <c r="K417" t="inlineStr">
        <is>
          <t>HQ/4F/4F-2.jpg</t>
        </is>
      </c>
    </row>
    <row r="418" spans="1:11" outlineLevel="1" x14ac:dyDescent="0.3">
      <c r="A418" t="s">
        <v>741</v>
      </c>
      <c r="B418" t="s">
        <v>266</v>
      </c>
      <c r="C418" t="s">
        <v>8</v>
      </c>
      <c r="D418" t="s">
        <v>742</v>
      </c>
      <c r="E418" t="s">
        <v>6330</v>
      </c>
      <c r="H418" t="s">
        <v>9525</v>
      </c>
      <c r="J418" t="inlineStr">
        <is>
          <t>4.209 VP ADM MANAGER</t>
        </is>
      </c>
      <c r="K418" t="inlineStr">
        <is>
          <t>HQ/4F/4F-2.jpg</t>
        </is>
      </c>
    </row>
    <row r="419" spans="1:11" outlineLevel="1" x14ac:dyDescent="0.3">
      <c r="A419" t="s">
        <v>743</v>
      </c>
      <c r="B419" t="s">
        <v>266</v>
      </c>
      <c r="C419" t="s">
        <v>8</v>
      </c>
      <c r="D419" t="s">
        <v>744</v>
      </c>
      <c r="E419" t="s">
        <v>6331</v>
      </c>
      <c r="H419" t="s">
        <v>9526</v>
      </c>
      <c r="J419" t="inlineStr">
        <is>
          <t>4.210 MANAGER</t>
        </is>
      </c>
      <c r="K419" t="inlineStr">
        <is>
          <t>HQ/4F/4F-2.jpg</t>
        </is>
      </c>
    </row>
    <row r="420" spans="1:11" outlineLevel="1" x14ac:dyDescent="0.3">
      <c r="A420" t="s">
        <v>745</v>
      </c>
      <c r="B420" t="s">
        <v>266</v>
      </c>
      <c r="C420" t="s">
        <v>8</v>
      </c>
      <c r="D420" t="s">
        <v>746</v>
      </c>
      <c r="E420" t="s">
        <v>6332</v>
      </c>
      <c r="H420" t="s">
        <v>9527</v>
      </c>
      <c r="J420" t="inlineStr">
        <is>
          <t>4.211 VP ADMIN</t>
        </is>
      </c>
      <c r="K420" t="inlineStr">
        <is>
          <t>HQ/4F/4F-2.jpg</t>
        </is>
      </c>
    </row>
    <row r="421" spans="1:11" outlineLevel="1" x14ac:dyDescent="0.3">
      <c r="A421" t="s">
        <v>747</v>
      </c>
      <c r="B421" t="s">
        <v>266</v>
      </c>
      <c r="C421" t="s">
        <v>10</v>
      </c>
      <c r="D421" t="s">
        <v>748</v>
      </c>
      <c r="E421" t="s">
        <v>6333</v>
      </c>
      <c r="H421" t="s">
        <v>9528</v>
      </c>
      <c r="J421" t="inlineStr">
        <is>
          <t>4.212 VP ADM PERS. ASS.</t>
        </is>
      </c>
      <c r="K421" t="inlineStr">
        <is>
          <t>HQ/4F/4F-2.jpg</t>
        </is>
      </c>
    </row>
    <row r="422" spans="1:11" outlineLevel="1" x14ac:dyDescent="0.3">
      <c r="A422" t="s">
        <v>749</v>
      </c>
      <c r="B422" t="s">
        <v>266</v>
      </c>
      <c r="C422" t="s">
        <v>8</v>
      </c>
      <c r="D422" t="s">
        <v>750</v>
      </c>
      <c r="E422" t="s">
        <v>6334</v>
      </c>
      <c r="H422" t="s">
        <v>9529</v>
      </c>
      <c r="J422" t="inlineStr">
        <is>
          <t>4.213 VP ADM ENSUIT</t>
        </is>
      </c>
      <c r="K422" t="inlineStr">
        <is>
          <t>HQ/4F/4F-2.jpg</t>
        </is>
      </c>
    </row>
    <row r="423" spans="1:11" outlineLevel="1" x14ac:dyDescent="0.3">
      <c r="A423" t="s">
        <v>751</v>
      </c>
      <c r="B423" t="s">
        <v>266</v>
      </c>
      <c r="C423" t="s">
        <v>8</v>
      </c>
      <c r="D423" t="s">
        <v>752</v>
      </c>
      <c r="E423" t="s">
        <v>6335</v>
      </c>
      <c r="H423" t="s">
        <v>9530</v>
      </c>
      <c r="J423" t="inlineStr">
        <is>
          <t>4.301 VP ADM MEETING ROOM</t>
        </is>
      </c>
      <c r="K423" t="inlineStr">
        <is>
          <t>HQ/4F/4F-2.jpg</t>
        </is>
      </c>
    </row>
    <row r="424" spans="1:11" outlineLevel="1" x14ac:dyDescent="0.3">
      <c r="A424" t="s">
        <v>753</v>
      </c>
      <c r="B424" t="s">
        <v>266</v>
      </c>
      <c r="C424" t="s">
        <v>8</v>
      </c>
      <c r="D424" t="s">
        <v>752</v>
      </c>
      <c r="E424" t="s">
        <v>6335</v>
      </c>
      <c r="J424" t="inlineStr">
        <is>
          <t>4.301 VP ADM MEETING ROOM</t>
        </is>
      </c>
      <c r="K424" t="inlineStr">
        <is>
          <t>HQ/4F/4F-2.jpg</t>
        </is>
      </c>
    </row>
    <row r="425" spans="1:11" outlineLevel="1" x14ac:dyDescent="0.3">
      <c r="A425" t="s">
        <v>754</v>
      </c>
      <c r="B425" t="s">
        <v>266</v>
      </c>
      <c r="C425" t="s">
        <v>8</v>
      </c>
      <c r="D425" t="s">
        <v>6020</v>
      </c>
      <c r="E425" t="s">
        <v>6336</v>
      </c>
      <c r="H425" t="s">
        <v>9531</v>
      </c>
      <c r="J425" t="inlineStr">
        <is>
          <t>SOUTH EAST CORRIDOR</t>
        </is>
      </c>
      <c r="K425" t="inlineStr">
        <is>
          <t>HQ/4F/4F-2.jpg</t>
        </is>
      </c>
    </row>
    <row r="426" spans="1:11" outlineLevel="1" x14ac:dyDescent="0.3">
      <c r="A426" t="s">
        <v>755</v>
      </c>
      <c r="B426" t="s">
        <v>266</v>
      </c>
      <c r="C426" t="s">
        <v>8</v>
      </c>
      <c r="D426" t="s">
        <v>6020</v>
      </c>
      <c r="E426" t="s">
        <v>6336</v>
      </c>
      <c r="H426" t="s">
        <v>9531</v>
      </c>
      <c r="J426" t="inlineStr">
        <is>
          <t>SOUTH EAST CORRIDOR</t>
        </is>
      </c>
      <c r="K426" t="inlineStr">
        <is>
          <t>HQ/4F/4F-2.jpg</t>
        </is>
      </c>
    </row>
    <row r="427" spans="1:11" outlineLevel="1" x14ac:dyDescent="0.3">
      <c r="A427" t="s">
        <v>756</v>
      </c>
      <c r="B427" t="s">
        <v>266</v>
      </c>
      <c r="C427" t="s">
        <v>8</v>
      </c>
      <c r="D427" t="s">
        <v>757</v>
      </c>
      <c r="E427" t="s">
        <v>6337</v>
      </c>
      <c r="H427" t="s">
        <v>9532</v>
      </c>
      <c r="J427" t="inlineStr">
        <is>
          <t>5.012 VP EDU DIR ENSUIT</t>
        </is>
      </c>
      <c r="K427" t="inlineStr">
        <is>
          <t>HQ/5F/5F-1.jpg</t>
        </is>
      </c>
    </row>
    <row r="428" spans="1:11" outlineLevel="1" x14ac:dyDescent="0.3">
      <c r="A428" t="s">
        <v>758</v>
      </c>
      <c r="B428" t="s">
        <v>266</v>
      </c>
      <c r="C428" t="s">
        <v>8</v>
      </c>
      <c r="D428" t="s">
        <v>759</v>
      </c>
      <c r="E428" t="s">
        <v>6338</v>
      </c>
      <c r="H428" t="s">
        <v>9533</v>
      </c>
      <c r="J428" t="inlineStr">
        <is>
          <t>5.013 VP EDU SECR.</t>
        </is>
      </c>
      <c r="K428" t="inlineStr">
        <is>
          <t>HQ/5F/5F-1.jpg</t>
        </is>
      </c>
    </row>
    <row r="429" spans="1:11" outlineLevel="1" x14ac:dyDescent="0.3">
      <c r="A429" t="s">
        <v>760</v>
      </c>
      <c r="B429" t="s">
        <v>266</v>
      </c>
      <c r="C429" t="s">
        <v>10</v>
      </c>
      <c r="D429" t="s">
        <v>761</v>
      </c>
      <c r="E429" t="s">
        <v>6339</v>
      </c>
      <c r="H429" t="s">
        <v>9534</v>
      </c>
      <c r="J429" t="inlineStr">
        <is>
          <t>5.014 VP EDU ASSIS.</t>
        </is>
      </c>
      <c r="K429" t="inlineStr">
        <is>
          <t>HQ/5F/5F-1.jpg</t>
        </is>
      </c>
    </row>
    <row r="430" spans="1:11" outlineLevel="1" x14ac:dyDescent="0.3">
      <c r="A430" t="s">
        <v>762</v>
      </c>
      <c r="B430" t="s">
        <v>266</v>
      </c>
      <c r="C430" t="s">
        <v>10</v>
      </c>
      <c r="D430" t="s">
        <v>763</v>
      </c>
      <c r="E430" t="s">
        <v>6340</v>
      </c>
      <c r="H430" t="s">
        <v>9535</v>
      </c>
      <c r="J430" t="inlineStr">
        <is>
          <t>5.015 VP EDU ASSIS.</t>
        </is>
      </c>
      <c r="K430" t="inlineStr">
        <is>
          <t>HQ/5F/5F-1.jpg</t>
        </is>
      </c>
    </row>
    <row r="431" spans="1:11" outlineLevel="1" x14ac:dyDescent="0.3">
      <c r="A431" t="s">
        <v>764</v>
      </c>
      <c r="B431" t="s">
        <v>266</v>
      </c>
      <c r="C431" t="s">
        <v>10</v>
      </c>
      <c r="D431" t="s">
        <v>765</v>
      </c>
      <c r="E431" t="s">
        <v>6341</v>
      </c>
      <c r="H431" t="s">
        <v>9536</v>
      </c>
      <c r="J431" t="inlineStr">
        <is>
          <t>5.016 VP EDU ASSIS.</t>
        </is>
      </c>
      <c r="K431" t="inlineStr">
        <is>
          <t>HQ/5F/5F-1.jpg</t>
        </is>
      </c>
    </row>
    <row r="432" spans="1:11" outlineLevel="1" x14ac:dyDescent="0.3">
      <c r="A432" t="s">
        <v>766</v>
      </c>
      <c r="B432" t="s">
        <v>266</v>
      </c>
      <c r="C432" t="s">
        <v>10</v>
      </c>
      <c r="D432" t="s">
        <v>767</v>
      </c>
      <c r="E432" t="s">
        <v>6342</v>
      </c>
      <c r="H432" t="s">
        <v>9537</v>
      </c>
      <c r="J432" t="inlineStr">
        <is>
          <t>5.017 VP EDU ASSIS.</t>
        </is>
      </c>
      <c r="K432" t="inlineStr">
        <is>
          <t>HQ/5F/5F-1.jpg</t>
        </is>
      </c>
    </row>
    <row r="433" spans="1:11" outlineLevel="1" x14ac:dyDescent="0.3">
      <c r="A433" t="s">
        <v>768</v>
      </c>
      <c r="B433" t="s">
        <v>266</v>
      </c>
      <c r="C433" t="s">
        <v>8</v>
      </c>
      <c r="D433" t="s">
        <v>769</v>
      </c>
      <c r="E433" t="s">
        <v>6343</v>
      </c>
      <c r="H433" t="s">
        <v>9538</v>
      </c>
      <c r="J433" t="inlineStr">
        <is>
          <t>5.018 VP EDU OFF.</t>
        </is>
      </c>
      <c r="K433" t="inlineStr">
        <is>
          <t>HQ/5F/5F-1.jpg</t>
        </is>
      </c>
    </row>
    <row r="434" spans="1:11" outlineLevel="1" x14ac:dyDescent="0.3">
      <c r="A434" t="s">
        <v>770</v>
      </c>
      <c r="B434" t="s">
        <v>266</v>
      </c>
      <c r="C434" t="s">
        <v>8</v>
      </c>
      <c r="D434" t="s">
        <v>771</v>
      </c>
      <c r="E434" t="s">
        <v>6344</v>
      </c>
      <c r="H434" t="s">
        <v>9539</v>
      </c>
      <c r="J434" t="inlineStr">
        <is>
          <t>5.019 VP EDU OFF.</t>
        </is>
      </c>
      <c r="K434" t="inlineStr">
        <is>
          <t>HQ/5F/5F-1.jpg</t>
        </is>
      </c>
    </row>
    <row r="435" spans="1:11" outlineLevel="1" x14ac:dyDescent="0.3">
      <c r="A435" t="s">
        <v>772</v>
      </c>
      <c r="B435" t="s">
        <v>266</v>
      </c>
      <c r="C435" t="s">
        <v>8</v>
      </c>
      <c r="D435" t="s">
        <v>773</v>
      </c>
      <c r="E435" t="s">
        <v>8208</v>
      </c>
      <c r="H435" t="s">
        <v>9540</v>
      </c>
      <c r="J435" t="inlineStr">
        <is>
          <t>5.020 VP EDU OFF.</t>
        </is>
      </c>
      <c r="K435" t="inlineStr">
        <is>
          <t>HQ/5F/5F-2.jpg</t>
        </is>
      </c>
    </row>
    <row r="436" spans="1:11" outlineLevel="1" x14ac:dyDescent="0.3">
      <c r="A436" t="s">
        <v>774</v>
      </c>
      <c r="B436" t="s">
        <v>266</v>
      </c>
      <c r="C436" t="s">
        <v>8</v>
      </c>
      <c r="D436" t="s">
        <v>775</v>
      </c>
      <c r="E436" t="s">
        <v>6345</v>
      </c>
      <c r="H436" t="s">
        <v>9541</v>
      </c>
      <c r="J436" t="inlineStr">
        <is>
          <t>5.021 VP EDU OFF.</t>
        </is>
      </c>
      <c r="K436" t="inlineStr">
        <is>
          <t>HQ/5F/5F-2.jpg</t>
        </is>
      </c>
    </row>
    <row r="437" spans="1:11" outlineLevel="1" x14ac:dyDescent="0.3">
      <c r="A437" t="s">
        <v>776</v>
      </c>
      <c r="B437" t="s">
        <v>266</v>
      </c>
      <c r="C437" t="s">
        <v>8</v>
      </c>
      <c r="D437" t="s">
        <v>777</v>
      </c>
      <c r="E437" t="s">
        <v>6346</v>
      </c>
      <c r="H437" t="s">
        <v>9542</v>
      </c>
      <c r="J437" t="inlineStr">
        <is>
          <t>5.022 VP EDU OFF.</t>
        </is>
      </c>
      <c r="K437" t="inlineStr">
        <is>
          <t>HQ/5F/5F-2.jpg</t>
        </is>
      </c>
    </row>
    <row r="438" spans="1:11" outlineLevel="1" x14ac:dyDescent="0.3">
      <c r="A438" t="s">
        <v>778</v>
      </c>
      <c r="B438" t="s">
        <v>266</v>
      </c>
      <c r="C438" t="s">
        <v>8</v>
      </c>
      <c r="D438" t="s">
        <v>779</v>
      </c>
      <c r="E438" t="s">
        <v>6347</v>
      </c>
      <c r="H438" t="s">
        <v>9543</v>
      </c>
      <c r="J438" t="inlineStr">
        <is>
          <t>5.023 VP EDU OFF.</t>
        </is>
      </c>
      <c r="K438" t="inlineStr">
        <is>
          <t>HQ/5F/5F-2.jpg</t>
        </is>
      </c>
    </row>
    <row r="439" spans="1:11" outlineLevel="1" x14ac:dyDescent="0.3">
      <c r="A439" t="s">
        <v>780</v>
      </c>
      <c r="B439" t="s">
        <v>266</v>
      </c>
      <c r="C439" t="s">
        <v>10</v>
      </c>
      <c r="D439" t="s">
        <v>781</v>
      </c>
      <c r="E439" t="s">
        <v>6348</v>
      </c>
      <c r="H439" t="s">
        <v>9544</v>
      </c>
      <c r="J439" t="inlineStr">
        <is>
          <t>5.024 VP EDU SEC.</t>
        </is>
      </c>
      <c r="K439" t="inlineStr">
        <is>
          <t>HQ/5F/5F-2.jpg</t>
        </is>
      </c>
    </row>
    <row r="440" spans="1:11" outlineLevel="1" x14ac:dyDescent="0.3">
      <c r="A440" t="s">
        <v>782</v>
      </c>
      <c r="B440" t="s">
        <v>266</v>
      </c>
      <c r="C440" t="s">
        <v>8</v>
      </c>
      <c r="D440" t="s">
        <v>783</v>
      </c>
      <c r="E440" t="s">
        <v>6349</v>
      </c>
      <c r="H440" t="s">
        <v>9545</v>
      </c>
      <c r="J440" t="inlineStr">
        <is>
          <t>5.025 VP EDU DIR ENSUIT</t>
        </is>
      </c>
      <c r="K440" t="inlineStr">
        <is>
          <t>HQ/5F/5F-2.jpg</t>
        </is>
      </c>
    </row>
    <row r="441" spans="1:11" outlineLevel="1" x14ac:dyDescent="0.3">
      <c r="A441" t="s">
        <v>784</v>
      </c>
      <c r="B441" t="s">
        <v>266</v>
      </c>
      <c r="C441" t="s">
        <v>10</v>
      </c>
      <c r="D441" t="s">
        <v>785</v>
      </c>
      <c r="E441" t="s">
        <v>6350</v>
      </c>
      <c r="H441" t="s">
        <v>9546</v>
      </c>
      <c r="J441" t="inlineStr">
        <is>
          <t>5.026 VP EDU ASS.</t>
        </is>
      </c>
      <c r="K441" t="inlineStr">
        <is>
          <t>HQ/5F/5F-2.jpg</t>
        </is>
      </c>
    </row>
    <row r="442" spans="1:11" outlineLevel="1" x14ac:dyDescent="0.3">
      <c r="A442" t="s">
        <v>786</v>
      </c>
      <c r="B442" t="s">
        <v>266</v>
      </c>
      <c r="C442" t="s">
        <v>8</v>
      </c>
      <c r="D442" t="s">
        <v>6021</v>
      </c>
      <c r="E442" t="s">
        <v>6351</v>
      </c>
      <c r="H442" t="s">
        <v>9547</v>
      </c>
      <c r="J442" t="inlineStr">
        <is>
          <t>NORTH EAST CORRIDOR</t>
        </is>
      </c>
      <c r="K442" t="inlineStr">
        <is>
          <t>HQ/5F/5F-2.jpg</t>
        </is>
      </c>
    </row>
    <row r="443" spans="1:11" outlineLevel="1" x14ac:dyDescent="0.3">
      <c r="A443" t="s">
        <v>788</v>
      </c>
      <c r="B443" t="s">
        <v>266</v>
      </c>
      <c r="C443" t="s">
        <v>8</v>
      </c>
      <c r="D443" t="s">
        <v>789</v>
      </c>
      <c r="E443" t="s">
        <v>6352</v>
      </c>
      <c r="H443" t="s">
        <v>9548</v>
      </c>
      <c r="J443" t="inlineStr">
        <is>
          <t>5.110 VP EDU OFF.</t>
        </is>
      </c>
      <c r="K443" t="inlineStr">
        <is>
          <t>HQ/5F/5F-2.jpg</t>
        </is>
      </c>
    </row>
    <row r="444" spans="1:11" outlineLevel="1" x14ac:dyDescent="0.3">
      <c r="A444" t="s">
        <v>790</v>
      </c>
      <c r="B444" t="s">
        <v>266</v>
      </c>
      <c r="C444" t="s">
        <v>10</v>
      </c>
      <c r="D444" t="s">
        <v>791</v>
      </c>
      <c r="E444" t="s">
        <v>6353</v>
      </c>
      <c r="H444" t="s">
        <v>9549</v>
      </c>
      <c r="J444" t="inlineStr">
        <is>
          <t>5.109 VP EDU ASS.</t>
        </is>
      </c>
      <c r="K444" t="inlineStr">
        <is>
          <t>HQ/5F/5F-2.jpg</t>
        </is>
      </c>
    </row>
    <row r="445" spans="1:11" outlineLevel="1" x14ac:dyDescent="0.3">
      <c r="A445" t="s">
        <v>792</v>
      </c>
      <c r="B445" t="s">
        <v>266</v>
      </c>
      <c r="C445" t="s">
        <v>10</v>
      </c>
      <c r="D445" t="s">
        <v>793</v>
      </c>
      <c r="E445" t="s">
        <v>6354</v>
      </c>
      <c r="H445" t="s">
        <v>9550</v>
      </c>
      <c r="J445" t="inlineStr">
        <is>
          <t>5.108 VP EDU SEC.</t>
        </is>
      </c>
      <c r="K445" t="inlineStr">
        <is>
          <t>HQ/5F/5F-1.jpg</t>
        </is>
      </c>
    </row>
    <row r="446" spans="1:11" outlineLevel="1" x14ac:dyDescent="0.3">
      <c r="A446" t="s">
        <v>794</v>
      </c>
      <c r="B446" t="s">
        <v>266</v>
      </c>
      <c r="C446" t="s">
        <v>10</v>
      </c>
      <c r="D446" t="s">
        <v>795</v>
      </c>
      <c r="E446" t="s">
        <v>6355</v>
      </c>
      <c r="H446" t="s">
        <v>9551</v>
      </c>
      <c r="J446" t="inlineStr">
        <is>
          <t>5.107 VP EDU SEC.</t>
        </is>
      </c>
      <c r="K446" t="inlineStr">
        <is>
          <t>HQ/5F/5F-1.jpg</t>
        </is>
      </c>
    </row>
    <row r="447" spans="1:11" outlineLevel="1" x14ac:dyDescent="0.3">
      <c r="A447" t="s">
        <v>796</v>
      </c>
      <c r="B447" t="s">
        <v>266</v>
      </c>
      <c r="C447" t="s">
        <v>10</v>
      </c>
      <c r="D447" t="s">
        <v>795</v>
      </c>
      <c r="E447" t="s">
        <v>6355</v>
      </c>
      <c r="J447" t="inlineStr">
        <is>
          <t>5.107 VP EDU SEC.</t>
        </is>
      </c>
      <c r="K447" t="inlineStr">
        <is>
          <t>HQ/5F/5F-1.jpg</t>
        </is>
      </c>
    </row>
    <row r="448" spans="1:11" outlineLevel="1" x14ac:dyDescent="0.3">
      <c r="A448" t="s">
        <v>797</v>
      </c>
      <c r="B448" t="s">
        <v>266</v>
      </c>
      <c r="C448" t="s">
        <v>8</v>
      </c>
      <c r="D448" t="s">
        <v>798</v>
      </c>
      <c r="E448" t="s">
        <v>6356</v>
      </c>
      <c r="J448" t="inlineStr">
        <is>
          <t>5.104 VP EDU LOUNGE WAITING</t>
        </is>
      </c>
      <c r="K448" t="inlineStr">
        <is>
          <t>HQ/5F/5F-1.jpg</t>
        </is>
      </c>
    </row>
    <row r="449" spans="1:11" outlineLevel="1" x14ac:dyDescent="0.3">
      <c r="A449" t="s">
        <v>799</v>
      </c>
      <c r="B449" t="s">
        <v>266</v>
      </c>
      <c r="C449" t="s">
        <v>8</v>
      </c>
      <c r="D449" t="s">
        <v>798</v>
      </c>
      <c r="E449" t="s">
        <v>6356</v>
      </c>
      <c r="J449" t="inlineStr">
        <is>
          <t>5.104 VP EDU LOUNGE WAITING</t>
        </is>
      </c>
      <c r="K449" t="inlineStr">
        <is>
          <t>HQ/5F/5F-1.jpg</t>
        </is>
      </c>
    </row>
    <row r="450" spans="1:11" outlineLevel="1" x14ac:dyDescent="0.3">
      <c r="A450" t="s">
        <v>800</v>
      </c>
      <c r="B450" t="s">
        <v>266</v>
      </c>
      <c r="C450" t="s">
        <v>10</v>
      </c>
      <c r="D450" t="s">
        <v>801</v>
      </c>
      <c r="E450" t="s">
        <v>8209</v>
      </c>
      <c r="J450" t="inlineStr">
        <is>
          <t>5.009 VP EDU OFFICERS</t>
        </is>
      </c>
      <c r="K450" t="inlineStr">
        <is>
          <t>HQ/5F/5F-1.jpg</t>
        </is>
      </c>
    </row>
    <row r="451" spans="1:11" outlineLevel="1" x14ac:dyDescent="0.3">
      <c r="A451" t="s">
        <v>802</v>
      </c>
      <c r="B451" t="s">
        <v>266</v>
      </c>
      <c r="C451" t="s">
        <v>10</v>
      </c>
      <c r="D451" t="s">
        <v>803</v>
      </c>
      <c r="E451" t="s">
        <v>8210</v>
      </c>
      <c r="J451" t="inlineStr">
        <is>
          <t>5.010 VP EDU OFFICERS</t>
        </is>
      </c>
      <c r="K451" t="inlineStr">
        <is>
          <t>HQ/5F/5F-1.jpg</t>
        </is>
      </c>
    </row>
    <row r="452" spans="1:11" outlineLevel="1" x14ac:dyDescent="0.3">
      <c r="A452" t="s">
        <v>804</v>
      </c>
      <c r="B452" t="s">
        <v>266</v>
      </c>
      <c r="C452" t="s">
        <v>10</v>
      </c>
      <c r="D452" t="s">
        <v>805</v>
      </c>
      <c r="E452" t="s">
        <v>6357</v>
      </c>
      <c r="J452" t="inlineStr">
        <is>
          <t>5.011 VP EDU ASSISTANT</t>
        </is>
      </c>
      <c r="K452" t="inlineStr">
        <is>
          <t>HQ/5F/5F-1.jpg</t>
        </is>
      </c>
    </row>
    <row r="453" spans="1:11" outlineLevel="1" x14ac:dyDescent="0.3">
      <c r="A453" t="s">
        <v>806</v>
      </c>
      <c r="B453" t="s">
        <v>266</v>
      </c>
      <c r="C453" t="s">
        <v>8</v>
      </c>
      <c r="D453" t="s">
        <v>807</v>
      </c>
      <c r="E453" t="s">
        <v>6358</v>
      </c>
      <c r="H453" t="s">
        <v>9552</v>
      </c>
      <c r="J453" t="inlineStr">
        <is>
          <t>5.002 VP EDU OFF. DIR ENSUIT</t>
        </is>
      </c>
      <c r="K453" t="inlineStr">
        <is>
          <t>HQ/5F/5F-1.jpg</t>
        </is>
      </c>
    </row>
    <row r="454" spans="1:11" outlineLevel="1" x14ac:dyDescent="0.3">
      <c r="A454" t="s">
        <v>808</v>
      </c>
      <c r="B454" t="s">
        <v>266</v>
      </c>
      <c r="C454" t="s">
        <v>10</v>
      </c>
      <c r="D454" t="s">
        <v>809</v>
      </c>
      <c r="E454" t="s">
        <v>6359</v>
      </c>
      <c r="H454" t="s">
        <v>9553</v>
      </c>
      <c r="J454" t="inlineStr">
        <is>
          <t>5.003 VP EDU SECRE.</t>
        </is>
      </c>
      <c r="K454" t="inlineStr">
        <is>
          <t>HQ/5F/5F-1.jpg</t>
        </is>
      </c>
    </row>
    <row r="455" spans="1:11" outlineLevel="1" x14ac:dyDescent="0.3">
      <c r="A455" t="s">
        <v>810</v>
      </c>
      <c r="B455" t="s">
        <v>266</v>
      </c>
      <c r="C455" t="s">
        <v>10</v>
      </c>
      <c r="D455" t="s">
        <v>811</v>
      </c>
      <c r="E455" t="s">
        <v>6360</v>
      </c>
      <c r="J455" t="inlineStr">
        <is>
          <t>5.004 VP EDU ASSISTANT</t>
        </is>
      </c>
      <c r="K455" t="inlineStr">
        <is>
          <t>HQ/5F/5F-1.jpg</t>
        </is>
      </c>
    </row>
    <row r="456" spans="1:11" outlineLevel="1" x14ac:dyDescent="0.3">
      <c r="A456" t="s">
        <v>812</v>
      </c>
      <c r="B456" t="s">
        <v>266</v>
      </c>
      <c r="C456" t="s">
        <v>10</v>
      </c>
      <c r="D456" t="s">
        <v>813</v>
      </c>
      <c r="E456" t="s">
        <v>6361</v>
      </c>
      <c r="J456" t="inlineStr">
        <is>
          <t>5.005 VP EDU OFFICERS</t>
        </is>
      </c>
      <c r="K456" t="inlineStr">
        <is>
          <t>HQ/5F/5F-1.jpg</t>
        </is>
      </c>
    </row>
    <row r="457" spans="1:11" outlineLevel="1" x14ac:dyDescent="0.3">
      <c r="A457" t="s">
        <v>814</v>
      </c>
      <c r="B457" t="s">
        <v>266</v>
      </c>
      <c r="C457" t="s">
        <v>10</v>
      </c>
      <c r="D457" t="s">
        <v>815</v>
      </c>
      <c r="E457" t="s">
        <v>6362</v>
      </c>
      <c r="J457" t="inlineStr">
        <is>
          <t>5.006 VP EDU OFFICERS</t>
        </is>
      </c>
      <c r="K457" t="inlineStr">
        <is>
          <t>HQ/5F/5F-1.jpg</t>
        </is>
      </c>
    </row>
    <row r="458" spans="1:11" outlineLevel="1" x14ac:dyDescent="0.3">
      <c r="A458" t="s">
        <v>816</v>
      </c>
      <c r="B458" t="s">
        <v>266</v>
      </c>
      <c r="C458" t="s">
        <v>10</v>
      </c>
      <c r="D458" t="s">
        <v>817</v>
      </c>
      <c r="E458" t="s">
        <v>6363</v>
      </c>
      <c r="J458" t="inlineStr">
        <is>
          <t>5.007 VP EDU ASSISTANT</t>
        </is>
      </c>
      <c r="K458" t="inlineStr">
        <is>
          <t>HQ/5F/5F-1.jpg</t>
        </is>
      </c>
    </row>
    <row r="459" spans="1:11" outlineLevel="1" x14ac:dyDescent="0.3">
      <c r="A459" t="s">
        <v>818</v>
      </c>
      <c r="B459" t="s">
        <v>266</v>
      </c>
      <c r="C459" t="s">
        <v>10</v>
      </c>
      <c r="D459" t="s">
        <v>819</v>
      </c>
      <c r="E459" t="s">
        <v>6364</v>
      </c>
      <c r="J459" t="inlineStr">
        <is>
          <t>5.008 VP EDU ASSISTANT</t>
        </is>
      </c>
      <c r="K459" t="inlineStr">
        <is>
          <t>HQ/5F/5F-1.jpg</t>
        </is>
      </c>
    </row>
    <row r="460" spans="1:11" outlineLevel="1" x14ac:dyDescent="0.3">
      <c r="A460" t="s">
        <v>820</v>
      </c>
      <c r="B460" t="s">
        <v>266</v>
      </c>
      <c r="C460" t="s">
        <v>10</v>
      </c>
      <c r="D460" t="s">
        <v>821</v>
      </c>
      <c r="E460" t="s">
        <v>6365</v>
      </c>
      <c r="J460" t="inlineStr">
        <is>
          <t>5.102 MEETING ROOM</t>
        </is>
      </c>
      <c r="K460" t="inlineStr">
        <is>
          <t>HQ/5F/5F-1.jpg</t>
        </is>
      </c>
    </row>
    <row r="461" spans="1:11" outlineLevel="1" x14ac:dyDescent="0.3">
      <c r="A461" t="s">
        <v>822</v>
      </c>
      <c r="B461" t="s">
        <v>266</v>
      </c>
      <c r="C461" t="s">
        <v>10</v>
      </c>
      <c r="D461" t="s">
        <v>821</v>
      </c>
      <c r="E461" t="s">
        <v>6365</v>
      </c>
      <c r="J461" t="inlineStr">
        <is>
          <t>5.102 MEETING ROOM</t>
        </is>
      </c>
      <c r="K461" t="inlineStr">
        <is>
          <t>HQ/5F/5F-1.jpg</t>
        </is>
      </c>
    </row>
    <row r="462" spans="1:11" outlineLevel="1" x14ac:dyDescent="0.3">
      <c r="A462" t="s">
        <v>823</v>
      </c>
      <c r="B462" t="s">
        <v>266</v>
      </c>
      <c r="C462" t="s">
        <v>10</v>
      </c>
      <c r="D462" t="s">
        <v>824</v>
      </c>
      <c r="E462" t="s">
        <v>6366</v>
      </c>
      <c r="J462" t="inlineStr">
        <is>
          <t>5.101 VP EDU SECRETARY</t>
        </is>
      </c>
      <c r="K462" t="inlineStr">
        <is>
          <t>HQ/5F/5F-1.jpg</t>
        </is>
      </c>
    </row>
    <row r="463" spans="1:11" outlineLevel="1" x14ac:dyDescent="0.3">
      <c r="A463" t="s">
        <v>825</v>
      </c>
      <c r="B463" t="s">
        <v>266</v>
      </c>
      <c r="C463" t="s">
        <v>10</v>
      </c>
      <c r="D463" t="s">
        <v>826</v>
      </c>
      <c r="E463" t="s">
        <v>6367</v>
      </c>
      <c r="J463" t="inlineStr">
        <is>
          <t>5.001 VP EDU ASSISTANT</t>
        </is>
      </c>
      <c r="K463" t="inlineStr">
        <is>
          <t>HQ/5F/5F-1.jpg</t>
        </is>
      </c>
    </row>
    <row r="464" spans="1:11" outlineLevel="1" x14ac:dyDescent="0.3">
      <c r="A464" t="s">
        <v>827</v>
      </c>
      <c r="B464" t="s">
        <v>266</v>
      </c>
      <c r="C464" t="s">
        <v>8</v>
      </c>
      <c r="D464" t="s">
        <v>6021</v>
      </c>
      <c r="E464" t="s">
        <v>6351</v>
      </c>
      <c r="H464" t="s">
        <v>9489</v>
      </c>
      <c r="J464" t="inlineStr">
        <is>
          <t>SOUTH WEST CORRIDOR</t>
        </is>
      </c>
      <c r="K464" t="inlineStr">
        <is>
          <t>HQ/5F/5F-1.jpg</t>
        </is>
      </c>
    </row>
    <row r="465" spans="1:11" outlineLevel="1" x14ac:dyDescent="0.3">
      <c r="A465" t="s">
        <v>828</v>
      </c>
      <c r="B465" t="s">
        <v>266</v>
      </c>
      <c r="C465" t="s">
        <v>10</v>
      </c>
      <c r="D465" t="s">
        <v>829</v>
      </c>
      <c r="E465" t="s">
        <v>6368</v>
      </c>
      <c r="H465" t="s">
        <v>9554</v>
      </c>
      <c r="J465" t="inlineStr">
        <is>
          <t>5.201 VP EDU MEMB.</t>
        </is>
      </c>
      <c r="K465" t="inlineStr">
        <is>
          <t>HQ/5F/5F-2.jpg</t>
        </is>
      </c>
    </row>
    <row r="466" spans="1:11" outlineLevel="1" x14ac:dyDescent="0.3">
      <c r="A466" t="s">
        <v>830</v>
      </c>
      <c r="B466" t="s">
        <v>266</v>
      </c>
      <c r="C466" t="s">
        <v>10</v>
      </c>
      <c r="D466" t="s">
        <v>831</v>
      </c>
      <c r="E466" t="s">
        <v>6085</v>
      </c>
      <c r="H466" t="s">
        <v>9555</v>
      </c>
      <c r="J466" t="inlineStr">
        <is>
          <t>5.202 VP EDU MEMB.</t>
        </is>
      </c>
      <c r="K466" t="inlineStr">
        <is>
          <t>HQ/5F/5F-2.jpg</t>
        </is>
      </c>
    </row>
    <row r="467" spans="1:11" outlineLevel="1" x14ac:dyDescent="0.3">
      <c r="A467" t="s">
        <v>832</v>
      </c>
      <c r="B467" t="s">
        <v>266</v>
      </c>
      <c r="C467" t="s">
        <v>10</v>
      </c>
      <c r="D467" t="s">
        <v>833</v>
      </c>
      <c r="E467" t="s">
        <v>6369</v>
      </c>
      <c r="H467" t="s">
        <v>9556</v>
      </c>
      <c r="J467" t="inlineStr">
        <is>
          <t>5.203 VP EDU MEMB.</t>
        </is>
      </c>
      <c r="K467" t="inlineStr">
        <is>
          <t>HQ/5F/5F-2.jpg</t>
        </is>
      </c>
    </row>
    <row r="468" spans="1:11" outlineLevel="1" x14ac:dyDescent="0.3">
      <c r="A468" t="s">
        <v>834</v>
      </c>
      <c r="B468" t="s">
        <v>266</v>
      </c>
      <c r="C468" t="s">
        <v>10</v>
      </c>
      <c r="D468" t="s">
        <v>835</v>
      </c>
      <c r="E468" t="s">
        <v>6370</v>
      </c>
      <c r="H468" t="s">
        <v>9557</v>
      </c>
      <c r="J468" t="inlineStr">
        <is>
          <t>5.205 VP EDU MEMB.</t>
        </is>
      </c>
      <c r="K468" t="inlineStr">
        <is>
          <t>HQ/5F/5F-2.jpg</t>
        </is>
      </c>
    </row>
    <row r="469" spans="1:11" outlineLevel="1" x14ac:dyDescent="0.3">
      <c r="A469" t="s">
        <v>836</v>
      </c>
      <c r="B469" t="s">
        <v>266</v>
      </c>
      <c r="C469" t="s">
        <v>10</v>
      </c>
      <c r="D469" t="s">
        <v>835</v>
      </c>
      <c r="E469" t="s">
        <v>6370</v>
      </c>
      <c r="J469" t="inlineStr">
        <is>
          <t>5.205 VP EDU MEMB.</t>
        </is>
      </c>
      <c r="K469" t="inlineStr">
        <is>
          <t>HQ/5F/5F-2.jpg</t>
        </is>
      </c>
    </row>
    <row r="470" spans="1:11" outlineLevel="1" x14ac:dyDescent="0.3">
      <c r="A470" t="s">
        <v>837</v>
      </c>
      <c r="B470" t="s">
        <v>266</v>
      </c>
      <c r="C470" t="s">
        <v>10</v>
      </c>
      <c r="D470" t="s">
        <v>838</v>
      </c>
      <c r="E470" t="s">
        <v>6371</v>
      </c>
      <c r="H470" t="s">
        <v>9558</v>
      </c>
      <c r="J470" t="inlineStr">
        <is>
          <t>5.206 VP EDU MEMB.</t>
        </is>
      </c>
      <c r="K470" t="inlineStr">
        <is>
          <t>HQ/5F/5F-2.jpg</t>
        </is>
      </c>
    </row>
    <row r="471" spans="1:11" outlineLevel="1" x14ac:dyDescent="0.3">
      <c r="A471" t="s">
        <v>839</v>
      </c>
      <c r="B471" t="s">
        <v>266</v>
      </c>
      <c r="C471" t="s">
        <v>10</v>
      </c>
      <c r="D471" t="s">
        <v>840</v>
      </c>
      <c r="E471" t="s">
        <v>6372</v>
      </c>
      <c r="H471" t="s">
        <v>9559</v>
      </c>
      <c r="J471" t="inlineStr">
        <is>
          <t>5.207 VP EDU MEMB.</t>
        </is>
      </c>
      <c r="K471" t="inlineStr">
        <is>
          <t>HQ/5F/5F-2.jpg</t>
        </is>
      </c>
    </row>
    <row r="472" spans="1:11" outlineLevel="1" x14ac:dyDescent="0.3">
      <c r="A472" t="s">
        <v>841</v>
      </c>
      <c r="B472" t="s">
        <v>266</v>
      </c>
      <c r="C472" t="s">
        <v>10</v>
      </c>
      <c r="D472" t="s">
        <v>842</v>
      </c>
      <c r="E472" t="s">
        <v>6373</v>
      </c>
      <c r="H472" t="s">
        <v>9560</v>
      </c>
      <c r="J472" t="inlineStr">
        <is>
          <t>5.208 VP EDU MEMB.</t>
        </is>
      </c>
      <c r="K472" t="inlineStr">
        <is>
          <t>HQ/5F/5F-2.jpg</t>
        </is>
      </c>
    </row>
    <row r="473" spans="1:11" outlineLevel="1" x14ac:dyDescent="0.3">
      <c r="A473" t="s">
        <v>843</v>
      </c>
      <c r="B473" t="s">
        <v>266</v>
      </c>
      <c r="C473" t="s">
        <v>10</v>
      </c>
      <c r="D473" t="s">
        <v>844</v>
      </c>
      <c r="E473" t="s">
        <v>6374</v>
      </c>
      <c r="H473" t="s">
        <v>9561</v>
      </c>
      <c r="J473" t="inlineStr">
        <is>
          <t>5.209 VP EDU MEMB.</t>
        </is>
      </c>
      <c r="K473" t="inlineStr">
        <is>
          <t>HQ/5F/5F-2.jpg</t>
        </is>
      </c>
    </row>
    <row r="474" spans="1:11" outlineLevel="1" x14ac:dyDescent="0.3">
      <c r="A474" t="s">
        <v>845</v>
      </c>
      <c r="B474" t="s">
        <v>266</v>
      </c>
      <c r="C474" t="s">
        <v>8</v>
      </c>
      <c r="D474" t="s">
        <v>846</v>
      </c>
      <c r="E474" t="s">
        <v>8211</v>
      </c>
      <c r="J474" t="inlineStr">
        <is>
          <t>5.210 VP EDU ENSUIT</t>
        </is>
      </c>
      <c r="K474" t="inlineStr">
        <is>
          <t>HQ/5F/5F-2.jpg</t>
        </is>
      </c>
    </row>
    <row r="475" spans="1:11" outlineLevel="1" x14ac:dyDescent="0.3">
      <c r="A475" t="s">
        <v>847</v>
      </c>
      <c r="B475" t="s">
        <v>266</v>
      </c>
      <c r="C475" t="s">
        <v>10</v>
      </c>
      <c r="D475" t="s">
        <v>848</v>
      </c>
      <c r="E475" t="s">
        <v>6375</v>
      </c>
      <c r="H475" t="s">
        <v>9562</v>
      </c>
      <c r="J475" t="inlineStr">
        <is>
          <t>5.211 VP EDU SEC.</t>
        </is>
      </c>
      <c r="K475" t="inlineStr">
        <is>
          <t>HQ/5F/5F-2.jpg</t>
        </is>
      </c>
    </row>
    <row r="476" spans="1:11" outlineLevel="1" x14ac:dyDescent="0.3">
      <c r="A476" t="s">
        <v>849</v>
      </c>
      <c r="B476" t="s">
        <v>266</v>
      </c>
      <c r="C476" t="s">
        <v>10</v>
      </c>
      <c r="D476" t="s">
        <v>850</v>
      </c>
      <c r="E476" t="s">
        <v>6376</v>
      </c>
      <c r="H476" t="s">
        <v>9563</v>
      </c>
      <c r="J476" t="inlineStr">
        <is>
          <t>5.212 VP EDU MEMB.</t>
        </is>
      </c>
      <c r="K476" t="inlineStr">
        <is>
          <t>HQ/5F/5F-2.jpg</t>
        </is>
      </c>
    </row>
    <row r="477" spans="1:11" outlineLevel="1" x14ac:dyDescent="0.3">
      <c r="A477" t="s">
        <v>851</v>
      </c>
      <c r="B477" t="s">
        <v>266</v>
      </c>
      <c r="C477" t="s">
        <v>8</v>
      </c>
      <c r="D477" t="s">
        <v>852</v>
      </c>
      <c r="E477" t="s">
        <v>6377</v>
      </c>
      <c r="H477" t="s">
        <v>9564</v>
      </c>
      <c r="J477" t="inlineStr">
        <is>
          <t>5.213 VP EDU DIR. ENSUIT</t>
        </is>
      </c>
      <c r="K477" t="inlineStr">
        <is>
          <t>HQ/5F/5F-2.jpg</t>
        </is>
      </c>
    </row>
    <row r="478" spans="1:11" outlineLevel="1" x14ac:dyDescent="0.3">
      <c r="A478" t="s">
        <v>853</v>
      </c>
      <c r="B478" t="s">
        <v>266</v>
      </c>
      <c r="C478" t="s">
        <v>8</v>
      </c>
      <c r="D478" t="s">
        <v>787</v>
      </c>
      <c r="E478" t="s">
        <v>8212</v>
      </c>
      <c r="H478" t="s">
        <v>9531</v>
      </c>
      <c r="J478" t="inlineStr">
        <is>
          <t>SOUTH EAST CORRIDOR</t>
        </is>
      </c>
      <c r="K478" t="inlineStr">
        <is>
          <t>HQ/5F/5F-2.jpg</t>
        </is>
      </c>
    </row>
    <row r="479" spans="1:11" outlineLevel="1" x14ac:dyDescent="0.3">
      <c r="A479" t="s">
        <v>854</v>
      </c>
      <c r="B479" t="s">
        <v>266</v>
      </c>
      <c r="C479" t="s">
        <v>8</v>
      </c>
      <c r="D479" t="s">
        <v>787</v>
      </c>
      <c r="E479" t="s">
        <v>8212</v>
      </c>
      <c r="H479" t="s">
        <v>9531</v>
      </c>
      <c r="J479" t="inlineStr">
        <is>
          <t>SOUTH EAST CORRIDOR</t>
        </is>
      </c>
      <c r="K479" t="inlineStr">
        <is>
          <t>HQ/5F/5F-2.jpg</t>
        </is>
      </c>
    </row>
    <row r="480" spans="1:11" outlineLevel="1" x14ac:dyDescent="0.3">
      <c r="A480" t="s">
        <v>855</v>
      </c>
      <c r="B480" t="s">
        <v>266</v>
      </c>
      <c r="C480" t="s">
        <v>8</v>
      </c>
      <c r="D480" t="s">
        <v>787</v>
      </c>
      <c r="E480" t="s">
        <v>8212</v>
      </c>
      <c r="H480" t="s">
        <v>9531</v>
      </c>
      <c r="J480" t="inlineStr">
        <is>
          <t>SOUTH EAST CORRIDOR</t>
        </is>
      </c>
      <c r="K480" t="inlineStr">
        <is>
          <t>HQ/5F/5F-2.jpg</t>
        </is>
      </c>
    </row>
    <row r="481" spans="1:11" outlineLevel="1" x14ac:dyDescent="0.3">
      <c r="A481" t="s">
        <v>856</v>
      </c>
      <c r="B481" t="s">
        <v>266</v>
      </c>
      <c r="C481" t="s">
        <v>8</v>
      </c>
      <c r="D481" t="s">
        <v>787</v>
      </c>
      <c r="E481" t="s">
        <v>8212</v>
      </c>
      <c r="H481" t="s">
        <v>9379</v>
      </c>
      <c r="J481" t="inlineStr">
        <is>
          <t>NORTH EAST CORRIDOR</t>
        </is>
      </c>
      <c r="K481" t="inlineStr">
        <is>
          <t>HQ/5F/5F-2.jpg</t>
        </is>
      </c>
    </row>
    <row r="482" spans="1:11" outlineLevel="1" x14ac:dyDescent="0.3">
      <c r="A482" t="s">
        <v>857</v>
      </c>
      <c r="B482" t="s">
        <v>266</v>
      </c>
      <c r="C482" t="s">
        <v>8</v>
      </c>
      <c r="D482" t="s">
        <v>858</v>
      </c>
      <c r="E482" t="s">
        <v>6378</v>
      </c>
      <c r="H482" t="s">
        <v>9565</v>
      </c>
      <c r="J482" t="inlineStr">
        <is>
          <t>5.027 VP EDU OFF.</t>
        </is>
      </c>
      <c r="K482" t="inlineStr">
        <is>
          <t>HQ/5F/5F-2.jpg</t>
        </is>
      </c>
    </row>
    <row r="483" spans="1:11" outlineLevel="1" x14ac:dyDescent="0.3">
      <c r="A483" t="s">
        <v>859</v>
      </c>
      <c r="B483" t="s">
        <v>266</v>
      </c>
      <c r="C483" t="s">
        <v>10</v>
      </c>
      <c r="D483" t="s">
        <v>860</v>
      </c>
      <c r="E483" t="s">
        <v>6379</v>
      </c>
      <c r="H483" t="s">
        <v>9566</v>
      </c>
      <c r="J483" t="inlineStr">
        <is>
          <t>6.012 INT. AUDIT</t>
        </is>
      </c>
      <c r="K483" t="inlineStr">
        <is>
          <t>HQ/6F/6F-1.jpg</t>
        </is>
      </c>
    </row>
    <row r="484" spans="1:11" outlineLevel="1" x14ac:dyDescent="0.3">
      <c r="A484" t="s">
        <v>861</v>
      </c>
      <c r="B484" t="s">
        <v>266</v>
      </c>
      <c r="C484" t="s">
        <v>10</v>
      </c>
      <c r="D484" t="s">
        <v>862</v>
      </c>
      <c r="E484" t="s">
        <v>6380</v>
      </c>
      <c r="H484" t="s">
        <v>9567</v>
      </c>
      <c r="J484" t="inlineStr">
        <is>
          <t>6.013 INT. AUDIT SEC.</t>
        </is>
      </c>
      <c r="K484" t="inlineStr">
        <is>
          <t>HQ/6F/6F-1.jpg</t>
        </is>
      </c>
    </row>
    <row r="485" spans="1:11" outlineLevel="1" x14ac:dyDescent="0.3">
      <c r="A485" t="s">
        <v>863</v>
      </c>
      <c r="B485" t="s">
        <v>266</v>
      </c>
      <c r="C485" t="s">
        <v>10</v>
      </c>
      <c r="D485" t="s">
        <v>864</v>
      </c>
      <c r="E485" t="s">
        <v>6381</v>
      </c>
      <c r="H485" t="s">
        <v>9568</v>
      </c>
      <c r="J485" t="inlineStr">
        <is>
          <t>6.014 ACA. AUDIT</t>
        </is>
      </c>
      <c r="K485" t="inlineStr">
        <is>
          <t>HQ/6F/6F-1.jpg</t>
        </is>
      </c>
    </row>
    <row r="486" spans="1:11" outlineLevel="1" x14ac:dyDescent="0.3">
      <c r="A486" t="s">
        <v>865</v>
      </c>
      <c r="B486" t="s">
        <v>266</v>
      </c>
      <c r="C486" t="s">
        <v>10</v>
      </c>
      <c r="D486" t="s">
        <v>866</v>
      </c>
      <c r="E486" t="s">
        <v>6382</v>
      </c>
      <c r="H486" t="s">
        <v>9569</v>
      </c>
      <c r="J486" t="inlineStr">
        <is>
          <t>6.015 ACA. AUDIT</t>
        </is>
      </c>
      <c r="K486" t="inlineStr">
        <is>
          <t>HQ/6F/6F-1.jpg</t>
        </is>
      </c>
    </row>
    <row r="487" spans="1:11" outlineLevel="1" x14ac:dyDescent="0.3">
      <c r="A487" t="s">
        <v>867</v>
      </c>
      <c r="B487" t="s">
        <v>266</v>
      </c>
      <c r="C487" t="s">
        <v>10</v>
      </c>
      <c r="D487" t="s">
        <v>868</v>
      </c>
      <c r="E487" t="s">
        <v>6383</v>
      </c>
      <c r="H487" t="s">
        <v>9570</v>
      </c>
      <c r="J487" t="inlineStr">
        <is>
          <t>6.016 ACA. AUDIT</t>
        </is>
      </c>
      <c r="K487" t="inlineStr">
        <is>
          <t>HQ/6F/6F-1.jpg</t>
        </is>
      </c>
    </row>
    <row r="488" spans="1:11" outlineLevel="1" x14ac:dyDescent="0.3">
      <c r="A488" t="s">
        <v>869</v>
      </c>
      <c r="B488" t="s">
        <v>266</v>
      </c>
      <c r="C488" t="s">
        <v>10</v>
      </c>
      <c r="D488" t="s">
        <v>870</v>
      </c>
      <c r="E488" t="s">
        <v>6384</v>
      </c>
      <c r="H488" t="s">
        <v>9571</v>
      </c>
      <c r="J488" t="inlineStr">
        <is>
          <t>6.017 ACA. AUDIT</t>
        </is>
      </c>
      <c r="K488" t="inlineStr">
        <is>
          <t>HQ/6F/6F-1.jpg</t>
        </is>
      </c>
    </row>
    <row r="489" spans="1:11" outlineLevel="1" x14ac:dyDescent="0.3">
      <c r="A489" t="s">
        <v>871</v>
      </c>
      <c r="B489" t="s">
        <v>266</v>
      </c>
      <c r="C489" t="s">
        <v>10</v>
      </c>
      <c r="D489" t="s">
        <v>872</v>
      </c>
      <c r="E489" t="s">
        <v>6385</v>
      </c>
      <c r="H489" t="s">
        <v>9572</v>
      </c>
      <c r="J489" t="inlineStr">
        <is>
          <t>6.018 ACA. AUDIT</t>
        </is>
      </c>
      <c r="K489" t="inlineStr">
        <is>
          <t>HQ/6F/6F-1.jpg</t>
        </is>
      </c>
    </row>
    <row r="490" spans="1:11" outlineLevel="1" x14ac:dyDescent="0.3">
      <c r="A490" t="s">
        <v>873</v>
      </c>
      <c r="B490" t="s">
        <v>266</v>
      </c>
      <c r="C490" t="s">
        <v>10</v>
      </c>
      <c r="D490" t="s">
        <v>874</v>
      </c>
      <c r="E490" t="s">
        <v>6386</v>
      </c>
      <c r="H490" t="s">
        <v>9573</v>
      </c>
      <c r="J490" t="inlineStr">
        <is>
          <t>6.019 ACA. AUDIT</t>
        </is>
      </c>
      <c r="K490" t="inlineStr">
        <is>
          <t>HQ/6F/6F-1.jpg</t>
        </is>
      </c>
    </row>
    <row r="491" spans="1:11" outlineLevel="1" x14ac:dyDescent="0.3">
      <c r="A491" t="s">
        <v>875</v>
      </c>
      <c r="B491" t="s">
        <v>266</v>
      </c>
      <c r="C491" t="s">
        <v>10</v>
      </c>
      <c r="D491" t="s">
        <v>876</v>
      </c>
      <c r="E491" t="s">
        <v>6387</v>
      </c>
      <c r="H491" t="s">
        <v>9574</v>
      </c>
      <c r="J491" t="inlineStr">
        <is>
          <t>6.020 ACA. AUDIT</t>
        </is>
      </c>
      <c r="K491" t="inlineStr">
        <is>
          <t>HQ/6F/6F-1.jpg</t>
        </is>
      </c>
    </row>
    <row r="492" spans="1:11" outlineLevel="1" x14ac:dyDescent="0.3">
      <c r="A492" t="s">
        <v>877</v>
      </c>
      <c r="B492" t="s">
        <v>266</v>
      </c>
      <c r="C492" t="s">
        <v>10</v>
      </c>
      <c r="D492" t="s">
        <v>878</v>
      </c>
      <c r="E492" t="s">
        <v>6388</v>
      </c>
      <c r="H492" t="s">
        <v>9575</v>
      </c>
      <c r="J492" t="inlineStr">
        <is>
          <t>6.021 ACA. AUDIT SEC.</t>
        </is>
      </c>
      <c r="K492" t="inlineStr">
        <is>
          <t>HQ/6F/6F-2.jpg</t>
        </is>
      </c>
    </row>
    <row r="493" spans="1:11" outlineLevel="1" x14ac:dyDescent="0.3">
      <c r="A493" t="s">
        <v>879</v>
      </c>
      <c r="B493" t="s">
        <v>266</v>
      </c>
      <c r="C493" t="s">
        <v>10</v>
      </c>
      <c r="D493" t="s">
        <v>880</v>
      </c>
      <c r="E493" t="s">
        <v>6389</v>
      </c>
      <c r="H493" t="s">
        <v>9576</v>
      </c>
      <c r="J493" t="inlineStr">
        <is>
          <t>6.022 ACA. AUDIT SEC.</t>
        </is>
      </c>
      <c r="K493" t="inlineStr">
        <is>
          <t>HQ/6F/6F-2.jpg</t>
        </is>
      </c>
    </row>
    <row r="494" spans="1:11" outlineLevel="1" x14ac:dyDescent="0.3">
      <c r="A494" t="s">
        <v>881</v>
      </c>
      <c r="B494" t="s">
        <v>266</v>
      </c>
      <c r="C494" t="s">
        <v>10</v>
      </c>
      <c r="D494" t="s">
        <v>882</v>
      </c>
      <c r="E494" t="s">
        <v>6390</v>
      </c>
      <c r="H494" t="s">
        <v>9577</v>
      </c>
      <c r="J494" t="inlineStr">
        <is>
          <t>6.023 ACA. SEN. AUDIT</t>
        </is>
      </c>
      <c r="K494" t="inlineStr">
        <is>
          <t>HQ/6F/6F-2.jpg</t>
        </is>
      </c>
    </row>
    <row r="495" spans="1:11" outlineLevel="1" x14ac:dyDescent="0.3">
      <c r="A495" t="s">
        <v>883</v>
      </c>
      <c r="B495" t="s">
        <v>266</v>
      </c>
      <c r="C495" t="s">
        <v>10</v>
      </c>
      <c r="D495" t="s">
        <v>884</v>
      </c>
      <c r="E495" t="s">
        <v>6391</v>
      </c>
      <c r="H495" t="s">
        <v>9578</v>
      </c>
      <c r="J495" t="inlineStr">
        <is>
          <t>6.024 ACA. SEN. AUDIT</t>
        </is>
      </c>
      <c r="K495" t="inlineStr">
        <is>
          <t>HQ/6F/6F-2.jpg</t>
        </is>
      </c>
    </row>
    <row r="496" spans="1:11" outlineLevel="1" x14ac:dyDescent="0.3">
      <c r="A496" t="s">
        <v>885</v>
      </c>
      <c r="B496" t="s">
        <v>266</v>
      </c>
      <c r="C496" t="s">
        <v>10</v>
      </c>
      <c r="D496" t="s">
        <v>886</v>
      </c>
      <c r="E496" t="s">
        <v>6392</v>
      </c>
      <c r="H496" t="s">
        <v>9579</v>
      </c>
      <c r="J496" t="inlineStr">
        <is>
          <t>6.025 FACI. MANA. SEC.</t>
        </is>
      </c>
      <c r="K496" t="inlineStr">
        <is>
          <t>HQ/6F/6F-2.jpg</t>
        </is>
      </c>
    </row>
    <row r="497" spans="1:11" outlineLevel="1" x14ac:dyDescent="0.3">
      <c r="A497" t="s">
        <v>887</v>
      </c>
      <c r="B497" t="s">
        <v>266</v>
      </c>
      <c r="C497" t="s">
        <v>8</v>
      </c>
      <c r="D497" t="s">
        <v>888</v>
      </c>
      <c r="E497" t="s">
        <v>6393</v>
      </c>
      <c r="H497" t="s">
        <v>9580</v>
      </c>
      <c r="J497" t="inlineStr">
        <is>
          <t>6.026 FACILITY MANAG. DIR. ENSUIT</t>
        </is>
      </c>
      <c r="K497" t="inlineStr">
        <is>
          <t>HQ/6F/6F-2.jpg</t>
        </is>
      </c>
    </row>
    <row r="498" spans="1:11" outlineLevel="1" x14ac:dyDescent="0.3">
      <c r="A498" t="s">
        <v>889</v>
      </c>
      <c r="B498" t="s">
        <v>266</v>
      </c>
      <c r="C498" t="s">
        <v>10</v>
      </c>
      <c r="D498" t="s">
        <v>890</v>
      </c>
      <c r="E498" t="s">
        <v>6394</v>
      </c>
      <c r="H498" t="s">
        <v>9581</v>
      </c>
      <c r="J498" t="inlineStr">
        <is>
          <t>6.027 VP CAPITAL CONSUL.</t>
        </is>
      </c>
      <c r="K498" t="inlineStr">
        <is>
          <t>HQ/6F/6F-2.jpg</t>
        </is>
      </c>
    </row>
    <row r="499" spans="1:11" outlineLevel="1" x14ac:dyDescent="0.3">
      <c r="A499" t="s">
        <v>891</v>
      </c>
      <c r="B499" t="s">
        <v>266</v>
      </c>
      <c r="C499" t="s">
        <v>10</v>
      </c>
      <c r="D499" t="s">
        <v>892</v>
      </c>
      <c r="E499" t="s">
        <v>6395</v>
      </c>
      <c r="H499" t="s">
        <v>9582</v>
      </c>
      <c r="J499" t="inlineStr">
        <is>
          <t>6.028 VP CAPITAL CONSUL.</t>
        </is>
      </c>
      <c r="K499" t="inlineStr">
        <is>
          <t>HQ/6F/6F-2.jpg</t>
        </is>
      </c>
    </row>
    <row r="500" spans="1:11" outlineLevel="1" x14ac:dyDescent="0.3">
      <c r="A500" t="s">
        <v>893</v>
      </c>
      <c r="B500" t="s">
        <v>266</v>
      </c>
      <c r="C500" t="s">
        <v>8</v>
      </c>
      <c r="D500" t="s">
        <v>6022</v>
      </c>
      <c r="E500" t="s">
        <v>6396</v>
      </c>
      <c r="H500" t="s">
        <v>9379</v>
      </c>
      <c r="J500" t="inlineStr">
        <is>
          <t>NORTH EAST CORRIDOR</t>
        </is>
      </c>
      <c r="K500" t="inlineStr">
        <is>
          <t>HQ/6F/6F-2.jpg</t>
        </is>
      </c>
    </row>
    <row r="501" spans="1:11" outlineLevel="1" x14ac:dyDescent="0.3">
      <c r="A501" t="s">
        <v>894</v>
      </c>
      <c r="B501" t="s">
        <v>266</v>
      </c>
      <c r="C501" t="s">
        <v>10</v>
      </c>
      <c r="D501" t="s">
        <v>895</v>
      </c>
      <c r="E501" t="s">
        <v>6397</v>
      </c>
      <c r="H501" t="s">
        <v>9583</v>
      </c>
      <c r="J501" t="inlineStr">
        <is>
          <t>6.109 VP CAPITAL WORK ASSIST</t>
        </is>
      </c>
      <c r="K501" t="inlineStr">
        <is>
          <t>HQ/6F/6F-2.jpg</t>
        </is>
      </c>
    </row>
    <row r="502" spans="1:11" outlineLevel="1" x14ac:dyDescent="0.3">
      <c r="A502" t="s">
        <v>896</v>
      </c>
      <c r="B502" t="s">
        <v>266</v>
      </c>
      <c r="C502" t="s">
        <v>8</v>
      </c>
      <c r="D502" t="s">
        <v>897</v>
      </c>
      <c r="E502" t="s">
        <v>6398</v>
      </c>
      <c r="H502" t="s">
        <v>9584</v>
      </c>
      <c r="J502" t="inlineStr">
        <is>
          <t>6.108 VP CAPITAL PROJ. COORD</t>
        </is>
      </c>
      <c r="K502" t="inlineStr">
        <is>
          <t>HQ/6F/6F-1.jpg</t>
        </is>
      </c>
    </row>
    <row r="503" spans="1:11" outlineLevel="1" x14ac:dyDescent="0.3">
      <c r="A503" t="s">
        <v>898</v>
      </c>
      <c r="B503" t="s">
        <v>266</v>
      </c>
      <c r="C503" t="s">
        <v>8</v>
      </c>
      <c r="D503" t="s">
        <v>6022</v>
      </c>
      <c r="E503" t="s">
        <v>6396</v>
      </c>
      <c r="H503" t="s">
        <v>9379</v>
      </c>
      <c r="J503" t="inlineStr">
        <is>
          <t>NORTH EAST CORRIDOR</t>
        </is>
      </c>
      <c r="K503" t="inlineStr">
        <is>
          <t>HQ/6F/6F-2.jpg</t>
        </is>
      </c>
    </row>
    <row r="504" spans="1:11" outlineLevel="1" x14ac:dyDescent="0.3">
      <c r="A504" t="s">
        <v>899</v>
      </c>
      <c r="B504" t="s">
        <v>266</v>
      </c>
      <c r="C504" t="s">
        <v>8</v>
      </c>
      <c r="D504" t="s">
        <v>900</v>
      </c>
      <c r="E504" t="s">
        <v>6399</v>
      </c>
      <c r="J504" t="inlineStr">
        <is>
          <t>6.105 LOUNGE</t>
        </is>
      </c>
      <c r="K504" t="inlineStr">
        <is>
          <t>HQ/6F/6F-1.jpg</t>
        </is>
      </c>
    </row>
    <row r="505" spans="1:11" outlineLevel="1" x14ac:dyDescent="0.3">
      <c r="A505" t="s">
        <v>901</v>
      </c>
      <c r="B505" t="s">
        <v>266</v>
      </c>
      <c r="C505" t="s">
        <v>8</v>
      </c>
      <c r="D505" t="s">
        <v>900</v>
      </c>
      <c r="E505" t="s">
        <v>6399</v>
      </c>
      <c r="J505" t="inlineStr">
        <is>
          <t>6.105 LOUNGE</t>
        </is>
      </c>
      <c r="K505" t="inlineStr">
        <is>
          <t>HQ/6F/6F-1.jpg</t>
        </is>
      </c>
    </row>
    <row r="506" spans="1:11" outlineLevel="1" x14ac:dyDescent="0.3">
      <c r="A506" t="s">
        <v>902</v>
      </c>
      <c r="B506" t="s">
        <v>266</v>
      </c>
      <c r="C506" t="s">
        <v>10</v>
      </c>
      <c r="D506" t="s">
        <v>903</v>
      </c>
      <c r="E506" t="s">
        <v>6400</v>
      </c>
      <c r="H506" t="s">
        <v>9585</v>
      </c>
      <c r="J506" t="inlineStr">
        <is>
          <t>6.009 INT. AUDIT SUPP. AUDIT</t>
        </is>
      </c>
      <c r="K506" t="inlineStr">
        <is>
          <t>HQ/6F/6F-1.jpg</t>
        </is>
      </c>
    </row>
    <row r="507" spans="1:11" outlineLevel="1" x14ac:dyDescent="0.3">
      <c r="A507" t="s">
        <v>904</v>
      </c>
      <c r="B507" t="s">
        <v>266</v>
      </c>
      <c r="C507" t="s">
        <v>10</v>
      </c>
      <c r="D507" t="s">
        <v>905</v>
      </c>
      <c r="E507" t="s">
        <v>6401</v>
      </c>
      <c r="H507" t="s">
        <v>9586</v>
      </c>
      <c r="J507" t="inlineStr">
        <is>
          <t>6.010 INT. AUDIT SEC.</t>
        </is>
      </c>
      <c r="K507" t="inlineStr">
        <is>
          <t>HQ/6F/6F-1.jpg</t>
        </is>
      </c>
    </row>
    <row r="508" spans="1:11" outlineLevel="1" x14ac:dyDescent="0.3">
      <c r="A508" t="s">
        <v>906</v>
      </c>
      <c r="B508" t="s">
        <v>266</v>
      </c>
      <c r="C508" t="s">
        <v>10</v>
      </c>
      <c r="D508" t="s">
        <v>907</v>
      </c>
      <c r="E508" t="s">
        <v>6402</v>
      </c>
      <c r="H508" t="s">
        <v>9587</v>
      </c>
      <c r="J508" t="inlineStr">
        <is>
          <t>6.011 INT. AUDIT</t>
        </is>
      </c>
      <c r="K508" t="inlineStr">
        <is>
          <t>HQ/6F/6F-1.jpg</t>
        </is>
      </c>
    </row>
    <row r="509" spans="1:11" outlineLevel="1" x14ac:dyDescent="0.3">
      <c r="A509" t="s">
        <v>908</v>
      </c>
      <c r="B509" t="s">
        <v>266</v>
      </c>
      <c r="C509" t="s">
        <v>10</v>
      </c>
      <c r="D509" t="s">
        <v>909</v>
      </c>
      <c r="E509" t="s">
        <v>6403</v>
      </c>
      <c r="H509" t="s">
        <v>9588</v>
      </c>
      <c r="J509" t="inlineStr">
        <is>
          <t>6.002 INT. AUDIT ARCHIVE ROOM</t>
        </is>
      </c>
      <c r="K509" t="inlineStr">
        <is>
          <t>HQ/6F/6F-1.jpg</t>
        </is>
      </c>
    </row>
    <row r="510" spans="1:11" outlineLevel="1" x14ac:dyDescent="0.3">
      <c r="A510" t="s">
        <v>910</v>
      </c>
      <c r="B510" t="s">
        <v>266</v>
      </c>
      <c r="C510" t="s">
        <v>10</v>
      </c>
      <c r="D510" t="s">
        <v>911</v>
      </c>
      <c r="E510" t="s">
        <v>6404</v>
      </c>
      <c r="H510" t="s">
        <v>9589</v>
      </c>
      <c r="J510" t="inlineStr">
        <is>
          <t>6.003 INT. AUDIT SUPP. AUDIT</t>
        </is>
      </c>
      <c r="K510" t="inlineStr">
        <is>
          <t>HQ/6F/6F-1.jpg</t>
        </is>
      </c>
    </row>
    <row r="511" spans="1:11" outlineLevel="1" x14ac:dyDescent="0.3">
      <c r="A511" t="s">
        <v>912</v>
      </c>
      <c r="B511" t="s">
        <v>266</v>
      </c>
      <c r="C511" t="s">
        <v>10</v>
      </c>
      <c r="D511" t="s">
        <v>913</v>
      </c>
      <c r="E511" t="s">
        <v>6405</v>
      </c>
      <c r="H511" t="s">
        <v>9590</v>
      </c>
      <c r="J511" t="inlineStr">
        <is>
          <t>6.004 INT. AUDIT SUPP. AUDIT</t>
        </is>
      </c>
      <c r="K511" t="inlineStr">
        <is>
          <t>HQ/6F/6F-1.jpg</t>
        </is>
      </c>
    </row>
    <row r="512" spans="1:11" outlineLevel="1" x14ac:dyDescent="0.3">
      <c r="A512" t="s">
        <v>914</v>
      </c>
      <c r="B512" t="s">
        <v>266</v>
      </c>
      <c r="C512" t="s">
        <v>10</v>
      </c>
      <c r="D512" t="s">
        <v>915</v>
      </c>
      <c r="E512" t="s">
        <v>6406</v>
      </c>
      <c r="H512" t="s">
        <v>9591</v>
      </c>
      <c r="J512" t="inlineStr">
        <is>
          <t>6.005 INT. AUDIT SUPP. AUDIT</t>
        </is>
      </c>
      <c r="K512" t="inlineStr">
        <is>
          <t>HQ/6F/6F-1.jpg</t>
        </is>
      </c>
    </row>
    <row r="513" spans="1:11" outlineLevel="1" x14ac:dyDescent="0.3">
      <c r="A513" t="s">
        <v>916</v>
      </c>
      <c r="B513" t="s">
        <v>266</v>
      </c>
      <c r="C513" t="s">
        <v>10</v>
      </c>
      <c r="D513" t="s">
        <v>917</v>
      </c>
      <c r="E513" t="s">
        <v>6407</v>
      </c>
      <c r="H513" t="s">
        <v>9592</v>
      </c>
      <c r="J513" t="inlineStr">
        <is>
          <t>6.006 INT. AUDIT SUPP. AUDIT</t>
        </is>
      </c>
      <c r="K513" t="inlineStr">
        <is>
          <t>HQ/6F/6F-1.jpg</t>
        </is>
      </c>
    </row>
    <row r="514" spans="1:11" outlineLevel="1" x14ac:dyDescent="0.3">
      <c r="A514" t="s">
        <v>918</v>
      </c>
      <c r="B514" t="s">
        <v>266</v>
      </c>
      <c r="C514" t="s">
        <v>10</v>
      </c>
      <c r="D514" t="s">
        <v>919</v>
      </c>
      <c r="E514" t="s">
        <v>6408</v>
      </c>
      <c r="H514" t="s">
        <v>9593</v>
      </c>
      <c r="J514" t="inlineStr">
        <is>
          <t>6.007 INT. AUDIT SUPP. AUDIT</t>
        </is>
      </c>
      <c r="K514" t="inlineStr">
        <is>
          <t>HQ/6F/6F-1.jpg</t>
        </is>
      </c>
    </row>
    <row r="515" spans="1:11" outlineLevel="1" x14ac:dyDescent="0.3">
      <c r="A515" t="s">
        <v>920</v>
      </c>
      <c r="B515" t="s">
        <v>266</v>
      </c>
      <c r="C515" t="s">
        <v>10</v>
      </c>
      <c r="D515" t="s">
        <v>921</v>
      </c>
      <c r="E515" t="s">
        <v>6409</v>
      </c>
      <c r="H515" t="s">
        <v>9594</v>
      </c>
      <c r="J515" t="inlineStr">
        <is>
          <t>6.008 INT. AUDIT SUPP. AUDIT</t>
        </is>
      </c>
      <c r="K515" t="inlineStr">
        <is>
          <t>HQ/6F/6F-1.jpg</t>
        </is>
      </c>
    </row>
    <row r="516" spans="1:11" outlineLevel="1" x14ac:dyDescent="0.3">
      <c r="A516" t="s">
        <v>922</v>
      </c>
      <c r="B516" t="s">
        <v>266</v>
      </c>
      <c r="C516" t="s">
        <v>10</v>
      </c>
      <c r="D516" t="s">
        <v>923</v>
      </c>
      <c r="E516" t="s">
        <v>6410</v>
      </c>
      <c r="H516" t="s">
        <v>9595</v>
      </c>
      <c r="J516" t="inlineStr">
        <is>
          <t>6.103 OFFICE SPACE</t>
        </is>
      </c>
      <c r="K516" t="inlineStr">
        <is>
          <t>HQ/6F/6F-1.jpg</t>
        </is>
      </c>
    </row>
    <row r="517" spans="1:11" outlineLevel="1" x14ac:dyDescent="0.3">
      <c r="A517" t="s">
        <v>924</v>
      </c>
      <c r="B517" t="s">
        <v>266</v>
      </c>
      <c r="C517" t="s">
        <v>10</v>
      </c>
      <c r="D517" t="s">
        <v>925</v>
      </c>
      <c r="E517" t="s">
        <v>6411</v>
      </c>
      <c r="H517" t="s">
        <v>9596</v>
      </c>
      <c r="J517" t="inlineStr">
        <is>
          <t>6.102 OFFICE SPACE</t>
        </is>
      </c>
      <c r="K517" t="inlineStr">
        <is>
          <t>HQ/6F/6F-1.jpg</t>
        </is>
      </c>
    </row>
    <row r="518" spans="1:11" outlineLevel="1" x14ac:dyDescent="0.3">
      <c r="A518" t="s">
        <v>926</v>
      </c>
      <c r="B518" t="s">
        <v>266</v>
      </c>
      <c r="C518" t="s">
        <v>10</v>
      </c>
      <c r="D518" t="s">
        <v>927</v>
      </c>
      <c r="E518" t="s">
        <v>6412</v>
      </c>
      <c r="H518" t="s">
        <v>9597</v>
      </c>
      <c r="J518" t="inlineStr">
        <is>
          <t>6.101 OFFICE SPACE</t>
        </is>
      </c>
      <c r="K518" t="inlineStr">
        <is>
          <t>HQ/6F/6F-1.jpg</t>
        </is>
      </c>
    </row>
    <row r="519" spans="1:11" outlineLevel="1" x14ac:dyDescent="0.3">
      <c r="A519" t="s">
        <v>928</v>
      </c>
      <c r="B519" t="s">
        <v>266</v>
      </c>
      <c r="C519" t="s">
        <v>10</v>
      </c>
      <c r="D519" t="s">
        <v>929</v>
      </c>
      <c r="E519" t="s">
        <v>6413</v>
      </c>
      <c r="H519" t="s">
        <v>9598</v>
      </c>
      <c r="J519" t="inlineStr">
        <is>
          <t>6.001 AUDIT ARCHIVE</t>
        </is>
      </c>
      <c r="K519" t="inlineStr">
        <is>
          <t>HQ/6F/6F-1.jpg</t>
        </is>
      </c>
    </row>
    <row r="520" spans="1:11" outlineLevel="1" x14ac:dyDescent="0.3">
      <c r="A520" t="s">
        <v>930</v>
      </c>
      <c r="B520" t="s">
        <v>266</v>
      </c>
      <c r="C520" t="s">
        <v>8</v>
      </c>
      <c r="D520" t="s">
        <v>6022</v>
      </c>
      <c r="E520" t="s">
        <v>6396</v>
      </c>
      <c r="H520" t="s">
        <v>9489</v>
      </c>
      <c r="J520" t="inlineStr">
        <is>
          <t>SOUTH WEST CORRIDOR</t>
        </is>
      </c>
      <c r="K520" t="inlineStr">
        <is>
          <t>HQ/6F/6F-1.jpg</t>
        </is>
      </c>
    </row>
    <row r="521" spans="1:11" outlineLevel="1" x14ac:dyDescent="0.3">
      <c r="A521" t="s">
        <v>931</v>
      </c>
      <c r="B521" t="s">
        <v>266</v>
      </c>
      <c r="C521" t="s">
        <v>8</v>
      </c>
      <c r="D521" t="s">
        <v>932</v>
      </c>
      <c r="E521" t="s">
        <v>6414</v>
      </c>
      <c r="H521" t="s">
        <v>9599</v>
      </c>
      <c r="J521" t="inlineStr">
        <is>
          <t>6.201 VP CAPITAL PROJ. MANAGER</t>
        </is>
      </c>
      <c r="K521" t="inlineStr">
        <is>
          <t>HQ/6F/6F-2.jpg</t>
        </is>
      </c>
    </row>
    <row r="522" spans="1:11" outlineLevel="1" x14ac:dyDescent="0.3">
      <c r="A522" t="s">
        <v>933</v>
      </c>
      <c r="B522" t="s">
        <v>266</v>
      </c>
      <c r="C522" t="s">
        <v>8</v>
      </c>
      <c r="D522" t="s">
        <v>934</v>
      </c>
      <c r="E522" t="s">
        <v>6415</v>
      </c>
      <c r="H522" t="s">
        <v>9600</v>
      </c>
      <c r="J522" t="inlineStr">
        <is>
          <t>6.202 VP CAPITAL PROJ. MANAGER</t>
        </is>
      </c>
      <c r="K522" t="inlineStr">
        <is>
          <t>HQ/6F/6F-2.jpg</t>
        </is>
      </c>
    </row>
    <row r="523" spans="1:11" outlineLevel="1" x14ac:dyDescent="0.3">
      <c r="A523" t="s">
        <v>935</v>
      </c>
      <c r="B523" t="s">
        <v>266</v>
      </c>
      <c r="C523" t="s">
        <v>8</v>
      </c>
      <c r="D523" t="s">
        <v>936</v>
      </c>
      <c r="E523" t="s">
        <v>6416</v>
      </c>
      <c r="H523" t="s">
        <v>9601</v>
      </c>
      <c r="J523" t="inlineStr">
        <is>
          <t>6.204 VP CAPITAL PROJ. MANAGER</t>
        </is>
      </c>
      <c r="K523" t="inlineStr">
        <is>
          <t>HQ/6F/6F-2.jpg</t>
        </is>
      </c>
    </row>
    <row r="524" spans="1:11" outlineLevel="1" x14ac:dyDescent="0.3">
      <c r="A524" t="s">
        <v>937</v>
      </c>
      <c r="B524" t="s">
        <v>266</v>
      </c>
      <c r="C524" t="s">
        <v>8</v>
      </c>
      <c r="D524" t="s">
        <v>938</v>
      </c>
      <c r="E524" t="s">
        <v>6417</v>
      </c>
      <c r="H524" t="s">
        <v>9602</v>
      </c>
      <c r="J524" t="inlineStr">
        <is>
          <t>6.205 VP CAPITAL CONSU.</t>
        </is>
      </c>
      <c r="K524" t="inlineStr">
        <is>
          <t>HQ/6F/6F-2.jpg</t>
        </is>
      </c>
    </row>
    <row r="525" spans="1:11" outlineLevel="1" x14ac:dyDescent="0.3">
      <c r="A525" t="s">
        <v>939</v>
      </c>
      <c r="B525" t="s">
        <v>266</v>
      </c>
      <c r="C525" t="s">
        <v>8</v>
      </c>
      <c r="D525" t="s">
        <v>940</v>
      </c>
      <c r="E525" t="s">
        <v>6418</v>
      </c>
      <c r="J525" t="inlineStr">
        <is>
          <t>6.206 VP CAPITAL STORAGE</t>
        </is>
      </c>
      <c r="K525" t="inlineStr">
        <is>
          <t>HQ/6F/6F-2.jpg</t>
        </is>
      </c>
    </row>
    <row r="526" spans="1:11" outlineLevel="1" x14ac:dyDescent="0.3">
      <c r="A526" t="s">
        <v>941</v>
      </c>
      <c r="B526" t="s">
        <v>266</v>
      </c>
      <c r="C526" t="s">
        <v>10</v>
      </c>
      <c r="D526" t="s">
        <v>942</v>
      </c>
      <c r="E526" t="s">
        <v>6419</v>
      </c>
      <c r="H526" t="s">
        <v>9603</v>
      </c>
      <c r="J526" t="inlineStr">
        <is>
          <t>6.207 VP CAPITAL SEC.</t>
        </is>
      </c>
      <c r="K526" t="inlineStr">
        <is>
          <t>HQ/6F/6F-2.jpg</t>
        </is>
      </c>
    </row>
    <row r="527" spans="1:11" outlineLevel="1" x14ac:dyDescent="0.3">
      <c r="A527" t="s">
        <v>943</v>
      </c>
      <c r="B527" t="s">
        <v>266</v>
      </c>
      <c r="C527" t="s">
        <v>8</v>
      </c>
      <c r="D527" t="s">
        <v>944</v>
      </c>
      <c r="E527" t="s">
        <v>6420</v>
      </c>
      <c r="J527" t="inlineStr">
        <is>
          <t>6.209 VP CAPITAL ENSUIT</t>
        </is>
      </c>
      <c r="K527" t="inlineStr">
        <is>
          <t>HQ/6F/6F-2.jpg</t>
        </is>
      </c>
    </row>
    <row r="528" spans="1:11" outlineLevel="1" x14ac:dyDescent="0.3">
      <c r="A528" t="s">
        <v>945</v>
      </c>
      <c r="B528" t="s">
        <v>266</v>
      </c>
      <c r="C528" t="s">
        <v>10</v>
      </c>
      <c r="D528" t="s">
        <v>946</v>
      </c>
      <c r="E528" t="s">
        <v>6421</v>
      </c>
      <c r="H528" t="s">
        <v>9604</v>
      </c>
      <c r="J528" t="inlineStr">
        <is>
          <t>6.210 VP CAPITAL SEC.</t>
        </is>
      </c>
      <c r="K528" t="inlineStr">
        <is>
          <t>HQ/6F/6F-2.jpg</t>
        </is>
      </c>
    </row>
    <row r="529" spans="1:11" outlineLevel="1" x14ac:dyDescent="0.3">
      <c r="A529" t="s">
        <v>947</v>
      </c>
      <c r="B529" t="s">
        <v>266</v>
      </c>
      <c r="C529" t="s">
        <v>10</v>
      </c>
      <c r="D529" t="s">
        <v>948</v>
      </c>
      <c r="E529" t="s">
        <v>6422</v>
      </c>
      <c r="H529" t="s">
        <v>9605</v>
      </c>
      <c r="J529" t="inlineStr">
        <is>
          <t>6.211 VP CAPITAL SEC.</t>
        </is>
      </c>
      <c r="K529" t="inlineStr">
        <is>
          <t>HQ/6F/6F-2.jpg</t>
        </is>
      </c>
    </row>
    <row r="530" spans="1:11" outlineLevel="1" x14ac:dyDescent="0.3">
      <c r="A530" t="s">
        <v>949</v>
      </c>
      <c r="B530" t="s">
        <v>266</v>
      </c>
      <c r="C530" t="s">
        <v>8</v>
      </c>
      <c r="D530" t="s">
        <v>950</v>
      </c>
      <c r="E530" t="s">
        <v>6423</v>
      </c>
      <c r="H530" t="s">
        <v>9606</v>
      </c>
      <c r="J530" t="inlineStr">
        <is>
          <t>6.212 VP CAPITAL DIR. ENSUIT</t>
        </is>
      </c>
      <c r="K530" t="inlineStr">
        <is>
          <t>HQ/6F/6F-2.jpg</t>
        </is>
      </c>
    </row>
    <row r="531" spans="1:11" outlineLevel="1" x14ac:dyDescent="0.3">
      <c r="A531" t="s">
        <v>951</v>
      </c>
      <c r="B531" t="s">
        <v>266</v>
      </c>
      <c r="C531" t="s">
        <v>8</v>
      </c>
      <c r="D531" t="s">
        <v>6023</v>
      </c>
      <c r="E531" t="s">
        <v>6424</v>
      </c>
      <c r="H531" t="s">
        <v>9531</v>
      </c>
      <c r="J531" t="inlineStr">
        <is>
          <t>E-TOWER CORRIDOR</t>
        </is>
      </c>
      <c r="K531" t="inlineStr">
        <is>
          <t>HQ/6F/6F-2.jpg</t>
        </is>
      </c>
    </row>
    <row r="532" spans="1:11" outlineLevel="1" x14ac:dyDescent="0.3">
      <c r="A532" t="s">
        <v>952</v>
      </c>
      <c r="B532" t="s">
        <v>266</v>
      </c>
      <c r="C532" t="s">
        <v>8</v>
      </c>
      <c r="D532" t="s">
        <v>6023</v>
      </c>
      <c r="E532" t="s">
        <v>6424</v>
      </c>
      <c r="H532" t="s">
        <v>9607</v>
      </c>
      <c r="J532" t="inlineStr">
        <is>
          <t>E-TOWER CORRIDOR</t>
        </is>
      </c>
      <c r="K532" t="inlineStr">
        <is>
          <t>HQ/6F/6F-2.jpg</t>
        </is>
      </c>
    </row>
    <row r="533" spans="1:11" outlineLevel="1" x14ac:dyDescent="0.3">
      <c r="A533" t="s">
        <v>953</v>
      </c>
      <c r="B533" t="s">
        <v>266</v>
      </c>
      <c r="C533" t="s">
        <v>10</v>
      </c>
      <c r="D533" t="s">
        <v>954</v>
      </c>
      <c r="E533" t="s">
        <v>6425</v>
      </c>
      <c r="J533" t="inlineStr">
        <is>
          <t>7.017 CA ENSUIT</t>
        </is>
      </c>
      <c r="K533" t="inlineStr">
        <is>
          <t>HQ/7F/7F-1.jpg</t>
        </is>
      </c>
    </row>
    <row r="534" spans="1:11" outlineLevel="1" x14ac:dyDescent="0.3">
      <c r="A534" t="s">
        <v>955</v>
      </c>
      <c r="B534" t="s">
        <v>266</v>
      </c>
      <c r="C534" t="s">
        <v>10</v>
      </c>
      <c r="D534" t="s">
        <v>956</v>
      </c>
      <c r="E534" t="s">
        <v>6426</v>
      </c>
      <c r="H534" t="s">
        <v>9608</v>
      </c>
      <c r="J534" t="inlineStr">
        <is>
          <t>7.018 CA SEC.</t>
        </is>
      </c>
      <c r="K534" t="inlineStr">
        <is>
          <t>HQ/7F/7F-1.jpg</t>
        </is>
      </c>
    </row>
    <row r="535" spans="1:11" outlineLevel="1" x14ac:dyDescent="0.3">
      <c r="A535" t="s">
        <v>957</v>
      </c>
      <c r="B535" t="s">
        <v>266</v>
      </c>
      <c r="C535" t="s">
        <v>10</v>
      </c>
      <c r="D535" t="s">
        <v>958</v>
      </c>
      <c r="E535" t="s">
        <v>6427</v>
      </c>
      <c r="H535" t="s">
        <v>9609</v>
      </c>
      <c r="J535" t="inlineStr">
        <is>
          <t>7.019 BD UNIT SEC.</t>
        </is>
      </c>
      <c r="K535" t="inlineStr">
        <is>
          <t>HQ/7F/7F-1.jpg</t>
        </is>
      </c>
    </row>
    <row r="536" spans="1:11" outlineLevel="1" x14ac:dyDescent="0.3">
      <c r="A536" t="s">
        <v>959</v>
      </c>
      <c r="B536" t="s">
        <v>266</v>
      </c>
      <c r="C536" t="s">
        <v>10</v>
      </c>
      <c r="D536" t="s">
        <v>960</v>
      </c>
      <c r="E536" t="s">
        <v>6428</v>
      </c>
      <c r="H536" t="s">
        <v>9610</v>
      </c>
      <c r="J536" t="inlineStr">
        <is>
          <t>7.020 BD UNIT EXECU.</t>
        </is>
      </c>
      <c r="K536" t="inlineStr">
        <is>
          <t>HQ/7F/7F-1.jpg</t>
        </is>
      </c>
    </row>
    <row r="537" spans="1:11" outlineLevel="1" x14ac:dyDescent="0.3">
      <c r="A537" t="s">
        <v>961</v>
      </c>
      <c r="B537" t="s">
        <v>266</v>
      </c>
      <c r="C537" t="s">
        <v>10</v>
      </c>
      <c r="D537" t="s">
        <v>962</v>
      </c>
      <c r="E537" t="s">
        <v>6429</v>
      </c>
      <c r="H537" t="s">
        <v>9611</v>
      </c>
      <c r="J537" t="inlineStr">
        <is>
          <t>7.021 BD UNIT EXECU.</t>
        </is>
      </c>
      <c r="K537" t="inlineStr">
        <is>
          <t>HQ/7F/7F-1.jpg</t>
        </is>
      </c>
    </row>
    <row r="538" spans="1:11" outlineLevel="1" x14ac:dyDescent="0.3">
      <c r="A538" t="s">
        <v>963</v>
      </c>
      <c r="B538" t="s">
        <v>266</v>
      </c>
      <c r="C538" t="s">
        <v>10</v>
      </c>
      <c r="D538" t="s">
        <v>964</v>
      </c>
      <c r="E538" t="s">
        <v>6430</v>
      </c>
      <c r="H538" t="s">
        <v>9612</v>
      </c>
      <c r="J538" t="inlineStr">
        <is>
          <t>7.022 BD UNIT EXECU.</t>
        </is>
      </c>
      <c r="K538" t="inlineStr">
        <is>
          <t>HQ/7F/7F-1.jpg</t>
        </is>
      </c>
    </row>
    <row r="539" spans="1:11" outlineLevel="1" x14ac:dyDescent="0.3">
      <c r="A539" t="s">
        <v>965</v>
      </c>
      <c r="B539" t="s">
        <v>266</v>
      </c>
      <c r="C539" t="s">
        <v>10</v>
      </c>
      <c r="D539" t="s">
        <v>966</v>
      </c>
      <c r="E539" t="s">
        <v>6431</v>
      </c>
      <c r="H539" t="s">
        <v>9613</v>
      </c>
      <c r="J539" t="inlineStr">
        <is>
          <t>7.023 BD UNIT EXECU.</t>
        </is>
      </c>
      <c r="K539" t="inlineStr">
        <is>
          <t>HQ/7F/7F-1.jpg</t>
        </is>
      </c>
    </row>
    <row r="540" spans="1:11" outlineLevel="1" x14ac:dyDescent="0.3">
      <c r="A540" t="s">
        <v>967</v>
      </c>
      <c r="B540" t="s">
        <v>266</v>
      </c>
      <c r="C540" t="s">
        <v>10</v>
      </c>
      <c r="D540" t="s">
        <v>968</v>
      </c>
      <c r="E540" t="s">
        <v>6432</v>
      </c>
      <c r="H540" t="s">
        <v>9614</v>
      </c>
      <c r="J540" t="inlineStr">
        <is>
          <t>7.024 BD UNIT EXECU.</t>
        </is>
      </c>
      <c r="K540" t="inlineStr">
        <is>
          <t>HQ/7F/7F-1.jpg</t>
        </is>
      </c>
    </row>
    <row r="541" spans="1:11" outlineLevel="1" x14ac:dyDescent="0.3">
      <c r="A541" t="s">
        <v>969</v>
      </c>
      <c r="B541" t="s">
        <v>266</v>
      </c>
      <c r="C541" t="s">
        <v>10</v>
      </c>
      <c r="D541" t="s">
        <v>970</v>
      </c>
      <c r="E541" t="s">
        <v>6433</v>
      </c>
      <c r="H541" t="s">
        <v>9615</v>
      </c>
      <c r="J541" t="inlineStr">
        <is>
          <t>7.025 BD UNIT EXECU.</t>
        </is>
      </c>
      <c r="K541" t="inlineStr">
        <is>
          <t>HQ/7F/7F-2.jpg</t>
        </is>
      </c>
    </row>
    <row r="542" spans="1:11" outlineLevel="1" x14ac:dyDescent="0.3">
      <c r="A542" t="s">
        <v>971</v>
      </c>
      <c r="B542" t="s">
        <v>266</v>
      </c>
      <c r="C542" t="s">
        <v>10</v>
      </c>
      <c r="D542" t="s">
        <v>972</v>
      </c>
      <c r="E542" t="s">
        <v>6434</v>
      </c>
      <c r="H542" t="s">
        <v>9616</v>
      </c>
      <c r="J542" t="inlineStr">
        <is>
          <t>7.026 BD UNIT EXECU.</t>
        </is>
      </c>
      <c r="K542" t="inlineStr">
        <is>
          <t>HQ/7F/7F-2.jpg</t>
        </is>
      </c>
    </row>
    <row r="543" spans="1:11" outlineLevel="1" x14ac:dyDescent="0.3">
      <c r="A543" t="s">
        <v>973</v>
      </c>
      <c r="B543" t="s">
        <v>266</v>
      </c>
      <c r="C543" t="s">
        <v>10</v>
      </c>
      <c r="D543" t="s">
        <v>974</v>
      </c>
      <c r="E543" t="s">
        <v>6435</v>
      </c>
      <c r="H543" t="s">
        <v>9617</v>
      </c>
      <c r="J543" t="inlineStr">
        <is>
          <t>7.027 BD UNIT EXECU.</t>
        </is>
      </c>
      <c r="K543" t="inlineStr">
        <is>
          <t>HQ/7F/7F-2.jpg</t>
        </is>
      </c>
    </row>
    <row r="544" spans="1:11" outlineLevel="1" x14ac:dyDescent="0.3">
      <c r="A544" t="s">
        <v>975</v>
      </c>
      <c r="B544" t="s">
        <v>266</v>
      </c>
      <c r="C544" t="s">
        <v>10</v>
      </c>
      <c r="D544" t="s">
        <v>976</v>
      </c>
      <c r="E544" t="s">
        <v>6436</v>
      </c>
      <c r="H544" t="s">
        <v>9618</v>
      </c>
      <c r="J544" t="inlineStr">
        <is>
          <t>7.028 BD UNIT EXECU.</t>
        </is>
      </c>
      <c r="K544" t="inlineStr">
        <is>
          <t>HQ/7F/7F-2.jpg</t>
        </is>
      </c>
    </row>
    <row r="545" spans="1:11" outlineLevel="1" x14ac:dyDescent="0.3">
      <c r="A545" t="s">
        <v>977</v>
      </c>
      <c r="B545" t="s">
        <v>266</v>
      </c>
      <c r="C545" t="s">
        <v>10</v>
      </c>
      <c r="D545" t="s">
        <v>978</v>
      </c>
      <c r="E545" t="s">
        <v>6437</v>
      </c>
      <c r="J545" t="inlineStr">
        <is>
          <t>7.029 MEETING ROOM</t>
        </is>
      </c>
      <c r="K545" t="inlineStr">
        <is>
          <t>HQ/7F/7F-2.jpg</t>
        </is>
      </c>
    </row>
    <row r="546" spans="1:11" outlineLevel="1" x14ac:dyDescent="0.3">
      <c r="A546" t="s">
        <v>979</v>
      </c>
      <c r="B546" t="s">
        <v>266</v>
      </c>
      <c r="C546" t="s">
        <v>10</v>
      </c>
      <c r="D546" t="s">
        <v>978</v>
      </c>
      <c r="E546" t="s">
        <v>6437</v>
      </c>
      <c r="J546" t="inlineStr">
        <is>
          <t>7.029 MEETING ROOM</t>
        </is>
      </c>
      <c r="K546" t="inlineStr">
        <is>
          <t>HQ/7F/7F-2.jpg</t>
        </is>
      </c>
    </row>
    <row r="547" spans="1:11" outlineLevel="1" x14ac:dyDescent="0.3">
      <c r="A547" t="s">
        <v>980</v>
      </c>
      <c r="B547" t="s">
        <v>266</v>
      </c>
      <c r="C547" t="s">
        <v>10</v>
      </c>
      <c r="D547" t="s">
        <v>981</v>
      </c>
      <c r="E547" t="s">
        <v>6438</v>
      </c>
      <c r="H547" t="s">
        <v>9619</v>
      </c>
      <c r="J547" t="inlineStr">
        <is>
          <t>7.030 OFFICE SPACE</t>
        </is>
      </c>
      <c r="K547" t="inlineStr">
        <is>
          <t>HQ/7F/7F-2.jpg</t>
        </is>
      </c>
    </row>
    <row r="548" spans="1:11" outlineLevel="1" x14ac:dyDescent="0.3">
      <c r="A548" t="s">
        <v>982</v>
      </c>
      <c r="B548" t="s">
        <v>266</v>
      </c>
      <c r="C548" t="s">
        <v>10</v>
      </c>
      <c r="D548" t="s">
        <v>983</v>
      </c>
      <c r="E548" t="s">
        <v>6439</v>
      </c>
      <c r="H548" t="s">
        <v>9620</v>
      </c>
      <c r="J548" t="inlineStr">
        <is>
          <t>7.031A OFFICE SPACE</t>
        </is>
      </c>
      <c r="K548" t="inlineStr">
        <is>
          <t>HQ/7F/7F-2.jpg</t>
        </is>
      </c>
    </row>
    <row r="549" spans="1:11" outlineLevel="1" x14ac:dyDescent="0.3">
      <c r="A549" t="s">
        <v>984</v>
      </c>
      <c r="B549" t="s">
        <v>266</v>
      </c>
      <c r="C549" t="s">
        <v>8</v>
      </c>
      <c r="D549" t="s">
        <v>6024</v>
      </c>
      <c r="E549" t="s">
        <v>6440</v>
      </c>
      <c r="H549" t="s">
        <v>9379</v>
      </c>
      <c r="J549" t="inlineStr">
        <is>
          <t>NORTH EAST CORRIDOR</t>
        </is>
      </c>
      <c r="K549" t="inlineStr">
        <is>
          <t>HQ/7F/7F-2.jpg</t>
        </is>
      </c>
    </row>
    <row r="550" spans="1:11" outlineLevel="1" x14ac:dyDescent="0.3">
      <c r="A550" t="s">
        <v>985</v>
      </c>
      <c r="B550" t="s">
        <v>266</v>
      </c>
      <c r="C550" t="s">
        <v>8</v>
      </c>
      <c r="D550" t="s">
        <v>6024</v>
      </c>
      <c r="E550" t="s">
        <v>6440</v>
      </c>
      <c r="H550" t="s">
        <v>9621</v>
      </c>
      <c r="J550" t="inlineStr">
        <is>
          <t>NORTH EAST CORRIDOR</t>
        </is>
      </c>
      <c r="K550" t="inlineStr">
        <is>
          <t>HQ/7F/7F-2.jpg</t>
        </is>
      </c>
    </row>
    <row r="551" spans="1:11" outlineLevel="1" x14ac:dyDescent="0.3">
      <c r="A551" t="s">
        <v>986</v>
      </c>
      <c r="B551" t="s">
        <v>266</v>
      </c>
      <c r="C551" t="s">
        <v>10</v>
      </c>
      <c r="D551" t="s">
        <v>987</v>
      </c>
      <c r="E551" t="s">
        <v>6441</v>
      </c>
      <c r="H551" t="s">
        <v>9622</v>
      </c>
      <c r="J551" t="inlineStr">
        <is>
          <t>7.032 OFFICE SPACE</t>
        </is>
      </c>
      <c r="K551" t="inlineStr">
        <is>
          <t>HQ/7F/7F-1.jpg</t>
        </is>
      </c>
    </row>
    <row r="552" spans="1:11" outlineLevel="1" x14ac:dyDescent="0.3">
      <c r="A552" t="s">
        <v>988</v>
      </c>
      <c r="B552" t="s">
        <v>266</v>
      </c>
      <c r="C552" t="s">
        <v>10</v>
      </c>
      <c r="D552" t="s">
        <v>987</v>
      </c>
      <c r="E552" t="s">
        <v>6441</v>
      </c>
      <c r="J552" t="inlineStr">
        <is>
          <t>7.032 OFFICE SPACE</t>
        </is>
      </c>
      <c r="K552" t="inlineStr">
        <is>
          <t>HQ/7F/7F-1.jpg</t>
        </is>
      </c>
    </row>
    <row r="553" spans="1:11" outlineLevel="1" x14ac:dyDescent="0.3">
      <c r="A553" t="s">
        <v>989</v>
      </c>
      <c r="B553" t="s">
        <v>266</v>
      </c>
      <c r="C553" t="s">
        <v>8</v>
      </c>
      <c r="D553" t="s">
        <v>990</v>
      </c>
      <c r="E553" t="s">
        <v>6442</v>
      </c>
      <c r="J553" t="inlineStr">
        <is>
          <t>7.106 LOUNGE</t>
        </is>
      </c>
      <c r="K553" t="inlineStr">
        <is>
          <t>HQ/7F/7F-1.jpg</t>
        </is>
      </c>
    </row>
    <row r="554" spans="1:11" outlineLevel="1" x14ac:dyDescent="0.3">
      <c r="A554" t="s">
        <v>991</v>
      </c>
      <c r="B554" t="s">
        <v>266</v>
      </c>
      <c r="C554" t="s">
        <v>10</v>
      </c>
      <c r="D554" t="s">
        <v>992</v>
      </c>
      <c r="E554" t="s">
        <v>6443</v>
      </c>
      <c r="J554" t="inlineStr">
        <is>
          <t>7.105 CA SECRETARY</t>
        </is>
      </c>
      <c r="K554" t="inlineStr">
        <is>
          <t>HQ/7F/7F-1.jpg</t>
        </is>
      </c>
    </row>
    <row r="555" spans="1:11" outlineLevel="1" x14ac:dyDescent="0.3">
      <c r="A555" t="s">
        <v>993</v>
      </c>
      <c r="B555" t="s">
        <v>266</v>
      </c>
      <c r="C555" t="s">
        <v>10</v>
      </c>
      <c r="D555" t="s">
        <v>994</v>
      </c>
      <c r="E555" t="s">
        <v>6444</v>
      </c>
      <c r="J555" t="inlineStr">
        <is>
          <t>7.103 CA SECRETARY</t>
        </is>
      </c>
      <c r="K555" t="inlineStr">
        <is>
          <t>HQ/7F/7F-1.jpg</t>
        </is>
      </c>
    </row>
    <row r="556" spans="1:11" outlineLevel="1" x14ac:dyDescent="0.3">
      <c r="A556" t="s">
        <v>995</v>
      </c>
      <c r="B556" t="s">
        <v>266</v>
      </c>
      <c r="C556" t="s">
        <v>10</v>
      </c>
      <c r="D556" t="s">
        <v>996</v>
      </c>
      <c r="E556" t="s">
        <v>6445</v>
      </c>
      <c r="J556" t="inlineStr">
        <is>
          <t>7.102 CA SECRETARY</t>
        </is>
      </c>
      <c r="K556" t="inlineStr">
        <is>
          <t>HQ/7F/7F-1.jpg</t>
        </is>
      </c>
    </row>
    <row r="557" spans="1:11" outlineLevel="1" x14ac:dyDescent="0.3">
      <c r="A557" t="s">
        <v>997</v>
      </c>
      <c r="B557" t="s">
        <v>266</v>
      </c>
      <c r="C557" t="s">
        <v>10</v>
      </c>
      <c r="D557" t="s">
        <v>998</v>
      </c>
      <c r="E557" t="s">
        <v>6446</v>
      </c>
      <c r="H557" t="s">
        <v>9623</v>
      </c>
      <c r="J557" t="inlineStr">
        <is>
          <t>7.001 DOC. UNIT EMPLOYEE</t>
        </is>
      </c>
      <c r="K557" t="inlineStr">
        <is>
          <t>HQ/7F/7F-1.jpg</t>
        </is>
      </c>
    </row>
    <row r="558" spans="1:11" outlineLevel="1" x14ac:dyDescent="0.3">
      <c r="A558" t="s">
        <v>999</v>
      </c>
      <c r="B558" t="s">
        <v>266</v>
      </c>
      <c r="C558" t="s">
        <v>10</v>
      </c>
      <c r="D558" t="s">
        <v>1000</v>
      </c>
      <c r="E558" t="s">
        <v>6447</v>
      </c>
      <c r="H558" t="s">
        <v>9624</v>
      </c>
      <c r="J558" t="inlineStr">
        <is>
          <t>7.002 DOC. UNIT MULTIMEDIA STUDIO</t>
        </is>
      </c>
      <c r="K558" t="inlineStr">
        <is>
          <t>HQ/7F/7F-1.jpg</t>
        </is>
      </c>
    </row>
    <row r="559" spans="1:11" outlineLevel="1" x14ac:dyDescent="0.3">
      <c r="A559" t="s">
        <v>1001</v>
      </c>
      <c r="B559" t="s">
        <v>266</v>
      </c>
      <c r="C559" t="s">
        <v>8</v>
      </c>
      <c r="D559" t="s">
        <v>6024</v>
      </c>
      <c r="E559" t="s">
        <v>6440</v>
      </c>
      <c r="H559" t="s">
        <v>9489</v>
      </c>
      <c r="J559" t="inlineStr">
        <is>
          <t>SOUTH WEST CORRIDOR</t>
        </is>
      </c>
      <c r="K559" t="inlineStr">
        <is>
          <t>HQ/7F/7F-1.jpg</t>
        </is>
      </c>
    </row>
    <row r="560" spans="1:11" outlineLevel="1" x14ac:dyDescent="0.3">
      <c r="A560" t="s">
        <v>1002</v>
      </c>
      <c r="B560" t="s">
        <v>266</v>
      </c>
      <c r="C560" t="s">
        <v>10</v>
      </c>
      <c r="D560" t="s">
        <v>1000</v>
      </c>
      <c r="E560" t="s">
        <v>6447</v>
      </c>
      <c r="J560" t="inlineStr">
        <is>
          <t>7.002 DOC. UNIT MULTIMEDIA STUDIO</t>
        </is>
      </c>
      <c r="K560" t="inlineStr">
        <is>
          <t>HQ/7F/7F-1.jpg</t>
        </is>
      </c>
    </row>
    <row r="561" spans="1:11" outlineLevel="1" x14ac:dyDescent="0.3">
      <c r="A561" t="s">
        <v>1003</v>
      </c>
      <c r="B561" t="s">
        <v>266</v>
      </c>
      <c r="C561" t="s">
        <v>10</v>
      </c>
      <c r="D561" t="s">
        <v>1004</v>
      </c>
      <c r="E561" t="s">
        <v>6448</v>
      </c>
      <c r="H561" t="s">
        <v>9625</v>
      </c>
      <c r="J561" t="inlineStr">
        <is>
          <t>7.003 DOC. UNIT EMPLOYEE</t>
        </is>
      </c>
      <c r="K561" t="inlineStr">
        <is>
          <t>HQ/7F/7F-1.jpg</t>
        </is>
      </c>
    </row>
    <row r="562" spans="1:11" outlineLevel="1" x14ac:dyDescent="0.3">
      <c r="A562" t="s">
        <v>1005</v>
      </c>
      <c r="B562" t="s">
        <v>266</v>
      </c>
      <c r="C562" t="s">
        <v>10</v>
      </c>
      <c r="D562" t="s">
        <v>1006</v>
      </c>
      <c r="E562" t="s">
        <v>6449</v>
      </c>
      <c r="H562" t="s">
        <v>9626</v>
      </c>
      <c r="J562" t="inlineStr">
        <is>
          <t>7.004 DOC. UNIT EMPLOYEE</t>
        </is>
      </c>
      <c r="K562" t="inlineStr">
        <is>
          <t>HQ/7F/7F-1.jpg</t>
        </is>
      </c>
    </row>
    <row r="563" spans="1:11" outlineLevel="1" x14ac:dyDescent="0.3">
      <c r="A563" t="s">
        <v>1007</v>
      </c>
      <c r="B563" t="s">
        <v>266</v>
      </c>
      <c r="C563" t="s">
        <v>10</v>
      </c>
      <c r="D563" t="s">
        <v>1008</v>
      </c>
      <c r="E563" t="s">
        <v>6450</v>
      </c>
      <c r="H563" t="s">
        <v>9627</v>
      </c>
      <c r="J563" t="inlineStr">
        <is>
          <t>7.005 DOC. UNIT EMPLOYEE</t>
        </is>
      </c>
      <c r="K563" t="inlineStr">
        <is>
          <t>HQ/7F/7F-1.jpg</t>
        </is>
      </c>
    </row>
    <row r="564" spans="1:11" outlineLevel="1" x14ac:dyDescent="0.3">
      <c r="A564" t="s">
        <v>1009</v>
      </c>
      <c r="B564" t="s">
        <v>266</v>
      </c>
      <c r="C564" t="s">
        <v>10</v>
      </c>
      <c r="D564" t="s">
        <v>1010</v>
      </c>
      <c r="E564" t="s">
        <v>6451</v>
      </c>
      <c r="H564" t="s">
        <v>9628</v>
      </c>
      <c r="J564" t="inlineStr">
        <is>
          <t>7.006 DOC. UNIT EMPLOYEE</t>
        </is>
      </c>
      <c r="K564" t="inlineStr">
        <is>
          <t>HQ/7F/7F-1.jpg</t>
        </is>
      </c>
    </row>
    <row r="565" spans="1:11" outlineLevel="1" x14ac:dyDescent="0.3">
      <c r="A565" t="s">
        <v>1011</v>
      </c>
      <c r="B565" t="s">
        <v>266</v>
      </c>
      <c r="C565" t="s">
        <v>10</v>
      </c>
      <c r="D565" t="s">
        <v>1012</v>
      </c>
      <c r="E565" t="s">
        <v>6452</v>
      </c>
      <c r="J565" t="inlineStr">
        <is>
          <t>7.007 CA COORD</t>
        </is>
      </c>
      <c r="K565" t="inlineStr">
        <is>
          <t>HQ/7F/7F-1.jpg</t>
        </is>
      </c>
    </row>
    <row r="566" spans="1:11" outlineLevel="1" x14ac:dyDescent="0.3">
      <c r="A566" t="s">
        <v>1013</v>
      </c>
      <c r="B566" t="s">
        <v>266</v>
      </c>
      <c r="C566" t="s">
        <v>10</v>
      </c>
      <c r="D566" t="s">
        <v>1014</v>
      </c>
      <c r="E566" t="s">
        <v>6453</v>
      </c>
      <c r="J566" t="inlineStr">
        <is>
          <t>7.008 CA COORD</t>
        </is>
      </c>
      <c r="K566" t="inlineStr">
        <is>
          <t>HQ/7F/7F-1.jpg</t>
        </is>
      </c>
    </row>
    <row r="567" spans="1:11" outlineLevel="1" x14ac:dyDescent="0.3">
      <c r="A567" t="s">
        <v>1015</v>
      </c>
      <c r="B567" t="s">
        <v>266</v>
      </c>
      <c r="C567" t="s">
        <v>10</v>
      </c>
      <c r="D567" t="s">
        <v>1016</v>
      </c>
      <c r="E567" t="s">
        <v>6454</v>
      </c>
      <c r="J567" t="inlineStr">
        <is>
          <t>7.009 CA COORD</t>
        </is>
      </c>
      <c r="K567" t="inlineStr">
        <is>
          <t>HQ/7F/7F-1.jpg</t>
        </is>
      </c>
    </row>
    <row r="568" spans="1:11" outlineLevel="1" x14ac:dyDescent="0.3">
      <c r="A568" t="s">
        <v>1017</v>
      </c>
      <c r="B568" t="s">
        <v>266</v>
      </c>
      <c r="C568" t="s">
        <v>10</v>
      </c>
      <c r="D568" t="s">
        <v>1018</v>
      </c>
      <c r="E568" t="s">
        <v>6455</v>
      </c>
      <c r="J568" t="inlineStr">
        <is>
          <t>7.010 CA COORD</t>
        </is>
      </c>
      <c r="K568" t="inlineStr">
        <is>
          <t>HQ/7F/7F-1.jpg</t>
        </is>
      </c>
    </row>
    <row r="569" spans="1:11" outlineLevel="1" x14ac:dyDescent="0.3">
      <c r="A569" t="s">
        <v>1019</v>
      </c>
      <c r="B569" t="s">
        <v>266</v>
      </c>
      <c r="C569" t="s">
        <v>10</v>
      </c>
      <c r="D569" t="s">
        <v>1020</v>
      </c>
      <c r="E569" t="s">
        <v>6456</v>
      </c>
      <c r="J569" t="inlineStr">
        <is>
          <t>7.011 CA COORD</t>
        </is>
      </c>
      <c r="K569" t="inlineStr">
        <is>
          <t>HQ/7F/7F-1.jpg</t>
        </is>
      </c>
    </row>
    <row r="570" spans="1:11" outlineLevel="1" x14ac:dyDescent="0.3">
      <c r="A570" t="s">
        <v>1021</v>
      </c>
      <c r="B570" t="s">
        <v>266</v>
      </c>
      <c r="C570" t="s">
        <v>10</v>
      </c>
      <c r="D570" t="s">
        <v>1022</v>
      </c>
      <c r="E570" t="s">
        <v>6457</v>
      </c>
      <c r="J570" t="inlineStr">
        <is>
          <t>7.012 CA COORD</t>
        </is>
      </c>
      <c r="K570" t="inlineStr">
        <is>
          <t>HQ/7F/7F-1.jpg</t>
        </is>
      </c>
    </row>
    <row r="571" spans="1:11" outlineLevel="1" x14ac:dyDescent="0.3">
      <c r="A571" t="s">
        <v>1023</v>
      </c>
      <c r="B571" t="s">
        <v>266</v>
      </c>
      <c r="C571" t="s">
        <v>10</v>
      </c>
      <c r="D571" t="s">
        <v>1024</v>
      </c>
      <c r="E571" t="s">
        <v>6458</v>
      </c>
      <c r="J571" t="inlineStr">
        <is>
          <t>7.013 CA COORD</t>
        </is>
      </c>
      <c r="K571" t="inlineStr">
        <is>
          <t>HQ/7F/7F-1.jpg</t>
        </is>
      </c>
    </row>
    <row r="572" spans="1:11" outlineLevel="1" x14ac:dyDescent="0.3">
      <c r="A572" t="s">
        <v>1025</v>
      </c>
      <c r="B572" t="s">
        <v>266</v>
      </c>
      <c r="C572" t="s">
        <v>10</v>
      </c>
      <c r="D572" t="s">
        <v>1026</v>
      </c>
      <c r="E572" t="s">
        <v>6459</v>
      </c>
      <c r="J572" t="inlineStr">
        <is>
          <t>7.014 CA COORD</t>
        </is>
      </c>
      <c r="K572" t="inlineStr">
        <is>
          <t>HQ/7F/7F-1.jpg</t>
        </is>
      </c>
    </row>
    <row r="573" spans="1:11" outlineLevel="1" x14ac:dyDescent="0.3">
      <c r="A573" t="s">
        <v>1027</v>
      </c>
      <c r="B573" t="s">
        <v>266</v>
      </c>
      <c r="C573" t="s">
        <v>10</v>
      </c>
      <c r="D573" t="s">
        <v>1028</v>
      </c>
      <c r="E573" t="s">
        <v>6460</v>
      </c>
      <c r="J573" t="inlineStr">
        <is>
          <t>7.015 CA COORD</t>
        </is>
      </c>
      <c r="K573" t="inlineStr">
        <is>
          <t>HQ/7F/7F-1.jpg</t>
        </is>
      </c>
    </row>
    <row r="574" spans="1:11" outlineLevel="1" x14ac:dyDescent="0.3">
      <c r="A574" t="s">
        <v>1029</v>
      </c>
      <c r="B574" t="s">
        <v>266</v>
      </c>
      <c r="C574" t="s">
        <v>10</v>
      </c>
      <c r="D574" t="s">
        <v>1030</v>
      </c>
      <c r="E574" t="s">
        <v>6461</v>
      </c>
      <c r="J574" t="inlineStr">
        <is>
          <t>7.016 CA COORD</t>
        </is>
      </c>
      <c r="K574" t="inlineStr">
        <is>
          <t>HQ/7F/7F-1.jpg</t>
        </is>
      </c>
    </row>
    <row r="575" spans="1:11" outlineLevel="1" x14ac:dyDescent="0.3">
      <c r="A575" t="s">
        <v>1031</v>
      </c>
      <c r="B575" t="s">
        <v>266</v>
      </c>
      <c r="C575" t="s">
        <v>10</v>
      </c>
      <c r="D575" t="s">
        <v>1032</v>
      </c>
      <c r="E575" t="s">
        <v>6462</v>
      </c>
      <c r="J575" t="inlineStr">
        <is>
          <t>7.201 CONSULTANT SPACE</t>
        </is>
      </c>
      <c r="K575" t="inlineStr">
        <is>
          <t>HQ/7F/7F-2.jpg</t>
        </is>
      </c>
    </row>
    <row r="576" spans="1:11" outlineLevel="1" x14ac:dyDescent="0.3">
      <c r="A576" t="s">
        <v>1033</v>
      </c>
      <c r="B576" t="s">
        <v>266</v>
      </c>
      <c r="C576" t="s">
        <v>8</v>
      </c>
      <c r="D576" t="s">
        <v>1034</v>
      </c>
      <c r="E576" t="s">
        <v>6463</v>
      </c>
      <c r="H576" t="s">
        <v>9629</v>
      </c>
      <c r="J576" t="inlineStr">
        <is>
          <t>7.202 PRE. EXEC. OFFICE</t>
        </is>
      </c>
      <c r="K576" t="inlineStr">
        <is>
          <t>HQ/7F/7F-2.jpg</t>
        </is>
      </c>
    </row>
    <row r="577" spans="1:11" outlineLevel="1" x14ac:dyDescent="0.3">
      <c r="A577" t="s">
        <v>1035</v>
      </c>
      <c r="B577" t="s">
        <v>266</v>
      </c>
      <c r="C577" t="s">
        <v>8</v>
      </c>
      <c r="D577" t="s">
        <v>1036</v>
      </c>
      <c r="E577" t="s">
        <v>6464</v>
      </c>
      <c r="H577" t="s">
        <v>9630</v>
      </c>
      <c r="J577" t="inlineStr">
        <is>
          <t>7.204 PRE. EXEC. OFFICE</t>
        </is>
      </c>
      <c r="K577" t="inlineStr">
        <is>
          <t>HQ/7F/7F-2.jpg</t>
        </is>
      </c>
    </row>
    <row r="578" spans="1:11" outlineLevel="1" x14ac:dyDescent="0.3">
      <c r="A578" t="s">
        <v>1037</v>
      </c>
      <c r="B578" t="s">
        <v>266</v>
      </c>
      <c r="C578" t="s">
        <v>8</v>
      </c>
      <c r="D578" t="s">
        <v>1036</v>
      </c>
      <c r="E578" t="s">
        <v>6464</v>
      </c>
      <c r="H578" t="s">
        <v>9630</v>
      </c>
      <c r="J578" t="inlineStr">
        <is>
          <t>7.204 PRE. EXEC. OFFICE</t>
        </is>
      </c>
      <c r="K578" t="inlineStr">
        <is>
          <t>HQ/7F/7F-2.jpg</t>
        </is>
      </c>
    </row>
    <row r="579" spans="1:11" outlineLevel="1" x14ac:dyDescent="0.3">
      <c r="A579" t="s">
        <v>1038</v>
      </c>
      <c r="B579" t="s">
        <v>266</v>
      </c>
      <c r="C579" t="s">
        <v>8</v>
      </c>
      <c r="D579" t="s">
        <v>1039</v>
      </c>
      <c r="E579" t="s">
        <v>6465</v>
      </c>
      <c r="H579" t="s">
        <v>9631</v>
      </c>
      <c r="J579" t="inlineStr">
        <is>
          <t>7.205 PRE. EXEC. OFFICE</t>
        </is>
      </c>
      <c r="K579" t="inlineStr">
        <is>
          <t>HQ/7F/7F-2.jpg</t>
        </is>
      </c>
    </row>
    <row r="580" spans="1:11" outlineLevel="1" x14ac:dyDescent="0.3">
      <c r="A580" t="s">
        <v>1040</v>
      </c>
      <c r="B580" t="s">
        <v>266</v>
      </c>
      <c r="C580" t="s">
        <v>8</v>
      </c>
      <c r="D580" t="s">
        <v>1039</v>
      </c>
      <c r="E580" t="s">
        <v>6465</v>
      </c>
      <c r="H580" t="s">
        <v>9632</v>
      </c>
      <c r="J580" t="inlineStr">
        <is>
          <t>7.205 PRE. EXEC. OFFICE</t>
        </is>
      </c>
      <c r="K580" t="inlineStr">
        <is>
          <t>HQ/7F/7F-2.jpg</t>
        </is>
      </c>
    </row>
    <row r="581" spans="1:11" outlineLevel="1" x14ac:dyDescent="0.3">
      <c r="A581" t="s">
        <v>1041</v>
      </c>
      <c r="B581" t="s">
        <v>266</v>
      </c>
      <c r="C581" t="s">
        <v>10</v>
      </c>
      <c r="D581" t="s">
        <v>1042</v>
      </c>
      <c r="E581" t="s">
        <v>6466</v>
      </c>
      <c r="H581" t="s">
        <v>9633</v>
      </c>
      <c r="J581" t="inlineStr">
        <is>
          <t>7.208 PRESIDENT SUPP. SEC.</t>
        </is>
      </c>
      <c r="K581" t="inlineStr">
        <is>
          <t>HQ/7F/7F-2.jpg</t>
        </is>
      </c>
    </row>
    <row r="582" spans="1:11" outlineLevel="1" x14ac:dyDescent="0.3">
      <c r="A582" t="s">
        <v>1043</v>
      </c>
      <c r="B582" t="s">
        <v>266</v>
      </c>
      <c r="C582" t="s">
        <v>8</v>
      </c>
      <c r="D582" t="s">
        <v>1044</v>
      </c>
      <c r="E582" t="s">
        <v>6467</v>
      </c>
      <c r="H582" t="s">
        <v>9531</v>
      </c>
      <c r="J582" t="inlineStr">
        <is>
          <t>E-TOWER CORRIDOR 7.603</t>
        </is>
      </c>
      <c r="K582" t="inlineStr">
        <is>
          <t>HQ/7F/7F-2.jpg</t>
        </is>
      </c>
    </row>
    <row r="583" spans="1:11" outlineLevel="1" x14ac:dyDescent="0.3">
      <c r="A583" t="s">
        <v>1045</v>
      </c>
      <c r="B583" t="s">
        <v>266</v>
      </c>
      <c r="C583" t="s">
        <v>10</v>
      </c>
      <c r="D583" t="s">
        <v>1046</v>
      </c>
      <c r="E583" t="s">
        <v>6468</v>
      </c>
      <c r="H583" t="s">
        <v>9634</v>
      </c>
      <c r="J583" t="inlineStr">
        <is>
          <t>7.209 PRESIDENT EXEC. SEC.</t>
        </is>
      </c>
      <c r="K583" t="inlineStr">
        <is>
          <t>HQ/7F/7F-2.jpg</t>
        </is>
      </c>
    </row>
    <row r="584" spans="1:11" outlineLevel="1" x14ac:dyDescent="0.3">
      <c r="A584" t="s">
        <v>1047</v>
      </c>
      <c r="B584" t="s">
        <v>266</v>
      </c>
      <c r="C584" t="s">
        <v>10</v>
      </c>
      <c r="D584" t="s">
        <v>1048</v>
      </c>
      <c r="E584" t="s">
        <v>6469</v>
      </c>
      <c r="H584" t="s">
        <v>9635</v>
      </c>
      <c r="J584" t="inlineStr">
        <is>
          <t>7.210 PRESIDENT EXEC. SEC.</t>
        </is>
      </c>
      <c r="K584" t="inlineStr">
        <is>
          <t>HQ/7F/7F-2.jpg</t>
        </is>
      </c>
    </row>
    <row r="585" spans="1:11" outlineLevel="1" x14ac:dyDescent="0.3">
      <c r="A585" t="s">
        <v>1049</v>
      </c>
      <c r="B585" t="s">
        <v>266</v>
      </c>
      <c r="C585" t="s">
        <v>8</v>
      </c>
      <c r="D585" t="s">
        <v>1050</v>
      </c>
      <c r="E585" t="s">
        <v>6470</v>
      </c>
      <c r="H585" t="s">
        <v>9636</v>
      </c>
      <c r="J585" t="inlineStr">
        <is>
          <t>7.211 PRESIDENT ENSUIT</t>
        </is>
      </c>
      <c r="K585" t="inlineStr">
        <is>
          <t>HQ/7F/7F-2.jpg</t>
        </is>
      </c>
    </row>
    <row r="586" spans="1:11" outlineLevel="1" x14ac:dyDescent="0.3">
      <c r="A586" t="s">
        <v>1051</v>
      </c>
      <c r="B586" t="s">
        <v>266</v>
      </c>
      <c r="C586" t="s">
        <v>8</v>
      </c>
      <c r="D586" t="s">
        <v>1052</v>
      </c>
      <c r="E586" t="s">
        <v>6471</v>
      </c>
      <c r="H586" t="s">
        <v>9637</v>
      </c>
      <c r="J586" t="inlineStr">
        <is>
          <t>7.212 PRESIDENT MEETING ROOM</t>
        </is>
      </c>
      <c r="K586" t="inlineStr">
        <is>
          <t>HQ/7F/7F-2.jpg</t>
        </is>
      </c>
    </row>
    <row r="587" spans="1:11" outlineLevel="1" x14ac:dyDescent="0.3">
      <c r="A587" t="s">
        <v>1053</v>
      </c>
      <c r="B587" t="s">
        <v>266</v>
      </c>
      <c r="C587" t="s">
        <v>10</v>
      </c>
      <c r="D587" t="s">
        <v>1054</v>
      </c>
      <c r="E587" t="s">
        <v>6472</v>
      </c>
      <c r="H587" t="s">
        <v>9638</v>
      </c>
      <c r="J587" t="inlineStr">
        <is>
          <t>7.213 VICE CHAIRPERSON ENSUIT</t>
        </is>
      </c>
      <c r="K587" t="inlineStr">
        <is>
          <t>HQ/7F/7F-2.jpg</t>
        </is>
      </c>
    </row>
    <row r="588" spans="1:11" outlineLevel="1" x14ac:dyDescent="0.3">
      <c r="A588" t="s">
        <v>1055</v>
      </c>
      <c r="B588" t="s">
        <v>266</v>
      </c>
      <c r="C588" t="s">
        <v>10</v>
      </c>
      <c r="D588" t="s">
        <v>1056</v>
      </c>
      <c r="E588" t="s">
        <v>6473</v>
      </c>
      <c r="H588" t="s">
        <v>9639</v>
      </c>
      <c r="J588" t="inlineStr">
        <is>
          <t>7.214 VICE CHAIRPERSON SEC.</t>
        </is>
      </c>
      <c r="K588" t="inlineStr">
        <is>
          <t>HQ/7F/7F-2.jpg</t>
        </is>
      </c>
    </row>
    <row r="589" spans="1:11" outlineLevel="1" x14ac:dyDescent="0.3">
      <c r="A589" t="s">
        <v>1057</v>
      </c>
      <c r="B589" t="s">
        <v>266</v>
      </c>
      <c r="C589" t="s">
        <v>10</v>
      </c>
      <c r="D589" t="s">
        <v>1058</v>
      </c>
      <c r="E589" t="s">
        <v>6474</v>
      </c>
      <c r="H589" t="s">
        <v>9640</v>
      </c>
      <c r="J589" t="inlineStr">
        <is>
          <t>7.215 MEETING ROOM</t>
        </is>
      </c>
      <c r="K589" t="inlineStr">
        <is>
          <t>HQ/7F/7F-2.jpg</t>
        </is>
      </c>
    </row>
    <row r="590" spans="1:11" outlineLevel="1" x14ac:dyDescent="0.3">
      <c r="A590" t="s">
        <v>1059</v>
      </c>
      <c r="B590" t="s">
        <v>266</v>
      </c>
      <c r="C590" t="s">
        <v>10</v>
      </c>
      <c r="D590" t="s">
        <v>1060</v>
      </c>
      <c r="E590" t="s">
        <v>6475</v>
      </c>
      <c r="H590" t="s">
        <v>9641</v>
      </c>
      <c r="J590" t="inlineStr">
        <is>
          <t>7.301 MEETING ROOM</t>
        </is>
      </c>
      <c r="K590" t="inlineStr">
        <is>
          <t>HQ/7F/7F-2.jpg</t>
        </is>
      </c>
    </row>
    <row r="591" spans="1:11" outlineLevel="1" x14ac:dyDescent="0.3">
      <c r="A591" t="s">
        <v>1061</v>
      </c>
      <c r="B591" t="s">
        <v>266</v>
      </c>
      <c r="C591" t="s">
        <v>10</v>
      </c>
      <c r="D591" t="s">
        <v>1060</v>
      </c>
      <c r="E591" t="s">
        <v>6475</v>
      </c>
      <c r="J591" t="inlineStr">
        <is>
          <t>7.301 MEETING ROOM</t>
        </is>
      </c>
      <c r="K591" t="inlineStr">
        <is>
          <t>HQ/7F/7F-2.jpg</t>
        </is>
      </c>
    </row>
    <row r="592" spans="1:11" outlineLevel="1" x14ac:dyDescent="0.3">
      <c r="A592" t="s">
        <v>1062</v>
      </c>
      <c r="B592" t="s">
        <v>266</v>
      </c>
      <c r="C592" t="s">
        <v>10</v>
      </c>
      <c r="D592" t="s">
        <v>1060</v>
      </c>
      <c r="E592" t="s">
        <v>6475</v>
      </c>
      <c r="J592" t="inlineStr">
        <is>
          <t>7.301 MEETING ROOM</t>
        </is>
      </c>
      <c r="K592" t="inlineStr">
        <is>
          <t>HQ/7F/7F-2.jpg</t>
        </is>
      </c>
    </row>
    <row r="593" spans="1:11" outlineLevel="1" x14ac:dyDescent="0.3">
      <c r="A593" t="s">
        <v>1063</v>
      </c>
      <c r="B593" t="s">
        <v>266</v>
      </c>
      <c r="C593" t="s">
        <v>8</v>
      </c>
      <c r="D593" t="s">
        <v>1064</v>
      </c>
      <c r="E593" t="s">
        <v>6476</v>
      </c>
      <c r="J593" t="inlineStr">
        <is>
          <t>8.001 OBSERVATION SPACE</t>
        </is>
      </c>
      <c r="K593" t="inlineStr">
        <is>
          <t>HQ/8F/8F.jpg</t>
        </is>
      </c>
    </row>
    <row r="594" spans="1:11" outlineLevel="1" x14ac:dyDescent="0.3">
      <c r="A594" t="s">
        <v>1065</v>
      </c>
      <c r="B594" t="s">
        <v>266</v>
      </c>
      <c r="C594" t="s">
        <v>8</v>
      </c>
      <c r="D594" t="s">
        <v>1064</v>
      </c>
      <c r="E594" t="s">
        <v>6476</v>
      </c>
      <c r="J594" t="inlineStr">
        <is>
          <t>8.001 OBSERVATION SPACE</t>
        </is>
      </c>
      <c r="K594" t="inlineStr">
        <is>
          <t>HQ/8F/8F.jpg</t>
        </is>
      </c>
    </row>
    <row r="595" spans="1:11" outlineLevel="1" x14ac:dyDescent="0.3">
      <c r="A595" t="s">
        <v>1066</v>
      </c>
      <c r="B595" t="s">
        <v>266</v>
      </c>
      <c r="C595" t="s">
        <v>8</v>
      </c>
      <c r="D595" t="s">
        <v>1064</v>
      </c>
      <c r="E595" t="s">
        <v>6476</v>
      </c>
      <c r="J595" t="inlineStr">
        <is>
          <t>8.001 OBSERVATION SPACE</t>
        </is>
      </c>
      <c r="K595" t="inlineStr">
        <is>
          <t>HQ/8F/8F.jpg</t>
        </is>
      </c>
    </row>
    <row r="596" spans="1:11" outlineLevel="1" x14ac:dyDescent="0.3">
      <c r="A596" t="s">
        <v>1067</v>
      </c>
      <c r="B596" t="s">
        <v>266</v>
      </c>
      <c r="C596" t="s">
        <v>8</v>
      </c>
      <c r="D596" t="s">
        <v>1064</v>
      </c>
      <c r="E596" t="s">
        <v>6476</v>
      </c>
      <c r="J596" t="inlineStr">
        <is>
          <t>8.001 OBSERVATION SPACE</t>
        </is>
      </c>
      <c r="K596" t="inlineStr">
        <is>
          <t>HQ/8F/8F.jpg</t>
        </is>
      </c>
    </row>
    <row r="597" spans="1:11" outlineLevel="1" x14ac:dyDescent="0.3">
      <c r="A597" t="s">
        <v>1068</v>
      </c>
      <c r="B597" t="s">
        <v>266</v>
      </c>
      <c r="C597" t="s">
        <v>8</v>
      </c>
      <c r="D597" t="s">
        <v>1064</v>
      </c>
      <c r="E597" t="s">
        <v>6476</v>
      </c>
      <c r="J597" t="inlineStr">
        <is>
          <t>8.001 OBSERVATION SPACE</t>
        </is>
      </c>
      <c r="K597" t="inlineStr">
        <is>
          <t>HQ/8F/8F.jpg</t>
        </is>
      </c>
    </row>
    <row r="598" spans="1:11" outlineLevel="1" x14ac:dyDescent="0.3">
      <c r="A598" t="s">
        <v>1069</v>
      </c>
      <c r="B598" t="s">
        <v>266</v>
      </c>
      <c r="C598" t="s">
        <v>8</v>
      </c>
      <c r="D598" t="s">
        <v>1070</v>
      </c>
      <c r="E598" t="s">
        <v>6477</v>
      </c>
      <c r="J598" t="inlineStr">
        <is>
          <t>8.002 VISITORS CENTER OFFICE</t>
        </is>
      </c>
      <c r="K598" t="inlineStr">
        <is>
          <t>HQ/8F/8F.jpg</t>
        </is>
      </c>
    </row>
    <row r="599" spans="1:11" outlineLevel="1" x14ac:dyDescent="0.3">
      <c r="A599" t="s">
        <v>1071</v>
      </c>
      <c r="B599" t="s">
        <v>266</v>
      </c>
      <c r="C599" t="s">
        <v>8</v>
      </c>
      <c r="D599" t="s">
        <v>1072</v>
      </c>
      <c r="E599" t="s">
        <v>6478</v>
      </c>
      <c r="H599" t="s">
        <v>9642</v>
      </c>
      <c r="J599" t="inlineStr">
        <is>
          <t>8.602 VISITORS CENTER CORRIDOR</t>
        </is>
      </c>
      <c r="K599" t="inlineStr">
        <is>
          <t>HQ/8F/8F.jpg</t>
        </is>
      </c>
    </row>
    <row r="600" spans="1:11" outlineLevel="1" x14ac:dyDescent="0.3">
      <c r="A600" t="s">
        <v>1073</v>
      </c>
      <c r="B600" t="s">
        <v>266</v>
      </c>
      <c r="C600" t="s">
        <v>8</v>
      </c>
      <c r="D600" t="s">
        <v>1072</v>
      </c>
      <c r="E600" t="s">
        <v>6478</v>
      </c>
      <c r="J600" t="inlineStr">
        <is>
          <t>8.602 VISITORS CENTER CORRIDOR</t>
        </is>
      </c>
      <c r="K600" t="inlineStr">
        <is>
          <t>HQ/8F/8F.jpg</t>
        </is>
      </c>
    </row>
    <row r="601" spans="1:11" outlineLevel="1" x14ac:dyDescent="0.3">
      <c r="A601" t="s">
        <v>1074</v>
      </c>
      <c r="B601" t="s">
        <v>266</v>
      </c>
      <c r="C601" t="s">
        <v>8</v>
      </c>
      <c r="D601" t="s">
        <v>1072</v>
      </c>
      <c r="E601" t="s">
        <v>6478</v>
      </c>
      <c r="J601" t="inlineStr">
        <is>
          <t>8.602 VISITORS CENTER CORRIDOR</t>
        </is>
      </c>
      <c r="K601" t="inlineStr">
        <is>
          <t>HQ/8F/8F.jpg</t>
        </is>
      </c>
    </row>
    <row r="602" spans="1:11" outlineLevel="1" x14ac:dyDescent="0.3">
      <c r="A602" t="s">
        <v>1075</v>
      </c>
      <c r="B602" t="s">
        <v>266</v>
      </c>
      <c r="C602" t="s">
        <v>8</v>
      </c>
      <c r="D602" t="s">
        <v>1072</v>
      </c>
      <c r="E602" t="s">
        <v>6478</v>
      </c>
      <c r="J602" t="inlineStr">
        <is>
          <t>8.602 VISITORS CENTER CORRIDOR</t>
        </is>
      </c>
      <c r="K602" t="inlineStr">
        <is>
          <t>HQ/8F/8F.jpg</t>
        </is>
      </c>
    </row>
    <row r="603" spans="1:11" outlineLevel="1" x14ac:dyDescent="0.3">
      <c r="A603" t="s">
        <v>1076</v>
      </c>
      <c r="B603" t="s">
        <v>266</v>
      </c>
      <c r="C603" t="s">
        <v>8</v>
      </c>
      <c r="D603" t="s">
        <v>1072</v>
      </c>
      <c r="E603" t="s">
        <v>6478</v>
      </c>
      <c r="J603" t="inlineStr">
        <is>
          <t>8.602 VISITORS CENTER CORRIDOR</t>
        </is>
      </c>
      <c r="K603" t="inlineStr">
        <is>
          <t>HQ/8F/8F.jpg</t>
        </is>
      </c>
    </row>
    <row r="604" spans="1:11" outlineLevel="1" x14ac:dyDescent="0.3">
      <c r="A604" t="s">
        <v>1077</v>
      </c>
      <c r="B604" t="s">
        <v>266</v>
      </c>
      <c r="C604" t="s">
        <v>10</v>
      </c>
      <c r="D604" t="s">
        <v>1078</v>
      </c>
      <c r="E604" t="s">
        <v>6479</v>
      </c>
      <c r="H604" t="s">
        <v>9643</v>
      </c>
      <c r="J604" t="inlineStr">
        <is>
          <t>9.011 BMO EXEC. ASSIST.</t>
        </is>
      </c>
      <c r="K604" t="inlineStr">
        <is>
          <t>HQ/9F/9F-1.jpg</t>
        </is>
      </c>
    </row>
    <row r="605" spans="1:11" outlineLevel="1" x14ac:dyDescent="0.3">
      <c r="A605" t="s">
        <v>1079</v>
      </c>
      <c r="B605" t="s">
        <v>266</v>
      </c>
      <c r="C605" t="s">
        <v>10</v>
      </c>
      <c r="D605" t="s">
        <v>1080</v>
      </c>
      <c r="E605" t="s">
        <v>6480</v>
      </c>
      <c r="H605" t="s">
        <v>9644</v>
      </c>
      <c r="J605" t="inlineStr">
        <is>
          <t>9.012 BMO EXEC. ASSIST.</t>
        </is>
      </c>
      <c r="K605" t="inlineStr">
        <is>
          <t>HQ/9F/9F-1.jpg</t>
        </is>
      </c>
    </row>
    <row r="606" spans="1:11" outlineLevel="1" x14ac:dyDescent="0.3">
      <c r="A606" t="s">
        <v>1081</v>
      </c>
      <c r="B606" t="s">
        <v>266</v>
      </c>
      <c r="C606" t="s">
        <v>10</v>
      </c>
      <c r="D606" t="s">
        <v>1082</v>
      </c>
      <c r="E606" t="s">
        <v>6481</v>
      </c>
      <c r="H606" t="s">
        <v>9645</v>
      </c>
      <c r="J606" t="inlineStr">
        <is>
          <t>9.013 BMO EXEC. ASSIST.</t>
        </is>
      </c>
      <c r="K606" t="inlineStr">
        <is>
          <t>HQ/9F/9F-1.jpg</t>
        </is>
      </c>
    </row>
    <row r="607" spans="1:11" outlineLevel="1" x14ac:dyDescent="0.3">
      <c r="A607" t="s">
        <v>1083</v>
      </c>
      <c r="B607" t="s">
        <v>266</v>
      </c>
      <c r="C607" t="s">
        <v>10</v>
      </c>
      <c r="D607" t="s">
        <v>1084</v>
      </c>
      <c r="E607" t="s">
        <v>6482</v>
      </c>
      <c r="H607" t="s">
        <v>9646</v>
      </c>
      <c r="J607" t="inlineStr">
        <is>
          <t>9.014 BMO EXEC. ASSIST.</t>
        </is>
      </c>
      <c r="K607" t="inlineStr">
        <is>
          <t>HQ/9F/9F-1.jpg</t>
        </is>
      </c>
    </row>
    <row r="608" spans="1:11" outlineLevel="1" x14ac:dyDescent="0.3">
      <c r="A608" t="s">
        <v>1085</v>
      </c>
      <c r="B608" t="s">
        <v>266</v>
      </c>
      <c r="C608" t="s">
        <v>10</v>
      </c>
      <c r="D608" t="s">
        <v>1086</v>
      </c>
      <c r="E608" t="s">
        <v>6483</v>
      </c>
      <c r="H608" t="s">
        <v>9647</v>
      </c>
      <c r="J608" t="inlineStr">
        <is>
          <t>9.015 BMO EXEC. ASSIST.</t>
        </is>
      </c>
      <c r="K608" t="inlineStr">
        <is>
          <t>HQ/9F/9F-1.jpg</t>
        </is>
      </c>
    </row>
    <row r="609" spans="1:11" outlineLevel="1" x14ac:dyDescent="0.3">
      <c r="A609" t="s">
        <v>1087</v>
      </c>
      <c r="B609" t="s">
        <v>266</v>
      </c>
      <c r="C609" t="s">
        <v>10</v>
      </c>
      <c r="D609" t="s">
        <v>1088</v>
      </c>
      <c r="E609" t="s">
        <v>6484</v>
      </c>
      <c r="H609" t="s">
        <v>9648</v>
      </c>
      <c r="J609" t="inlineStr">
        <is>
          <t>9.016 BMO EXEC. ASSIST.</t>
        </is>
      </c>
      <c r="K609" t="inlineStr">
        <is>
          <t>HQ/9F/9F-1.jpg</t>
        </is>
      </c>
    </row>
    <row r="610" spans="1:11" outlineLevel="1" x14ac:dyDescent="0.3">
      <c r="A610" t="s">
        <v>1089</v>
      </c>
      <c r="B610" t="s">
        <v>266</v>
      </c>
      <c r="C610" t="s">
        <v>10</v>
      </c>
      <c r="D610" t="s">
        <v>1090</v>
      </c>
      <c r="E610" t="s">
        <v>6485</v>
      </c>
      <c r="H610" t="s">
        <v>9649</v>
      </c>
      <c r="J610" t="inlineStr">
        <is>
          <t>9.017 BMO EXEC. ASSIST.</t>
        </is>
      </c>
      <c r="K610" t="inlineStr">
        <is>
          <t>HQ/9F/9F-2.jpg</t>
        </is>
      </c>
    </row>
    <row r="611" spans="1:11" outlineLevel="1" x14ac:dyDescent="0.3">
      <c r="A611" t="s">
        <v>1091</v>
      </c>
      <c r="B611" t="s">
        <v>266</v>
      </c>
      <c r="C611" t="s">
        <v>10</v>
      </c>
      <c r="D611" t="s">
        <v>1092</v>
      </c>
      <c r="E611" t="s">
        <v>6486</v>
      </c>
      <c r="H611" t="s">
        <v>9650</v>
      </c>
      <c r="J611" t="inlineStr">
        <is>
          <t>9.018 BMO EXEC. SEC.</t>
        </is>
      </c>
      <c r="K611" t="inlineStr">
        <is>
          <t>HQ/9F/9F-2.jpg</t>
        </is>
      </c>
    </row>
    <row r="612" spans="1:11" outlineLevel="1" x14ac:dyDescent="0.3">
      <c r="A612" t="s">
        <v>1093</v>
      </c>
      <c r="B612" t="s">
        <v>266</v>
      </c>
      <c r="C612" t="s">
        <v>10</v>
      </c>
      <c r="D612" t="s">
        <v>1094</v>
      </c>
      <c r="E612" t="s">
        <v>6487</v>
      </c>
      <c r="H612" t="s">
        <v>9651</v>
      </c>
      <c r="J612" t="inlineStr">
        <is>
          <t>9.019 BMO EXEC. SEC.</t>
        </is>
      </c>
      <c r="K612" t="inlineStr">
        <is>
          <t>HQ/9F/9F-2.jpg</t>
        </is>
      </c>
    </row>
    <row r="613" spans="1:11" outlineLevel="1" x14ac:dyDescent="0.3">
      <c r="A613" t="s">
        <v>1095</v>
      </c>
      <c r="B613" t="s">
        <v>266</v>
      </c>
      <c r="C613" t="s">
        <v>10</v>
      </c>
      <c r="D613" t="s">
        <v>1096</v>
      </c>
      <c r="E613" t="s">
        <v>6488</v>
      </c>
      <c r="H613" t="s">
        <v>9652</v>
      </c>
      <c r="J613" t="inlineStr">
        <is>
          <t>9.020 BMO EXEC. SEC.</t>
        </is>
      </c>
      <c r="K613" t="inlineStr">
        <is>
          <t>HQ/9F/9F-2.jpg</t>
        </is>
      </c>
    </row>
    <row r="614" spans="1:11" outlineLevel="1" x14ac:dyDescent="0.3">
      <c r="A614" t="s">
        <v>1097</v>
      </c>
      <c r="B614" t="s">
        <v>266</v>
      </c>
      <c r="C614" t="s">
        <v>8</v>
      </c>
      <c r="D614" t="s">
        <v>1098</v>
      </c>
      <c r="E614" t="s">
        <v>6489</v>
      </c>
      <c r="H614" t="s">
        <v>9653</v>
      </c>
      <c r="J614" t="inlineStr">
        <is>
          <t>9.021 BMO OPER. DIR. ENSUIT</t>
        </is>
      </c>
      <c r="K614" t="inlineStr">
        <is>
          <t>HQ/9F/9F-2.jpg</t>
        </is>
      </c>
    </row>
    <row r="615" spans="1:11" outlineLevel="1" x14ac:dyDescent="0.3">
      <c r="A615" t="s">
        <v>1099</v>
      </c>
      <c r="B615" t="s">
        <v>266</v>
      </c>
      <c r="C615" t="s">
        <v>10</v>
      </c>
      <c r="D615" t="s">
        <v>1100</v>
      </c>
      <c r="E615" t="s">
        <v>6490</v>
      </c>
      <c r="H615" t="s">
        <v>9654</v>
      </c>
      <c r="J615" t="inlineStr">
        <is>
          <t>9.022 BMO EXEC. ASSIST.</t>
        </is>
      </c>
      <c r="K615" t="inlineStr">
        <is>
          <t>HQ/9F/9F-2.jpg</t>
        </is>
      </c>
    </row>
    <row r="616" spans="1:11" outlineLevel="1" x14ac:dyDescent="0.3">
      <c r="A616" t="s">
        <v>1101</v>
      </c>
      <c r="B616" t="s">
        <v>266</v>
      </c>
      <c r="C616" t="s">
        <v>10</v>
      </c>
      <c r="D616" t="s">
        <v>1102</v>
      </c>
      <c r="E616" t="s">
        <v>6491</v>
      </c>
      <c r="H616" t="s">
        <v>9655</v>
      </c>
      <c r="J616" t="inlineStr">
        <is>
          <t>9.023 BMO EXEC. SEC.</t>
        </is>
      </c>
      <c r="K616" t="inlineStr">
        <is>
          <t>HQ/9F/9F-2.jpg</t>
        </is>
      </c>
    </row>
    <row r="617" spans="1:11" outlineLevel="1" x14ac:dyDescent="0.3">
      <c r="A617" t="s">
        <v>1103</v>
      </c>
      <c r="B617" t="s">
        <v>266</v>
      </c>
      <c r="C617" t="s">
        <v>10</v>
      </c>
      <c r="D617" t="s">
        <v>1104</v>
      </c>
      <c r="E617" t="s">
        <v>6492</v>
      </c>
      <c r="H617" t="s">
        <v>9656</v>
      </c>
      <c r="J617" t="inlineStr">
        <is>
          <t>9.024 BMO EXEC. SEC.</t>
        </is>
      </c>
      <c r="K617" t="inlineStr">
        <is>
          <t>HQ/9F/9F-2.jpg</t>
        </is>
      </c>
    </row>
    <row r="618" spans="1:11" outlineLevel="1" x14ac:dyDescent="0.3">
      <c r="A618" t="s">
        <v>1105</v>
      </c>
      <c r="B618" t="s">
        <v>266</v>
      </c>
      <c r="C618" t="s">
        <v>10</v>
      </c>
      <c r="D618" t="s">
        <v>1106</v>
      </c>
      <c r="E618" t="s">
        <v>6493</v>
      </c>
      <c r="H618" t="s">
        <v>9657</v>
      </c>
      <c r="J618" t="inlineStr">
        <is>
          <t>9.025 BMO EXEC. SEC.</t>
        </is>
      </c>
      <c r="K618" t="inlineStr">
        <is>
          <t>HQ/9F/9F-2.jpg</t>
        </is>
      </c>
    </row>
    <row r="619" spans="1:11" outlineLevel="1" x14ac:dyDescent="0.3">
      <c r="A619" t="s">
        <v>1107</v>
      </c>
      <c r="B619" t="s">
        <v>266</v>
      </c>
      <c r="C619" t="s">
        <v>10</v>
      </c>
      <c r="D619" t="s">
        <v>1106</v>
      </c>
      <c r="E619" t="s">
        <v>6493</v>
      </c>
      <c r="J619" t="inlineStr">
        <is>
          <t>9.025 BMO EXEC. SEC.</t>
        </is>
      </c>
      <c r="K619" t="inlineStr">
        <is>
          <t>HQ/9F/9F-2.jpg</t>
        </is>
      </c>
    </row>
    <row r="620" spans="1:11" outlineLevel="1" x14ac:dyDescent="0.3">
      <c r="A620" t="s">
        <v>1108</v>
      </c>
      <c r="B620" t="s">
        <v>266</v>
      </c>
      <c r="C620" t="s">
        <v>10</v>
      </c>
      <c r="D620" t="s">
        <v>1109</v>
      </c>
      <c r="E620" t="s">
        <v>6494</v>
      </c>
      <c r="H620" t="s">
        <v>9658</v>
      </c>
      <c r="J620" t="inlineStr">
        <is>
          <t>9.026 BMO SUPP. SEC.</t>
        </is>
      </c>
      <c r="K620" t="inlineStr">
        <is>
          <t>HQ/9F/9F-2.jpg</t>
        </is>
      </c>
    </row>
    <row r="621" spans="1:11" outlineLevel="1" x14ac:dyDescent="0.3">
      <c r="A621" t="s">
        <v>1110</v>
      </c>
      <c r="B621" t="s">
        <v>266</v>
      </c>
      <c r="C621" t="s">
        <v>10</v>
      </c>
      <c r="D621" t="s">
        <v>1111</v>
      </c>
      <c r="E621" t="s">
        <v>6495</v>
      </c>
      <c r="H621" t="s">
        <v>9659</v>
      </c>
      <c r="J621" t="inlineStr">
        <is>
          <t>9.027 BMO SUPP. SEC.</t>
        </is>
      </c>
      <c r="K621" t="inlineStr">
        <is>
          <t>HQ/9F/9F-2.jpg</t>
        </is>
      </c>
    </row>
    <row r="622" spans="1:11" outlineLevel="1" x14ac:dyDescent="0.3">
      <c r="A622" t="s">
        <v>1112</v>
      </c>
      <c r="B622" t="s">
        <v>266</v>
      </c>
      <c r="C622" t="s">
        <v>10</v>
      </c>
      <c r="D622" t="s">
        <v>1113</v>
      </c>
      <c r="E622" t="s">
        <v>6496</v>
      </c>
      <c r="H622" t="s">
        <v>9660</v>
      </c>
      <c r="J622" t="inlineStr">
        <is>
          <t>9.028 BMO SUPP. SEC.</t>
        </is>
      </c>
      <c r="K622" t="inlineStr">
        <is>
          <t>HQ/9F/9F-2.jpg</t>
        </is>
      </c>
    </row>
    <row r="623" spans="1:11" outlineLevel="1" x14ac:dyDescent="0.3">
      <c r="A623" t="s">
        <v>1114</v>
      </c>
      <c r="B623" t="s">
        <v>266</v>
      </c>
      <c r="C623" t="s">
        <v>10</v>
      </c>
      <c r="D623" t="s">
        <v>1115</v>
      </c>
      <c r="E623" t="s">
        <v>6497</v>
      </c>
      <c r="H623" t="s">
        <v>9661</v>
      </c>
      <c r="J623" t="inlineStr">
        <is>
          <t>9.029 BMO SUPP. SEC.</t>
        </is>
      </c>
      <c r="K623" t="inlineStr">
        <is>
          <t>HQ/9F/9F-2.jpg</t>
        </is>
      </c>
    </row>
    <row r="624" spans="1:11" outlineLevel="1" x14ac:dyDescent="0.3">
      <c r="A624" t="s">
        <v>1116</v>
      </c>
      <c r="B624" t="s">
        <v>266</v>
      </c>
      <c r="C624" t="s">
        <v>10</v>
      </c>
      <c r="D624" t="s">
        <v>1117</v>
      </c>
      <c r="E624" t="s">
        <v>6498</v>
      </c>
      <c r="H624" t="s">
        <v>9662</v>
      </c>
      <c r="J624" t="inlineStr">
        <is>
          <t>9.030 BMO SUPP. SEC.</t>
        </is>
      </c>
      <c r="K624" t="inlineStr">
        <is>
          <t>HQ/9F/9F-2.jpg</t>
        </is>
      </c>
    </row>
    <row r="625" spans="1:11" outlineLevel="1" x14ac:dyDescent="0.3">
      <c r="A625" t="s">
        <v>1118</v>
      </c>
      <c r="B625" t="s">
        <v>266</v>
      </c>
      <c r="C625" t="s">
        <v>10</v>
      </c>
      <c r="D625" t="s">
        <v>1119</v>
      </c>
      <c r="E625" t="s">
        <v>6499</v>
      </c>
      <c r="J625" t="inlineStr">
        <is>
          <t>9.031 BMO PRINT COPY</t>
        </is>
      </c>
      <c r="K625" t="inlineStr">
        <is>
          <t>HQ/9F/9F-2.jpg</t>
        </is>
      </c>
    </row>
    <row r="626" spans="1:11" outlineLevel="1" x14ac:dyDescent="0.3">
      <c r="A626" t="s">
        <v>1120</v>
      </c>
      <c r="B626" t="s">
        <v>266</v>
      </c>
      <c r="C626" t="s">
        <v>10</v>
      </c>
      <c r="D626" t="s">
        <v>1121</v>
      </c>
      <c r="E626" t="s">
        <v>6500</v>
      </c>
      <c r="H626" t="s">
        <v>9663</v>
      </c>
      <c r="J626" t="inlineStr">
        <is>
          <t>9.032 BMO STORAGE</t>
        </is>
      </c>
      <c r="K626" t="inlineStr">
        <is>
          <t>HQ/9F/9F-2.jpg</t>
        </is>
      </c>
    </row>
    <row r="627" spans="1:11" outlineLevel="1" x14ac:dyDescent="0.3">
      <c r="A627" t="s">
        <v>1122</v>
      </c>
      <c r="B627" t="s">
        <v>266</v>
      </c>
      <c r="C627" t="s">
        <v>10</v>
      </c>
      <c r="D627" t="s">
        <v>1123</v>
      </c>
      <c r="E627" t="s">
        <v>6501</v>
      </c>
      <c r="H627" t="s">
        <v>9664</v>
      </c>
      <c r="J627" t="inlineStr">
        <is>
          <t>9.033 HR EDU. ADV. ENSUIT</t>
        </is>
      </c>
      <c r="K627" t="inlineStr">
        <is>
          <t>HQ/9F/9F-2.jpg</t>
        </is>
      </c>
    </row>
    <row r="628" spans="1:11" outlineLevel="1" x14ac:dyDescent="0.3">
      <c r="A628" t="s">
        <v>1124</v>
      </c>
      <c r="B628" t="s">
        <v>266</v>
      </c>
      <c r="C628" t="s">
        <v>10</v>
      </c>
      <c r="D628" t="s">
        <v>1125</v>
      </c>
      <c r="E628" t="s">
        <v>6502</v>
      </c>
      <c r="H628" t="s">
        <v>9665</v>
      </c>
      <c r="J628" t="inlineStr">
        <is>
          <t>9.034 HR EDU. ADV. ENSUIT</t>
        </is>
      </c>
      <c r="K628" t="inlineStr">
        <is>
          <t>HQ/9F/9F-2.jpg</t>
        </is>
      </c>
    </row>
    <row r="629" spans="1:11" outlineLevel="1" x14ac:dyDescent="0.3">
      <c r="A629" t="s">
        <v>1126</v>
      </c>
      <c r="B629" t="s">
        <v>266</v>
      </c>
      <c r="C629" t="s">
        <v>10</v>
      </c>
      <c r="D629" t="s">
        <v>1127</v>
      </c>
      <c r="E629" t="s">
        <v>6503</v>
      </c>
      <c r="H629" t="s">
        <v>9666</v>
      </c>
      <c r="J629" t="inlineStr">
        <is>
          <t>9.035 HR EDU. ADV. ENSUIT</t>
        </is>
      </c>
      <c r="K629" t="inlineStr">
        <is>
          <t>HQ/9F/9F-2.jpg</t>
        </is>
      </c>
    </row>
    <row r="630" spans="1:11" outlineLevel="1" x14ac:dyDescent="0.3">
      <c r="A630" t="s">
        <v>1128</v>
      </c>
      <c r="B630" t="s">
        <v>266</v>
      </c>
      <c r="C630" t="s">
        <v>8</v>
      </c>
      <c r="D630" t="s">
        <v>1129</v>
      </c>
      <c r="E630" t="s">
        <v>6504</v>
      </c>
      <c r="J630" t="inlineStr">
        <is>
          <t>9.036 BOD EXECUTIVE</t>
        </is>
      </c>
      <c r="K630" t="inlineStr">
        <is>
          <t>HQ/9F/9F-2.jpg</t>
        </is>
      </c>
    </row>
    <row r="631" spans="1:11" outlineLevel="1" x14ac:dyDescent="0.3">
      <c r="A631" t="s">
        <v>1130</v>
      </c>
      <c r="B631" t="s">
        <v>266</v>
      </c>
      <c r="C631" t="s">
        <v>10</v>
      </c>
      <c r="D631" t="s">
        <v>1131</v>
      </c>
      <c r="E631" t="s">
        <v>6505</v>
      </c>
      <c r="H631" t="s">
        <v>9667</v>
      </c>
      <c r="J631" t="inlineStr">
        <is>
          <t>9.037 BOD SEC.</t>
        </is>
      </c>
      <c r="K631" t="inlineStr">
        <is>
          <t>HQ/9F/9F-2.jpg</t>
        </is>
      </c>
    </row>
    <row r="632" spans="1:11" outlineLevel="1" x14ac:dyDescent="0.3">
      <c r="A632" t="s">
        <v>1132</v>
      </c>
      <c r="B632" t="s">
        <v>266</v>
      </c>
      <c r="C632" t="s">
        <v>8</v>
      </c>
      <c r="D632" t="s">
        <v>1133</v>
      </c>
      <c r="E632" t="s">
        <v>6506</v>
      </c>
      <c r="H632" t="s">
        <v>9668</v>
      </c>
      <c r="J632" t="inlineStr">
        <is>
          <t>9.038 BOD EXECUTIVE</t>
        </is>
      </c>
      <c r="K632" t="inlineStr">
        <is>
          <t>HQ/9F/9F-1.jpg</t>
        </is>
      </c>
    </row>
    <row r="633" spans="1:11" outlineLevel="1" x14ac:dyDescent="0.3">
      <c r="A633" t="s">
        <v>1134</v>
      </c>
      <c r="B633" t="s">
        <v>266</v>
      </c>
      <c r="C633" t="s">
        <v>8</v>
      </c>
      <c r="D633" t="s">
        <v>6025</v>
      </c>
      <c r="E633" t="s">
        <v>6507</v>
      </c>
      <c r="H633" t="s">
        <v>9531</v>
      </c>
      <c r="J633" t="inlineStr">
        <is>
          <t>SOUTH WEST CORRIDOR</t>
        </is>
      </c>
      <c r="K633" t="inlineStr">
        <is>
          <t>HQ/9F/9F-1.jpg</t>
        </is>
      </c>
    </row>
    <row r="634" spans="1:11" outlineLevel="1" x14ac:dyDescent="0.3">
      <c r="A634" t="s">
        <v>1135</v>
      </c>
      <c r="B634" t="s">
        <v>266</v>
      </c>
      <c r="C634" t="s">
        <v>8</v>
      </c>
      <c r="D634" t="s">
        <v>6025</v>
      </c>
      <c r="E634" t="s">
        <v>6507</v>
      </c>
      <c r="H634" t="s">
        <v>9669</v>
      </c>
      <c r="J634" t="inlineStr">
        <is>
          <t>HH-WING CORRIDOR 9.601</t>
        </is>
      </c>
      <c r="K634" t="inlineStr">
        <is>
          <t>HQ/9F/9F-1.jpg</t>
        </is>
      </c>
    </row>
    <row r="635" spans="1:11" outlineLevel="1" x14ac:dyDescent="0.3">
      <c r="A635" t="s">
        <v>1136</v>
      </c>
      <c r="B635" t="s">
        <v>266</v>
      </c>
      <c r="C635" t="s">
        <v>10</v>
      </c>
      <c r="D635" t="s">
        <v>1137</v>
      </c>
      <c r="E635" t="s">
        <v>6508</v>
      </c>
      <c r="J635" t="inlineStr">
        <is>
          <t>9.039 MEETING ROOM</t>
        </is>
      </c>
      <c r="K635" t="inlineStr">
        <is>
          <t>HQ/9F/9F-1.jpg</t>
        </is>
      </c>
    </row>
    <row r="636" spans="1:11" outlineLevel="1" x14ac:dyDescent="0.3">
      <c r="A636" t="s">
        <v>1138</v>
      </c>
      <c r="B636" t="s">
        <v>266</v>
      </c>
      <c r="C636" t="s">
        <v>10</v>
      </c>
      <c r="D636" t="s">
        <v>1139</v>
      </c>
      <c r="E636" t="s">
        <v>6509</v>
      </c>
      <c r="H636" t="s">
        <v>9670</v>
      </c>
      <c r="J636" t="inlineStr">
        <is>
          <t>9.040 BMO SAFE</t>
        </is>
      </c>
      <c r="K636" t="inlineStr">
        <is>
          <t>HQ/9F/9F-1.jpg</t>
        </is>
      </c>
    </row>
    <row r="637" spans="1:11" outlineLevel="1" x14ac:dyDescent="0.3">
      <c r="A637" t="s">
        <v>1140</v>
      </c>
      <c r="B637" t="s">
        <v>266</v>
      </c>
      <c r="C637" t="s">
        <v>10</v>
      </c>
      <c r="D637" t="s">
        <v>1141</v>
      </c>
      <c r="E637" t="s">
        <v>6510</v>
      </c>
      <c r="J637" t="inlineStr">
        <is>
          <t>9.041 BMO ARCHIVE ROOM</t>
        </is>
      </c>
      <c r="K637" t="inlineStr">
        <is>
          <t>HQ/9F/9F-1.jpg</t>
        </is>
      </c>
    </row>
    <row r="638" spans="1:11" outlineLevel="1" x14ac:dyDescent="0.3">
      <c r="A638" t="s">
        <v>1142</v>
      </c>
      <c r="B638" t="s">
        <v>266</v>
      </c>
      <c r="C638" t="s">
        <v>8</v>
      </c>
      <c r="D638" t="s">
        <v>6025</v>
      </c>
      <c r="E638" t="s">
        <v>6507</v>
      </c>
      <c r="H638" t="s">
        <v>9489</v>
      </c>
      <c r="J638" t="inlineStr">
        <is>
          <t>SOUTH WEST CORRIDOR</t>
        </is>
      </c>
      <c r="K638" t="inlineStr">
        <is>
          <t>HQ/9F/9F-1.jpg</t>
        </is>
      </c>
    </row>
    <row r="639" spans="1:11" outlineLevel="1" x14ac:dyDescent="0.3">
      <c r="A639" t="s">
        <v>1143</v>
      </c>
      <c r="B639" t="s">
        <v>266</v>
      </c>
      <c r="C639" t="s">
        <v>10</v>
      </c>
      <c r="D639" t="s">
        <v>1144</v>
      </c>
      <c r="E639" t="s">
        <v>6511</v>
      </c>
      <c r="J639" t="inlineStr">
        <is>
          <t>9.001 LEGAL ARCHIVE</t>
        </is>
      </c>
      <c r="K639" t="inlineStr">
        <is>
          <t>HQ/9F/9F-1.jpg</t>
        </is>
      </c>
    </row>
    <row r="640" spans="1:11" outlineLevel="1" x14ac:dyDescent="0.3">
      <c r="A640" t="s">
        <v>1145</v>
      </c>
      <c r="B640" t="s">
        <v>266</v>
      </c>
      <c r="C640" t="s">
        <v>10</v>
      </c>
      <c r="D640" t="s">
        <v>1146</v>
      </c>
      <c r="E640" t="s">
        <v>6512</v>
      </c>
      <c r="J640" t="inlineStr">
        <is>
          <t>9.002 LEGAL CONSULE</t>
        </is>
      </c>
      <c r="K640" t="inlineStr">
        <is>
          <t>HQ/9F/9F-1.jpg</t>
        </is>
      </c>
    </row>
    <row r="641" spans="1:11" outlineLevel="1" x14ac:dyDescent="0.3">
      <c r="A641" t="s">
        <v>1147</v>
      </c>
      <c r="B641" t="s">
        <v>266</v>
      </c>
      <c r="C641" t="s">
        <v>10</v>
      </c>
      <c r="D641" t="s">
        <v>1148</v>
      </c>
      <c r="E641" t="s">
        <v>6513</v>
      </c>
      <c r="J641" t="inlineStr">
        <is>
          <t>9.003 LEGAL CONSULE</t>
        </is>
      </c>
      <c r="K641" t="inlineStr">
        <is>
          <t>HQ/9F/9F-1.jpg</t>
        </is>
      </c>
    </row>
    <row r="642" spans="1:11" outlineLevel="1" x14ac:dyDescent="0.3">
      <c r="A642" t="s">
        <v>1149</v>
      </c>
      <c r="B642" t="s">
        <v>266</v>
      </c>
      <c r="C642" t="s">
        <v>10</v>
      </c>
      <c r="D642" t="s">
        <v>1150</v>
      </c>
      <c r="E642" t="s">
        <v>6514</v>
      </c>
      <c r="J642" t="inlineStr">
        <is>
          <t>9.004 LEGAL CONSULE</t>
        </is>
      </c>
      <c r="K642" t="inlineStr">
        <is>
          <t>HQ/9F/9F-1.jpg</t>
        </is>
      </c>
    </row>
    <row r="643" spans="1:11" outlineLevel="1" x14ac:dyDescent="0.3">
      <c r="A643" t="s">
        <v>1151</v>
      </c>
      <c r="B643" t="s">
        <v>266</v>
      </c>
      <c r="C643" t="s">
        <v>10</v>
      </c>
      <c r="D643" t="s">
        <v>1152</v>
      </c>
      <c r="E643" t="s">
        <v>6515</v>
      </c>
      <c r="J643" t="inlineStr">
        <is>
          <t>9.005 LEGAL CONSULE</t>
        </is>
      </c>
      <c r="K643" t="inlineStr">
        <is>
          <t>HQ/9F/9F-1.jpg</t>
        </is>
      </c>
    </row>
    <row r="644" spans="1:11" outlineLevel="1" x14ac:dyDescent="0.3">
      <c r="A644" t="s">
        <v>1153</v>
      </c>
      <c r="B644" t="s">
        <v>266</v>
      </c>
      <c r="C644" t="s">
        <v>10</v>
      </c>
      <c r="D644" t="s">
        <v>1154</v>
      </c>
      <c r="E644" t="s">
        <v>6516</v>
      </c>
      <c r="J644" t="inlineStr">
        <is>
          <t>9.006 LEGAL CONSULE</t>
        </is>
      </c>
      <c r="K644" t="inlineStr">
        <is>
          <t>HQ/9F/9F-1.jpg</t>
        </is>
      </c>
    </row>
    <row r="645" spans="1:11" outlineLevel="1" x14ac:dyDescent="0.3">
      <c r="A645" t="s">
        <v>1155</v>
      </c>
      <c r="B645" t="s">
        <v>266</v>
      </c>
      <c r="C645" t="s">
        <v>10</v>
      </c>
      <c r="D645" t="s">
        <v>1156</v>
      </c>
      <c r="E645" t="s">
        <v>6517</v>
      </c>
      <c r="J645" t="inlineStr">
        <is>
          <t>9.007 LEGAL CONSULE</t>
        </is>
      </c>
      <c r="K645" t="inlineStr">
        <is>
          <t>HQ/9F/9F-1.jpg</t>
        </is>
      </c>
    </row>
    <row r="646" spans="1:11" outlineLevel="1" x14ac:dyDescent="0.3">
      <c r="A646" t="s">
        <v>1157</v>
      </c>
      <c r="B646" t="s">
        <v>266</v>
      </c>
      <c r="C646" t="s">
        <v>10</v>
      </c>
      <c r="D646" t="s">
        <v>1158</v>
      </c>
      <c r="E646" t="s">
        <v>6518</v>
      </c>
      <c r="J646" t="inlineStr">
        <is>
          <t>9.008 LEGAL SUP. SEC.</t>
        </is>
      </c>
      <c r="K646" t="inlineStr">
        <is>
          <t>HQ/9F/9F-1.jpg</t>
        </is>
      </c>
    </row>
    <row r="647" spans="1:11" outlineLevel="1" x14ac:dyDescent="0.3">
      <c r="A647" t="s">
        <v>1159</v>
      </c>
      <c r="B647" t="s">
        <v>266</v>
      </c>
      <c r="C647" t="s">
        <v>10</v>
      </c>
      <c r="D647" t="s">
        <v>1160</v>
      </c>
      <c r="E647" t="s">
        <v>6519</v>
      </c>
      <c r="J647" t="inlineStr">
        <is>
          <t>9.009 LEGAL SUP. SEC.</t>
        </is>
      </c>
      <c r="K647" t="inlineStr">
        <is>
          <t>HQ/9F/9F-1.jpg</t>
        </is>
      </c>
    </row>
    <row r="648" spans="1:11" outlineLevel="1" x14ac:dyDescent="0.3">
      <c r="A648" t="s">
        <v>1161</v>
      </c>
      <c r="B648" t="s">
        <v>266</v>
      </c>
      <c r="C648" t="s">
        <v>10</v>
      </c>
      <c r="D648" t="s">
        <v>1162</v>
      </c>
      <c r="E648" t="s">
        <v>6520</v>
      </c>
      <c r="J648" t="inlineStr">
        <is>
          <t>9.010 LEGAL ADV. ENSUIT</t>
        </is>
      </c>
      <c r="K648" t="inlineStr">
        <is>
          <t>HQ/9F/9F-1.jpg</t>
        </is>
      </c>
    </row>
    <row r="649" spans="1:11" outlineLevel="1" x14ac:dyDescent="0.3">
      <c r="A649" t="s">
        <v>1163</v>
      </c>
      <c r="B649" t="s">
        <v>266</v>
      </c>
      <c r="C649" t="s">
        <v>8</v>
      </c>
      <c r="D649" t="s">
        <v>1164</v>
      </c>
      <c r="E649" t="s">
        <v>6521</v>
      </c>
      <c r="H649" t="s">
        <v>9671</v>
      </c>
      <c r="J649" t="inlineStr">
        <is>
          <t>9.105 LOUNGE</t>
        </is>
      </c>
      <c r="K649" t="inlineStr">
        <is>
          <t>HQ/9F/9F-1.jpg</t>
        </is>
      </c>
    </row>
    <row r="650" spans="1:11" outlineLevel="1" x14ac:dyDescent="0.3">
      <c r="A650" t="s">
        <v>1165</v>
      </c>
      <c r="B650" t="s">
        <v>266</v>
      </c>
      <c r="C650" t="s">
        <v>8</v>
      </c>
      <c r="D650" t="s">
        <v>1166</v>
      </c>
      <c r="E650" t="s">
        <v>6522</v>
      </c>
      <c r="J650" t="inlineStr">
        <is>
          <t>9.104 BMO WAITING AREA</t>
        </is>
      </c>
      <c r="K650" t="inlineStr">
        <is>
          <t>HQ/9F/9F-1.jpg</t>
        </is>
      </c>
    </row>
    <row r="651" spans="1:11" outlineLevel="1" x14ac:dyDescent="0.3">
      <c r="A651" t="s">
        <v>1167</v>
      </c>
      <c r="B651" t="s">
        <v>266</v>
      </c>
      <c r="C651" t="s">
        <v>10</v>
      </c>
      <c r="D651" t="s">
        <v>1168</v>
      </c>
      <c r="E651" t="s">
        <v>6523</v>
      </c>
      <c r="J651" t="inlineStr" s="44">
        <is>
          <t>9.104 BMO WAITING AREA</t>
        </is>
      </c>
      <c r="K651" t="inlineStr">
        <is>
          <t>HQ/9F/9F-1.jpg</t>
        </is>
      </c>
    </row>
    <row r="652" spans="1:11" outlineLevel="1" x14ac:dyDescent="0.3">
      <c r="A652" t="s">
        <v>1169</v>
      </c>
      <c r="B652" t="s">
        <v>266</v>
      </c>
      <c r="C652" t="s">
        <v>8</v>
      </c>
      <c r="D652" t="s">
        <v>6025</v>
      </c>
      <c r="E652" t="s">
        <v>6507</v>
      </c>
      <c r="H652" t="s">
        <v>9379</v>
      </c>
      <c r="J652" t="inlineStr">
        <is>
          <t>NORTH EAST CORRIDOR</t>
        </is>
      </c>
      <c r="K652" t="inlineStr">
        <is>
          <t>HQ/9F/9F-2.jpg</t>
        </is>
      </c>
    </row>
    <row r="653" spans="1:11" outlineLevel="1" x14ac:dyDescent="0.3">
      <c r="A653" t="s">
        <v>1170</v>
      </c>
      <c r="B653" t="s">
        <v>266</v>
      </c>
      <c r="C653" t="s">
        <v>8</v>
      </c>
      <c r="D653" t="s">
        <v>1171</v>
      </c>
      <c r="E653" t="s">
        <v>6524</v>
      </c>
      <c r="H653" t="s">
        <v>9672</v>
      </c>
      <c r="J653" t="inlineStr">
        <is>
          <t>9.110 SHEIKA WING DINING AREA</t>
        </is>
      </c>
      <c r="K653" t="inlineStr">
        <is>
          <t>HQ/9F/9F-2.jpg</t>
        </is>
      </c>
    </row>
    <row r="654" spans="1:11" outlineLevel="1" x14ac:dyDescent="0.3">
      <c r="A654" t="s">
        <v>1172</v>
      </c>
      <c r="B654" t="s">
        <v>266</v>
      </c>
      <c r="C654" t="s">
        <v>8</v>
      </c>
      <c r="D654" t="s">
        <v>1171</v>
      </c>
      <c r="E654" t="s">
        <v>6524</v>
      </c>
      <c r="H654" t="s">
        <v>9673</v>
      </c>
      <c r="J654" t="inlineStr">
        <is>
          <t>9.110 SHEIKA WING DINING AREA</t>
        </is>
      </c>
      <c r="K654" t="inlineStr">
        <is>
          <t>HQ/9F/9F-2.jpg</t>
        </is>
      </c>
    </row>
    <row r="655" spans="1:11" outlineLevel="1" x14ac:dyDescent="0.3">
      <c r="A655" t="s">
        <v>1173</v>
      </c>
      <c r="B655" t="s">
        <v>266</v>
      </c>
      <c r="C655" t="s">
        <v>8</v>
      </c>
      <c r="D655" t="s">
        <v>1174</v>
      </c>
      <c r="E655" t="s">
        <v>6524</v>
      </c>
      <c r="H655" t="s">
        <v>9674</v>
      </c>
      <c r="J655" t="inlineStr">
        <is>
          <t>SOUTH EAST CORRIDOR</t>
        </is>
      </c>
      <c r="K655" t="inlineStr">
        <is>
          <t>HQ/9F/9F-2.jpg</t>
        </is>
      </c>
    </row>
    <row r="656" spans="1:11" outlineLevel="1" x14ac:dyDescent="0.3">
      <c r="A656" t="s">
        <v>1175</v>
      </c>
      <c r="B656" t="s">
        <v>266</v>
      </c>
      <c r="C656" t="s">
        <v>10</v>
      </c>
      <c r="D656" t="s">
        <v>1176</v>
      </c>
      <c r="E656" t="s">
        <v>6525</v>
      </c>
      <c r="J656" t="inlineStr">
        <is>
          <t>9.108 KITCHEN</t>
        </is>
      </c>
      <c r="K656" t="inlineStr">
        <is>
          <t>HQ/9F/9F-2.jpg</t>
        </is>
      </c>
    </row>
    <row r="657" spans="1:10" outlineLevel="1" x14ac:dyDescent="0.3">
      <c r="A657" t="s">
        <v>1177</v>
      </c>
      <c r="B657" t="s">
        <v>266</v>
      </c>
      <c r="C657" t="s">
        <v>8</v>
      </c>
      <c r="D657" t="s">
        <v>1171</v>
      </c>
      <c r="E657" t="s">
        <v>6524</v>
      </c>
      <c r="K657" t="inlineStr">
        <is>
          <t>HQ/9F/9F-2.jpg</t>
        </is>
      </c>
      <c r="J657" s="44"/>
    </row>
    <row r="658" spans="1:11" outlineLevel="1" x14ac:dyDescent="0.3">
      <c r="A658" t="s">
        <v>1178</v>
      </c>
      <c r="B658" t="s">
        <v>266</v>
      </c>
      <c r="C658" t="s">
        <v>10</v>
      </c>
      <c r="D658" t="s">
        <v>1179</v>
      </c>
      <c r="E658" t="s">
        <v>6526</v>
      </c>
      <c r="H658" t="s">
        <v>9675</v>
      </c>
      <c r="J658" t="inlineStr">
        <is>
          <t>10.005 ARCHIVE</t>
        </is>
      </c>
      <c r="K658" t="inlineStr">
        <is>
          <t>HQ/10F/10F-1.jpg</t>
        </is>
      </c>
    </row>
    <row r="659" spans="1:11" outlineLevel="1" x14ac:dyDescent="0.3">
      <c r="A659" t="s">
        <v>1180</v>
      </c>
      <c r="B659" t="s">
        <v>266</v>
      </c>
      <c r="C659" t="s">
        <v>8</v>
      </c>
      <c r="D659" t="s">
        <v>1181</v>
      </c>
      <c r="E659" t="s">
        <v>6527</v>
      </c>
      <c r="H659" t="s">
        <v>9676</v>
      </c>
      <c r="J659" t="inlineStr">
        <is>
          <t>10.006 EXEC. DIR. ARCH. COORD</t>
        </is>
      </c>
      <c r="K659" t="inlineStr">
        <is>
          <t>HQ/10F/10F-1.jpg</t>
        </is>
      </c>
    </row>
    <row r="660" spans="1:11" outlineLevel="1" x14ac:dyDescent="0.3">
      <c r="A660" t="s">
        <v>1182</v>
      </c>
      <c r="B660" t="s">
        <v>266</v>
      </c>
      <c r="C660" t="s">
        <v>10</v>
      </c>
      <c r="D660" t="s">
        <v>1183</v>
      </c>
      <c r="E660" t="s">
        <v>6528</v>
      </c>
      <c r="H660" t="s">
        <v>9677</v>
      </c>
      <c r="J660" t="inlineStr">
        <is>
          <t>10.007 EXEC. DIR. PROT. ASSIS.</t>
        </is>
      </c>
      <c r="K660" t="inlineStr">
        <is>
          <t>HQ/10F/10F-1.jpg</t>
        </is>
      </c>
    </row>
    <row r="661" spans="1:11" outlineLevel="1" x14ac:dyDescent="0.3">
      <c r="A661" t="s">
        <v>1184</v>
      </c>
      <c r="B661" t="s">
        <v>266</v>
      </c>
      <c r="C661" t="s">
        <v>10</v>
      </c>
      <c r="D661" t="s">
        <v>1185</v>
      </c>
      <c r="E661" t="s">
        <v>6529</v>
      </c>
      <c r="H661" t="s">
        <v>9678</v>
      </c>
      <c r="J661" t="inlineStr">
        <is>
          <t>10.008 SCHED OFFICER</t>
        </is>
      </c>
      <c r="K661" t="inlineStr">
        <is>
          <t>HQ/10F/10F-1.jpg</t>
        </is>
      </c>
    </row>
    <row r="662" spans="1:11" outlineLevel="1" x14ac:dyDescent="0.3">
      <c r="A662" t="s">
        <v>1186</v>
      </c>
      <c r="B662" t="s">
        <v>266</v>
      </c>
      <c r="C662" t="s">
        <v>10</v>
      </c>
      <c r="D662" t="s">
        <v>1187</v>
      </c>
      <c r="E662" t="s">
        <v>6530</v>
      </c>
      <c r="H662" t="s">
        <v>9679</v>
      </c>
      <c r="J662" t="inlineStr">
        <is>
          <t>10.009 CEREM. OFFICER</t>
        </is>
      </c>
      <c r="K662" t="inlineStr">
        <is>
          <t>HQ/10F/10F-1.jpg</t>
        </is>
      </c>
    </row>
    <row r="663" spans="1:11" outlineLevel="1" x14ac:dyDescent="0.3">
      <c r="A663" t="s">
        <v>1188</v>
      </c>
      <c r="B663" t="s">
        <v>266</v>
      </c>
      <c r="C663" t="s">
        <v>10</v>
      </c>
      <c r="D663" t="s">
        <v>1189</v>
      </c>
      <c r="E663" t="s">
        <v>6531</v>
      </c>
      <c r="H663" t="s">
        <v>9680</v>
      </c>
      <c r="J663" t="inlineStr">
        <is>
          <t>10.010 CEREM. OFFICER</t>
        </is>
      </c>
      <c r="K663" t="inlineStr">
        <is>
          <t>HQ/10F/10F-1.jpg</t>
        </is>
      </c>
    </row>
    <row r="664" spans="1:11" outlineLevel="1" x14ac:dyDescent="0.3">
      <c r="A664" t="s">
        <v>1190</v>
      </c>
      <c r="B664" t="s">
        <v>266</v>
      </c>
      <c r="C664" t="s">
        <v>10</v>
      </c>
      <c r="D664" t="s">
        <v>1191</v>
      </c>
      <c r="E664" t="s">
        <v>6532</v>
      </c>
      <c r="H664" t="s">
        <v>9681</v>
      </c>
      <c r="J664" t="inlineStr">
        <is>
          <t>10.011 CEREM. OFFICER</t>
        </is>
      </c>
      <c r="K664" t="inlineStr">
        <is>
          <t>HQ/10F/10F-1.jpg</t>
        </is>
      </c>
    </row>
    <row r="665" spans="1:11" outlineLevel="1" x14ac:dyDescent="0.3">
      <c r="A665" t="s">
        <v>1192</v>
      </c>
      <c r="B665" t="s">
        <v>266</v>
      </c>
      <c r="C665" t="s">
        <v>10</v>
      </c>
      <c r="D665" t="s">
        <v>1193</v>
      </c>
      <c r="E665" t="s">
        <v>6533</v>
      </c>
      <c r="H665" t="s">
        <v>9682</v>
      </c>
      <c r="J665" t="inlineStr">
        <is>
          <t>10.012 TR. &amp; VIS. OFFICER</t>
        </is>
      </c>
      <c r="K665" t="inlineStr">
        <is>
          <t>HQ/10F/10F-1.jpg</t>
        </is>
      </c>
    </row>
    <row r="666" spans="1:11" outlineLevel="1" x14ac:dyDescent="0.3">
      <c r="A666" t="s">
        <v>1194</v>
      </c>
      <c r="B666" t="s">
        <v>266</v>
      </c>
      <c r="C666" t="s">
        <v>10</v>
      </c>
      <c r="D666" t="s">
        <v>1195</v>
      </c>
      <c r="E666" t="s">
        <v>6534</v>
      </c>
      <c r="H666" t="s">
        <v>9683</v>
      </c>
      <c r="J666" t="inlineStr">
        <is>
          <t>10.013 TR. &amp; VIS. OFFICER</t>
        </is>
      </c>
      <c r="K666" t="inlineStr">
        <is>
          <t>HQ/10F/10F-1.jpg</t>
        </is>
      </c>
    </row>
    <row r="667" spans="1:11" outlineLevel="1" x14ac:dyDescent="0.3">
      <c r="A667" t="s">
        <v>1196</v>
      </c>
      <c r="B667" t="s">
        <v>266</v>
      </c>
      <c r="C667" t="s">
        <v>10</v>
      </c>
      <c r="D667" t="s">
        <v>1197</v>
      </c>
      <c r="E667" t="s">
        <v>6535</v>
      </c>
      <c r="H667" t="s">
        <v>9684</v>
      </c>
      <c r="J667" t="inlineStr">
        <is>
          <t>10.015 SCHED OFFICER</t>
        </is>
      </c>
      <c r="K667" t="inlineStr">
        <is>
          <t>HQ/10F/10F-2.jpg</t>
        </is>
      </c>
    </row>
    <row r="668" spans="1:11" outlineLevel="1" x14ac:dyDescent="0.3">
      <c r="A668" t="s">
        <v>1198</v>
      </c>
      <c r="B668" t="s">
        <v>266</v>
      </c>
      <c r="C668" t="s">
        <v>10</v>
      </c>
      <c r="D668" t="s">
        <v>1199</v>
      </c>
      <c r="E668" t="s">
        <v>6536</v>
      </c>
      <c r="H668" t="s">
        <v>9685</v>
      </c>
      <c r="J668" t="inlineStr">
        <is>
          <t>10.016 PLANNING ANALYST</t>
        </is>
      </c>
      <c r="K668" t="inlineStr">
        <is>
          <t>HQ/10F/10F-2.jpg</t>
        </is>
      </c>
    </row>
    <row r="669" spans="1:11" outlineLevel="1" x14ac:dyDescent="0.3">
      <c r="A669" t="s">
        <v>1200</v>
      </c>
      <c r="B669" t="s">
        <v>266</v>
      </c>
      <c r="C669" t="s">
        <v>10</v>
      </c>
      <c r="D669" t="s">
        <v>1201</v>
      </c>
      <c r="E669" t="s">
        <v>6537</v>
      </c>
      <c r="H669" t="s">
        <v>9686</v>
      </c>
      <c r="J669" t="inlineStr">
        <is>
          <t>10.017 STRAT. PLANNER</t>
        </is>
      </c>
      <c r="K669" t="inlineStr">
        <is>
          <t>HQ/10F/10F-2.jpg</t>
        </is>
      </c>
    </row>
    <row r="670" spans="1:11" outlineLevel="1" x14ac:dyDescent="0.3">
      <c r="A670" t="s">
        <v>1202</v>
      </c>
      <c r="B670" t="s">
        <v>266</v>
      </c>
      <c r="C670" t="s">
        <v>8</v>
      </c>
      <c r="D670" t="s">
        <v>1203</v>
      </c>
      <c r="E670" t="s">
        <v>6538</v>
      </c>
      <c r="H670" t="s">
        <v>9687</v>
      </c>
      <c r="J670" t="inlineStr">
        <is>
          <t>10.018 PLANNING DIR. EXT. COORD</t>
        </is>
      </c>
      <c r="K670" t="inlineStr">
        <is>
          <t>HQ/10F/10F-2.jpg</t>
        </is>
      </c>
    </row>
    <row r="671" spans="1:11" outlineLevel="1" x14ac:dyDescent="0.3">
      <c r="A671" t="s">
        <v>1204</v>
      </c>
      <c r="B671" t="s">
        <v>266</v>
      </c>
      <c r="C671" t="s">
        <v>10</v>
      </c>
      <c r="D671" t="s">
        <v>1205</v>
      </c>
      <c r="E671" t="s">
        <v>6539</v>
      </c>
      <c r="H671" t="s">
        <v>9688</v>
      </c>
      <c r="J671" t="inlineStr">
        <is>
          <t>10.019 SEN. POLICY ANALYST</t>
        </is>
      </c>
      <c r="K671" t="inlineStr">
        <is>
          <t>HQ/10F/10F-2.jpg</t>
        </is>
      </c>
    </row>
    <row r="672" spans="1:11" outlineLevel="1" x14ac:dyDescent="0.3">
      <c r="A672" t="s">
        <v>1206</v>
      </c>
      <c r="B672" t="s">
        <v>266</v>
      </c>
      <c r="C672" t="s">
        <v>10</v>
      </c>
      <c r="D672" t="s">
        <v>1207</v>
      </c>
      <c r="E672" t="s">
        <v>6540</v>
      </c>
      <c r="H672" t="s">
        <v>9689</v>
      </c>
      <c r="J672" t="inlineStr">
        <is>
          <t>10.020 RESEARCH ANALYST</t>
        </is>
      </c>
      <c r="K672" t="inlineStr">
        <is>
          <t>HQ/10F/10F-2.jpg</t>
        </is>
      </c>
    </row>
    <row r="673" spans="1:11" outlineLevel="1" x14ac:dyDescent="0.3">
      <c r="A673" t="s">
        <v>1208</v>
      </c>
      <c r="B673" t="s">
        <v>266</v>
      </c>
      <c r="C673" t="s">
        <v>10</v>
      </c>
      <c r="D673" t="s">
        <v>1209</v>
      </c>
      <c r="E673" t="s">
        <v>6541</v>
      </c>
      <c r="H673" t="s">
        <v>9690</v>
      </c>
      <c r="J673" t="inlineStr">
        <is>
          <t>10.021 RESEARCH ANALYST</t>
        </is>
      </c>
      <c r="K673" t="inlineStr">
        <is>
          <t>HQ/10F/10F-2.jpg</t>
        </is>
      </c>
    </row>
    <row r="674" spans="1:11" outlineLevel="1" x14ac:dyDescent="0.3">
      <c r="A674" t="s">
        <v>1210</v>
      </c>
      <c r="B674" t="s">
        <v>266</v>
      </c>
      <c r="C674" t="s">
        <v>10</v>
      </c>
      <c r="D674" t="s">
        <v>1211</v>
      </c>
      <c r="E674" t="s">
        <v>6542</v>
      </c>
      <c r="H674" t="s">
        <v>9691</v>
      </c>
      <c r="J674" t="inlineStr">
        <is>
          <t>10.022 RESEARCH ANALYST</t>
        </is>
      </c>
      <c r="K674" t="inlineStr">
        <is>
          <t>HQ/10F/10F-2.jpg</t>
        </is>
      </c>
    </row>
    <row r="675" spans="1:11" outlineLevel="1" x14ac:dyDescent="0.3">
      <c r="A675" t="s">
        <v>1212</v>
      </c>
      <c r="B675" t="s">
        <v>266</v>
      </c>
      <c r="C675" t="s">
        <v>10</v>
      </c>
      <c r="D675" t="s">
        <v>1213</v>
      </c>
      <c r="E675" t="s">
        <v>6543</v>
      </c>
      <c r="H675" t="s">
        <v>9692</v>
      </c>
      <c r="J675" t="inlineStr">
        <is>
          <t>10.023 HR OFFICER</t>
        </is>
      </c>
      <c r="K675" t="inlineStr">
        <is>
          <t>HQ/10F/10F-2.jpg</t>
        </is>
      </c>
    </row>
    <row r="676" spans="1:11" outlineLevel="1" x14ac:dyDescent="0.3">
      <c r="A676" t="s">
        <v>1214</v>
      </c>
      <c r="B676" t="s">
        <v>266</v>
      </c>
      <c r="C676" t="s">
        <v>10</v>
      </c>
      <c r="D676" t="s">
        <v>1215</v>
      </c>
      <c r="E676" t="s">
        <v>6544</v>
      </c>
      <c r="H676" t="s">
        <v>9693</v>
      </c>
      <c r="J676" t="inlineStr">
        <is>
          <t>10.024 HR ASSISTANT</t>
        </is>
      </c>
      <c r="K676" t="inlineStr">
        <is>
          <t>HQ/10F/10F-2.jpg</t>
        </is>
      </c>
    </row>
    <row r="677" spans="1:11" outlineLevel="1" x14ac:dyDescent="0.3">
      <c r="A677" t="s">
        <v>1216</v>
      </c>
      <c r="B677" t="s">
        <v>266</v>
      </c>
      <c r="C677" t="s">
        <v>10</v>
      </c>
      <c r="D677" t="s">
        <v>1217</v>
      </c>
      <c r="E677" t="s">
        <v>6545</v>
      </c>
      <c r="H677" t="s">
        <v>9694</v>
      </c>
      <c r="J677" t="inlineStr">
        <is>
          <t>10.025 PROCUR. REPRESENT</t>
        </is>
      </c>
      <c r="K677" t="inlineStr">
        <is>
          <t>HQ/10F/10F-2.jpg</t>
        </is>
      </c>
    </row>
    <row r="678" spans="1:11" outlineLevel="1" x14ac:dyDescent="0.3">
      <c r="A678" t="s">
        <v>1218</v>
      </c>
      <c r="B678" t="s">
        <v>266</v>
      </c>
      <c r="C678" t="s">
        <v>10</v>
      </c>
      <c r="D678" t="s">
        <v>1219</v>
      </c>
      <c r="E678" t="s">
        <v>6546</v>
      </c>
      <c r="H678" t="s">
        <v>9695</v>
      </c>
      <c r="J678" t="inlineStr">
        <is>
          <t>10.026 SERVICE COORD</t>
        </is>
      </c>
      <c r="K678" t="inlineStr">
        <is>
          <t>HQ/10F/10F-2.jpg</t>
        </is>
      </c>
    </row>
    <row r="679" spans="1:11" outlineLevel="1" x14ac:dyDescent="0.3">
      <c r="A679" t="s">
        <v>1220</v>
      </c>
      <c r="B679" t="s">
        <v>266</v>
      </c>
      <c r="C679" t="s">
        <v>10</v>
      </c>
      <c r="D679" t="s">
        <v>1221</v>
      </c>
      <c r="E679" t="s">
        <v>6547</v>
      </c>
      <c r="H679" t="s">
        <v>9696</v>
      </c>
      <c r="J679" t="inlineStr">
        <is>
          <t>10.027 SERV. SUPERVISOR</t>
        </is>
      </c>
      <c r="K679" t="inlineStr">
        <is>
          <t>HQ/10F/10F-2.jpg</t>
        </is>
      </c>
    </row>
    <row r="680" spans="1:11" outlineLevel="1" x14ac:dyDescent="0.3">
      <c r="A680" t="s">
        <v>1222</v>
      </c>
      <c r="B680" t="s">
        <v>266</v>
      </c>
      <c r="C680" t="s">
        <v>8</v>
      </c>
      <c r="D680" t="s">
        <v>1223</v>
      </c>
      <c r="E680" t="s">
        <v>6548</v>
      </c>
      <c r="H680" t="s">
        <v>9697</v>
      </c>
      <c r="J680" t="inlineStr">
        <is>
          <t>10.028 FINANCE CONTROL</t>
        </is>
      </c>
      <c r="K680" t="inlineStr">
        <is>
          <t>HQ/10F/10F-2.jpg</t>
        </is>
      </c>
    </row>
    <row r="681" spans="1:11" outlineLevel="1" x14ac:dyDescent="0.3">
      <c r="A681" t="s">
        <v>1224</v>
      </c>
      <c r="B681" t="s">
        <v>266</v>
      </c>
      <c r="C681" t="s">
        <v>8</v>
      </c>
      <c r="D681" t="s">
        <v>1225</v>
      </c>
      <c r="E681" t="s">
        <v>6549</v>
      </c>
      <c r="H681" t="s">
        <v>9698</v>
      </c>
      <c r="J681" t="inlineStr">
        <is>
          <t>10.029 SERV. DIR. TR. &amp; GU. SERV.</t>
        </is>
      </c>
      <c r="K681" t="inlineStr">
        <is>
          <t>HQ/10F/10F-2.jpg</t>
        </is>
      </c>
    </row>
    <row r="682" spans="1:11" outlineLevel="1" x14ac:dyDescent="0.3">
      <c r="A682" t="s">
        <v>1226</v>
      </c>
      <c r="B682" t="s">
        <v>266</v>
      </c>
      <c r="C682" t="s">
        <v>8</v>
      </c>
      <c r="D682" t="s">
        <v>6026</v>
      </c>
      <c r="E682" t="s">
        <v>6550</v>
      </c>
      <c r="J682" t="inlineStr">
        <is>
          <t>HH-WING CORRIDOR 10.601</t>
        </is>
      </c>
      <c r="K682" t="inlineStr">
        <is>
          <t>HQ/10F/10F-1.jpg</t>
        </is>
      </c>
    </row>
    <row r="683" spans="1:11" outlineLevel="1" x14ac:dyDescent="0.3">
      <c r="A683" t="s">
        <v>1227</v>
      </c>
      <c r="B683" t="s">
        <v>266</v>
      </c>
      <c r="C683" t="s">
        <v>8</v>
      </c>
      <c r="D683" t="s">
        <v>1228</v>
      </c>
      <c r="E683" t="s">
        <v>6551</v>
      </c>
      <c r="H683" t="s">
        <v>9699</v>
      </c>
      <c r="J683" t="inlineStr">
        <is>
          <t>10.031 COMM. DIR. DESIG.</t>
        </is>
      </c>
      <c r="K683" t="inlineStr">
        <is>
          <t>HQ/10F/10F-2.jpg</t>
        </is>
      </c>
    </row>
    <row r="684" spans="1:11" outlineLevel="1" x14ac:dyDescent="0.3">
      <c r="A684" t="s">
        <v>1229</v>
      </c>
      <c r="B684" t="s">
        <v>266</v>
      </c>
      <c r="C684" t="s">
        <v>8</v>
      </c>
      <c r="D684" t="s">
        <v>1230</v>
      </c>
      <c r="E684" t="s">
        <v>6552</v>
      </c>
      <c r="H684" t="s">
        <v>9700</v>
      </c>
      <c r="J684" t="inlineStr">
        <is>
          <t>10.032 COMM. DIR. EDITOR</t>
        </is>
      </c>
      <c r="K684" t="inlineStr">
        <is>
          <t>HQ/10F/10F-2.jpg</t>
        </is>
      </c>
    </row>
    <row r="685" spans="1:11" outlineLevel="1" x14ac:dyDescent="0.3">
      <c r="A685" t="s">
        <v>1231</v>
      </c>
      <c r="B685" t="s">
        <v>266</v>
      </c>
      <c r="C685" t="s">
        <v>8</v>
      </c>
      <c r="D685" t="s">
        <v>1232</v>
      </c>
      <c r="E685" t="s">
        <v>6553</v>
      </c>
      <c r="H685" t="s">
        <v>9701</v>
      </c>
      <c r="J685" t="inlineStr">
        <is>
          <t>10.033 COMM. DIR. TRANSLTOR</t>
        </is>
      </c>
      <c r="K685" t="inlineStr">
        <is>
          <t>HQ/10F/10F-1.jpg</t>
        </is>
      </c>
    </row>
    <row r="686" spans="1:11" outlineLevel="1" x14ac:dyDescent="0.3">
      <c r="A686" t="s">
        <v>1233</v>
      </c>
      <c r="B686" t="s">
        <v>266</v>
      </c>
      <c r="C686" t="s">
        <v>8</v>
      </c>
      <c r="D686" t="s">
        <v>1234</v>
      </c>
      <c r="E686" t="s">
        <v>6554</v>
      </c>
      <c r="H686" t="s">
        <v>9702</v>
      </c>
      <c r="J686" t="inlineStr">
        <is>
          <t>10.034 COMM. DIR. COORD</t>
        </is>
      </c>
      <c r="K686" t="inlineStr">
        <is>
          <t>HQ/10F/10F-1.jpg</t>
        </is>
      </c>
    </row>
    <row r="687" spans="1:11" outlineLevel="1" x14ac:dyDescent="0.3">
      <c r="A687" t="s">
        <v>1235</v>
      </c>
      <c r="B687" t="s">
        <v>266</v>
      </c>
      <c r="C687" t="s">
        <v>10</v>
      </c>
      <c r="D687" t="s">
        <v>1236</v>
      </c>
      <c r="E687" t="s">
        <v>6555</v>
      </c>
      <c r="H687" t="s">
        <v>9703</v>
      </c>
      <c r="J687" t="inlineStr">
        <is>
          <t>10.035 SUPP. OFFICER</t>
        </is>
      </c>
      <c r="K687" t="inlineStr">
        <is>
          <t>HQ/10F/10F-1.jpg</t>
        </is>
      </c>
    </row>
    <row r="688" spans="1:11" outlineLevel="1" x14ac:dyDescent="0.3">
      <c r="A688" t="s">
        <v>1237</v>
      </c>
      <c r="B688" t="s">
        <v>266</v>
      </c>
      <c r="C688" t="s">
        <v>8</v>
      </c>
      <c r="D688" t="s">
        <v>1238</v>
      </c>
      <c r="E688" t="s">
        <v>6556</v>
      </c>
      <c r="H688" t="s">
        <v>9704</v>
      </c>
      <c r="J688" t="inlineStr">
        <is>
          <t>10.036 SH. SERV. DIR. ACCOUNT.</t>
        </is>
      </c>
      <c r="K688" t="inlineStr">
        <is>
          <t>HQ/10F/10F-1.jpg</t>
        </is>
      </c>
    </row>
    <row r="689" spans="1:11" outlineLevel="1" x14ac:dyDescent="0.3">
      <c r="A689" t="s">
        <v>1239</v>
      </c>
      <c r="B689" t="s">
        <v>266</v>
      </c>
      <c r="C689" t="s">
        <v>8</v>
      </c>
      <c r="D689" t="s">
        <v>1240</v>
      </c>
      <c r="E689" t="s">
        <v>6557</v>
      </c>
      <c r="H689" t="s">
        <v>9705</v>
      </c>
      <c r="J689" t="inlineStr">
        <is>
          <t>10.037 SH. SERV. DIR. SR. ACCOUNT.</t>
        </is>
      </c>
      <c r="K689" t="inlineStr">
        <is>
          <t>HQ/10F/10F-1.jpg</t>
        </is>
      </c>
    </row>
    <row r="690" spans="1:11" outlineLevel="1" x14ac:dyDescent="0.3">
      <c r="A690" t="s">
        <v>1241</v>
      </c>
      <c r="B690" t="s">
        <v>266</v>
      </c>
      <c r="C690" t="s">
        <v>8</v>
      </c>
      <c r="D690" t="s">
        <v>1242</v>
      </c>
      <c r="E690" t="s">
        <v>6558</v>
      </c>
      <c r="J690" t="inlineStr">
        <is>
          <t>10.001 SHEIKHA WING STORAGE</t>
        </is>
      </c>
      <c r="K690" t="inlineStr">
        <is>
          <t>HQ/10F/10F-1.jpg</t>
        </is>
      </c>
    </row>
    <row r="691" spans="1:11" outlineLevel="1" x14ac:dyDescent="0.3">
      <c r="A691" t="s">
        <v>1243</v>
      </c>
      <c r="B691" t="s">
        <v>266</v>
      </c>
      <c r="C691" t="s">
        <v>8</v>
      </c>
      <c r="D691" t="s">
        <v>1242</v>
      </c>
      <c r="E691" t="s">
        <v>6558</v>
      </c>
      <c r="J691" t="inlineStr">
        <is>
          <t>10.001 SHEIKHA WING STORAGE</t>
        </is>
      </c>
      <c r="K691" t="inlineStr">
        <is>
          <t>HQ/10F/10F-1.jpg</t>
        </is>
      </c>
    </row>
    <row r="692" spans="1:11" outlineLevel="1" x14ac:dyDescent="0.3">
      <c r="A692" t="s">
        <v>1244</v>
      </c>
      <c r="B692" t="s">
        <v>266</v>
      </c>
      <c r="C692" t="s">
        <v>8</v>
      </c>
      <c r="D692" t="s">
        <v>1242</v>
      </c>
      <c r="E692" t="s">
        <v>6558</v>
      </c>
      <c r="J692" t="inlineStr">
        <is>
          <t>10.001 SHEIKHA WING STORAGE</t>
        </is>
      </c>
      <c r="K692" t="inlineStr">
        <is>
          <t>HQ/10F/10F-1.jpg</t>
        </is>
      </c>
    </row>
    <row r="693" spans="1:11" outlineLevel="1" x14ac:dyDescent="0.3">
      <c r="A693" t="s">
        <v>1245</v>
      </c>
      <c r="B693" t="s">
        <v>266</v>
      </c>
      <c r="C693" t="s">
        <v>8</v>
      </c>
      <c r="D693" t="s">
        <v>1246</v>
      </c>
      <c r="E693" t="s">
        <v>6559</v>
      </c>
      <c r="H693" t="s">
        <v>9706</v>
      </c>
      <c r="J693" t="inlineStr">
        <is>
          <t>10.003 BOARD ROOM WAITING</t>
        </is>
      </c>
      <c r="K693" t="inlineStr">
        <is>
          <t>HQ/10F/10F-1.jpg</t>
        </is>
      </c>
    </row>
    <row r="694" spans="1:11" outlineLevel="1" x14ac:dyDescent="0.3">
      <c r="A694" t="s">
        <v>1247</v>
      </c>
      <c r="B694" t="s">
        <v>266</v>
      </c>
      <c r="C694" t="s">
        <v>8</v>
      </c>
      <c r="D694" t="s">
        <v>1246</v>
      </c>
      <c r="E694" t="s">
        <v>6559</v>
      </c>
      <c r="J694" t="inlineStr">
        <is>
          <t>10.003 BOARD ROOM WAITING</t>
        </is>
      </c>
      <c r="K694" t="inlineStr">
        <is>
          <t>HQ/10F/10F-1.jpg</t>
        </is>
      </c>
    </row>
    <row r="695" spans="1:11" outlineLevel="1" x14ac:dyDescent="0.3">
      <c r="A695" t="s">
        <v>1248</v>
      </c>
      <c r="B695" t="s">
        <v>266</v>
      </c>
      <c r="C695" t="s">
        <v>10</v>
      </c>
      <c r="D695" t="s">
        <v>1249</v>
      </c>
      <c r="E695" t="s">
        <v>6560</v>
      </c>
      <c r="H695" t="s">
        <v>9707</v>
      </c>
      <c r="J695" t="inlineStr">
        <is>
          <t>10.004 ARCHIVE COORD</t>
        </is>
      </c>
      <c r="K695" t="inlineStr">
        <is>
          <t>HQ/10F/10F-1.jpg</t>
        </is>
      </c>
    </row>
    <row r="696" spans="1:11" outlineLevel="1" x14ac:dyDescent="0.3">
      <c r="A696" t="s">
        <v>1250</v>
      </c>
      <c r="B696" t="s">
        <v>266</v>
      </c>
      <c r="C696" t="s">
        <v>8</v>
      </c>
      <c r="D696" t="s">
        <v>1251</v>
      </c>
      <c r="E696" t="s">
        <v>6561</v>
      </c>
      <c r="J696" t="inlineStr">
        <is>
          <t>10.106 LOUNGE</t>
        </is>
      </c>
      <c r="K696" t="inlineStr">
        <is>
          <t>HQ/10F/10F-1.jpg</t>
        </is>
      </c>
    </row>
    <row r="697" spans="1:11" outlineLevel="1" x14ac:dyDescent="0.3">
      <c r="A697" t="s">
        <v>1252</v>
      </c>
      <c r="B697" t="s">
        <v>266</v>
      </c>
      <c r="C697" t="s">
        <v>8</v>
      </c>
      <c r="D697" t="s">
        <v>1253</v>
      </c>
      <c r="E697" t="s">
        <v>6561</v>
      </c>
      <c r="J697" t="inlineStr">
        <is>
          <t>10.106 NW LOUNGE</t>
        </is>
      </c>
      <c r="K697" t="inlineStr">
        <is>
          <t>HQ/10F/10F-1.jpg</t>
        </is>
      </c>
    </row>
    <row r="698" spans="1:11" outlineLevel="1" x14ac:dyDescent="0.3">
      <c r="A698" t="s">
        <v>1254</v>
      </c>
      <c r="B698" t="s">
        <v>266</v>
      </c>
      <c r="C698" t="s">
        <v>8</v>
      </c>
      <c r="D698" t="s">
        <v>1255</v>
      </c>
      <c r="E698" t="s">
        <v>6562</v>
      </c>
      <c r="H698" t="s">
        <v>9708</v>
      </c>
      <c r="J698" t="inlineStr">
        <is>
          <t>10.109 BOARD PREP. ROOM</t>
        </is>
      </c>
      <c r="K698" t="inlineStr">
        <is>
          <t>HQ/10F/10F-1.jpg</t>
        </is>
      </c>
    </row>
    <row r="699" spans="1:11" outlineLevel="1" x14ac:dyDescent="0.3">
      <c r="A699" t="s">
        <v>1256</v>
      </c>
      <c r="B699" t="s">
        <v>266</v>
      </c>
      <c r="C699" t="s">
        <v>10</v>
      </c>
      <c r="D699" t="s">
        <v>1257</v>
      </c>
      <c r="E699" t="s">
        <v>6563</v>
      </c>
      <c r="J699" t="inlineStr">
        <is>
          <t>10.101 CONSULTANT SPACE</t>
        </is>
      </c>
      <c r="K699" t="inlineStr">
        <is>
          <t>HQ/10F/10F-2.jpg</t>
        </is>
      </c>
    </row>
    <row r="700" spans="1:11" outlineLevel="1" x14ac:dyDescent="0.3">
      <c r="A700" t="s">
        <v>1258</v>
      </c>
      <c r="B700" t="s">
        <v>266</v>
      </c>
      <c r="C700" t="s">
        <v>10</v>
      </c>
      <c r="D700" t="s">
        <v>1257</v>
      </c>
      <c r="E700" t="s">
        <v>6563</v>
      </c>
      <c r="J700" t="inlineStr">
        <is>
          <t>10.101 CONSULTANT SPACE</t>
        </is>
      </c>
      <c r="K700" t="inlineStr">
        <is>
          <t>HQ/10F/10F-2.jpg</t>
        </is>
      </c>
    </row>
    <row r="701" spans="1:11" outlineLevel="1" x14ac:dyDescent="0.3">
      <c r="A701" t="s">
        <v>1259</v>
      </c>
      <c r="B701" t="s">
        <v>266</v>
      </c>
      <c r="C701" t="s">
        <v>8</v>
      </c>
      <c r="D701" t="s">
        <v>1260</v>
      </c>
      <c r="E701" t="s">
        <v>6564</v>
      </c>
      <c r="H701" t="s">
        <v>9709</v>
      </c>
      <c r="J701" t="inlineStr">
        <is>
          <t>10.112 AV ROOM</t>
        </is>
      </c>
      <c r="K701" t="inlineStr">
        <is>
          <t>HQ/10F/10F-2.jpg</t>
        </is>
      </c>
    </row>
    <row r="702" spans="1:11" outlineLevel="1" x14ac:dyDescent="0.3">
      <c r="A702" t="s">
        <v>1261</v>
      </c>
      <c r="B702" t="s">
        <v>266</v>
      </c>
      <c r="C702" t="s">
        <v>8</v>
      </c>
      <c r="D702" t="s">
        <v>6026</v>
      </c>
      <c r="E702" t="s">
        <v>6550</v>
      </c>
      <c r="H702" t="s">
        <v>9710</v>
      </c>
      <c r="J702" t="inlineStr">
        <is>
          <t>NORTH EAST CORRIDOR</t>
        </is>
      </c>
      <c r="K702" t="inlineStr">
        <is>
          <t>HQ/10F/10F-2.jpg</t>
        </is>
      </c>
    </row>
    <row r="703" spans="1:11" outlineLevel="1" x14ac:dyDescent="0.3">
      <c r="A703" t="s">
        <v>1262</v>
      </c>
      <c r="B703" t="s">
        <v>266</v>
      </c>
      <c r="C703" t="s">
        <v>8</v>
      </c>
      <c r="D703" t="s">
        <v>6026</v>
      </c>
      <c r="E703" t="s">
        <v>6550</v>
      </c>
      <c r="H703" t="s">
        <v>9710</v>
      </c>
      <c r="J703" t="inlineStr">
        <is>
          <t>HH-WING CORRIDOR 10.601</t>
        </is>
      </c>
      <c r="K703" t="inlineStr">
        <is>
          <t>HQ/10F/10F-1.jpg</t>
        </is>
      </c>
    </row>
    <row r="704" spans="1:11" outlineLevel="1" x14ac:dyDescent="0.3">
      <c r="A704" t="s">
        <v>1263</v>
      </c>
      <c r="B704" t="s">
        <v>266</v>
      </c>
      <c r="C704" t="s">
        <v>8</v>
      </c>
      <c r="D704" t="s">
        <v>6026</v>
      </c>
      <c r="E704" t="s">
        <v>6550</v>
      </c>
      <c r="H704" t="s">
        <v>9710</v>
      </c>
      <c r="J704" t="inlineStr">
        <is>
          <t>HH-WING CORRIDOR 10.601</t>
        </is>
      </c>
      <c r="K704" t="inlineStr">
        <is>
          <t>HQ/10F/10F-1.jpg</t>
        </is>
      </c>
    </row>
    <row r="705" spans="1:11" outlineLevel="1" x14ac:dyDescent="0.3">
      <c r="A705" t="s">
        <v>1264</v>
      </c>
      <c r="B705" t="s">
        <v>266</v>
      </c>
      <c r="C705" t="s">
        <v>8</v>
      </c>
      <c r="D705" t="s">
        <v>6026</v>
      </c>
      <c r="E705" t="s">
        <v>6550</v>
      </c>
      <c r="H705" t="s">
        <v>9710</v>
      </c>
      <c r="J705" t="inlineStr">
        <is>
          <t>NORTH EAST CORRIDOR</t>
        </is>
      </c>
      <c r="K705" t="inlineStr">
        <is>
          <t>HQ/10F/10F-2.jpg</t>
        </is>
      </c>
    </row>
    <row r="706" spans="1:11" outlineLevel="1" x14ac:dyDescent="0.3">
      <c r="A706" t="s">
        <v>1265</v>
      </c>
      <c r="B706" t="s">
        <v>266</v>
      </c>
      <c r="C706" t="s">
        <v>8</v>
      </c>
      <c r="D706" t="s">
        <v>6026</v>
      </c>
      <c r="E706" t="s">
        <v>6550</v>
      </c>
      <c r="H706" t="s">
        <v>9710</v>
      </c>
      <c r="J706" t="inlineStr">
        <is>
          <t>HH-WING CORRIDOR 10.601</t>
        </is>
      </c>
      <c r="K706" t="inlineStr">
        <is>
          <t>HQ/10F/10F-1.jpg</t>
        </is>
      </c>
    </row>
    <row r="707" spans="1:11" outlineLevel="1" x14ac:dyDescent="0.3">
      <c r="A707" t="s">
        <v>1266</v>
      </c>
      <c r="B707" t="s">
        <v>266</v>
      </c>
      <c r="C707" t="s">
        <v>8</v>
      </c>
      <c r="D707" t="s">
        <v>1267</v>
      </c>
      <c r="E707" t="s">
        <v>6565</v>
      </c>
      <c r="H707" t="s">
        <v>9711</v>
      </c>
      <c r="J707" t="inlineStr" s="44">
        <is>
          <t>10.002 SHEIKHA WING MULTI PURPOSE ROOM</t>
        </is>
      </c>
      <c r="K707" t="inlineStr">
        <is>
          <t>HQ/10F/10F-1.jpg</t>
        </is>
      </c>
    </row>
    <row r="708" spans="1:11" outlineLevel="1" x14ac:dyDescent="0.3">
      <c r="A708" t="s">
        <v>1268</v>
      </c>
      <c r="B708" t="s">
        <v>266</v>
      </c>
      <c r="C708" t="s">
        <v>10</v>
      </c>
      <c r="D708" t="s">
        <v>1269</v>
      </c>
      <c r="E708" t="s">
        <v>6566</v>
      </c>
      <c r="H708" t="s">
        <v>9712</v>
      </c>
      <c r="J708" t="inlineStr">
        <is>
          <t>10.002E OFFICE SPACE</t>
        </is>
      </c>
      <c r="K708" t="inlineStr">
        <is>
          <t>HQ/10F/10F-1.jpg</t>
        </is>
      </c>
    </row>
    <row r="709" spans="1:11" outlineLevel="1" x14ac:dyDescent="0.3">
      <c r="A709" t="s">
        <v>1270</v>
      </c>
      <c r="B709" t="s">
        <v>266</v>
      </c>
      <c r="C709" t="s">
        <v>10</v>
      </c>
      <c r="D709" t="s">
        <v>1271</v>
      </c>
      <c r="E709" t="s">
        <v>6567</v>
      </c>
      <c r="H709" t="s">
        <v>9713</v>
      </c>
      <c r="J709" t="inlineStr" s="44">
        <is>
          <t>10.002C OFFICE SPACE</t>
        </is>
      </c>
      <c r="K709" t="inlineStr">
        <is>
          <t>HQ/10F/10F-1.jpg</t>
        </is>
      </c>
    </row>
    <row r="710" spans="1:11" outlineLevel="1" x14ac:dyDescent="0.3">
      <c r="A710" t="s">
        <v>1272</v>
      </c>
      <c r="B710" t="s">
        <v>266</v>
      </c>
      <c r="C710" t="s">
        <v>10</v>
      </c>
      <c r="D710" t="s">
        <v>1273</v>
      </c>
      <c r="E710" t="s">
        <v>6568</v>
      </c>
      <c r="H710" t="s">
        <v>9714</v>
      </c>
      <c r="J710" t="inlineStr" s="44">
        <is>
          <t>10.002B OFFICE SPACE</t>
        </is>
      </c>
      <c r="K710" t="inlineStr">
        <is>
          <t>HQ/10F/10F-1.jpg</t>
        </is>
      </c>
    </row>
    <row r="711" spans="1:11" outlineLevel="1" x14ac:dyDescent="0.3">
      <c r="A711" t="s">
        <v>1274</v>
      </c>
      <c r="B711" t="s">
        <v>266</v>
      </c>
      <c r="C711" t="s">
        <v>10</v>
      </c>
      <c r="D711" t="s">
        <v>1275</v>
      </c>
      <c r="E711" t="s">
        <v>6569</v>
      </c>
      <c r="H711" t="s">
        <v>9715</v>
      </c>
      <c r="J711" t="inlineStr">
        <is>
          <t>10.002A OFFICE SPACE</t>
        </is>
      </c>
      <c r="K711" t="inlineStr">
        <is>
          <t>HQ/10F/10F-1.jpg</t>
        </is>
      </c>
    </row>
    <row r="712" spans="1:11" outlineLevel="1" x14ac:dyDescent="0.3">
      <c r="A712" t="s">
        <v>1276</v>
      </c>
      <c r="B712" t="s">
        <v>266</v>
      </c>
      <c r="C712" t="s">
        <v>8</v>
      </c>
      <c r="D712" t="s">
        <v>1277</v>
      </c>
      <c r="E712" t="s">
        <v>6570</v>
      </c>
      <c r="H712" t="s">
        <v>9716</v>
      </c>
      <c r="J712" t="inlineStr">
        <is>
          <t>11.012 PLANNING DIR.</t>
        </is>
      </c>
      <c r="K712" t="inlineStr">
        <is>
          <t>HQ/11F/11F-1.jpg</t>
        </is>
      </c>
    </row>
    <row r="713" spans="1:11" outlineLevel="1" x14ac:dyDescent="0.3">
      <c r="A713" t="s">
        <v>1278</v>
      </c>
      <c r="B713" t="s">
        <v>266</v>
      </c>
      <c r="C713" t="s">
        <v>8</v>
      </c>
      <c r="D713" t="s">
        <v>1279</v>
      </c>
      <c r="E713" t="s">
        <v>6571</v>
      </c>
      <c r="H713" t="s">
        <v>9717</v>
      </c>
      <c r="J713" t="inlineStr">
        <is>
          <t>11.013 EXEC. DIR. CORR.</t>
        </is>
      </c>
      <c r="K713" t="inlineStr">
        <is>
          <t>HQ/11F/11F-1.jpg</t>
        </is>
      </c>
    </row>
    <row r="714" spans="1:11" outlineLevel="1" x14ac:dyDescent="0.3">
      <c r="A714" t="s">
        <v>1280</v>
      </c>
      <c r="B714" t="s">
        <v>266</v>
      </c>
      <c r="C714" t="s">
        <v>8</v>
      </c>
      <c r="D714" t="s">
        <v>1281</v>
      </c>
      <c r="E714" t="s">
        <v>6572</v>
      </c>
      <c r="H714" t="s">
        <v>9718</v>
      </c>
      <c r="J714" t="inlineStr">
        <is>
          <t>11.014 EXEC. DIR. CORR. MANAGER</t>
        </is>
      </c>
      <c r="K714" t="inlineStr">
        <is>
          <t>HQ/11F/11F-1.jpg</t>
        </is>
      </c>
    </row>
    <row r="715" spans="1:11" outlineLevel="1" x14ac:dyDescent="0.3">
      <c r="A715" t="s">
        <v>1282</v>
      </c>
      <c r="B715" t="s">
        <v>266</v>
      </c>
      <c r="C715" t="s">
        <v>8</v>
      </c>
      <c r="D715" t="s">
        <v>1283</v>
      </c>
      <c r="E715" t="s">
        <v>6573</v>
      </c>
      <c r="H715" t="s">
        <v>9719</v>
      </c>
      <c r="J715" t="inlineStr">
        <is>
          <t>11.015 EXEC. DIR. CORR.</t>
        </is>
      </c>
      <c r="K715" t="inlineStr">
        <is>
          <t>HQ/11F/11F-1.jpg</t>
        </is>
      </c>
    </row>
    <row r="716" spans="1:11" outlineLevel="1" x14ac:dyDescent="0.3">
      <c r="A716" t="s">
        <v>1284</v>
      </c>
      <c r="B716" t="s">
        <v>266</v>
      </c>
      <c r="C716" t="s">
        <v>10</v>
      </c>
      <c r="D716" t="s">
        <v>1285</v>
      </c>
      <c r="E716" t="s">
        <v>6574</v>
      </c>
      <c r="H716" t="s">
        <v>9720</v>
      </c>
      <c r="J716" t="inlineStr">
        <is>
          <t>11.016 LEGAL ASSIST.</t>
        </is>
      </c>
      <c r="K716" t="inlineStr">
        <is>
          <t>HQ/11F/11F-1.jpg</t>
        </is>
      </c>
    </row>
    <row r="717" spans="1:11" outlineLevel="1" x14ac:dyDescent="0.3">
      <c r="A717" t="s">
        <v>1286</v>
      </c>
      <c r="B717" t="s">
        <v>266</v>
      </c>
      <c r="C717" t="s">
        <v>10</v>
      </c>
      <c r="D717" t="s">
        <v>1287</v>
      </c>
      <c r="E717" t="s">
        <v>6575</v>
      </c>
      <c r="H717" t="s">
        <v>9721</v>
      </c>
      <c r="J717" t="inlineStr">
        <is>
          <t>11.017 LEGAL ADVISOR</t>
        </is>
      </c>
      <c r="K717" t="inlineStr">
        <is>
          <t>HQ/11F/11F-1.jpg</t>
        </is>
      </c>
    </row>
    <row r="718" spans="1:8" outlineLevel="1" x14ac:dyDescent="0.3">
      <c r="A718" t="s">
        <v>1288</v>
      </c>
      <c r="B718" t="s">
        <v>266</v>
      </c>
      <c r="C718" s="26"/>
      <c r="D718" s="11"/>
    </row>
    <row r="719" spans="1:11" outlineLevel="1" x14ac:dyDescent="0.3">
      <c r="A719" t="s">
        <v>1289</v>
      </c>
      <c r="B719" t="s">
        <v>266</v>
      </c>
      <c r="C719" t="s">
        <v>10</v>
      </c>
      <c r="D719" t="s">
        <v>1290</v>
      </c>
      <c r="E719" t="s">
        <v>6576</v>
      </c>
      <c r="H719" t="s">
        <v>9722</v>
      </c>
      <c r="J719" t="inlineStr">
        <is>
          <t>11.018 LEGAL ADVISOR</t>
        </is>
      </c>
      <c r="K719" t="inlineStr">
        <is>
          <t>HQ/11F/11F-2.jpg</t>
        </is>
      </c>
    </row>
    <row r="720" spans="1:11" outlineLevel="1" x14ac:dyDescent="0.3">
      <c r="A720" t="s">
        <v>1291</v>
      </c>
      <c r="B720" t="s">
        <v>266</v>
      </c>
      <c r="C720" t="s">
        <v>8</v>
      </c>
      <c r="D720" t="s">
        <v>1292</v>
      </c>
      <c r="E720" t="s">
        <v>6577</v>
      </c>
      <c r="H720" t="s">
        <v>9723</v>
      </c>
      <c r="J720" t="inlineStr">
        <is>
          <t>11.019 DEP. EXEC. DIRECTOR</t>
        </is>
      </c>
      <c r="K720" t="inlineStr">
        <is>
          <t>HQ/11F/11F-2.jpg</t>
        </is>
      </c>
    </row>
    <row r="721" spans="1:11" outlineLevel="1" x14ac:dyDescent="0.3">
      <c r="A721" t="s">
        <v>1293</v>
      </c>
      <c r="B721" t="s">
        <v>266</v>
      </c>
      <c r="C721" t="s">
        <v>8</v>
      </c>
      <c r="D721" t="s">
        <v>1294</v>
      </c>
      <c r="E721" t="s">
        <v>6578</v>
      </c>
      <c r="H721" t="s">
        <v>9724</v>
      </c>
      <c r="J721" t="inlineStr">
        <is>
          <t>11.020 EXEC. ASSI.</t>
        </is>
      </c>
      <c r="K721" t="inlineStr">
        <is>
          <t>HQ/11F/11F-2.jpg</t>
        </is>
      </c>
    </row>
    <row r="722" spans="1:11" outlineLevel="1" x14ac:dyDescent="0.3">
      <c r="A722" t="s">
        <v>1295</v>
      </c>
      <c r="B722" t="s">
        <v>266</v>
      </c>
      <c r="C722" t="s">
        <v>8</v>
      </c>
      <c r="D722" t="s">
        <v>1296</v>
      </c>
      <c r="E722" t="s">
        <v>6579</v>
      </c>
      <c r="H722" t="s">
        <v>9725</v>
      </c>
      <c r="J722" t="inlineStr">
        <is>
          <t>11.021 EXEC. DIRECTOR</t>
        </is>
      </c>
      <c r="K722" t="inlineStr">
        <is>
          <t>HQ/11F/11F-2.jpg</t>
        </is>
      </c>
    </row>
    <row r="723" spans="1:11" outlineLevel="1" x14ac:dyDescent="0.3">
      <c r="A723" t="s">
        <v>1297</v>
      </c>
      <c r="B723" t="s">
        <v>266</v>
      </c>
      <c r="C723" t="s">
        <v>8</v>
      </c>
      <c r="D723" t="s">
        <v>1298</v>
      </c>
      <c r="E723" t="s">
        <v>6580</v>
      </c>
      <c r="H723" t="s">
        <v>9726</v>
      </c>
      <c r="J723" t="inlineStr">
        <is>
          <t>11.022 SHEIKHA WING WAITING ROOM</t>
        </is>
      </c>
      <c r="K723" t="inlineStr">
        <is>
          <t>HQ/11F/11F-2.jpg</t>
        </is>
      </c>
    </row>
    <row r="724" spans="1:11" outlineLevel="1" x14ac:dyDescent="0.3">
      <c r="A724" t="s">
        <v>1299</v>
      </c>
      <c r="B724" t="s">
        <v>266</v>
      </c>
      <c r="C724" t="s">
        <v>8</v>
      </c>
      <c r="D724" t="s">
        <v>1298</v>
      </c>
      <c r="E724" t="s">
        <v>6580</v>
      </c>
      <c r="J724" t="inlineStr">
        <is>
          <t>11.022 SHEIKHA WING WAITING ROOM</t>
        </is>
      </c>
      <c r="K724" t="inlineStr">
        <is>
          <t>HQ/11F/11F-2.jpg</t>
        </is>
      </c>
    </row>
    <row r="725" spans="1:11" outlineLevel="1" x14ac:dyDescent="0.3">
      <c r="A725" t="s">
        <v>1300</v>
      </c>
      <c r="B725" t="s">
        <v>266</v>
      </c>
      <c r="C725" t="s">
        <v>8</v>
      </c>
      <c r="D725" t="s">
        <v>1301</v>
      </c>
      <c r="E725" t="s">
        <v>6581</v>
      </c>
      <c r="H725" t="s">
        <v>9727</v>
      </c>
      <c r="J725" t="inlineStr">
        <is>
          <t>11.023 SECURITY ROOM</t>
        </is>
      </c>
      <c r="K725" t="inlineStr">
        <is>
          <t>HQ/11F/11F-2.jpg</t>
        </is>
      </c>
    </row>
    <row r="726" spans="1:11" outlineLevel="1" x14ac:dyDescent="0.3">
      <c r="A726" t="s">
        <v>1302</v>
      </c>
      <c r="B726" t="s">
        <v>266</v>
      </c>
      <c r="C726" t="s">
        <v>8</v>
      </c>
      <c r="D726" t="s">
        <v>1303</v>
      </c>
      <c r="E726" t="s">
        <v>6582</v>
      </c>
      <c r="H726" t="s">
        <v>9728</v>
      </c>
      <c r="J726" t="inlineStr">
        <is>
          <t>11.001 COMMUNICATION DIR.</t>
        </is>
      </c>
      <c r="K726" t="inlineStr">
        <is>
          <t>HQ/11F/11F-1.jpg</t>
        </is>
      </c>
    </row>
    <row r="727" spans="1:11" outlineLevel="1" x14ac:dyDescent="0.3">
      <c r="A727" t="s">
        <v>1304</v>
      </c>
      <c r="B727" t="s">
        <v>266</v>
      </c>
      <c r="C727" t="s">
        <v>10</v>
      </c>
      <c r="D727" t="s">
        <v>1305</v>
      </c>
      <c r="E727" t="s">
        <v>6583</v>
      </c>
      <c r="H727" t="s">
        <v>9729</v>
      </c>
      <c r="J727" t="inlineStr">
        <is>
          <t>11.002 MED. REL. OFFICER</t>
        </is>
      </c>
      <c r="K727" t="inlineStr">
        <is>
          <t>HQ/11F/11F-1.jpg</t>
        </is>
      </c>
    </row>
    <row r="728" spans="1:11" outlineLevel="1" x14ac:dyDescent="0.3">
      <c r="A728" t="s">
        <v>1306</v>
      </c>
      <c r="B728" t="s">
        <v>266</v>
      </c>
      <c r="C728" t="s">
        <v>8</v>
      </c>
      <c r="D728" t="s">
        <v>1307</v>
      </c>
      <c r="E728" t="s">
        <v>6584</v>
      </c>
      <c r="H728" t="s">
        <v>9730</v>
      </c>
      <c r="J728" t="inlineStr">
        <is>
          <t>11.003 DIR. SHARED SERVICES</t>
        </is>
      </c>
      <c r="K728" t="inlineStr">
        <is>
          <t>HQ/11F/11F-1.jpg</t>
        </is>
      </c>
    </row>
    <row r="729" spans="1:11" outlineLevel="1" x14ac:dyDescent="0.3">
      <c r="A729" t="s">
        <v>1308</v>
      </c>
      <c r="B729" t="s">
        <v>266</v>
      </c>
      <c r="C729" t="s">
        <v>10</v>
      </c>
      <c r="D729" t="s">
        <v>1309</v>
      </c>
      <c r="E729" t="s">
        <v>6585</v>
      </c>
      <c r="H729" t="s">
        <v>9731</v>
      </c>
      <c r="J729" t="inlineStr">
        <is>
          <t>11.004 ADM. ASSI.</t>
        </is>
      </c>
      <c r="K729" t="inlineStr">
        <is>
          <t>HQ/11F/11F-1.jpg</t>
        </is>
      </c>
    </row>
    <row r="730" spans="1:11" outlineLevel="1" x14ac:dyDescent="0.3">
      <c r="A730" t="s">
        <v>1310</v>
      </c>
      <c r="B730" t="s">
        <v>266</v>
      </c>
      <c r="C730" t="s">
        <v>8</v>
      </c>
      <c r="D730" t="s">
        <v>1311</v>
      </c>
      <c r="E730" t="s">
        <v>6586</v>
      </c>
      <c r="H730" t="s">
        <v>9732</v>
      </c>
      <c r="J730" t="inlineStr">
        <is>
          <t>11.005 PROTOCOL DIR.</t>
        </is>
      </c>
      <c r="K730" t="inlineStr">
        <is>
          <t>HQ/11F/11F-1.jpg</t>
        </is>
      </c>
    </row>
    <row r="731" spans="1:11" outlineLevel="1" x14ac:dyDescent="0.3">
      <c r="A731" t="s">
        <v>1312</v>
      </c>
      <c r="B731" t="s">
        <v>266</v>
      </c>
      <c r="C731" t="s">
        <v>8</v>
      </c>
      <c r="D731" t="s">
        <v>1313</v>
      </c>
      <c r="E731" t="s">
        <v>6587</v>
      </c>
      <c r="H731" t="s">
        <v>9733</v>
      </c>
      <c r="J731" t="inlineStr">
        <is>
          <t>11.006 GIFT DIR.</t>
        </is>
      </c>
      <c r="K731" t="inlineStr">
        <is>
          <t>HQ/11F/11F-1.jpg</t>
        </is>
      </c>
    </row>
    <row r="732" spans="1:11" outlineLevel="1" x14ac:dyDescent="0.3">
      <c r="A732" t="s">
        <v>1314</v>
      </c>
      <c r="B732" t="s">
        <v>266</v>
      </c>
      <c r="C732" t="s">
        <v>10</v>
      </c>
      <c r="D732" t="s">
        <v>1315</v>
      </c>
      <c r="E732" t="s">
        <v>6588</v>
      </c>
      <c r="H732" t="s">
        <v>9734</v>
      </c>
      <c r="J732" t="inlineStr">
        <is>
          <t>11.008 EXEC. DIR. CONSULTANT</t>
        </is>
      </c>
      <c r="K732" t="inlineStr">
        <is>
          <t>HQ/11F/11F-1.jpg</t>
        </is>
      </c>
    </row>
    <row r="733" spans="1:11" outlineLevel="1" x14ac:dyDescent="0.3">
      <c r="A733" t="s">
        <v>1316</v>
      </c>
      <c r="B733" t="s">
        <v>266</v>
      </c>
      <c r="C733" t="s">
        <v>10</v>
      </c>
      <c r="D733" t="s">
        <v>1317</v>
      </c>
      <c r="E733" t="s">
        <v>6589</v>
      </c>
      <c r="H733" t="s">
        <v>9735</v>
      </c>
      <c r="J733" t="inlineStr">
        <is>
          <t>11.009 SEC.</t>
        </is>
      </c>
      <c r="K733" t="inlineStr">
        <is>
          <t>HQ/11F/11F-1.jpg</t>
        </is>
      </c>
    </row>
    <row r="734" spans="1:11" outlineLevel="1" x14ac:dyDescent="0.3">
      <c r="A734" t="s">
        <v>1318</v>
      </c>
      <c r="B734" t="s">
        <v>266</v>
      </c>
      <c r="C734" t="s">
        <v>8</v>
      </c>
      <c r="D734" t="s">
        <v>1319</v>
      </c>
      <c r="E734" t="s">
        <v>6590</v>
      </c>
      <c r="H734" t="s">
        <v>9736</v>
      </c>
      <c r="J734" t="inlineStr">
        <is>
          <t>11.010 DIR. OF POL. &amp; RES.</t>
        </is>
      </c>
      <c r="K734" t="inlineStr">
        <is>
          <t>HQ/11F/11F-1.jpg</t>
        </is>
      </c>
    </row>
    <row r="735" spans="1:11" outlineLevel="1" x14ac:dyDescent="0.3">
      <c r="A735" t="s">
        <v>1320</v>
      </c>
      <c r="B735" t="s">
        <v>266</v>
      </c>
      <c r="C735" t="s">
        <v>10</v>
      </c>
      <c r="D735" t="s">
        <v>1321</v>
      </c>
      <c r="E735" t="s">
        <v>6591</v>
      </c>
      <c r="J735" t="inlineStr">
        <is>
          <t>11.011 SECRETARY</t>
        </is>
      </c>
      <c r="K735" t="inlineStr">
        <is>
          <t>HQ/11F/11F-1.jpg</t>
        </is>
      </c>
    </row>
    <row r="736" spans="1:11" outlineLevel="1" x14ac:dyDescent="0.3">
      <c r="A736" t="s">
        <v>1322</v>
      </c>
      <c r="B736" t="s">
        <v>266</v>
      </c>
      <c r="C736" t="s">
        <v>8</v>
      </c>
      <c r="D736" t="s">
        <v>1323</v>
      </c>
      <c r="E736" t="s">
        <v>6592</v>
      </c>
      <c r="H736" t="s">
        <v>9737</v>
      </c>
      <c r="J736" t="inlineStr">
        <is>
          <t>SHEIKHA WING BUSINESS LOUNGE</t>
        </is>
      </c>
      <c r="K736" t="inlineStr">
        <is>
          <t>HQ/11F/11F-1.jpg</t>
        </is>
      </c>
    </row>
    <row r="737" spans="1:11" outlineLevel="1" x14ac:dyDescent="0.3">
      <c r="A737" t="s">
        <v>1324</v>
      </c>
      <c r="B737" t="s">
        <v>266</v>
      </c>
      <c r="C737" t="s">
        <v>8</v>
      </c>
      <c r="D737" t="s">
        <v>1323</v>
      </c>
      <c r="E737" t="s">
        <v>6592</v>
      </c>
      <c r="H737" t="s">
        <v>9738</v>
      </c>
      <c r="J737" t="inlineStr">
        <is>
          <t>SHEIKHA WING BUSINESS LOUNGE</t>
        </is>
      </c>
      <c r="K737" t="inlineStr">
        <is>
          <t>HQ/11F/11F-1.jpg</t>
        </is>
      </c>
    </row>
    <row r="738" spans="1:11" outlineLevel="1" x14ac:dyDescent="0.3">
      <c r="A738" t="s">
        <v>1325</v>
      </c>
      <c r="B738" t="s">
        <v>266</v>
      </c>
      <c r="C738" t="s">
        <v>8</v>
      </c>
      <c r="D738" t="s">
        <v>1326</v>
      </c>
      <c r="E738" t="s">
        <v>6593</v>
      </c>
      <c r="H738" t="s">
        <v>9739</v>
      </c>
      <c r="J738" t="inlineStr">
        <is>
          <t>11.201 SHEIKHA WING LOBBY</t>
        </is>
      </c>
      <c r="K738" t="inlineStr">
        <is>
          <t>HQ/11F/11F-2.jpg</t>
        </is>
      </c>
    </row>
    <row r="739" spans="1:11" outlineLevel="1" x14ac:dyDescent="0.3">
      <c r="A739" t="s">
        <v>1327</v>
      </c>
      <c r="B739" t="s">
        <v>266</v>
      </c>
      <c r="C739" t="s">
        <v>8</v>
      </c>
      <c r="D739" t="s">
        <v>1326</v>
      </c>
      <c r="E739" t="s">
        <v>6593</v>
      </c>
      <c r="J739" t="inlineStr">
        <is>
          <t>11.201 SHEIKHA WING LOBBY</t>
        </is>
      </c>
      <c r="K739" t="inlineStr">
        <is>
          <t>HQ/11F/11F-2.jpg</t>
        </is>
      </c>
    </row>
    <row r="740" spans="1:11" outlineLevel="1" x14ac:dyDescent="0.3">
      <c r="A740" s="30" t="s">
        <v>1328</v>
      </c>
      <c r="B740" s="30" t="s">
        <v>266</v>
      </c>
      <c r="C740" s="30" t="s">
        <v>8</v>
      </c>
      <c r="D740" s="30" t="s">
        <v>1329</v>
      </c>
      <c r="E740" s="30" t="s">
        <v>6594</v>
      </c>
      <c r="F740" s="30"/>
      <c r="G740" s="30"/>
      <c r="H740" s="30" t="s">
        <v>9740</v>
      </c>
      <c r="J740" t="s" s="44">
        <v>9865</v>
      </c>
      <c r="K740" t="inlineStr">
        <is>
          <t>HQ/11F/11F-2.jpg</t>
        </is>
      </c>
    </row>
    <row r="741" spans="1:11" outlineLevel="1" x14ac:dyDescent="0.3">
      <c r="A741" t="s">
        <v>1330</v>
      </c>
      <c r="B741" t="s">
        <v>266</v>
      </c>
      <c r="C741" t="s">
        <v>8</v>
      </c>
      <c r="D741" t="s">
        <v>1329</v>
      </c>
      <c r="E741" t="s">
        <v>6594</v>
      </c>
      <c r="J741" t="inlineStr" s="44">
        <is>
          <t>11.208 SHEIKHA WING SHEIKHA ENSUIT</t>
        </is>
      </c>
      <c r="K741" t="inlineStr">
        <is>
          <t>HQ/11F/11F-2.jpg</t>
        </is>
      </c>
    </row>
    <row r="742" spans="1:11" outlineLevel="1" x14ac:dyDescent="0.3">
      <c r="A742" t="s">
        <v>1331</v>
      </c>
      <c r="B742" t="s">
        <v>266</v>
      </c>
      <c r="C742" t="s">
        <v>8</v>
      </c>
      <c r="D742" t="s">
        <v>1329</v>
      </c>
      <c r="E742" t="s">
        <v>6594</v>
      </c>
      <c r="J742" t="inlineStr" s="44">
        <is>
          <t>11.208 SHEIKHA WING SHEIKHA ENSUIT</t>
        </is>
      </c>
      <c r="K742" t="inlineStr">
        <is>
          <t>HQ/11F/11F-2.jpg</t>
        </is>
      </c>
    </row>
    <row r="743" spans="1:11" outlineLevel="1" x14ac:dyDescent="0.3">
      <c r="A743" t="s">
        <v>1332</v>
      </c>
      <c r="B743" t="s">
        <v>266</v>
      </c>
      <c r="C743" t="s">
        <v>8</v>
      </c>
      <c r="D743" t="s">
        <v>1329</v>
      </c>
      <c r="E743" t="s">
        <v>6594</v>
      </c>
      <c r="J743" t="inlineStr" s="44">
        <is>
          <t>11.208 SHEIKHA WING SHEIKHA ENSUIT</t>
        </is>
      </c>
      <c r="K743" t="inlineStr">
        <is>
          <t>HQ/11F/11F-2.jpg</t>
        </is>
      </c>
    </row>
    <row r="744" spans="1:11" outlineLevel="1" x14ac:dyDescent="0.3">
      <c r="A744" t="s">
        <v>1333</v>
      </c>
      <c r="B744" t="s">
        <v>266</v>
      </c>
      <c r="C744" t="s">
        <v>8</v>
      </c>
      <c r="D744" t="s">
        <v>1334</v>
      </c>
      <c r="E744" t="s">
        <v>6595</v>
      </c>
      <c r="J744" t="inlineStr">
        <is>
          <t>11.203 SHEIKHA WING RELAX AREA</t>
        </is>
      </c>
      <c r="K744" t="inlineStr">
        <is>
          <t>HQ/11F/11F-2.jpg</t>
        </is>
      </c>
    </row>
    <row r="745" spans="1:11" outlineLevel="1" x14ac:dyDescent="0.3">
      <c r="A745" t="s">
        <v>1335</v>
      </c>
      <c r="B745" t="s">
        <v>266</v>
      </c>
      <c r="C745" t="s">
        <v>8</v>
      </c>
      <c r="D745" t="s">
        <v>1334</v>
      </c>
      <c r="E745" t="s">
        <v>6595</v>
      </c>
      <c r="J745" t="inlineStr">
        <is>
          <t>11.203 SHEIKHA WING RELAX AREA</t>
        </is>
      </c>
      <c r="K745" t="inlineStr">
        <is>
          <t>HQ/11F/11F-2.jpg</t>
        </is>
      </c>
    </row>
    <row r="746" spans="1:11" outlineLevel="1" x14ac:dyDescent="0.3">
      <c r="A746" t="s">
        <v>1336</v>
      </c>
      <c r="B746" t="s">
        <v>266</v>
      </c>
      <c r="C746" t="s">
        <v>8</v>
      </c>
      <c r="D746" t="s">
        <v>1337</v>
      </c>
      <c r="E746" t="s">
        <v>6596</v>
      </c>
      <c r="J746" t="inlineStr">
        <is>
          <t>11.204 SHEIKHA WING MEETING ROOM</t>
        </is>
      </c>
      <c r="K746" t="inlineStr">
        <is>
          <t>HQ/11F/11F-2.jpg</t>
        </is>
      </c>
    </row>
    <row r="747" spans="1:11" outlineLevel="1" x14ac:dyDescent="0.3">
      <c r="A747" t="s">
        <v>1338</v>
      </c>
      <c r="B747" t="s">
        <v>266</v>
      </c>
      <c r="C747" t="s">
        <v>8</v>
      </c>
      <c r="D747" t="s">
        <v>1337</v>
      </c>
      <c r="E747" t="s">
        <v>6596</v>
      </c>
      <c r="J747" t="inlineStr">
        <is>
          <t>11.204 SHEIKHA WING MEETING ROOM</t>
        </is>
      </c>
      <c r="K747" t="inlineStr">
        <is>
          <t>HQ/11F/11F-2.jpg</t>
        </is>
      </c>
    </row>
    <row r="748" spans="1:11" outlineLevel="1" x14ac:dyDescent="0.3">
      <c r="A748" t="s">
        <v>1339</v>
      </c>
      <c r="B748" t="s">
        <v>266</v>
      </c>
      <c r="C748" t="s">
        <v>8</v>
      </c>
      <c r="D748" t="s">
        <v>1340</v>
      </c>
      <c r="E748" t="s">
        <v>8213</v>
      </c>
      <c r="H748" t="s">
        <v>9741</v>
      </c>
      <c r="J748" t="inlineStr">
        <is>
          <t>VISITORS CENTER</t>
        </is>
      </c>
      <c r="K748" t="inlineStr">
        <is>
          <t>HQ/8F/8F.jpg</t>
        </is>
      </c>
    </row>
    <row r="749" spans="1:11" outlineLevel="1" x14ac:dyDescent="0.3">
      <c r="A749" t="s">
        <v>1341</v>
      </c>
      <c r="B749" t="s">
        <v>266</v>
      </c>
      <c r="C749" t="s">
        <v>8</v>
      </c>
      <c r="D749" t="s">
        <v>1340</v>
      </c>
      <c r="E749" t="s">
        <v>8213</v>
      </c>
      <c r="J749" t="inlineStr">
        <is>
          <t>VISITORS CENTER</t>
        </is>
      </c>
      <c r="K749" t="inlineStr">
        <is>
          <t>HQ/8F/8F.jpg</t>
        </is>
      </c>
    </row>
    <row r="750" spans="1:11" outlineLevel="1" x14ac:dyDescent="0.3">
      <c r="A750" t="s">
        <v>1342</v>
      </c>
      <c r="B750" t="s">
        <v>266</v>
      </c>
      <c r="C750" t="s">
        <v>8</v>
      </c>
      <c r="D750" t="s">
        <v>1340</v>
      </c>
      <c r="E750" t="s">
        <v>8213</v>
      </c>
      <c r="J750" t="inlineStr">
        <is>
          <t>VISITORS CENTER</t>
        </is>
      </c>
      <c r="K750" t="inlineStr">
        <is>
          <t>HQ/8F/8F.jpg</t>
        </is>
      </c>
    </row>
    <row r="751" spans="1:11" outlineLevel="1" x14ac:dyDescent="0.3">
      <c r="A751" s="30" t="s">
        <v>1343</v>
      </c>
      <c r="B751" s="30" t="s">
        <v>266</v>
      </c>
      <c r="C751" s="30" t="s">
        <v>10</v>
      </c>
      <c r="D751" s="30" t="s">
        <v>1344</v>
      </c>
      <c r="E751" s="30" t="s">
        <v>6597</v>
      </c>
      <c r="F751" s="30"/>
      <c r="G751" s="30"/>
      <c r="H751" s="30" t="s">
        <v>9742</v>
      </c>
      <c r="J751" t="s" s="44">
        <v>9866</v>
      </c>
      <c r="K751" t="inlineStr">
        <is>
          <t>HQ/Basment Floor/BF-2.jpg</t>
        </is>
      </c>
    </row>
    <row r="752" spans="1:11" outlineLevel="1" x14ac:dyDescent="0.3">
      <c r="A752" t="s">
        <v>1345</v>
      </c>
      <c r="B752" t="s">
        <v>266</v>
      </c>
      <c r="C752" t="s">
        <v>10</v>
      </c>
      <c r="D752" t="s">
        <v>1346</v>
      </c>
      <c r="E752" t="s">
        <v>8214</v>
      </c>
      <c r="H752" t="s">
        <v>9743</v>
      </c>
      <c r="J752" t="inlineStr">
        <is>
          <t>4.015B OFFICE SPACE</t>
        </is>
      </c>
      <c r="K752" t="inlineStr">
        <is>
          <t>HQ/4F/4F-2.jpg</t>
        </is>
      </c>
    </row>
    <row r="753" spans="1:11" outlineLevel="1" x14ac:dyDescent="0.3">
      <c r="A753" t="s">
        <v>1347</v>
      </c>
      <c r="B753" t="s">
        <v>266</v>
      </c>
      <c r="C753" t="s">
        <v>10</v>
      </c>
      <c r="D753" t="s">
        <v>1348</v>
      </c>
      <c r="E753" t="s">
        <v>8215</v>
      </c>
      <c r="H753" t="s">
        <v>9744</v>
      </c>
      <c r="J753" t="inlineStr">
        <is>
          <t>4.001A OFFICE SPACE</t>
        </is>
      </c>
      <c r="K753" t="inlineStr">
        <is>
          <t>HQ/4F/4F-1.jpg</t>
        </is>
      </c>
    </row>
    <row r="754" spans="1:11" outlineLevel="1" x14ac:dyDescent="0.3">
      <c r="A754" t="s">
        <v>1349</v>
      </c>
      <c r="B754" t="s">
        <v>266</v>
      </c>
      <c r="C754" t="s">
        <v>10</v>
      </c>
      <c r="D754" t="s">
        <v>1350</v>
      </c>
      <c r="E754" t="s">
        <v>8216</v>
      </c>
      <c r="H754" t="s">
        <v>9745</v>
      </c>
      <c r="J754" t="inlineStr">
        <is>
          <t>4.001E OFFICE SPACE</t>
        </is>
      </c>
      <c r="K754" t="inlineStr">
        <is>
          <t>HQ/4F/4F-1.jpg</t>
        </is>
      </c>
    </row>
    <row r="755" spans="1:11" outlineLevel="1" x14ac:dyDescent="0.3">
      <c r="A755" t="s">
        <v>1351</v>
      </c>
      <c r="B755" t="s">
        <v>266</v>
      </c>
      <c r="C755" t="s">
        <v>10</v>
      </c>
      <c r="D755" t="s">
        <v>1352</v>
      </c>
      <c r="E755" t="s">
        <v>8217</v>
      </c>
      <c r="H755" t="s">
        <v>9746</v>
      </c>
      <c r="J755" t="inlineStr">
        <is>
          <t>4.001C OFFICE SPACE</t>
        </is>
      </c>
      <c r="K755" t="inlineStr">
        <is>
          <t>HQ/4F/4F-1.jpg</t>
        </is>
      </c>
    </row>
    <row r="756" spans="1:11" outlineLevel="1" x14ac:dyDescent="0.3">
      <c r="A756" t="s">
        <v>1353</v>
      </c>
      <c r="B756" t="s">
        <v>266</v>
      </c>
      <c r="C756" t="s">
        <v>10</v>
      </c>
      <c r="D756" t="s">
        <v>1354</v>
      </c>
      <c r="E756" t="s">
        <v>8218</v>
      </c>
      <c r="H756" t="s">
        <v>9747</v>
      </c>
      <c r="J756" t="inlineStr">
        <is>
          <t>4.001H OFFICE SPACE</t>
        </is>
      </c>
      <c r="K756" t="inlineStr">
        <is>
          <t>HQ/4F/4F-1.jpg</t>
        </is>
      </c>
    </row>
    <row r="757" spans="1:11" outlineLevel="1" x14ac:dyDescent="0.3">
      <c r="A757" t="s">
        <v>1355</v>
      </c>
      <c r="B757" t="s">
        <v>266</v>
      </c>
      <c r="C757" t="s">
        <v>10</v>
      </c>
      <c r="D757" t="s">
        <v>1356</v>
      </c>
      <c r="E757" t="s">
        <v>6598</v>
      </c>
      <c r="H757" t="s">
        <v>9748</v>
      </c>
      <c r="J757" t="inlineStr" s="44">
        <is>
          <t>10.002D OFFICE SPACE</t>
        </is>
      </c>
      <c r="K757" t="inlineStr">
        <is>
          <t>HQ/10F/10F-1.jpg</t>
        </is>
      </c>
    </row>
    <row r="758" spans="1:11" outlineLevel="1" x14ac:dyDescent="0.3">
      <c r="A758" t="s">
        <v>1357</v>
      </c>
      <c r="B758" t="s">
        <v>266</v>
      </c>
      <c r="C758" t="s">
        <v>10</v>
      </c>
      <c r="D758" t="s">
        <v>1358</v>
      </c>
      <c r="E758" t="s">
        <v>6599</v>
      </c>
      <c r="H758" t="s">
        <v>9749</v>
      </c>
      <c r="J758" t="inlineStr">
        <is>
          <t>11.007 EXEC. DIR. CONSULTANT</t>
        </is>
      </c>
      <c r="K758" t="inlineStr">
        <is>
          <t>HQ/11F/11F-1.jpg</t>
        </is>
      </c>
    </row>
    <row r="759" spans="1:11" outlineLevel="1" x14ac:dyDescent="0.3">
      <c r="A759" t="s">
        <v>1359</v>
      </c>
      <c r="B759" t="s">
        <v>266</v>
      </c>
      <c r="C759" t="s">
        <v>8</v>
      </c>
      <c r="D759" t="s">
        <v>6027</v>
      </c>
      <c r="E759" t="s">
        <v>6600</v>
      </c>
      <c r="H759" t="s">
        <v>9750</v>
      </c>
      <c r="J759" t="inlineStr">
        <is>
          <t>SHEIKHA WING CORRIDOR 11.601</t>
        </is>
      </c>
      <c r="K759" t="inlineStr">
        <is>
          <t>HQ/11F/11F-2.jpg</t>
        </is>
      </c>
    </row>
    <row r="760" spans="1:11" outlineLevel="1" x14ac:dyDescent="0.3">
      <c r="A760" t="s">
        <v>1360</v>
      </c>
      <c r="B760" t="s">
        <v>266</v>
      </c>
      <c r="C760" t="s">
        <v>8</v>
      </c>
      <c r="D760" t="s">
        <v>6027</v>
      </c>
      <c r="E760" t="s">
        <v>6600</v>
      </c>
      <c r="H760" t="s">
        <v>9489</v>
      </c>
      <c r="J760" t="inlineStr">
        <is>
          <t>SOUTH WEST CORRIDOR</t>
        </is>
      </c>
      <c r="K760" t="inlineStr">
        <is>
          <t>HQ/11F/11F-1.jpg</t>
        </is>
      </c>
    </row>
    <row r="761" spans="1:11" outlineLevel="1" x14ac:dyDescent="0.3">
      <c r="A761" t="s">
        <v>1361</v>
      </c>
      <c r="B761" t="s">
        <v>266</v>
      </c>
      <c r="C761" t="s">
        <v>8</v>
      </c>
      <c r="D761" t="s">
        <v>1362</v>
      </c>
      <c r="E761" t="s">
        <v>6601</v>
      </c>
      <c r="J761" t="inlineStr">
        <is>
          <t>HH WING BUSINESS LOUNGE</t>
        </is>
      </c>
      <c r="K761" t="inlineStr">
        <is>
          <t>HQ/11F/11F-1.jpg</t>
        </is>
      </c>
    </row>
    <row r="762" spans="1:11" outlineLevel="1" x14ac:dyDescent="0.3">
      <c r="A762" t="s">
        <v>1363</v>
      </c>
      <c r="B762" t="s">
        <v>266</v>
      </c>
      <c r="C762" t="s">
        <v>8</v>
      </c>
      <c r="D762" t="s">
        <v>1362</v>
      </c>
      <c r="E762" t="s">
        <v>6601</v>
      </c>
      <c r="J762" t="inlineStr">
        <is>
          <t>HH WING BUSINESS LOUNGE</t>
        </is>
      </c>
      <c r="K762" t="inlineStr">
        <is>
          <t>HQ/11F/11F-1.jpg</t>
        </is>
      </c>
    </row>
    <row r="763" spans="1:11" outlineLevel="1" x14ac:dyDescent="0.3">
      <c r="A763" t="s">
        <v>1364</v>
      </c>
      <c r="B763" t="s">
        <v>266</v>
      </c>
      <c r="C763" t="s">
        <v>10</v>
      </c>
      <c r="D763" t="s">
        <v>1365</v>
      </c>
      <c r="E763" t="s">
        <v>6602</v>
      </c>
      <c r="J763" t="s">
        <v>9867</v>
      </c>
      <c r="K763" t="inlineStr">
        <is>
          <t>HQ/Ground Floor/GF-1.jpg</t>
        </is>
      </c>
    </row>
    <row r="764" spans="1:10" outlineLevel="1" x14ac:dyDescent="0.3">
      <c r="A764" t="s">
        <v>1366</v>
      </c>
      <c r="B764" t="s">
        <v>266</v>
      </c>
      <c r="C764" t="s">
        <v>8</v>
      </c>
      <c r="D764" t="s">
        <v>1367</v>
      </c>
      <c r="E764" t="s">
        <v>6603</v>
      </c>
    </row>
    <row r="765" spans="1:10" x14ac:dyDescent="0.3">
      <c r="A765" s="37" t="s">
        <v>1368</v>
      </c>
      <c r="B765" s="36"/>
      <c r="C765" s="36"/>
      <c r="D765" s="36"/>
    </row>
    <row r="766" spans="1:10" outlineLevel="1" x14ac:dyDescent="0.3">
      <c r="A766" t="s">
        <v>1369</v>
      </c>
      <c r="B766" t="s">
        <v>7</v>
      </c>
      <c r="C766" s="15" t="s">
        <v>8</v>
      </c>
      <c r="D766" t="s">
        <v>1370</v>
      </c>
      <c r="E766" t="s">
        <v>8773</v>
      </c>
    </row>
    <row r="767" spans="1:10" outlineLevel="1" x14ac:dyDescent="0.3">
      <c r="A767" t="s">
        <v>1371</v>
      </c>
      <c r="B767" t="s">
        <v>7</v>
      </c>
      <c r="C767" s="15" t="s">
        <v>8</v>
      </c>
      <c r="D767" t="s">
        <v>1372</v>
      </c>
      <c r="E767" t="s">
        <v>8586</v>
      </c>
    </row>
    <row r="768" spans="1:13" outlineLevel="1" x14ac:dyDescent="0.3">
      <c r="A768" t="s">
        <v>1373</v>
      </c>
      <c r="B768" t="s">
        <v>7</v>
      </c>
      <c r="C768" s="15" t="s">
        <v>8</v>
      </c>
      <c r="D768" t="s">
        <v>1374</v>
      </c>
      <c r="E768" t="s">
        <v>8594</v>
      </c>
      <c r="J768" t="inlineStr">
        <is>
          <t>Plant Rm 2</t>
        </is>
      </c>
      <c r="K768" t="inlineStr">
        <is>
          <t>QNL/BF-2.jpg</t>
        </is>
      </c>
      <c r="L768" t="inlineStr">
        <is>
          <t>SAME - screen and column D name the same room</t>
        </is>
      </c>
    </row>
    <row r="769" spans="1:5" outlineLevel="1" x14ac:dyDescent="0.3">
      <c r="A769" t="s">
        <v>1375</v>
      </c>
      <c r="B769" t="s">
        <v>7</v>
      </c>
      <c r="C769" s="15" t="s">
        <v>8</v>
      </c>
      <c r="D769" t="s">
        <v>1376</v>
      </c>
      <c r="E769" t="s">
        <v>8665</v>
      </c>
    </row>
    <row r="770" spans="1:13" outlineLevel="1" x14ac:dyDescent="0.3">
      <c r="A770" t="s">
        <v>1377</v>
      </c>
      <c r="B770" t="s">
        <v>7</v>
      </c>
      <c r="C770" s="15" t="s">
        <v>8</v>
      </c>
      <c r="D770" t="s">
        <v>1370</v>
      </c>
      <c r="E770" t="s">
        <v>8773</v>
      </c>
      <c r="J770" t="inlineStr">
        <is>
          <t>Plant Rm 4</t>
        </is>
      </c>
      <c r="K770" t="inlineStr">
        <is>
          <t>QNL/BF-10.jpg</t>
        </is>
      </c>
      <c r="L770" t="inlineStr">
        <is>
          <t>SAME - screen and column D name the same room</t>
        </is>
      </c>
    </row>
    <row r="771" spans="1:13" outlineLevel="1" x14ac:dyDescent="0.3">
      <c r="A771" t="s">
        <v>1378</v>
      </c>
      <c r="B771" t="s">
        <v>7</v>
      </c>
      <c r="C771" s="15" t="s">
        <v>8</v>
      </c>
      <c r="D771" t="s">
        <v>1370</v>
      </c>
      <c r="E771" t="s">
        <v>8773</v>
      </c>
      <c r="J771" t="inlineStr">
        <is>
          <t>Plant Rm 4</t>
        </is>
      </c>
      <c r="K771" t="inlineStr">
        <is>
          <t>QNL/BF-10.jpg</t>
        </is>
      </c>
      <c r="L771" t="inlineStr">
        <is>
          <t>SAME - screen and column D name the same room</t>
        </is>
      </c>
    </row>
    <row r="772" spans="1:13" outlineLevel="1" x14ac:dyDescent="0.3">
      <c r="A772" t="s">
        <v>1379</v>
      </c>
      <c r="B772" t="s">
        <v>7</v>
      </c>
      <c r="C772" s="15" t="s">
        <v>8</v>
      </c>
      <c r="D772" t="s">
        <v>1370</v>
      </c>
      <c r="E772" t="s">
        <v>8773</v>
      </c>
      <c r="J772" t="inlineStr">
        <is>
          <t>Plant Rm 4</t>
        </is>
      </c>
      <c r="K772" t="inlineStr">
        <is>
          <t>QNL/BF-10.jpg</t>
        </is>
      </c>
      <c r="L772" t="inlineStr">
        <is>
          <t>SAME - screen and column D name the same room</t>
        </is>
      </c>
    </row>
    <row r="773" spans="1:13" outlineLevel="1" x14ac:dyDescent="0.3">
      <c r="A773" t="s">
        <v>1380</v>
      </c>
      <c r="B773" t="s">
        <v>7</v>
      </c>
      <c r="C773" s="15" t="s">
        <v>8</v>
      </c>
      <c r="D773" t="s">
        <v>1370</v>
      </c>
      <c r="E773" t="s">
        <v>8773</v>
      </c>
      <c r="J773" t="inlineStr">
        <is>
          <t>Plant Rm 4</t>
        </is>
      </c>
      <c r="K773" t="inlineStr">
        <is>
          <t>QNL/BF-10.jpg</t>
        </is>
      </c>
      <c r="L773" t="inlineStr">
        <is>
          <t>SAME - screen and column D name the same room</t>
        </is>
      </c>
    </row>
    <row r="774" spans="1:5" outlineLevel="1" x14ac:dyDescent="0.3">
      <c r="A774" t="s">
        <v>1381</v>
      </c>
      <c r="B774" t="s">
        <v>7</v>
      </c>
      <c r="C774" s="15" t="s">
        <v>8</v>
      </c>
      <c r="D774" t="s">
        <v>1376</v>
      </c>
      <c r="E774" t="s">
        <v>8665</v>
      </c>
    </row>
    <row r="775" spans="1:13" outlineLevel="1" x14ac:dyDescent="0.3">
      <c r="A775" t="s">
        <v>1382</v>
      </c>
      <c r="B775" t="s">
        <v>7</v>
      </c>
      <c r="C775" s="15" t="s">
        <v>8</v>
      </c>
      <c r="D775" t="s">
        <v>1374</v>
      </c>
      <c r="E775" t="s">
        <v>8594</v>
      </c>
      <c r="J775" t="inlineStr">
        <is>
          <t>Plant Rm 2</t>
        </is>
      </c>
      <c r="K775" t="inlineStr">
        <is>
          <t>QNL/BF-2.jpg</t>
        </is>
      </c>
      <c r="L775" t="inlineStr">
        <is>
          <t>SAME - screen and column D name the same room</t>
        </is>
      </c>
    </row>
    <row r="776" spans="1:13" outlineLevel="1" x14ac:dyDescent="0.3">
      <c r="A776" t="s">
        <v>1383</v>
      </c>
      <c r="B776" t="s">
        <v>7</v>
      </c>
      <c r="C776" s="15" t="s">
        <v>8</v>
      </c>
      <c r="D776" t="s">
        <v>1372</v>
      </c>
      <c r="E776" t="s">
        <v>8586</v>
      </c>
      <c r="J776" t="inlineStr">
        <is>
          <t>Plant Rm 1</t>
        </is>
      </c>
      <c r="K776" t="inlineStr">
        <is>
          <t>QNL/BF-2.jpg</t>
        </is>
      </c>
      <c r="L776" t="inlineStr">
        <is>
          <t>SAME - screen and column D name the same room</t>
        </is>
      </c>
    </row>
    <row r="777" spans="1:13" outlineLevel="1" x14ac:dyDescent="0.3">
      <c r="A777" t="s">
        <v>1384</v>
      </c>
      <c r="B777" t="s">
        <v>7</v>
      </c>
      <c r="C777" s="15" t="s">
        <v>8</v>
      </c>
      <c r="D777" t="s">
        <v>1372</v>
      </c>
      <c r="E777" t="s">
        <v>8586</v>
      </c>
      <c r="J777" t="inlineStr">
        <is>
          <t>Plant Rm 1</t>
        </is>
      </c>
      <c r="K777" t="inlineStr">
        <is>
          <t>QNL/BF-2.jpg</t>
        </is>
      </c>
      <c r="L777" t="inlineStr">
        <is>
          <t>SAME - screen and column D name the same room</t>
        </is>
      </c>
    </row>
    <row r="778" spans="1:5" outlineLevel="1" x14ac:dyDescent="0.3">
      <c r="A778" t="s">
        <v>1385</v>
      </c>
      <c r="B778" t="s">
        <v>7</v>
      </c>
      <c r="C778" s="15" t="s">
        <v>8</v>
      </c>
      <c r="D778" t="s">
        <v>1374</v>
      </c>
      <c r="E778" t="s">
        <v>8594</v>
      </c>
    </row>
    <row r="779" spans="1:5" outlineLevel="1" x14ac:dyDescent="0.3">
      <c r="A779" t="s">
        <v>1386</v>
      </c>
      <c r="B779" t="s">
        <v>7</v>
      </c>
      <c r="C779" s="15" t="s">
        <v>8</v>
      </c>
      <c r="D779" t="s">
        <v>1376</v>
      </c>
      <c r="E779" t="s">
        <v>8665</v>
      </c>
    </row>
    <row r="780" spans="1:5" outlineLevel="1" x14ac:dyDescent="0.3">
      <c r="A780" t="s">
        <v>1387</v>
      </c>
      <c r="B780" t="s">
        <v>7</v>
      </c>
      <c r="C780" s="15" t="s">
        <v>8</v>
      </c>
      <c r="D780" t="s">
        <v>1376</v>
      </c>
      <c r="E780" t="s">
        <v>8665</v>
      </c>
    </row>
    <row r="781" spans="1:5" outlineLevel="1" x14ac:dyDescent="0.3">
      <c r="A781" t="s">
        <v>1388</v>
      </c>
      <c r="B781" t="s">
        <v>45</v>
      </c>
      <c r="C781" s="15" t="s">
        <v>8</v>
      </c>
      <c r="D781" s="15" t="s">
        <v>9169</v>
      </c>
      <c r="E781" t="s">
        <v>9102</v>
      </c>
    </row>
    <row r="782" spans="1:5" outlineLevel="1" x14ac:dyDescent="0.3">
      <c r="A782" t="s">
        <v>1389</v>
      </c>
      <c r="B782" t="s">
        <v>45</v>
      </c>
      <c r="C782" s="15" t="s">
        <v>10</v>
      </c>
      <c r="D782" s="15" t="s">
        <v>1390</v>
      </c>
      <c r="E782" t="s">
        <v>8873</v>
      </c>
    </row>
    <row r="783" spans="1:13" outlineLevel="1" x14ac:dyDescent="0.3">
      <c r="A783" t="s">
        <v>1391</v>
      </c>
      <c r="B783" t="s">
        <v>45</v>
      </c>
      <c r="C783" s="15" t="s">
        <v>8</v>
      </c>
      <c r="D783" s="15" t="s">
        <v>1392</v>
      </c>
      <c r="E783" t="s">
        <v>8965</v>
      </c>
      <c r="J783" t="inlineStr">
        <is>
          <t>IDF Rm</t>
        </is>
      </c>
      <c r="K783" t="inlineStr">
        <is>
          <t>QNL/FF-2.jpg</t>
        </is>
      </c>
      <c r="L783" t="inlineStr">
        <is>
          <t>SAME - screen and column D name the same room</t>
        </is>
      </c>
    </row>
    <row r="784" spans="1:5" outlineLevel="1" x14ac:dyDescent="0.3">
      <c r="A784" t="s">
        <v>1393</v>
      </c>
      <c r="B784" t="s">
        <v>45</v>
      </c>
      <c r="C784" s="15" t="s">
        <v>10</v>
      </c>
      <c r="D784" s="15" t="s">
        <v>9190</v>
      </c>
      <c r="E784" t="s">
        <v>9200</v>
      </c>
    </row>
    <row r="785" spans="1:5" outlineLevel="1" x14ac:dyDescent="0.3">
      <c r="A785" t="s">
        <v>1394</v>
      </c>
      <c r="B785" t="s">
        <v>45</v>
      </c>
      <c r="C785" s="15" t="s">
        <v>10</v>
      </c>
      <c r="D785" s="15" t="s">
        <v>9190</v>
      </c>
      <c r="E785" t="s">
        <v>9200</v>
      </c>
    </row>
    <row r="786" spans="1:5" outlineLevel="1" x14ac:dyDescent="0.3">
      <c r="A786" t="s">
        <v>1395</v>
      </c>
      <c r="B786" t="s">
        <v>45</v>
      </c>
      <c r="C786" s="15" t="s">
        <v>10</v>
      </c>
      <c r="D786" s="15" t="s">
        <v>9190</v>
      </c>
      <c r="E786" t="s">
        <v>9200</v>
      </c>
    </row>
    <row r="787" spans="1:5" outlineLevel="1" x14ac:dyDescent="0.3">
      <c r="A787" t="s">
        <v>1396</v>
      </c>
      <c r="B787" t="s">
        <v>45</v>
      </c>
      <c r="C787" s="15" t="s">
        <v>10</v>
      </c>
      <c r="D787" s="15" t="s">
        <v>9190</v>
      </c>
      <c r="E787" t="s">
        <v>9200</v>
      </c>
    </row>
    <row r="788" spans="1:5" outlineLevel="1" x14ac:dyDescent="0.3">
      <c r="A788" t="s">
        <v>1397</v>
      </c>
      <c r="B788" t="s">
        <v>45</v>
      </c>
      <c r="C788" s="15" t="s">
        <v>10</v>
      </c>
      <c r="D788" s="15" t="s">
        <v>9190</v>
      </c>
      <c r="E788" t="s">
        <v>9200</v>
      </c>
    </row>
    <row r="789" spans="1:5" outlineLevel="1" x14ac:dyDescent="0.3">
      <c r="A789" t="s">
        <v>1398</v>
      </c>
      <c r="B789" t="s">
        <v>45</v>
      </c>
      <c r="C789" s="15" t="s">
        <v>10</v>
      </c>
      <c r="D789" s="15" t="s">
        <v>9191</v>
      </c>
      <c r="E789" t="s">
        <v>9201</v>
      </c>
    </row>
    <row r="790" spans="1:5" outlineLevel="1" x14ac:dyDescent="0.3">
      <c r="A790" t="s">
        <v>1399</v>
      </c>
      <c r="B790" t="s">
        <v>45</v>
      </c>
      <c r="C790" s="15" t="s">
        <v>10</v>
      </c>
      <c r="D790" s="15" t="s">
        <v>9191</v>
      </c>
      <c r="E790" t="s">
        <v>9201</v>
      </c>
    </row>
    <row r="791" spans="1:5" outlineLevel="1" x14ac:dyDescent="0.3">
      <c r="A791" t="s">
        <v>1400</v>
      </c>
      <c r="B791" t="s">
        <v>45</v>
      </c>
      <c r="C791" s="15" t="s">
        <v>10</v>
      </c>
      <c r="D791" s="15" t="s">
        <v>9191</v>
      </c>
      <c r="E791" t="s">
        <v>9201</v>
      </c>
    </row>
    <row r="792" spans="1:5" outlineLevel="1" x14ac:dyDescent="0.3">
      <c r="A792" t="s">
        <v>1401</v>
      </c>
      <c r="B792" t="s">
        <v>45</v>
      </c>
      <c r="C792" s="15" t="s">
        <v>10</v>
      </c>
      <c r="D792" s="15" t="s">
        <v>9191</v>
      </c>
      <c r="E792" t="s">
        <v>9201</v>
      </c>
    </row>
    <row r="793" spans="1:5" outlineLevel="1" x14ac:dyDescent="0.3">
      <c r="A793" t="s">
        <v>1402</v>
      </c>
      <c r="B793" t="s">
        <v>45</v>
      </c>
      <c r="C793" s="15" t="s">
        <v>10</v>
      </c>
      <c r="D793" s="15" t="s">
        <v>9190</v>
      </c>
      <c r="E793" t="s">
        <v>9200</v>
      </c>
    </row>
    <row r="794" spans="1:5" outlineLevel="1" x14ac:dyDescent="0.3">
      <c r="A794" t="s">
        <v>1403</v>
      </c>
      <c r="B794" t="s">
        <v>45</v>
      </c>
      <c r="C794" s="15" t="s">
        <v>10</v>
      </c>
      <c r="D794" s="15" t="s">
        <v>9192</v>
      </c>
      <c r="E794" t="s">
        <v>9202</v>
      </c>
    </row>
    <row r="795" spans="1:5" outlineLevel="1" x14ac:dyDescent="0.3">
      <c r="A795" t="s">
        <v>1404</v>
      </c>
      <c r="B795" t="s">
        <v>45</v>
      </c>
      <c r="C795" s="15" t="s">
        <v>10</v>
      </c>
      <c r="D795" s="15" t="s">
        <v>9190</v>
      </c>
      <c r="E795" t="s">
        <v>9200</v>
      </c>
    </row>
    <row r="796" spans="1:5" outlineLevel="1" x14ac:dyDescent="0.3">
      <c r="A796" t="s">
        <v>1405</v>
      </c>
      <c r="B796" t="s">
        <v>45</v>
      </c>
      <c r="C796" s="15" t="s">
        <v>10</v>
      </c>
      <c r="D796" s="15" t="s">
        <v>9193</v>
      </c>
      <c r="E796" t="s">
        <v>9203</v>
      </c>
    </row>
    <row r="797" spans="1:5" outlineLevel="1" x14ac:dyDescent="0.3">
      <c r="A797" t="s">
        <v>1406</v>
      </c>
      <c r="B797" t="s">
        <v>45</v>
      </c>
      <c r="C797" s="15" t="s">
        <v>10</v>
      </c>
      <c r="D797" s="15" t="s">
        <v>9194</v>
      </c>
      <c r="E797" t="s">
        <v>9202</v>
      </c>
    </row>
    <row r="798" spans="1:5" outlineLevel="1" x14ac:dyDescent="0.3">
      <c r="A798" t="s">
        <v>1407</v>
      </c>
      <c r="B798" t="s">
        <v>45</v>
      </c>
      <c r="C798" s="15" t="s">
        <v>10</v>
      </c>
      <c r="D798" s="15" t="s">
        <v>9194</v>
      </c>
      <c r="E798" t="s">
        <v>9202</v>
      </c>
    </row>
    <row r="799" spans="1:5" outlineLevel="1" x14ac:dyDescent="0.3">
      <c r="A799" t="s">
        <v>1408</v>
      </c>
      <c r="B799" t="s">
        <v>45</v>
      </c>
      <c r="C799" s="15" t="s">
        <v>10</v>
      </c>
      <c r="D799" s="15" t="s">
        <v>9191</v>
      </c>
      <c r="E799" t="s">
        <v>9201</v>
      </c>
    </row>
    <row r="800" spans="1:5" outlineLevel="1" x14ac:dyDescent="0.3">
      <c r="A800" t="s">
        <v>1409</v>
      </c>
      <c r="B800" t="s">
        <v>45</v>
      </c>
      <c r="C800" s="15" t="s">
        <v>10</v>
      </c>
      <c r="D800" s="15" t="s">
        <v>9195</v>
      </c>
      <c r="E800" t="s">
        <v>9204</v>
      </c>
    </row>
    <row r="801" spans="1:5" outlineLevel="1" x14ac:dyDescent="0.3">
      <c r="A801" t="s">
        <v>1410</v>
      </c>
      <c r="B801" t="s">
        <v>45</v>
      </c>
      <c r="C801" s="15" t="s">
        <v>10</v>
      </c>
      <c r="D801" s="15" t="s">
        <v>9191</v>
      </c>
      <c r="E801" t="s">
        <v>9201</v>
      </c>
    </row>
    <row r="802" spans="1:5" outlineLevel="1" x14ac:dyDescent="0.3">
      <c r="A802" t="s">
        <v>1411</v>
      </c>
      <c r="B802" t="s">
        <v>45</v>
      </c>
      <c r="C802" s="15" t="s">
        <v>10</v>
      </c>
      <c r="D802" s="15" t="s">
        <v>9195</v>
      </c>
      <c r="E802" t="s">
        <v>9204</v>
      </c>
    </row>
    <row r="803" spans="1:5" outlineLevel="1" x14ac:dyDescent="0.3">
      <c r="A803" t="s">
        <v>1412</v>
      </c>
      <c r="B803" t="s">
        <v>45</v>
      </c>
      <c r="C803" s="15" t="s">
        <v>10</v>
      </c>
      <c r="D803" s="15" t="s">
        <v>9195</v>
      </c>
      <c r="E803" t="s">
        <v>9204</v>
      </c>
    </row>
    <row r="804" spans="1:5" outlineLevel="1" x14ac:dyDescent="0.3">
      <c r="A804" t="s">
        <v>1413</v>
      </c>
      <c r="B804" t="s">
        <v>45</v>
      </c>
      <c r="C804" s="15" t="s">
        <v>10</v>
      </c>
      <c r="D804" s="15" t="s">
        <v>9195</v>
      </c>
      <c r="E804" t="s">
        <v>9204</v>
      </c>
    </row>
    <row r="805" spans="1:5" outlineLevel="1" x14ac:dyDescent="0.3">
      <c r="A805" t="s">
        <v>1414</v>
      </c>
      <c r="B805" t="s">
        <v>45</v>
      </c>
      <c r="C805" s="15" t="s">
        <v>10</v>
      </c>
      <c r="D805" s="15" t="s">
        <v>9196</v>
      </c>
      <c r="E805" t="s">
        <v>9205</v>
      </c>
    </row>
    <row r="806" spans="1:5" outlineLevel="1" x14ac:dyDescent="0.3">
      <c r="A806" t="s">
        <v>1415</v>
      </c>
      <c r="B806" t="s">
        <v>45</v>
      </c>
      <c r="C806" s="15" t="s">
        <v>10</v>
      </c>
      <c r="D806" s="15" t="s">
        <v>9192</v>
      </c>
      <c r="E806" t="s">
        <v>9202</v>
      </c>
    </row>
    <row r="807" spans="1:5" outlineLevel="1" x14ac:dyDescent="0.3">
      <c r="A807" t="s">
        <v>1416</v>
      </c>
      <c r="B807" t="s">
        <v>45</v>
      </c>
      <c r="C807" s="15" t="s">
        <v>10</v>
      </c>
      <c r="D807" s="15" t="s">
        <v>9196</v>
      </c>
      <c r="E807" t="s">
        <v>9205</v>
      </c>
    </row>
    <row r="808" spans="1:5" outlineLevel="1" x14ac:dyDescent="0.3">
      <c r="A808" t="s">
        <v>1417</v>
      </c>
      <c r="B808" t="s">
        <v>45</v>
      </c>
      <c r="C808" s="15" t="s">
        <v>10</v>
      </c>
      <c r="D808" s="15" t="s">
        <v>9192</v>
      </c>
      <c r="E808" t="s">
        <v>9202</v>
      </c>
    </row>
    <row r="809" spans="1:5" outlineLevel="1" x14ac:dyDescent="0.3">
      <c r="A809" t="s">
        <v>1418</v>
      </c>
      <c r="B809" t="s">
        <v>45</v>
      </c>
      <c r="C809" s="15" t="s">
        <v>10</v>
      </c>
      <c r="D809" s="15" t="s">
        <v>9196</v>
      </c>
      <c r="E809" t="s">
        <v>9205</v>
      </c>
    </row>
    <row r="810" spans="1:5" outlineLevel="1" x14ac:dyDescent="0.3">
      <c r="A810" t="s">
        <v>1419</v>
      </c>
      <c r="B810" t="s">
        <v>45</v>
      </c>
      <c r="C810" s="15" t="s">
        <v>10</v>
      </c>
      <c r="D810" s="15" t="s">
        <v>9196</v>
      </c>
      <c r="E810" t="s">
        <v>9205</v>
      </c>
    </row>
    <row r="811" spans="1:5" outlineLevel="1" x14ac:dyDescent="0.3">
      <c r="A811" t="s">
        <v>1420</v>
      </c>
      <c r="B811" t="s">
        <v>45</v>
      </c>
      <c r="C811" s="15" t="s">
        <v>10</v>
      </c>
      <c r="D811" s="15" t="s">
        <v>9197</v>
      </c>
      <c r="E811" t="s">
        <v>9206</v>
      </c>
    </row>
    <row r="812" spans="1:5" outlineLevel="1" x14ac:dyDescent="0.3">
      <c r="A812" t="s">
        <v>1421</v>
      </c>
      <c r="B812" t="s">
        <v>45</v>
      </c>
      <c r="C812" s="15" t="s">
        <v>10</v>
      </c>
      <c r="D812" s="15" t="s">
        <v>9197</v>
      </c>
      <c r="E812" t="s">
        <v>9206</v>
      </c>
    </row>
    <row r="813" spans="1:5" outlineLevel="1" x14ac:dyDescent="0.3">
      <c r="A813" t="s">
        <v>1422</v>
      </c>
      <c r="B813" t="s">
        <v>45</v>
      </c>
      <c r="C813" s="15" t="s">
        <v>10</v>
      </c>
      <c r="D813" s="15" t="s">
        <v>9197</v>
      </c>
      <c r="E813" t="s">
        <v>9206</v>
      </c>
    </row>
    <row r="814" spans="1:5" outlineLevel="1" x14ac:dyDescent="0.3">
      <c r="A814" t="s">
        <v>1423</v>
      </c>
      <c r="B814" t="s">
        <v>45</v>
      </c>
      <c r="C814" s="15" t="s">
        <v>10</v>
      </c>
      <c r="D814" s="15" t="s">
        <v>9197</v>
      </c>
      <c r="E814" t="s">
        <v>9206</v>
      </c>
    </row>
    <row r="815" spans="1:5" outlineLevel="1" x14ac:dyDescent="0.3">
      <c r="A815" t="s">
        <v>1424</v>
      </c>
      <c r="B815" t="s">
        <v>45</v>
      </c>
      <c r="C815" s="15" t="s">
        <v>10</v>
      </c>
      <c r="D815" s="15" t="s">
        <v>9196</v>
      </c>
      <c r="E815" t="s">
        <v>9205</v>
      </c>
    </row>
    <row r="816" spans="1:5" outlineLevel="1" x14ac:dyDescent="0.3">
      <c r="A816" t="s">
        <v>1425</v>
      </c>
      <c r="B816" t="s">
        <v>45</v>
      </c>
      <c r="C816" s="15" t="s">
        <v>10</v>
      </c>
      <c r="D816" s="15" t="s">
        <v>9196</v>
      </c>
      <c r="E816" t="s">
        <v>9205</v>
      </c>
    </row>
    <row r="817" spans="1:5" outlineLevel="1" x14ac:dyDescent="0.3">
      <c r="A817" t="s">
        <v>1426</v>
      </c>
      <c r="B817" t="s">
        <v>45</v>
      </c>
      <c r="C817" s="15" t="s">
        <v>10</v>
      </c>
      <c r="D817" s="15" t="s">
        <v>9195</v>
      </c>
      <c r="E817" t="s">
        <v>9204</v>
      </c>
    </row>
    <row r="818" spans="1:5" outlineLevel="1" x14ac:dyDescent="0.3">
      <c r="A818" t="s">
        <v>1427</v>
      </c>
      <c r="B818" t="s">
        <v>45</v>
      </c>
      <c r="C818" s="15" t="s">
        <v>10</v>
      </c>
      <c r="D818" s="15" t="s">
        <v>9195</v>
      </c>
      <c r="E818" t="s">
        <v>9204</v>
      </c>
    </row>
    <row r="819" spans="1:5" outlineLevel="1" x14ac:dyDescent="0.3">
      <c r="A819" t="s">
        <v>1428</v>
      </c>
      <c r="B819" t="s">
        <v>45</v>
      </c>
      <c r="C819" s="15" t="s">
        <v>10</v>
      </c>
      <c r="D819" s="15" t="s">
        <v>9192</v>
      </c>
      <c r="E819" t="s">
        <v>9202</v>
      </c>
    </row>
    <row r="820" spans="1:5" outlineLevel="1" x14ac:dyDescent="0.3">
      <c r="A820" t="s">
        <v>1429</v>
      </c>
      <c r="B820" t="s">
        <v>45</v>
      </c>
      <c r="C820" s="15" t="s">
        <v>10</v>
      </c>
      <c r="D820" s="15" t="s">
        <v>9192</v>
      </c>
      <c r="E820" t="s">
        <v>9202</v>
      </c>
    </row>
    <row r="821" spans="1:5" outlineLevel="1" x14ac:dyDescent="0.3">
      <c r="A821" t="s">
        <v>1430</v>
      </c>
      <c r="B821" t="s">
        <v>45</v>
      </c>
      <c r="C821" s="15" t="s">
        <v>10</v>
      </c>
      <c r="D821" s="15" t="s">
        <v>9193</v>
      </c>
      <c r="E821" t="s">
        <v>9207</v>
      </c>
    </row>
    <row r="822" spans="1:5" outlineLevel="1" x14ac:dyDescent="0.3">
      <c r="A822" t="s">
        <v>1431</v>
      </c>
      <c r="B822" t="s">
        <v>45</v>
      </c>
      <c r="C822" s="15" t="s">
        <v>10</v>
      </c>
      <c r="D822" s="15" t="s">
        <v>9198</v>
      </c>
      <c r="E822" t="s">
        <v>9201</v>
      </c>
    </row>
    <row r="823" spans="1:5" outlineLevel="1" x14ac:dyDescent="0.3">
      <c r="A823" t="s">
        <v>1432</v>
      </c>
      <c r="B823" t="s">
        <v>45</v>
      </c>
      <c r="C823" s="15" t="s">
        <v>10</v>
      </c>
      <c r="D823" s="15" t="s">
        <v>9190</v>
      </c>
      <c r="E823" t="s">
        <v>9200</v>
      </c>
    </row>
    <row r="824" spans="1:5" outlineLevel="1" x14ac:dyDescent="0.3">
      <c r="A824" t="s">
        <v>1433</v>
      </c>
      <c r="B824" t="s">
        <v>45</v>
      </c>
      <c r="C824" s="15" t="s">
        <v>10</v>
      </c>
      <c r="D824" s="15" t="s">
        <v>9190</v>
      </c>
      <c r="E824" t="s">
        <v>9200</v>
      </c>
    </row>
    <row r="825" spans="1:5" outlineLevel="1" x14ac:dyDescent="0.3">
      <c r="A825" t="s">
        <v>1434</v>
      </c>
      <c r="B825" t="s">
        <v>45</v>
      </c>
      <c r="C825" s="15" t="s">
        <v>10</v>
      </c>
      <c r="D825" s="15" t="s">
        <v>9190</v>
      </c>
      <c r="E825" t="s">
        <v>9200</v>
      </c>
    </row>
    <row r="826" spans="1:5" outlineLevel="1" x14ac:dyDescent="0.3">
      <c r="A826" t="s">
        <v>1435</v>
      </c>
      <c r="B826" t="s">
        <v>45</v>
      </c>
      <c r="C826" s="15" t="s">
        <v>10</v>
      </c>
      <c r="D826" s="15" t="s">
        <v>9190</v>
      </c>
      <c r="E826" t="s">
        <v>9200</v>
      </c>
    </row>
    <row r="827" spans="1:5" outlineLevel="1" x14ac:dyDescent="0.3">
      <c r="A827" t="s">
        <v>1436</v>
      </c>
      <c r="B827" t="s">
        <v>45</v>
      </c>
      <c r="C827" s="15" t="s">
        <v>10</v>
      </c>
      <c r="D827" s="15" t="s">
        <v>9197</v>
      </c>
      <c r="E827" t="s">
        <v>9206</v>
      </c>
    </row>
    <row r="828" spans="1:5" outlineLevel="1" x14ac:dyDescent="0.3">
      <c r="A828" t="s">
        <v>1437</v>
      </c>
      <c r="B828" t="s">
        <v>45</v>
      </c>
      <c r="C828" s="15" t="s">
        <v>10</v>
      </c>
      <c r="D828" s="15" t="s">
        <v>9197</v>
      </c>
      <c r="E828" t="s">
        <v>9206</v>
      </c>
    </row>
    <row r="829" spans="1:5" outlineLevel="1" x14ac:dyDescent="0.3">
      <c r="A829" t="s">
        <v>1438</v>
      </c>
      <c r="B829" t="s">
        <v>45</v>
      </c>
      <c r="C829" s="15" t="s">
        <v>10</v>
      </c>
      <c r="D829" s="15" t="s">
        <v>9196</v>
      </c>
      <c r="E829" t="s">
        <v>9205</v>
      </c>
    </row>
    <row r="830" spans="1:5" outlineLevel="1" x14ac:dyDescent="0.3">
      <c r="A830" t="s">
        <v>1439</v>
      </c>
      <c r="B830" t="s">
        <v>45</v>
      </c>
      <c r="C830" s="15" t="s">
        <v>10</v>
      </c>
      <c r="D830" s="15" t="s">
        <v>9196</v>
      </c>
      <c r="E830" t="s">
        <v>9205</v>
      </c>
    </row>
    <row r="831" spans="1:5" outlineLevel="1" x14ac:dyDescent="0.3">
      <c r="A831" t="s">
        <v>1440</v>
      </c>
      <c r="B831" t="s">
        <v>45</v>
      </c>
      <c r="C831" s="15" t="s">
        <v>10</v>
      </c>
      <c r="D831" s="15" t="s">
        <v>9192</v>
      </c>
      <c r="E831" t="s">
        <v>9202</v>
      </c>
    </row>
    <row r="832" spans="1:5" outlineLevel="1" x14ac:dyDescent="0.3">
      <c r="A832" t="s">
        <v>1441</v>
      </c>
      <c r="B832" t="s">
        <v>45</v>
      </c>
      <c r="C832" s="15" t="s">
        <v>10</v>
      </c>
      <c r="D832" s="15" t="s">
        <v>9192</v>
      </c>
      <c r="E832" t="s">
        <v>9202</v>
      </c>
    </row>
    <row r="833" spans="1:5" outlineLevel="1" x14ac:dyDescent="0.3">
      <c r="A833" t="s">
        <v>1442</v>
      </c>
      <c r="B833" t="s">
        <v>45</v>
      </c>
      <c r="C833" s="15" t="s">
        <v>10</v>
      </c>
      <c r="D833" s="15" t="s">
        <v>9191</v>
      </c>
      <c r="E833" t="s">
        <v>9201</v>
      </c>
    </row>
    <row r="834" spans="1:5" outlineLevel="1" x14ac:dyDescent="0.3">
      <c r="A834" t="s">
        <v>1443</v>
      </c>
      <c r="B834" t="s">
        <v>45</v>
      </c>
      <c r="C834" s="15" t="s">
        <v>10</v>
      </c>
      <c r="D834" s="15" t="s">
        <v>9191</v>
      </c>
      <c r="E834" t="s">
        <v>9201</v>
      </c>
    </row>
    <row r="835" spans="1:5" outlineLevel="1" x14ac:dyDescent="0.3">
      <c r="A835" t="s">
        <v>1444</v>
      </c>
      <c r="B835" t="s">
        <v>45</v>
      </c>
      <c r="C835" s="15" t="s">
        <v>10</v>
      </c>
      <c r="D835" s="15" t="s">
        <v>1445</v>
      </c>
      <c r="E835" t="s">
        <v>9158</v>
      </c>
    </row>
    <row r="836" spans="1:5" outlineLevel="1" x14ac:dyDescent="0.3">
      <c r="A836" t="s">
        <v>1446</v>
      </c>
      <c r="B836" t="s">
        <v>45</v>
      </c>
      <c r="C836" s="15" t="s">
        <v>10</v>
      </c>
      <c r="D836" s="15" t="s">
        <v>1447</v>
      </c>
      <c r="E836" t="s">
        <v>9160</v>
      </c>
    </row>
    <row r="837" spans="1:5" outlineLevel="1" x14ac:dyDescent="0.3">
      <c r="A837" t="s">
        <v>1448</v>
      </c>
      <c r="B837" t="s">
        <v>45</v>
      </c>
      <c r="C837" s="15" t="s">
        <v>10</v>
      </c>
      <c r="D837" s="15" t="s">
        <v>9170</v>
      </c>
      <c r="E837" t="s">
        <v>9104</v>
      </c>
    </row>
    <row r="838" spans="1:5" outlineLevel="1" x14ac:dyDescent="0.3">
      <c r="A838" t="s">
        <v>1449</v>
      </c>
      <c r="B838" t="s">
        <v>45</v>
      </c>
      <c r="C838" s="15" t="s">
        <v>10</v>
      </c>
      <c r="D838" s="15" t="s">
        <v>9171</v>
      </c>
      <c r="E838" t="s">
        <v>9104</v>
      </c>
    </row>
    <row r="839" spans="1:5" outlineLevel="1" x14ac:dyDescent="0.3">
      <c r="A839" t="s">
        <v>1450</v>
      </c>
      <c r="B839" t="s">
        <v>45</v>
      </c>
      <c r="C839" s="15" t="s">
        <v>10</v>
      </c>
      <c r="D839" s="15" t="s">
        <v>1451</v>
      </c>
      <c r="E839" t="s">
        <v>9107</v>
      </c>
    </row>
    <row r="840" spans="1:13" outlineLevel="1" x14ac:dyDescent="0.3">
      <c r="A840" t="s">
        <v>1452</v>
      </c>
      <c r="B840" t="s">
        <v>45</v>
      </c>
      <c r="C840" s="15" t="s">
        <v>10</v>
      </c>
      <c r="D840" s="15" t="s">
        <v>1451</v>
      </c>
      <c r="E840" t="s">
        <v>9107</v>
      </c>
      <c r="J840" t="inlineStr">
        <is>
          <t>Restaurant / Front Kitchen (open plan)</t>
        </is>
      </c>
      <c r="K840" t="inlineStr">
        <is>
          <t>QNL/FF-2.jpg</t>
        </is>
      </c>
      <c r="L840" t="inlineStr">
        <is>
          <t>OPEN - one space, two or more labels; the screen cannot split them</t>
        </is>
      </c>
      <c r="M840" t="inlineStr">
        <is>
          <t>open plan - by the Front Kitchen label</t>
        </is>
      </c>
    </row>
    <row r="841" spans="1:13" outlineLevel="1" x14ac:dyDescent="0.3">
      <c r="A841" t="s">
        <v>1453</v>
      </c>
      <c r="B841" t="s">
        <v>45</v>
      </c>
      <c r="C841" s="15" t="s">
        <v>10</v>
      </c>
      <c r="D841" s="15" t="s">
        <v>1451</v>
      </c>
      <c r="E841" t="s">
        <v>9107</v>
      </c>
      <c r="J841" t="inlineStr">
        <is>
          <t>Restaurant / Front Kitchen (open plan)</t>
        </is>
      </c>
      <c r="K841" t="inlineStr">
        <is>
          <t>QNL/FF-2.jpg</t>
        </is>
      </c>
      <c r="L841" t="inlineStr">
        <is>
          <t>OPEN - one space, two or more labels; the screen cannot split them</t>
        </is>
      </c>
      <c r="M841" t="inlineStr">
        <is>
          <t>open plan</t>
        </is>
      </c>
    </row>
    <row r="842" spans="1:5" outlineLevel="1" x14ac:dyDescent="0.3">
      <c r="A842" t="s">
        <v>1454</v>
      </c>
      <c r="B842" t="s">
        <v>45</v>
      </c>
      <c r="C842" s="15" t="s">
        <v>10</v>
      </c>
      <c r="D842" s="15" t="s">
        <v>1451</v>
      </c>
      <c r="E842" t="s">
        <v>9107</v>
      </c>
    </row>
    <row r="843" spans="1:5" outlineLevel="1" x14ac:dyDescent="0.3">
      <c r="A843" t="s">
        <v>1455</v>
      </c>
      <c r="B843" t="s">
        <v>45</v>
      </c>
      <c r="C843" s="15" t="s">
        <v>10</v>
      </c>
      <c r="D843" s="15" t="s">
        <v>1451</v>
      </c>
      <c r="E843" t="s">
        <v>9107</v>
      </c>
    </row>
    <row r="844" spans="1:13" outlineLevel="1" x14ac:dyDescent="0.3">
      <c r="A844" t="s">
        <v>1456</v>
      </c>
      <c r="B844" t="s">
        <v>45</v>
      </c>
      <c r="C844" s="15" t="s">
        <v>10</v>
      </c>
      <c r="D844" s="15" t="s">
        <v>1451</v>
      </c>
      <c r="E844" t="s">
        <v>9107</v>
      </c>
      <c r="J844" t="inlineStr">
        <is>
          <t>Restaurant / Front Kitchen (open plan)</t>
        </is>
      </c>
      <c r="K844" t="inlineStr">
        <is>
          <t>QNL/FF-2.jpg</t>
        </is>
      </c>
      <c r="L844" t="inlineStr">
        <is>
          <t>OPEN - one space, two or more labels; the screen cannot split them</t>
        </is>
      </c>
      <c r="M844" t="inlineStr">
        <is>
          <t>open plan</t>
        </is>
      </c>
    </row>
    <row r="845" spans="1:5" outlineLevel="1" x14ac:dyDescent="0.3">
      <c r="A845" t="s">
        <v>1457</v>
      </c>
      <c r="B845" t="s">
        <v>45</v>
      </c>
      <c r="C845" s="15" t="s">
        <v>8</v>
      </c>
      <c r="D845" s="15" t="s">
        <v>9199</v>
      </c>
      <c r="E845" t="s">
        <v>9208</v>
      </c>
    </row>
    <row r="846" spans="1:5" outlineLevel="1" x14ac:dyDescent="0.3">
      <c r="A846" t="s">
        <v>1458</v>
      </c>
      <c r="B846" t="s">
        <v>45</v>
      </c>
      <c r="C846" s="15" t="s">
        <v>8</v>
      </c>
      <c r="D846" s="15" t="s">
        <v>9172</v>
      </c>
      <c r="E846" t="s">
        <v>9109</v>
      </c>
    </row>
    <row r="847" spans="1:5" outlineLevel="1" x14ac:dyDescent="0.3">
      <c r="A847" t="s">
        <v>1459</v>
      </c>
      <c r="B847" t="s">
        <v>45</v>
      </c>
      <c r="C847" s="15" t="s">
        <v>8</v>
      </c>
      <c r="D847" s="15" t="s">
        <v>9173</v>
      </c>
      <c r="E847" t="s">
        <v>9111</v>
      </c>
    </row>
    <row r="848" spans="1:5" outlineLevel="1" x14ac:dyDescent="0.3">
      <c r="A848" t="s">
        <v>1460</v>
      </c>
      <c r="B848" t="s">
        <v>45</v>
      </c>
      <c r="C848" s="15" t="s">
        <v>8</v>
      </c>
      <c r="D848" s="15" t="s">
        <v>9174</v>
      </c>
      <c r="E848" t="s">
        <v>9113</v>
      </c>
    </row>
    <row r="849" spans="1:5" outlineLevel="1" x14ac:dyDescent="0.3">
      <c r="A849" t="s">
        <v>1461</v>
      </c>
      <c r="B849" t="s">
        <v>45</v>
      </c>
      <c r="C849" s="15" t="s">
        <v>8</v>
      </c>
      <c r="D849" s="15" t="s">
        <v>9175</v>
      </c>
      <c r="E849" t="s">
        <v>9115</v>
      </c>
    </row>
    <row r="850" spans="1:5" outlineLevel="1" x14ac:dyDescent="0.3">
      <c r="A850" t="s">
        <v>1462</v>
      </c>
      <c r="B850" t="s">
        <v>45</v>
      </c>
      <c r="C850" s="15" t="s">
        <v>8</v>
      </c>
      <c r="D850" s="15" t="s">
        <v>1463</v>
      </c>
      <c r="E850" t="s">
        <v>9009</v>
      </c>
    </row>
    <row r="851" spans="1:13" outlineLevel="1" x14ac:dyDescent="0.3">
      <c r="A851" t="s">
        <v>1464</v>
      </c>
      <c r="B851" t="s">
        <v>45</v>
      </c>
      <c r="C851" s="15" t="s">
        <v>10</v>
      </c>
      <c r="D851" s="15" t="s">
        <v>1465</v>
      </c>
      <c r="E851" t="s">
        <v>9087</v>
      </c>
      <c r="J851" t="inlineStr">
        <is>
          <t>Auditorium</t>
        </is>
      </c>
      <c r="K851" t="inlineStr">
        <is>
          <t>QNL/SF-6.jpg</t>
        </is>
      </c>
      <c r="L851" t="inlineStr">
        <is>
          <t>SAME - screen and column D name the same room</t>
        </is>
      </c>
    </row>
    <row r="852" spans="1:13" outlineLevel="1" x14ac:dyDescent="0.3">
      <c r="A852" t="s">
        <v>1466</v>
      </c>
      <c r="B852" t="s">
        <v>45</v>
      </c>
      <c r="C852" s="15" t="s">
        <v>10</v>
      </c>
      <c r="D852" s="15" t="s">
        <v>1465</v>
      </c>
      <c r="E852" t="s">
        <v>9087</v>
      </c>
      <c r="J852" t="inlineStr">
        <is>
          <t>Auditorium</t>
        </is>
      </c>
      <c r="K852" t="inlineStr">
        <is>
          <t>QNL/SF-6.jpg</t>
        </is>
      </c>
      <c r="L852" t="inlineStr">
        <is>
          <t>SAME - screen and column D name the same room</t>
        </is>
      </c>
    </row>
    <row r="853" spans="1:13" outlineLevel="1" x14ac:dyDescent="0.3">
      <c r="A853" t="s">
        <v>1467</v>
      </c>
      <c r="B853" t="s">
        <v>45</v>
      </c>
      <c r="C853" s="15" t="s">
        <v>10</v>
      </c>
      <c r="D853" s="15" t="s">
        <v>1465</v>
      </c>
      <c r="E853" t="s">
        <v>9087</v>
      </c>
      <c r="J853" t="inlineStr">
        <is>
          <t>Auditorium</t>
        </is>
      </c>
      <c r="K853" t="inlineStr">
        <is>
          <t>QNL/SF-6.jpg</t>
        </is>
      </c>
      <c r="L853" t="inlineStr">
        <is>
          <t>SAME - screen and column D name the same room</t>
        </is>
      </c>
    </row>
    <row r="854" spans="1:5" outlineLevel="1" x14ac:dyDescent="0.3">
      <c r="A854" t="s">
        <v>1468</v>
      </c>
      <c r="B854" t="s">
        <v>45</v>
      </c>
      <c r="C854" s="15" t="s">
        <v>10</v>
      </c>
      <c r="D854" s="15" t="s">
        <v>1465</v>
      </c>
      <c r="E854" t="s">
        <v>9087</v>
      </c>
    </row>
    <row r="855" spans="1:5" outlineLevel="1" x14ac:dyDescent="0.3">
      <c r="A855" t="s">
        <v>1469</v>
      </c>
      <c r="B855" t="s">
        <v>45</v>
      </c>
      <c r="C855" s="15" t="s">
        <v>10</v>
      </c>
      <c r="D855" s="15" t="s">
        <v>1470</v>
      </c>
      <c r="E855" t="s">
        <v>9087</v>
      </c>
    </row>
    <row r="856" spans="1:5" outlineLevel="1" x14ac:dyDescent="0.3">
      <c r="A856" t="s">
        <v>1471</v>
      </c>
      <c r="B856" t="s">
        <v>45</v>
      </c>
      <c r="C856" s="15" t="s">
        <v>10</v>
      </c>
      <c r="D856" s="15" t="s">
        <v>1470</v>
      </c>
      <c r="E856" t="s">
        <v>9087</v>
      </c>
    </row>
    <row r="857" spans="1:5" outlineLevel="1" x14ac:dyDescent="0.3">
      <c r="A857" t="s">
        <v>1472</v>
      </c>
      <c r="B857" t="s">
        <v>45</v>
      </c>
      <c r="C857" s="15" t="s">
        <v>10</v>
      </c>
      <c r="D857" s="15" t="s">
        <v>1470</v>
      </c>
      <c r="E857" t="s">
        <v>9087</v>
      </c>
    </row>
    <row r="858" spans="1:5" outlineLevel="1" x14ac:dyDescent="0.3">
      <c r="A858" t="s">
        <v>1473</v>
      </c>
      <c r="B858" t="s">
        <v>45</v>
      </c>
      <c r="C858" s="15" t="s">
        <v>10</v>
      </c>
      <c r="D858" s="15" t="s">
        <v>1474</v>
      </c>
      <c r="E858" t="s">
        <v>9117</v>
      </c>
    </row>
    <row r="859" spans="1:5" outlineLevel="1" x14ac:dyDescent="0.3">
      <c r="A859" t="s">
        <v>1475</v>
      </c>
      <c r="B859" t="s">
        <v>45</v>
      </c>
      <c r="C859" s="15" t="s">
        <v>10</v>
      </c>
      <c r="D859" s="15" t="s">
        <v>1476</v>
      </c>
      <c r="E859" t="s">
        <v>9117</v>
      </c>
    </row>
    <row r="860" spans="1:5" outlineLevel="1" x14ac:dyDescent="0.3">
      <c r="A860" t="s">
        <v>1477</v>
      </c>
      <c r="B860" t="s">
        <v>45</v>
      </c>
      <c r="C860" s="15" t="s">
        <v>10</v>
      </c>
      <c r="D860" s="15" t="s">
        <v>1478</v>
      </c>
      <c r="E860" t="s">
        <v>9117</v>
      </c>
    </row>
    <row r="861" spans="1:5" outlineLevel="1" x14ac:dyDescent="0.3">
      <c r="A861" t="s">
        <v>1479</v>
      </c>
      <c r="B861" t="s">
        <v>45</v>
      </c>
      <c r="C861" s="15" t="s">
        <v>10</v>
      </c>
      <c r="D861" s="15" t="s">
        <v>1478</v>
      </c>
      <c r="E861" t="s">
        <v>9117</v>
      </c>
    </row>
    <row r="862" spans="1:13" outlineLevel="1" x14ac:dyDescent="0.3">
      <c r="A862" t="s">
        <v>1480</v>
      </c>
      <c r="B862" t="s">
        <v>45</v>
      </c>
      <c r="C862" s="15" t="s">
        <v>10</v>
      </c>
      <c r="D862" s="15" t="s">
        <v>1481</v>
      </c>
      <c r="E862" t="s">
        <v>9084</v>
      </c>
      <c r="J862" t="inlineStr">
        <is>
          <t>Group Study Rm</t>
        </is>
      </c>
      <c r="K862" t="inlineStr">
        <is>
          <t>QNL/SF-6.jpg</t>
        </is>
      </c>
      <c r="L862" t="inlineStr">
        <is>
          <t>SAME - screen and column D name the same room</t>
        </is>
      </c>
      <c r="M862" t="inlineStr">
        <is>
          <t>west side of the study block</t>
        </is>
      </c>
    </row>
    <row r="863" spans="1:13" outlineLevel="1" x14ac:dyDescent="0.3">
      <c r="A863" t="s">
        <v>1482</v>
      </c>
      <c r="B863" t="s">
        <v>45</v>
      </c>
      <c r="C863" s="15" t="s">
        <v>10</v>
      </c>
      <c r="D863" s="15" t="s">
        <v>1483</v>
      </c>
      <c r="E863" t="s">
        <v>9079</v>
      </c>
      <c r="J863" t="inlineStr">
        <is>
          <t>Group Study Rm</t>
        </is>
      </c>
      <c r="K863" t="inlineStr">
        <is>
          <t>QNL/SF-6.jpg</t>
        </is>
      </c>
      <c r="L863" t="inlineStr">
        <is>
          <t>SAME - screen and column D name the same room</t>
        </is>
      </c>
      <c r="M863" t="inlineStr">
        <is>
          <t>west side of the study block</t>
        </is>
      </c>
    </row>
    <row r="864" spans="1:13" outlineLevel="1" x14ac:dyDescent="0.3">
      <c r="A864" t="s">
        <v>1484</v>
      </c>
      <c r="B864" t="s">
        <v>45</v>
      </c>
      <c r="C864" s="15" t="s">
        <v>10</v>
      </c>
      <c r="D864" s="15" t="s">
        <v>1483</v>
      </c>
      <c r="E864" t="s">
        <v>9079</v>
      </c>
      <c r="J864" t="inlineStr">
        <is>
          <t>Group Study Rm</t>
        </is>
      </c>
      <c r="K864" t="inlineStr">
        <is>
          <t>QNL/SF-6.jpg</t>
        </is>
      </c>
      <c r="L864" t="inlineStr">
        <is>
          <t>SAME - screen and column D name the same room</t>
        </is>
      </c>
      <c r="M864" t="inlineStr">
        <is>
          <t>west side of the study block</t>
        </is>
      </c>
    </row>
    <row r="865" spans="1:5" outlineLevel="1" x14ac:dyDescent="0.3">
      <c r="A865" t="s">
        <v>1485</v>
      </c>
      <c r="B865" t="s">
        <v>45</v>
      </c>
      <c r="C865" s="15" t="s">
        <v>10</v>
      </c>
      <c r="D865" s="15" t="s">
        <v>1486</v>
      </c>
      <c r="E865" t="s">
        <v>9070</v>
      </c>
    </row>
    <row r="866" spans="1:13" outlineLevel="1" x14ac:dyDescent="0.3">
      <c r="A866" t="s">
        <v>1487</v>
      </c>
      <c r="B866" t="s">
        <v>45</v>
      </c>
      <c r="C866" s="15" t="s">
        <v>10</v>
      </c>
      <c r="D866" s="15" t="s">
        <v>1486</v>
      </c>
      <c r="E866" t="s">
        <v>9070</v>
      </c>
      <c r="J866" t="inlineStr">
        <is>
          <t>Indv. Study Rm</t>
        </is>
      </c>
      <c r="K866" t="inlineStr">
        <is>
          <t>QNL/SF-6.jpg</t>
        </is>
      </c>
      <c r="L866" t="inlineStr">
        <is>
          <t>SAME - screen and column D name the same room</t>
        </is>
      </c>
      <c r="M866" t="inlineStr">
        <is>
          <t>east side of the study block</t>
        </is>
      </c>
    </row>
    <row r="867" spans="1:13" outlineLevel="1" x14ac:dyDescent="0.3">
      <c r="A867" t="s">
        <v>1488</v>
      </c>
      <c r="B867" t="s">
        <v>45</v>
      </c>
      <c r="C867" s="15" t="s">
        <v>10</v>
      </c>
      <c r="D867" s="15" t="s">
        <v>1486</v>
      </c>
      <c r="E867" t="s">
        <v>9070</v>
      </c>
      <c r="J867" t="inlineStr">
        <is>
          <t>Indv. Study Rm</t>
        </is>
      </c>
      <c r="K867" t="inlineStr">
        <is>
          <t>QNL/SF-6.jpg</t>
        </is>
      </c>
      <c r="L867" t="inlineStr">
        <is>
          <t>SAME - screen and column D name the same room</t>
        </is>
      </c>
      <c r="M867" t="inlineStr">
        <is>
          <t>east side of the study block</t>
        </is>
      </c>
    </row>
    <row r="868" spans="1:13" outlineLevel="1" x14ac:dyDescent="0.3">
      <c r="A868" t="s">
        <v>1489</v>
      </c>
      <c r="B868" t="s">
        <v>45</v>
      </c>
      <c r="C868" s="15" t="s">
        <v>10</v>
      </c>
      <c r="D868" s="15" t="s">
        <v>1490</v>
      </c>
      <c r="E868" t="s">
        <v>9075</v>
      </c>
      <c r="J868" t="inlineStr">
        <is>
          <t>Indv. Study Rm</t>
        </is>
      </c>
      <c r="K868" t="inlineStr">
        <is>
          <t>QNL/SF-6.jpg</t>
        </is>
      </c>
      <c r="L868" t="inlineStr">
        <is>
          <t>SAME - screen and column D name the same room</t>
        </is>
      </c>
      <c r="M868" t="inlineStr">
        <is>
          <t>east side of the study block</t>
        </is>
      </c>
    </row>
    <row r="869" spans="1:13" outlineLevel="1" x14ac:dyDescent="0.3">
      <c r="A869" t="s">
        <v>1491</v>
      </c>
      <c r="B869" t="s">
        <v>45</v>
      </c>
      <c r="C869" s="15" t="s">
        <v>10</v>
      </c>
      <c r="D869" s="15" t="s">
        <v>1490</v>
      </c>
      <c r="E869" t="s">
        <v>9075</v>
      </c>
      <c r="J869" t="inlineStr">
        <is>
          <t>Indv. Study Rm</t>
        </is>
      </c>
      <c r="K869" t="inlineStr">
        <is>
          <t>QNL/SF-6.jpg</t>
        </is>
      </c>
      <c r="L869" t="inlineStr">
        <is>
          <t>SAME - screen and column D name the same room</t>
        </is>
      </c>
      <c r="M869" t="inlineStr">
        <is>
          <t>east side of the study block</t>
        </is>
      </c>
    </row>
    <row r="870" spans="1:5" outlineLevel="1" x14ac:dyDescent="0.3">
      <c r="A870" t="s">
        <v>1492</v>
      </c>
      <c r="B870" t="s">
        <v>45</v>
      </c>
      <c r="C870" s="15" t="s">
        <v>10</v>
      </c>
      <c r="D870" s="15" t="s">
        <v>1490</v>
      </c>
      <c r="E870" t="s">
        <v>9075</v>
      </c>
    </row>
    <row r="871" spans="1:11" outlineLevel="1" x14ac:dyDescent="0.3">
      <c s="45" r="A871" t="s">
        <v>1493</v>
      </c>
      <c s="45" r="B871" t="s">
        <v>45</v>
      </c>
      <c r="C871" s="46" t="s">
        <v>10</v>
      </c>
      <c r="D871" s="46" t="s">
        <v>1474</v>
      </c>
      <c s="45" r="E871" t="s">
        <v>9117</v>
      </c>
      <c r="F871" s="45"/>
      <c r="G871" s="45"/>
      <c r="H871" s="45"/>
      <c r="I871" s="45"/>
      <c s="45" r="J871" t="inlineStr">
        <is>
          <t>Lounge area</t>
        </is>
      </c>
      <c s="45" r="K871" t="inlineStr">
        <is>
          <t>QNL/SF-6.jpg</t>
        </is>
      </c>
      <c r="L871" t="inlineStr">
        <is>
          <t>CHECK - read, but with a caveat; see the reason</t>
        </is>
      </c>
      <c r="M871" t="inlineStr">
        <is>
          <t>the dot sits beside the Lounge area label on the open plate; column D says Bridge Raised Floor L2.088</t>
        </is>
      </c>
    </row>
    <row r="872" spans="1:11" outlineLevel="1" x14ac:dyDescent="0.3">
      <c s="45" r="A872" t="s">
        <v>1494</v>
      </c>
      <c s="45" r="B872" t="s">
        <v>45</v>
      </c>
      <c r="C872" s="46" t="s">
        <v>10</v>
      </c>
      <c r="D872" s="46" t="s">
        <v>1474</v>
      </c>
      <c s="45" r="E872" t="s">
        <v>9117</v>
      </c>
      <c r="F872" s="45"/>
      <c r="G872" s="45"/>
      <c r="H872" s="45"/>
      <c r="I872" s="45"/>
      <c s="45" r="J872" t="inlineStr">
        <is>
          <t>Lounge area</t>
        </is>
      </c>
      <c s="45" r="K872" t="inlineStr">
        <is>
          <t>QNL/SF-6.jpg</t>
        </is>
      </c>
      <c r="L872" t="inlineStr">
        <is>
          <t>CHECK - read, but with a caveat; see the reason</t>
        </is>
      </c>
      <c r="M872" t="inlineStr">
        <is>
          <t>the dot sits beside the Lounge area label on the open plate; column D says Bridge Raised Floor L2.088</t>
        </is>
      </c>
    </row>
    <row r="873" spans="1:5" outlineLevel="1" x14ac:dyDescent="0.3">
      <c r="A873" t="s">
        <v>1495</v>
      </c>
      <c r="B873" t="s">
        <v>45</v>
      </c>
      <c r="C873" s="15" t="s">
        <v>10</v>
      </c>
      <c r="D873" s="15" t="s">
        <v>1497</v>
      </c>
      <c r="E873" t="s">
        <v>9099</v>
      </c>
    </row>
    <row r="874" spans="1:5" outlineLevel="1" x14ac:dyDescent="0.3">
      <c r="A874" t="s">
        <v>1496</v>
      </c>
      <c r="B874" t="s">
        <v>45</v>
      </c>
      <c r="C874" s="15" t="s">
        <v>10</v>
      </c>
      <c r="D874" s="15" t="s">
        <v>1497</v>
      </c>
      <c r="E874" t="s">
        <v>9099</v>
      </c>
    </row>
    <row r="875" spans="1:5" outlineLevel="1" x14ac:dyDescent="0.3">
      <c r="A875" t="s">
        <v>1498</v>
      </c>
      <c r="B875" t="s">
        <v>45</v>
      </c>
      <c r="C875" s="15" t="s">
        <v>10</v>
      </c>
      <c r="D875" s="15" t="s">
        <v>1497</v>
      </c>
      <c r="E875" t="s">
        <v>9099</v>
      </c>
    </row>
    <row r="876" spans="1:5" outlineLevel="1" x14ac:dyDescent="0.3">
      <c r="A876" t="s">
        <v>1499</v>
      </c>
      <c r="B876" t="s">
        <v>45</v>
      </c>
      <c r="C876" s="15" t="s">
        <v>10</v>
      </c>
      <c r="D876" s="15" t="s">
        <v>1497</v>
      </c>
      <c r="E876" t="s">
        <v>9099</v>
      </c>
    </row>
    <row r="877" spans="1:5" outlineLevel="1" x14ac:dyDescent="0.3">
      <c r="A877" t="s">
        <v>1500</v>
      </c>
      <c r="B877" t="s">
        <v>45</v>
      </c>
      <c r="C877" s="15" t="s">
        <v>10</v>
      </c>
      <c r="D877" s="15" t="s">
        <v>1501</v>
      </c>
      <c r="E877" t="s">
        <v>9096</v>
      </c>
    </row>
    <row r="878" spans="1:5" outlineLevel="1" x14ac:dyDescent="0.3">
      <c r="A878" t="s">
        <v>1502</v>
      </c>
      <c r="B878" t="s">
        <v>45</v>
      </c>
      <c r="C878" s="15" t="s">
        <v>10</v>
      </c>
      <c r="D878" s="15" t="s">
        <v>1501</v>
      </c>
      <c r="E878" t="s">
        <v>9096</v>
      </c>
    </row>
    <row r="879" spans="1:5" outlineLevel="1" x14ac:dyDescent="0.3">
      <c r="A879" t="s">
        <v>1503</v>
      </c>
      <c r="B879" t="s">
        <v>45</v>
      </c>
      <c r="C879" s="15" t="s">
        <v>10</v>
      </c>
      <c r="D879" s="15" t="s">
        <v>1501</v>
      </c>
      <c r="E879" t="s">
        <v>9096</v>
      </c>
    </row>
    <row r="880" spans="1:13" outlineLevel="1" x14ac:dyDescent="0.3">
      <c r="A880" t="s">
        <v>1504</v>
      </c>
      <c r="B880" t="s">
        <v>45</v>
      </c>
      <c r="C880" t="s">
        <v>8</v>
      </c>
      <c r="D880" t="s">
        <v>1505</v>
      </c>
      <c r="E880" t="s">
        <v>8717</v>
      </c>
      <c r="J880" t="inlineStr">
        <is>
          <t>IDF Rm</t>
        </is>
      </c>
      <c r="K880" t="inlineStr">
        <is>
          <t>QNL/BF-8.jpg</t>
        </is>
      </c>
      <c r="L880" t="inlineStr">
        <is>
          <t>SAME - screen and column D name the same room</t>
        </is>
      </c>
      <c r="M880" t="inlineStr">
        <is>
          <t>the dot is in the first of the small cells along the north-west wall; the IDF Rm label sits over the second</t>
        </is>
      </c>
    </row>
    <row r="881" spans="1:5" outlineLevel="1" x14ac:dyDescent="0.3">
      <c r="A881" t="s">
        <v>1506</v>
      </c>
      <c r="B881" t="s">
        <v>45</v>
      </c>
      <c r="C881" s="15" t="s">
        <v>10</v>
      </c>
      <c r="D881" s="15" t="s">
        <v>1507</v>
      </c>
      <c r="E881" t="s">
        <v>8614</v>
      </c>
    </row>
    <row r="882" spans="1:13" outlineLevel="1" x14ac:dyDescent="0.3">
      <c r="A882" t="s">
        <v>1508</v>
      </c>
      <c r="B882" t="s">
        <v>45</v>
      </c>
      <c r="C882" s="15" t="s">
        <v>8</v>
      </c>
      <c r="D882" s="15" t="s">
        <v>1509</v>
      </c>
      <c r="E882" t="s">
        <v>8583</v>
      </c>
      <c r="J882" t="inlineStr">
        <is>
          <t>IDF</t>
        </is>
      </c>
      <c r="K882" t="inlineStr">
        <is>
          <t>QNL/BF-2.jpg</t>
        </is>
      </c>
      <c r="L882" t="inlineStr">
        <is>
          <t>SAME - screen and column D name the same room</t>
        </is>
      </c>
    </row>
    <row r="883" spans="1:13" outlineLevel="1" x14ac:dyDescent="0.3">
      <c r="A883" t="s">
        <v>1510</v>
      </c>
      <c r="B883" t="s">
        <v>45</v>
      </c>
      <c r="C883" s="15" t="s">
        <v>8</v>
      </c>
      <c r="D883" s="15" t="s">
        <v>1511</v>
      </c>
      <c r="E883" t="s">
        <v>8767</v>
      </c>
      <c r="J883" t="inlineStr">
        <is>
          <t>FM Storage</t>
        </is>
      </c>
      <c r="K883" t="inlineStr">
        <is>
          <t>QNL/BF-10.jpg</t>
        </is>
      </c>
      <c r="L883" t="inlineStr">
        <is>
          <t>SAME - screen and column D name the same room</t>
        </is>
      </c>
      <c r="M883" t="inlineStr">
        <is>
          <t>the dot is at the west wall in the band that carries the FM Storage and Storage labels</t>
        </is>
      </c>
    </row>
    <row r="884" spans="1:5" outlineLevel="1" x14ac:dyDescent="0.3">
      <c r="A884" t="s">
        <v>1512</v>
      </c>
      <c r="B884" t="s">
        <v>45</v>
      </c>
      <c r="C884" s="15" t="s">
        <v>8</v>
      </c>
      <c r="D884" s="15" t="s">
        <v>1513</v>
      </c>
      <c r="E884" t="s">
        <v>9120</v>
      </c>
    </row>
    <row r="885" spans="1:5" outlineLevel="1" x14ac:dyDescent="0.3">
      <c r="A885" t="s">
        <v>1514</v>
      </c>
      <c r="B885" t="s">
        <v>45</v>
      </c>
      <c r="C885" s="15" t="s">
        <v>8</v>
      </c>
      <c r="D885" s="15" t="s">
        <v>1515</v>
      </c>
      <c r="E885" t="s">
        <v>8597</v>
      </c>
    </row>
    <row r="886" spans="1:5" outlineLevel="1" x14ac:dyDescent="0.3">
      <c r="A886" t="s">
        <v>1516</v>
      </c>
      <c r="B886" t="s">
        <v>45</v>
      </c>
      <c r="C886" s="15" t="s">
        <v>8</v>
      </c>
      <c r="D886" s="15" t="s">
        <v>1517</v>
      </c>
      <c r="E886" t="s">
        <v>8600</v>
      </c>
    </row>
    <row r="887" spans="1:11" outlineLevel="1" x14ac:dyDescent="0.3">
      <c s="45" r="A887" t="s">
        <v>1518</v>
      </c>
      <c s="45" r="B887" t="s">
        <v>45</v>
      </c>
      <c s="45" r="C887" t="s">
        <v>8</v>
      </c>
      <c s="45" r="D887" t="s">
        <v>1519</v>
      </c>
      <c s="45" r="E887" t="s">
        <v>8619</v>
      </c>
      <c r="F887" s="45"/>
      <c r="G887" s="45"/>
      <c r="H887" s="45"/>
      <c r="I887" s="45"/>
      <c s="45" r="J887" t="inlineStr">
        <is>
          <t>Cell between Gas Suppression and Server Rm</t>
        </is>
      </c>
      <c s="45" r="K887" t="inlineStr">
        <is>
          <t>QNL/BF-3.jpg</t>
        </is>
      </c>
      <c r="L887" t="inlineStr">
        <is>
          <t>DIFF - the screen puts this unit somewhere column D does not</t>
        </is>
      </c>
      <c r="M887" t="inlineStr">
        <is>
          <t>the dot is in the middle cell, one wall east of the cell the Gas Suppression label points into; column D says GAS SUPPRESSION ROOM B.087</t>
        </is>
      </c>
    </row>
    <row r="888" spans="1:5" outlineLevel="1" x14ac:dyDescent="0.3">
      <c r="A888" t="s">
        <v>1520</v>
      </c>
      <c r="B888" t="s">
        <v>45</v>
      </c>
      <c r="C888" t="s">
        <v>10</v>
      </c>
      <c r="D888" t="s">
        <v>1521</v>
      </c>
      <c r="E888" t="s">
        <v>8622</v>
      </c>
    </row>
    <row r="889" spans="1:5" outlineLevel="1" x14ac:dyDescent="0.3">
      <c r="A889" t="s">
        <v>1522</v>
      </c>
      <c r="B889" t="s">
        <v>45</v>
      </c>
      <c r="C889" t="s">
        <v>8</v>
      </c>
      <c r="D889" t="s">
        <v>1523</v>
      </c>
      <c r="E889" t="s">
        <v>9122</v>
      </c>
    </row>
    <row r="890" spans="1:13" outlineLevel="1" x14ac:dyDescent="0.3">
      <c r="A890" t="s">
        <v>1524</v>
      </c>
      <c r="B890" t="s">
        <v>45</v>
      </c>
      <c r="C890" s="15" t="s">
        <v>8</v>
      </c>
      <c r="D890" s="15" t="s">
        <v>1525</v>
      </c>
      <c r="E890" t="s">
        <v>8586</v>
      </c>
      <c r="J890" t="inlineStr">
        <is>
          <t>Plant Rm 1</t>
        </is>
      </c>
      <c r="K890" t="inlineStr">
        <is>
          <t>QNL/BF-2.jpg</t>
        </is>
      </c>
      <c r="L890" t="inlineStr">
        <is>
          <t>SAME - screen and column D name the same room</t>
        </is>
      </c>
    </row>
    <row r="891" spans="1:13" outlineLevel="1" x14ac:dyDescent="0.3">
      <c r="A891" t="s">
        <v>1526</v>
      </c>
      <c r="B891" t="s">
        <v>45</v>
      </c>
      <c r="C891" s="15" t="s">
        <v>8</v>
      </c>
      <c r="D891" s="15" t="s">
        <v>1525</v>
      </c>
      <c r="E891" t="s">
        <v>8586</v>
      </c>
      <c r="J891" t="inlineStr">
        <is>
          <t>Plant Rm 1</t>
        </is>
      </c>
      <c r="K891" t="inlineStr">
        <is>
          <t>QNL/BF-2.jpg</t>
        </is>
      </c>
      <c r="L891" t="inlineStr">
        <is>
          <t>SAME - screen and column D name the same room</t>
        </is>
      </c>
    </row>
    <row r="892" spans="1:13" outlineLevel="1" x14ac:dyDescent="0.3">
      <c r="A892" t="s">
        <v>1527</v>
      </c>
      <c r="B892" t="s">
        <v>45</v>
      </c>
      <c r="C892" s="15" t="s">
        <v>8</v>
      </c>
      <c r="D892" s="15" t="s">
        <v>1528</v>
      </c>
      <c r="E892" t="s">
        <v>8594</v>
      </c>
      <c r="J892" t="inlineStr">
        <is>
          <t>Plant Rm 2</t>
        </is>
      </c>
      <c r="K892" t="inlineStr">
        <is>
          <t>QNL/BF-2.jpg</t>
        </is>
      </c>
      <c r="L892" t="inlineStr">
        <is>
          <t>SAME - screen and column D name the same room</t>
        </is>
      </c>
    </row>
    <row r="893" spans="1:13" outlineLevel="1" x14ac:dyDescent="0.3">
      <c r="A893" t="s">
        <v>1529</v>
      </c>
      <c r="B893" t="s">
        <v>45</v>
      </c>
      <c r="C893" s="15" t="s">
        <v>8</v>
      </c>
      <c r="D893" s="15" t="s">
        <v>1528</v>
      </c>
      <c r="E893" t="s">
        <v>8594</v>
      </c>
      <c r="J893" t="inlineStr">
        <is>
          <t>Plant Rm 2</t>
        </is>
      </c>
      <c r="K893" t="inlineStr">
        <is>
          <t>QNL/BF-2.jpg</t>
        </is>
      </c>
      <c r="L893" t="inlineStr">
        <is>
          <t>SAME - screen and column D name the same room</t>
        </is>
      </c>
    </row>
    <row r="894" spans="1:13" outlineLevel="1" x14ac:dyDescent="0.3">
      <c r="A894" t="s">
        <v>1530</v>
      </c>
      <c r="B894" t="s">
        <v>45</v>
      </c>
      <c r="C894" s="15" t="s">
        <v>8</v>
      </c>
      <c r="D894" s="15" t="s">
        <v>1531</v>
      </c>
      <c r="E894" t="s">
        <v>8665</v>
      </c>
      <c r="J894" t="inlineStr">
        <is>
          <t>Plant Rm 3 / Corridor 5 (open plan)</t>
        </is>
      </c>
      <c r="K894" t="inlineStr">
        <is>
          <t>QNL/BF-6.jpg</t>
        </is>
      </c>
      <c r="L894" t="inlineStr">
        <is>
          <t>OPEN - one space, two or more labels; the screen cannot split them</t>
        </is>
      </c>
      <c r="M894" t="inlineStr">
        <is>
          <t>open plan - Plant Rm 3 end</t>
        </is>
      </c>
    </row>
    <row r="895" spans="1:13" outlineLevel="1" x14ac:dyDescent="0.3">
      <c r="A895" t="s">
        <v>1532</v>
      </c>
      <c r="B895" t="s">
        <v>45</v>
      </c>
      <c r="C895" s="15" t="s">
        <v>8</v>
      </c>
      <c r="D895" s="15" t="s">
        <v>1531</v>
      </c>
      <c r="E895" t="s">
        <v>8665</v>
      </c>
      <c r="J895" t="inlineStr">
        <is>
          <t>Plant Rm 3 / Corridor 5 (open plan)</t>
        </is>
      </c>
      <c r="K895" t="inlineStr">
        <is>
          <t>QNL/BF-6.jpg</t>
        </is>
      </c>
      <c r="L895" t="inlineStr">
        <is>
          <t>OPEN - one space, two or more labels; the screen cannot split them</t>
        </is>
      </c>
      <c r="M895" t="inlineStr">
        <is>
          <t>open plan - Plant Rm 3 end</t>
        </is>
      </c>
    </row>
    <row r="896" spans="1:13" outlineLevel="1" x14ac:dyDescent="0.3">
      <c r="A896" t="s">
        <v>1533</v>
      </c>
      <c r="B896" t="s">
        <v>45</v>
      </c>
      <c r="C896" s="15" t="s">
        <v>8</v>
      </c>
      <c r="D896" s="15" t="s">
        <v>1531</v>
      </c>
      <c r="E896" t="s">
        <v>8665</v>
      </c>
      <c r="J896" t="inlineStr">
        <is>
          <t>Plant Rm 3 / Corridor 5 (open plan)</t>
        </is>
      </c>
      <c r="K896" t="inlineStr">
        <is>
          <t>QNL/BF-6.jpg</t>
        </is>
      </c>
      <c r="L896" t="inlineStr">
        <is>
          <t>OPEN - one space, two or more labels; the screen cannot split them</t>
        </is>
      </c>
      <c r="M896" t="inlineStr">
        <is>
          <t>open plan - Plant Rm 3 end</t>
        </is>
      </c>
    </row>
    <row r="897" spans="1:13" outlineLevel="1" x14ac:dyDescent="0.3">
      <c r="A897" t="s">
        <v>1534</v>
      </c>
      <c r="B897" t="s">
        <v>45</v>
      </c>
      <c r="C897" s="15" t="s">
        <v>8</v>
      </c>
      <c r="D897" s="15" t="s">
        <v>1535</v>
      </c>
      <c r="E897" t="s">
        <v>8773</v>
      </c>
      <c r="J897" t="inlineStr">
        <is>
          <t>Plant Rm 4</t>
        </is>
      </c>
      <c r="K897" t="inlineStr">
        <is>
          <t>QNL/BF-10.jpg</t>
        </is>
      </c>
      <c r="L897" t="inlineStr">
        <is>
          <t>SAME - screen and column D name the same room</t>
        </is>
      </c>
    </row>
    <row r="898" spans="1:13" outlineLevel="1" x14ac:dyDescent="0.3">
      <c r="A898" t="s">
        <v>1536</v>
      </c>
      <c r="B898" t="s">
        <v>45</v>
      </c>
      <c r="C898" s="15" t="s">
        <v>8</v>
      </c>
      <c r="D898" s="15" t="s">
        <v>1535</v>
      </c>
      <c r="E898" t="s">
        <v>8773</v>
      </c>
      <c r="J898" t="inlineStr">
        <is>
          <t>Plant Rm 4</t>
        </is>
      </c>
      <c r="K898" t="inlineStr">
        <is>
          <t>QNL/BF-10.jpg</t>
        </is>
      </c>
      <c r="L898" t="inlineStr">
        <is>
          <t>SAME - screen and column D name the same room</t>
        </is>
      </c>
    </row>
    <row r="899" spans="1:13" outlineLevel="1" x14ac:dyDescent="0.3">
      <c r="A899" t="s">
        <v>1537</v>
      </c>
      <c r="B899" t="s">
        <v>45</v>
      </c>
      <c r="C899" s="15" t="s">
        <v>8</v>
      </c>
      <c r="D899" s="15" t="s">
        <v>1535</v>
      </c>
      <c r="E899" t="s">
        <v>8773</v>
      </c>
      <c r="J899" t="inlineStr">
        <is>
          <t>Plant Rm 4</t>
        </is>
      </c>
      <c r="K899" t="inlineStr">
        <is>
          <t>QNL/BF-10.jpg</t>
        </is>
      </c>
      <c r="L899" t="inlineStr">
        <is>
          <t>SAME - screen and column D name the same room</t>
        </is>
      </c>
    </row>
    <row r="900" spans="1:13" outlineLevel="1" x14ac:dyDescent="0.3">
      <c r="A900" t="s">
        <v>1538</v>
      </c>
      <c r="B900" t="s">
        <v>45</v>
      </c>
      <c r="C900" s="15" t="s">
        <v>8</v>
      </c>
      <c r="D900" s="15" t="s">
        <v>1535</v>
      </c>
      <c r="E900" t="s">
        <v>8773</v>
      </c>
      <c r="J900" t="inlineStr">
        <is>
          <t>Plant Rm 4</t>
        </is>
      </c>
      <c r="K900" t="inlineStr">
        <is>
          <t>QNL/BF-10.jpg</t>
        </is>
      </c>
      <c r="L900" t="inlineStr">
        <is>
          <t>SAME - screen and column D name the same room</t>
        </is>
      </c>
    </row>
    <row r="901" spans="1:13" outlineLevel="1" x14ac:dyDescent="0.3">
      <c r="A901" t="s">
        <v>1539</v>
      </c>
      <c r="B901" t="s">
        <v>45</v>
      </c>
      <c r="C901" s="15" t="s">
        <v>10</v>
      </c>
      <c r="D901" s="15" t="s">
        <v>1540</v>
      </c>
      <c r="E901" t="s">
        <v>8757</v>
      </c>
      <c r="J901" t="inlineStr">
        <is>
          <t>FM Storage</t>
        </is>
      </c>
      <c r="K901" t="inlineStr">
        <is>
          <t>QNL/BF-10.jpg</t>
        </is>
      </c>
      <c r="L901" t="inlineStr">
        <is>
          <t>SAME - screen and column D name the same room</t>
        </is>
      </c>
    </row>
    <row r="902" spans="1:13" outlineLevel="1" x14ac:dyDescent="0.3">
      <c r="A902" t="s">
        <v>1541</v>
      </c>
      <c r="B902" t="s">
        <v>45</v>
      </c>
      <c r="C902" s="15" t="s">
        <v>10</v>
      </c>
      <c r="D902" s="15" t="s">
        <v>1540</v>
      </c>
      <c r="E902" t="s">
        <v>8757</v>
      </c>
      <c r="J902" t="inlineStr">
        <is>
          <t>FM Storage</t>
        </is>
      </c>
      <c r="K902" t="inlineStr">
        <is>
          <t>QNL/BF-10.jpg</t>
        </is>
      </c>
      <c r="L902" t="inlineStr">
        <is>
          <t>SAME - screen and column D name the same room</t>
        </is>
      </c>
    </row>
    <row r="903" spans="1:13" outlineLevel="1" x14ac:dyDescent="0.3">
      <c r="A903" t="s">
        <v>1542</v>
      </c>
      <c r="B903" t="s">
        <v>45</v>
      </c>
      <c r="C903" s="15" t="s">
        <v>8</v>
      </c>
      <c r="D903" s="15" t="s">
        <v>1543</v>
      </c>
      <c r="E903" t="s">
        <v>8759</v>
      </c>
      <c r="J903" t="inlineStr">
        <is>
          <t>PH Plant</t>
        </is>
      </c>
      <c r="K903" t="inlineStr">
        <is>
          <t>QNL/BF-10.jpg</t>
        </is>
      </c>
      <c r="L903" t="inlineStr">
        <is>
          <t>SAME - screen and column D name the same room</t>
        </is>
      </c>
    </row>
    <row r="904" spans="1:5" outlineLevel="1" x14ac:dyDescent="0.3">
      <c r="A904" t="s">
        <v>1544</v>
      </c>
      <c r="B904" t="s">
        <v>45</v>
      </c>
      <c r="C904" s="15" t="s">
        <v>8</v>
      </c>
      <c r="D904" s="15" t="s">
        <v>1545</v>
      </c>
      <c r="E904" t="s">
        <v>9125</v>
      </c>
    </row>
    <row r="905" spans="1:13" outlineLevel="1" x14ac:dyDescent="0.3">
      <c r="A905" t="s">
        <v>1546</v>
      </c>
      <c r="B905" t="s">
        <v>45</v>
      </c>
      <c r="C905" s="15" t="s">
        <v>8</v>
      </c>
      <c r="D905" s="15" t="s">
        <v>1545</v>
      </c>
      <c r="E905" t="s">
        <v>9125</v>
      </c>
      <c r="J905" t="inlineStr">
        <is>
          <t>Misting System</t>
        </is>
      </c>
      <c r="K905" t="inlineStr">
        <is>
          <t>QNL/BF-10.jpg</t>
        </is>
      </c>
      <c r="L905" t="inlineStr">
        <is>
          <t>SAME - screen and column D name the same room</t>
        </is>
      </c>
    </row>
    <row r="906" spans="1:5" outlineLevel="1" x14ac:dyDescent="0.3">
      <c r="A906" t="s">
        <v>1547</v>
      </c>
      <c r="B906" t="s">
        <v>45</v>
      </c>
      <c r="C906" s="15" t="s">
        <v>10</v>
      </c>
      <c r="D906" s="15" t="s">
        <v>1548</v>
      </c>
      <c r="E906" t="s">
        <v>8677</v>
      </c>
    </row>
    <row r="907" spans="1:13" outlineLevel="1" x14ac:dyDescent="0.3">
      <c r="A907" t="s">
        <v>1549</v>
      </c>
      <c r="B907" t="s">
        <v>45</v>
      </c>
      <c r="C907" s="15" t="s">
        <v>10</v>
      </c>
      <c r="D907" s="15" t="s">
        <v>1548</v>
      </c>
      <c r="E907" t="s">
        <v>8677</v>
      </c>
      <c r="J907" t="inlineStr">
        <is>
          <t>Sorting Shelving Rm</t>
        </is>
      </c>
      <c r="K907" t="inlineStr">
        <is>
          <t>QNL/BF-2.jpg</t>
        </is>
      </c>
      <c r="L907" t="inlineStr">
        <is>
          <t>SAME - screen and column D name the same room</t>
        </is>
      </c>
    </row>
    <row r="908" spans="1:5" outlineLevel="1" x14ac:dyDescent="0.3">
      <c r="A908" t="s">
        <v>1550</v>
      </c>
      <c r="B908" t="s">
        <v>45</v>
      </c>
      <c r="C908" s="15" t="s">
        <v>10</v>
      </c>
      <c r="D908" s="15" t="s">
        <v>1551</v>
      </c>
      <c r="E908" t="s">
        <v>8695</v>
      </c>
    </row>
    <row r="909" spans="1:11" outlineLevel="1" x14ac:dyDescent="0.3">
      <c s="45" r="A909" t="s">
        <v>1552</v>
      </c>
      <c s="45" r="B909" t="s">
        <v>45</v>
      </c>
      <c r="C909" s="46" t="s">
        <v>10</v>
      </c>
      <c r="D909" s="46" t="s">
        <v>1553</v>
      </c>
      <c s="45" r="E909" t="s">
        <v>8783</v>
      </c>
      <c r="F909" s="45"/>
      <c r="G909" s="45"/>
      <c r="H909" s="45"/>
      <c r="I909" s="45"/>
      <c s="45" r="J909" t="inlineStr">
        <is>
          <t>Pump Rm 4</t>
        </is>
      </c>
      <c s="45" r="K909" t="inlineStr">
        <is>
          <t>QNL/BF-10.jpg</t>
        </is>
      </c>
      <c r="L909" t="inlineStr">
        <is>
          <t>DIFF - the screen puts this unit somewhere column D does not</t>
        </is>
      </c>
      <c r="M909" t="inlineStr">
        <is>
          <t>the dot is inside the Pump Rm 4 box; column D says WATER FEATURE ROOM B.226</t>
        </is>
      </c>
    </row>
    <row r="910" spans="1:5" outlineLevel="1" x14ac:dyDescent="0.3">
      <c r="A910" t="s">
        <v>1554</v>
      </c>
      <c r="B910" t="s">
        <v>45</v>
      </c>
      <c r="C910" s="15" t="s">
        <v>8</v>
      </c>
      <c r="D910" s="15" t="s">
        <v>1555</v>
      </c>
      <c r="E910" t="s">
        <v>8770</v>
      </c>
    </row>
    <row r="911" spans="1:13" outlineLevel="1" x14ac:dyDescent="0.3">
      <c r="A911" t="s">
        <v>1556</v>
      </c>
      <c r="B911" t="s">
        <v>45</v>
      </c>
      <c r="C911" s="15" t="s">
        <v>10</v>
      </c>
      <c r="D911" s="15" t="s">
        <v>1557</v>
      </c>
      <c r="E911" t="s">
        <v>8683</v>
      </c>
      <c r="J911" t="inlineStr">
        <is>
          <t>Shell Space-Special Collection</t>
        </is>
      </c>
      <c r="K911" t="inlineStr">
        <is>
          <t>QNL/BF-3.jpg</t>
        </is>
      </c>
      <c r="L911" t="inlineStr">
        <is>
          <t>SAME - screen and column D name the same room</t>
        </is>
      </c>
    </row>
    <row r="912" spans="1:13" outlineLevel="1" x14ac:dyDescent="0.3">
      <c r="A912" t="s">
        <v>1558</v>
      </c>
      <c r="B912" t="s">
        <v>45</v>
      </c>
      <c r="C912" s="15" t="s">
        <v>10</v>
      </c>
      <c r="D912" s="15" t="s">
        <v>1557</v>
      </c>
      <c r="E912" t="s">
        <v>8683</v>
      </c>
      <c r="J912" t="inlineStr">
        <is>
          <t>Shell Space-Special Collection</t>
        </is>
      </c>
      <c r="K912" t="inlineStr">
        <is>
          <t>QNL/BF-3.jpg</t>
        </is>
      </c>
      <c r="L912" t="inlineStr">
        <is>
          <t>SAME - screen and column D name the same room</t>
        </is>
      </c>
    </row>
    <row r="913" spans="1:13" outlineLevel="1" x14ac:dyDescent="0.3">
      <c r="A913" t="s">
        <v>1559</v>
      </c>
      <c r="B913" t="s">
        <v>45</v>
      </c>
      <c r="C913" s="15" t="s">
        <v>10</v>
      </c>
      <c r="D913" s="15" t="s">
        <v>1557</v>
      </c>
      <c r="E913" t="s">
        <v>8683</v>
      </c>
      <c r="J913" t="inlineStr">
        <is>
          <t>Shell Space-Special Collection</t>
        </is>
      </c>
      <c r="K913" t="inlineStr">
        <is>
          <t>QNL/BF-3.jpg</t>
        </is>
      </c>
      <c r="L913" t="inlineStr">
        <is>
          <t>SAME - screen and column D name the same room</t>
        </is>
      </c>
    </row>
    <row r="914" spans="1:13" outlineLevel="1" x14ac:dyDescent="0.3">
      <c r="A914" t="s">
        <v>1560</v>
      </c>
      <c r="B914" t="s">
        <v>45</v>
      </c>
      <c r="C914" s="15" t="s">
        <v>10</v>
      </c>
      <c r="D914" s="15" t="s">
        <v>1557</v>
      </c>
      <c r="E914" t="s">
        <v>8683</v>
      </c>
      <c r="J914" t="inlineStr">
        <is>
          <t>Shell Space-Special Collection</t>
        </is>
      </c>
      <c r="K914" t="inlineStr">
        <is>
          <t>QNL/BF-3.jpg</t>
        </is>
      </c>
      <c r="L914" t="inlineStr">
        <is>
          <t>SAME - screen and column D name the same room</t>
        </is>
      </c>
    </row>
    <row r="915" spans="1:5" outlineLevel="1" x14ac:dyDescent="0.3">
      <c r="A915" t="s">
        <v>1561</v>
      </c>
      <c r="B915" t="s">
        <v>45</v>
      </c>
      <c r="C915" s="15" t="s">
        <v>10</v>
      </c>
      <c r="D915" s="15" t="s">
        <v>1562</v>
      </c>
      <c r="E915" t="s">
        <v>8680</v>
      </c>
    </row>
    <row r="916" spans="1:5" outlineLevel="1" x14ac:dyDescent="0.3">
      <c r="A916" t="s">
        <v>1563</v>
      </c>
      <c r="B916" t="s">
        <v>45</v>
      </c>
      <c r="C916" s="15" t="s">
        <v>8</v>
      </c>
      <c r="D916" s="15" t="s">
        <v>1564</v>
      </c>
      <c r="E916" t="s">
        <v>8770</v>
      </c>
    </row>
    <row r="917" spans="1:5" outlineLevel="1" x14ac:dyDescent="0.3">
      <c r="A917" t="s">
        <v>1565</v>
      </c>
      <c r="B917" t="s">
        <v>45</v>
      </c>
      <c r="C917" s="15" t="s">
        <v>8</v>
      </c>
      <c r="D917" s="15" t="s">
        <v>1566</v>
      </c>
      <c r="E917" t="s">
        <v>8695</v>
      </c>
    </row>
    <row r="918" spans="1:5" outlineLevel="1" x14ac:dyDescent="0.3">
      <c r="A918" t="s">
        <v>265</v>
      </c>
      <c r="B918" t="s">
        <v>266</v>
      </c>
      <c r="C918" s="26"/>
    </row>
    <row r="919" spans="1:5" outlineLevel="1" x14ac:dyDescent="0.3">
      <c r="A919" t="s">
        <v>1567</v>
      </c>
      <c r="B919" t="s">
        <v>266</v>
      </c>
      <c r="C919" s="15" t="s">
        <v>10</v>
      </c>
      <c r="D919" s="15" t="s">
        <v>1568</v>
      </c>
      <c r="E919" t="s">
        <v>8861</v>
      </c>
    </row>
    <row r="920" spans="1:13" outlineLevel="1" x14ac:dyDescent="0.3">
      <c r="A920" t="s">
        <v>1569</v>
      </c>
      <c r="B920" t="s">
        <v>266</v>
      </c>
      <c r="C920" s="15" t="s">
        <v>10</v>
      </c>
      <c r="D920" s="15" t="s">
        <v>1570</v>
      </c>
      <c r="E920" t="s">
        <v>8864</v>
      </c>
      <c r="J920" t="inlineStr">
        <is>
          <t>Study Rm2</t>
        </is>
      </c>
      <c r="K920" t="inlineStr">
        <is>
          <t>QNL/FF.jpg</t>
        </is>
      </c>
      <c r="L920" t="inlineStr">
        <is>
          <t>SAME - screen and column D name the same room</t>
        </is>
      </c>
    </row>
    <row r="921" spans="1:13" outlineLevel="1" x14ac:dyDescent="0.3">
      <c r="A921" t="s">
        <v>1571</v>
      </c>
      <c r="B921" t="s">
        <v>266</v>
      </c>
      <c r="C921" s="15" t="s">
        <v>10</v>
      </c>
      <c r="D921" s="15" t="s">
        <v>1572</v>
      </c>
      <c r="E921" t="s">
        <v>8867</v>
      </c>
      <c r="J921" t="inlineStr">
        <is>
          <t>Cell between Study Rm2 and Study Rm 4</t>
        </is>
      </c>
      <c r="K921" t="inlineStr">
        <is>
          <t>QNL/FF.jpg</t>
        </is>
      </c>
      <c r="L921" t="inlineStr">
        <is>
          <t>SAME - screen and column D name the same room</t>
        </is>
      </c>
      <c r="M921" t="inlineStr">
        <is>
          <t>the cell carries no label; Study Rm3 labels the large room to the east</t>
        </is>
      </c>
    </row>
    <row r="922" spans="1:5" outlineLevel="1" x14ac:dyDescent="0.3">
      <c r="A922" t="s">
        <v>1573</v>
      </c>
      <c r="B922" t="s">
        <v>266</v>
      </c>
      <c r="C922" s="15" t="s">
        <v>10</v>
      </c>
      <c r="D922" s="15" t="s">
        <v>1574</v>
      </c>
      <c r="E922" t="s">
        <v>8846</v>
      </c>
    </row>
    <row r="923" spans="1:13" outlineLevel="1" x14ac:dyDescent="0.3">
      <c r="A923" t="s">
        <v>1575</v>
      </c>
      <c r="B923" t="s">
        <v>266</v>
      </c>
      <c r="C923" s="15" t="s">
        <v>10</v>
      </c>
      <c r="D923" s="15" t="s">
        <v>1574</v>
      </c>
      <c r="E923" t="s">
        <v>8846</v>
      </c>
      <c r="J923" t="inlineStr">
        <is>
          <t>Info. Literacy Instr.1</t>
        </is>
      </c>
      <c r="K923" t="inlineStr">
        <is>
          <t>QNL/FF.jpg</t>
        </is>
      </c>
      <c r="L923" t="inlineStr">
        <is>
          <t>SAME - screen and column D name the same room</t>
        </is>
      </c>
    </row>
    <row r="924" spans="1:5" outlineLevel="1" x14ac:dyDescent="0.3">
      <c r="A924" t="s">
        <v>1576</v>
      </c>
      <c r="B924" t="s">
        <v>266</v>
      </c>
      <c r="C924" s="15" t="s">
        <v>10</v>
      </c>
      <c r="D924" s="15" t="s">
        <v>1577</v>
      </c>
      <c r="E924" t="s">
        <v>8849</v>
      </c>
    </row>
    <row r="925" spans="1:5" outlineLevel="1" x14ac:dyDescent="0.3">
      <c r="A925" t="s">
        <v>1578</v>
      </c>
      <c r="B925" t="s">
        <v>266</v>
      </c>
      <c r="C925" s="15" t="s">
        <v>10</v>
      </c>
      <c r="D925" s="15" t="s">
        <v>1577</v>
      </c>
      <c r="E925" t="s">
        <v>8849</v>
      </c>
    </row>
    <row r="926" spans="1:5" outlineLevel="1" x14ac:dyDescent="0.3">
      <c r="A926" t="s">
        <v>1579</v>
      </c>
      <c r="B926" t="s">
        <v>266</v>
      </c>
      <c r="C926" s="15" t="s">
        <v>10</v>
      </c>
      <c r="D926" s="15" t="s">
        <v>1577</v>
      </c>
      <c r="E926" t="s">
        <v>8849</v>
      </c>
    </row>
    <row r="927" spans="1:5" outlineLevel="1" x14ac:dyDescent="0.3">
      <c r="A927" t="s">
        <v>1580</v>
      </c>
      <c r="B927" t="s">
        <v>266</v>
      </c>
      <c r="C927" s="15" t="s">
        <v>10</v>
      </c>
      <c r="D927" s="15" t="s">
        <v>1577</v>
      </c>
      <c r="E927" t="s">
        <v>8849</v>
      </c>
    </row>
    <row r="928" spans="1:13" outlineLevel="1" x14ac:dyDescent="0.3">
      <c r="A928" t="s">
        <v>1581</v>
      </c>
      <c r="B928" t="s">
        <v>266</v>
      </c>
      <c r="C928" s="15" t="s">
        <v>10</v>
      </c>
      <c r="D928" s="15" t="s">
        <v>1577</v>
      </c>
      <c r="E928" t="s">
        <v>8849</v>
      </c>
      <c r="J928" t="inlineStr">
        <is>
          <t>Info. Literacy Instr.2 / Writing Head (open plan)</t>
        </is>
      </c>
      <c r="K928" t="inlineStr">
        <is>
          <t>QNL/FF.jpg</t>
        </is>
      </c>
      <c r="L928" t="inlineStr">
        <is>
          <t>OPEN - one space, two or more labels; the screen cannot split them</t>
        </is>
      </c>
      <c r="M928" t="inlineStr">
        <is>
          <t>open plan</t>
        </is>
      </c>
    </row>
    <row r="929" spans="1:5" outlineLevel="1" x14ac:dyDescent="0.3">
      <c r="A929" t="s">
        <v>1582</v>
      </c>
      <c r="B929" t="s">
        <v>266</v>
      </c>
      <c r="C929" s="15" t="s">
        <v>10</v>
      </c>
      <c r="D929" s="15" t="s">
        <v>1577</v>
      </c>
      <c r="E929" t="s">
        <v>8849</v>
      </c>
    </row>
    <row r="930" spans="1:5" outlineLevel="1" x14ac:dyDescent="0.3">
      <c r="A930" t="s">
        <v>1583</v>
      </c>
      <c r="B930" t="s">
        <v>266</v>
      </c>
      <c r="C930" s="15" t="s">
        <v>10</v>
      </c>
      <c r="D930" s="15" t="s">
        <v>1577</v>
      </c>
      <c r="E930" t="s">
        <v>8849</v>
      </c>
    </row>
    <row r="931" spans="1:5" outlineLevel="1" x14ac:dyDescent="0.3">
      <c r="A931" t="s">
        <v>1584</v>
      </c>
      <c r="B931" t="s">
        <v>266</v>
      </c>
      <c r="C931" s="15" t="s">
        <v>10</v>
      </c>
      <c r="D931" s="15" t="s">
        <v>1577</v>
      </c>
      <c r="E931" t="s">
        <v>8849</v>
      </c>
    </row>
    <row r="932" spans="1:5" outlineLevel="1" x14ac:dyDescent="0.3">
      <c r="A932" t="s">
        <v>1585</v>
      </c>
      <c r="B932" t="s">
        <v>266</v>
      </c>
      <c r="C932" s="15" t="s">
        <v>10</v>
      </c>
      <c r="D932" s="15" t="s">
        <v>1586</v>
      </c>
      <c r="E932" t="s">
        <v>8852</v>
      </c>
    </row>
    <row r="933" spans="1:13" outlineLevel="1" x14ac:dyDescent="0.3">
      <c r="A933" t="s">
        <v>1587</v>
      </c>
      <c r="B933" t="s">
        <v>266</v>
      </c>
      <c r="C933" s="15" t="s">
        <v>10</v>
      </c>
      <c r="D933" s="15" t="s">
        <v>1586</v>
      </c>
      <c r="E933" t="s">
        <v>8852</v>
      </c>
      <c r="J933" t="inlineStr">
        <is>
          <t>Computer Class Rm</t>
        </is>
      </c>
      <c r="K933" t="inlineStr">
        <is>
          <t>QNL/FF.jpg</t>
        </is>
      </c>
      <c r="L933" t="inlineStr">
        <is>
          <t>SAME - screen and column D name the same room</t>
        </is>
      </c>
    </row>
    <row r="934" spans="1:13" outlineLevel="1" x14ac:dyDescent="0.3">
      <c r="A934" t="s">
        <v>1588</v>
      </c>
      <c r="B934" t="s">
        <v>266</v>
      </c>
      <c r="C934" s="15" t="s">
        <v>10</v>
      </c>
      <c r="D934" s="15" t="s">
        <v>1586</v>
      </c>
      <c r="E934" t="s">
        <v>8852</v>
      </c>
      <c r="J934" t="inlineStr">
        <is>
          <t>Computer Class Rm</t>
        </is>
      </c>
      <c r="K934" t="inlineStr">
        <is>
          <t>QNL/FF.jpg</t>
        </is>
      </c>
      <c r="L934" t="inlineStr">
        <is>
          <t>SAME - screen and column D name the same room</t>
        </is>
      </c>
    </row>
    <row r="935" spans="1:5" outlineLevel="1" x14ac:dyDescent="0.3">
      <c r="A935" t="s">
        <v>1589</v>
      </c>
      <c r="B935" t="s">
        <v>266</v>
      </c>
      <c r="C935" s="15" t="s">
        <v>10</v>
      </c>
      <c r="D935" s="15" t="s">
        <v>1586</v>
      </c>
      <c r="E935" t="s">
        <v>8852</v>
      </c>
    </row>
    <row r="936" spans="1:5" outlineLevel="1" x14ac:dyDescent="0.3">
      <c r="A936" t="s">
        <v>1590</v>
      </c>
      <c r="B936" t="s">
        <v>266</v>
      </c>
      <c r="C936" s="15" t="s">
        <v>10</v>
      </c>
      <c r="D936" s="15" t="s">
        <v>1586</v>
      </c>
      <c r="E936" t="s">
        <v>8852</v>
      </c>
    </row>
    <row r="937" spans="1:11" outlineLevel="1" x14ac:dyDescent="0.3">
      <c s="45" r="A937" t="s">
        <v>1591</v>
      </c>
      <c s="45" r="B937" t="s">
        <v>266</v>
      </c>
      <c r="C937" s="46" t="s">
        <v>10</v>
      </c>
      <c r="D937" s="46" t="s">
        <v>1586</v>
      </c>
      <c s="45" r="E937" t="s">
        <v>8852</v>
      </c>
      <c r="F937" s="45"/>
      <c r="G937" s="45"/>
      <c r="H937" s="45"/>
      <c r="I937" s="45"/>
      <c s="45" r="J937" t="inlineStr">
        <is>
          <t>Info. Literacy Instr.2 / Writing Head (open plan)</t>
        </is>
      </c>
      <c s="45" r="K937" t="inlineStr">
        <is>
          <t>QNL/FF.jpg</t>
        </is>
      </c>
      <c r="L937" t="inlineStr">
        <is>
          <t>DIFF - the screen puts this unit somewhere column D does not</t>
        </is>
      </c>
      <c r="M937" t="inlineStr">
        <is>
          <t>the dot is in the Info. Literacy Instr.2 / Writing Head cell, two walls west of the Computer Class Rm where column D puts it</t>
        </is>
      </c>
    </row>
    <row r="938" spans="1:13" outlineLevel="1" x14ac:dyDescent="0.3">
      <c r="A938" t="s">
        <v>1592</v>
      </c>
      <c r="B938" t="s">
        <v>266</v>
      </c>
      <c r="C938" s="15" t="s">
        <v>10</v>
      </c>
      <c r="D938" s="15" t="s">
        <v>1586</v>
      </c>
      <c r="E938" t="s">
        <v>8852</v>
      </c>
      <c r="J938" t="inlineStr">
        <is>
          <t>Computer Class Rm</t>
        </is>
      </c>
      <c r="K938" t="inlineStr">
        <is>
          <t>QNL/FF.jpg</t>
        </is>
      </c>
      <c r="L938" t="inlineStr">
        <is>
          <t>SAME - screen and column D name the same room</t>
        </is>
      </c>
    </row>
    <row r="939" spans="1:5" outlineLevel="1" x14ac:dyDescent="0.3">
      <c r="A939" t="s">
        <v>1593</v>
      </c>
      <c r="B939" t="s">
        <v>266</v>
      </c>
      <c r="C939" s="15" t="s">
        <v>10</v>
      </c>
      <c r="D939" s="15" t="s">
        <v>1586</v>
      </c>
      <c r="E939" t="s">
        <v>8852</v>
      </c>
    </row>
    <row r="940" spans="1:13" outlineLevel="1" x14ac:dyDescent="0.3">
      <c r="A940" t="s">
        <v>1594</v>
      </c>
      <c r="B940" t="s">
        <v>266</v>
      </c>
      <c r="C940" s="15" t="s">
        <v>10</v>
      </c>
      <c r="D940" s="15" t="s">
        <v>1595</v>
      </c>
      <c r="E940" t="s">
        <v>8870</v>
      </c>
      <c r="J940" t="inlineStr">
        <is>
          <t>Study Rm 4</t>
        </is>
      </c>
      <c r="K940" t="inlineStr">
        <is>
          <t>QNL/FF.jpg</t>
        </is>
      </c>
      <c r="L940" t="inlineStr">
        <is>
          <t>SAME - screen and column D name the same room</t>
        </is>
      </c>
    </row>
    <row r="941" spans="1:11" outlineLevel="1" x14ac:dyDescent="0.3">
      <c s="45" r="A941" t="s">
        <v>1596</v>
      </c>
      <c s="45" r="B941" t="s">
        <v>266</v>
      </c>
      <c r="C941" s="46" t="s">
        <v>10</v>
      </c>
      <c r="D941" s="46" t="s">
        <v>1597</v>
      </c>
      <c s="45" r="E941" t="s">
        <v>8856</v>
      </c>
      <c r="F941" s="45"/>
      <c r="G941" s="45"/>
      <c r="H941" s="45"/>
      <c r="I941" s="45"/>
      <c s="45" r="J941" t="inlineStr">
        <is>
          <t>Yellow band at the north-west corner</t>
        </is>
      </c>
      <c s="45" r="K941" t="inlineStr">
        <is>
          <t>QNL/FF-3.jpg</t>
        </is>
      </c>
      <c r="L941" t="inlineStr">
        <is>
          <t>CHECK - read, but with a caveat; see the reason</t>
        </is>
      </c>
      <c r="M941" t="inlineStr">
        <is>
          <t>the band carries no label; column D says CHILDRENS LIBRARY SLOPE CORRIDOR L1.023</t>
        </is>
      </c>
    </row>
    <row r="942" spans="1:11" outlineLevel="1" x14ac:dyDescent="0.3">
      <c s="45" r="A942" t="s">
        <v>1598</v>
      </c>
      <c s="45" r="B942" t="s">
        <v>266</v>
      </c>
      <c r="C942" s="46" t="s">
        <v>10</v>
      </c>
      <c r="D942" s="46" t="s">
        <v>1597</v>
      </c>
      <c s="45" r="E942" t="s">
        <v>8856</v>
      </c>
      <c r="F942" s="45"/>
      <c r="G942" s="45"/>
      <c r="H942" s="45"/>
      <c r="I942" s="45"/>
      <c s="45" r="J942" t="inlineStr">
        <is>
          <t>Study Rm3</t>
        </is>
      </c>
      <c s="45" r="K942" t="inlineStr">
        <is>
          <t>QNL/FF.jpg</t>
        </is>
      </c>
      <c r="L942" t="inlineStr">
        <is>
          <t>DIFF - the screen puts this unit somewhere column D does not</t>
        </is>
      </c>
      <c r="M942" t="inlineStr">
        <is>
          <t>the dot is inside the Study Rm3 room; column D says CHILDRENS LIBRARY SLOPE CORRIDOR L1.023</t>
        </is>
      </c>
    </row>
    <row r="943" spans="1:5" outlineLevel="1" x14ac:dyDescent="0.3">
      <c r="A943" t="s">
        <v>1599</v>
      </c>
      <c r="B943" t="s">
        <v>266</v>
      </c>
      <c r="C943" s="15" t="s">
        <v>10</v>
      </c>
      <c r="D943" s="15" t="s">
        <v>1597</v>
      </c>
      <c r="E943" t="s">
        <v>8856</v>
      </c>
    </row>
    <row r="944" spans="1:5" outlineLevel="1" x14ac:dyDescent="0.3">
      <c r="A944" t="s">
        <v>1600</v>
      </c>
      <c r="B944" t="s">
        <v>266</v>
      </c>
      <c r="C944" s="15" t="s">
        <v>10</v>
      </c>
      <c r="D944" s="15" t="s">
        <v>1597</v>
      </c>
      <c r="E944" t="s">
        <v>8856</v>
      </c>
    </row>
    <row r="945" spans="1:5" outlineLevel="1" x14ac:dyDescent="0.3">
      <c r="A945" t="s">
        <v>1601</v>
      </c>
      <c r="B945" t="s">
        <v>266</v>
      </c>
      <c r="C945" s="15" t="s">
        <v>10</v>
      </c>
      <c r="D945" s="15" t="s">
        <v>1602</v>
      </c>
      <c r="E945" t="s">
        <v>8900</v>
      </c>
    </row>
    <row r="946" spans="1:5" outlineLevel="1" x14ac:dyDescent="0.3">
      <c r="A946" t="s">
        <v>1603</v>
      </c>
      <c r="B946" t="s">
        <v>266</v>
      </c>
      <c r="C946" s="15" t="s">
        <v>10</v>
      </c>
      <c r="D946" s="15" t="s">
        <v>1602</v>
      </c>
      <c r="E946" t="s">
        <v>8900</v>
      </c>
    </row>
    <row r="947" spans="1:13" outlineLevel="1" x14ac:dyDescent="0.3">
      <c r="A947" t="s">
        <v>1604</v>
      </c>
      <c r="B947" t="s">
        <v>266</v>
      </c>
      <c r="C947" s="15" t="s">
        <v>10</v>
      </c>
      <c r="D947" s="15" t="s">
        <v>1605</v>
      </c>
      <c r="E947" t="s">
        <v>8904</v>
      </c>
      <c r="J947" t="inlineStr">
        <is>
          <t>Media Studio1 / Storage / Media Studio2 (open plan)</t>
        </is>
      </c>
      <c r="K947" t="inlineStr">
        <is>
          <t>QNL/FF-3.jpg</t>
        </is>
      </c>
      <c r="L947" t="inlineStr">
        <is>
          <t>OPEN - one space, two or more labels; the screen cannot split them</t>
        </is>
      </c>
      <c r="M947" t="inlineStr">
        <is>
          <t>open plan - under the Storage label</t>
        </is>
      </c>
    </row>
    <row r="948" spans="1:13" outlineLevel="1" x14ac:dyDescent="0.3">
      <c r="A948" t="s">
        <v>1606</v>
      </c>
      <c r="B948" t="s">
        <v>266</v>
      </c>
      <c r="C948" s="15" t="s">
        <v>10</v>
      </c>
      <c r="D948" s="15" t="s">
        <v>1605</v>
      </c>
      <c r="E948" t="s">
        <v>8904</v>
      </c>
      <c r="J948" t="inlineStr">
        <is>
          <t>Media Studio1 / Storage / Media Studio2 (open plan)</t>
        </is>
      </c>
      <c r="K948" t="inlineStr">
        <is>
          <t>QNL/FF-3.jpg</t>
        </is>
      </c>
      <c r="L948" t="inlineStr">
        <is>
          <t>OPEN - one space, two or more labels; the screen cannot split them</t>
        </is>
      </c>
      <c r="M948" t="inlineStr">
        <is>
          <t>open plan - under the Storage label</t>
        </is>
      </c>
    </row>
    <row r="949" spans="1:5" outlineLevel="1" x14ac:dyDescent="0.3">
      <c r="A949" t="s">
        <v>1607</v>
      </c>
      <c r="B949" t="s">
        <v>266</v>
      </c>
      <c r="C949" s="15" t="s">
        <v>8</v>
      </c>
      <c r="D949" s="15" t="s">
        <v>1608</v>
      </c>
      <c r="E949" t="s">
        <v>8876</v>
      </c>
    </row>
    <row r="950" spans="1:13" outlineLevel="1" x14ac:dyDescent="0.3">
      <c r="A950" t="s">
        <v>1609</v>
      </c>
      <c r="B950" t="s">
        <v>266</v>
      </c>
      <c r="C950" s="15" t="s">
        <v>10</v>
      </c>
      <c r="D950" s="15" t="s">
        <v>1610</v>
      </c>
      <c r="E950" t="s">
        <v>8889</v>
      </c>
      <c r="J950" t="inlineStr">
        <is>
          <t>Children Library</t>
        </is>
      </c>
      <c r="K950" t="inlineStr">
        <is>
          <t>QNL/FF.jpg</t>
        </is>
      </c>
      <c r="L950" t="inlineStr">
        <is>
          <t>SAME - screen and column D name the same room</t>
        </is>
      </c>
    </row>
    <row r="951" spans="1:13" outlineLevel="1" x14ac:dyDescent="0.3">
      <c r="A951" t="s">
        <v>1611</v>
      </c>
      <c r="B951" t="s">
        <v>266</v>
      </c>
      <c r="C951" s="15" t="s">
        <v>10</v>
      </c>
      <c r="D951" s="15" t="s">
        <v>1610</v>
      </c>
      <c r="E951" t="s">
        <v>8889</v>
      </c>
      <c r="J951" t="inlineStr">
        <is>
          <t>Children Library</t>
        </is>
      </c>
      <c r="K951" t="inlineStr">
        <is>
          <t>QNL/FF.jpg</t>
        </is>
      </c>
      <c r="L951" t="inlineStr">
        <is>
          <t>SAME - screen and column D name the same room</t>
        </is>
      </c>
    </row>
    <row r="952" spans="1:13" outlineLevel="1" x14ac:dyDescent="0.3">
      <c r="A952" t="s">
        <v>1612</v>
      </c>
      <c r="B952" t="s">
        <v>266</v>
      </c>
      <c r="C952" s="15" t="s">
        <v>10</v>
      </c>
      <c r="D952" s="15" t="s">
        <v>1610</v>
      </c>
      <c r="E952" t="s">
        <v>8889</v>
      </c>
      <c r="J952" t="inlineStr">
        <is>
          <t>Children Library</t>
        </is>
      </c>
      <c r="K952" t="inlineStr">
        <is>
          <t>QNL/FF.jpg</t>
        </is>
      </c>
      <c r="L952" t="inlineStr">
        <is>
          <t>SAME - screen and column D name the same room</t>
        </is>
      </c>
    </row>
    <row r="953" spans="1:11" outlineLevel="1" x14ac:dyDescent="0.3">
      <c s="45" r="A953" t="s">
        <v>1613</v>
      </c>
      <c s="45" r="B953" t="s">
        <v>266</v>
      </c>
      <c r="C953" s="46" t="s">
        <v>10</v>
      </c>
      <c r="D953" s="46" t="s">
        <v>1614</v>
      </c>
      <c s="45" r="E953" t="s">
        <v>8889</v>
      </c>
      <c r="F953" s="45"/>
      <c r="G953" s="45"/>
      <c r="H953" s="45"/>
      <c r="I953" s="45"/>
      <c s="45" r="J953" t="inlineStr">
        <is>
          <t>Unlabelled purple strip west of the Restaurant</t>
        </is>
      </c>
      <c s="45" r="K953" t="inlineStr">
        <is>
          <t>QNL/FF-2.jpg</t>
        </is>
      </c>
      <c r="L953" t="inlineStr">
        <is>
          <t>CHECK - read, but with a caveat; see the reason</t>
        </is>
      </c>
      <c r="M953" t="inlineStr">
        <is>
          <t>the strip carries no label; column D says CHILDRENS LIBRARY-PRE SCHOOL COLLECTION L1.047, which is on the Zone 1 screen</t>
        </is>
      </c>
    </row>
    <row r="954" spans="1:11" outlineLevel="1" x14ac:dyDescent="0.3">
      <c s="45" r="A954" t="s">
        <v>1615</v>
      </c>
      <c s="45" r="B954" t="s">
        <v>266</v>
      </c>
      <c r="C954" s="46" t="s">
        <v>10</v>
      </c>
      <c r="D954" s="46" t="s">
        <v>1614</v>
      </c>
      <c s="45" r="E954" t="s">
        <v>8889</v>
      </c>
      <c r="F954" s="45"/>
      <c r="G954" s="45"/>
      <c r="H954" s="45"/>
      <c r="I954" s="45"/>
      <c s="45" r="J954" t="inlineStr">
        <is>
          <t>Unlabelled purple strip west of the Restaurant</t>
        </is>
      </c>
      <c s="45" r="K954" t="inlineStr">
        <is>
          <t>QNL/FF-2.jpg</t>
        </is>
      </c>
      <c r="L954" t="inlineStr">
        <is>
          <t>CHECK - read, but with a caveat; see the reason</t>
        </is>
      </c>
      <c r="M954" t="inlineStr">
        <is>
          <t>the strip carries no label; column D says CHILDRENS LIBRARY-PRE SCHOOL COLLECTION L1.047, which is on the Zone 1 screen</t>
        </is>
      </c>
    </row>
    <row r="955" spans="1:5" outlineLevel="1" x14ac:dyDescent="0.3">
      <c r="A955" t="s">
        <v>1616</v>
      </c>
      <c r="B955" t="s">
        <v>266</v>
      </c>
      <c r="C955" s="15" t="s">
        <v>10</v>
      </c>
      <c r="D955" s="15" t="s">
        <v>1614</v>
      </c>
      <c r="E955" t="s">
        <v>8889</v>
      </c>
    </row>
    <row r="956" spans="1:13" outlineLevel="1" x14ac:dyDescent="0.3">
      <c r="A956" t="s">
        <v>1617</v>
      </c>
      <c r="B956" t="s">
        <v>266</v>
      </c>
      <c r="C956" s="15" t="s">
        <v>10</v>
      </c>
      <c r="D956" s="15" t="s">
        <v>1618</v>
      </c>
      <c r="E956" t="s">
        <v>8892</v>
      </c>
      <c r="J956" t="inlineStr">
        <is>
          <t>Yellow cell south of Staff Office</t>
        </is>
      </c>
      <c r="K956" t="inlineStr">
        <is>
          <t>QNL/FF.jpg</t>
        </is>
      </c>
      <c r="L956" t="inlineStr">
        <is>
          <t>SAME - screen and column D name the same room</t>
        </is>
      </c>
      <c r="M956" t="inlineStr">
        <is>
          <t>the cell carries no label of its own; the Staff Office cell is the one above it</t>
        </is>
      </c>
    </row>
    <row r="957" spans="1:5" outlineLevel="1" x14ac:dyDescent="0.3">
      <c r="A957" t="s">
        <v>1619</v>
      </c>
      <c r="B957" t="s">
        <v>266</v>
      </c>
      <c r="C957" s="15" t="s">
        <v>10</v>
      </c>
      <c r="D957" s="15" t="s">
        <v>1620</v>
      </c>
      <c r="E957" t="s">
        <v>9128</v>
      </c>
    </row>
    <row r="958" spans="1:13" outlineLevel="1" x14ac:dyDescent="0.3">
      <c r="A958" t="s">
        <v>1621</v>
      </c>
      <c r="B958" t="s">
        <v>266</v>
      </c>
      <c r="C958" s="15" t="s">
        <v>10</v>
      </c>
      <c r="D958" s="15" t="s">
        <v>1620</v>
      </c>
      <c r="E958" t="s">
        <v>9128</v>
      </c>
      <c r="J958" t="inlineStr">
        <is>
          <t>Prayer Rm (Female)</t>
        </is>
      </c>
      <c r="K958" t="inlineStr">
        <is>
          <t>QNL/FF-3.jpg</t>
        </is>
      </c>
      <c r="L958" t="inlineStr">
        <is>
          <t>SAME - screen and column D name the same room</t>
        </is>
      </c>
      <c r="M958" t="inlineStr">
        <is>
          <t>the upper half of the purple block, which is where the Prayer Rm (Female) pointer lands</t>
        </is>
      </c>
    </row>
    <row r="959" spans="1:5" outlineLevel="1" x14ac:dyDescent="0.3">
      <c r="A959" t="s">
        <v>1622</v>
      </c>
      <c r="B959" t="s">
        <v>266</v>
      </c>
      <c r="C959" s="15" t="s">
        <v>10</v>
      </c>
      <c r="D959" s="15" t="s">
        <v>1623</v>
      </c>
      <c r="E959" t="s">
        <v>9128</v>
      </c>
    </row>
    <row r="960" spans="1:5" outlineLevel="1" x14ac:dyDescent="0.3">
      <c r="A960" t="s">
        <v>1624</v>
      </c>
      <c r="B960" t="s">
        <v>266</v>
      </c>
      <c r="C960" s="15" t="s">
        <v>10</v>
      </c>
      <c r="D960" s="15" t="s">
        <v>1623</v>
      </c>
      <c r="E960" t="s">
        <v>9128</v>
      </c>
    </row>
    <row r="961" spans="1:5" outlineLevel="1" x14ac:dyDescent="0.3">
      <c r="A961" t="s">
        <v>1625</v>
      </c>
      <c r="B961" t="s">
        <v>266</v>
      </c>
      <c r="C961" s="15" t="s">
        <v>10</v>
      </c>
      <c r="D961" s="15" t="s">
        <v>1626</v>
      </c>
      <c r="E961" t="s">
        <v>8981</v>
      </c>
    </row>
    <row r="962" spans="1:5" outlineLevel="1" x14ac:dyDescent="0.3">
      <c r="A962" t="s">
        <v>1627</v>
      </c>
      <c r="B962" t="s">
        <v>266</v>
      </c>
      <c r="C962" s="15" t="s">
        <v>10</v>
      </c>
      <c r="D962" s="15" t="s">
        <v>1628</v>
      </c>
      <c r="E962" t="s">
        <v>8978</v>
      </c>
    </row>
    <row r="963" spans="1:5" outlineLevel="1" x14ac:dyDescent="0.3">
      <c r="A963" t="s">
        <v>1629</v>
      </c>
      <c r="B963" t="s">
        <v>266</v>
      </c>
      <c r="C963" s="15" t="s">
        <v>10</v>
      </c>
      <c r="D963" s="15" t="s">
        <v>1630</v>
      </c>
      <c r="E963" t="s">
        <v>8829</v>
      </c>
    </row>
    <row r="964" spans="1:11" outlineLevel="1" x14ac:dyDescent="0.3">
      <c s="45" r="A964" t="s">
        <v>1631</v>
      </c>
      <c s="45" r="B964" t="s">
        <v>266</v>
      </c>
      <c r="C964" s="46" t="s">
        <v>10</v>
      </c>
      <c r="D964" s="46" t="s">
        <v>1618</v>
      </c>
      <c s="45" r="E964" t="s">
        <v>8892</v>
      </c>
      <c r="F964" s="45"/>
      <c r="G964" s="45"/>
      <c r="H964" s="45"/>
      <c r="I964" s="45"/>
      <c s="45" r="J964" t="inlineStr">
        <is>
          <t>Head Librarian Office</t>
        </is>
      </c>
      <c s="45" r="K964" t="inlineStr">
        <is>
          <t>QNL/FF.jpg</t>
        </is>
      </c>
      <c r="L964" t="inlineStr">
        <is>
          <t>DIFF - the screen puts this unit somewhere column D does not</t>
        </is>
      </c>
      <c r="M964" t="inlineStr">
        <is>
          <t>the dot is in the Head Librarian Office cell, one wall north of the Staff Office cell where column D puts it</t>
        </is>
      </c>
    </row>
    <row r="965" spans="1:5" outlineLevel="1" x14ac:dyDescent="0.3">
      <c r="A965" t="s">
        <v>1632</v>
      </c>
      <c r="B965" t="s">
        <v>266</v>
      </c>
      <c r="C965" s="15" t="s">
        <v>10</v>
      </c>
      <c r="D965" s="15" t="s">
        <v>1630</v>
      </c>
      <c r="E965" t="s">
        <v>8829</v>
      </c>
    </row>
    <row r="966" spans="1:13" outlineLevel="1" x14ac:dyDescent="0.3">
      <c r="A966" t="s">
        <v>1633</v>
      </c>
      <c r="B966" t="s">
        <v>266</v>
      </c>
      <c r="C966" s="15" t="s">
        <v>10</v>
      </c>
      <c r="D966" s="15" t="s">
        <v>1634</v>
      </c>
      <c r="E966" t="s">
        <v>8879</v>
      </c>
      <c r="J966" t="inlineStr">
        <is>
          <t>Multipurpose Rm</t>
        </is>
      </c>
      <c r="K966" t="inlineStr">
        <is>
          <t>QNL/FF.jpg</t>
        </is>
      </c>
      <c r="L966" t="inlineStr">
        <is>
          <t>SAME - screen and column D name the same room</t>
        </is>
      </c>
    </row>
    <row r="967" spans="1:13" outlineLevel="1" x14ac:dyDescent="0.3">
      <c r="A967" t="s">
        <v>1635</v>
      </c>
      <c r="B967" t="s">
        <v>266</v>
      </c>
      <c r="C967" s="15" t="s">
        <v>10</v>
      </c>
      <c r="D967" s="15" t="s">
        <v>1634</v>
      </c>
      <c r="E967" t="s">
        <v>8879</v>
      </c>
      <c r="J967" t="inlineStr">
        <is>
          <t>Multipurpose Rm</t>
        </is>
      </c>
      <c r="K967" t="inlineStr">
        <is>
          <t>QNL/FF.jpg</t>
        </is>
      </c>
      <c r="L967" t="inlineStr">
        <is>
          <t>SAME - screen and column D name the same room</t>
        </is>
      </c>
    </row>
    <row r="968" spans="1:13" outlineLevel="1" x14ac:dyDescent="0.3">
      <c r="A968" t="s">
        <v>1636</v>
      </c>
      <c r="B968" t="s">
        <v>266</v>
      </c>
      <c r="C968" s="15" t="s">
        <v>10</v>
      </c>
      <c r="D968" s="15" t="s">
        <v>1634</v>
      </c>
      <c r="E968" t="s">
        <v>8879</v>
      </c>
      <c r="J968" t="inlineStr">
        <is>
          <t>Multipurpose Rm</t>
        </is>
      </c>
      <c r="K968" t="inlineStr">
        <is>
          <t>QNL/FF-2.jpg</t>
        </is>
      </c>
      <c r="L968" t="inlineStr">
        <is>
          <t>SAME - screen and column D name the same room</t>
        </is>
      </c>
    </row>
    <row r="969" spans="1:11" outlineLevel="1" x14ac:dyDescent="0.3">
      <c s="45" r="A969" t="s">
        <v>1637</v>
      </c>
      <c s="45" r="B969" t="s">
        <v>266</v>
      </c>
      <c r="C969" s="46" t="s">
        <v>10</v>
      </c>
      <c r="D969" s="46" t="s">
        <v>9176</v>
      </c>
      <c s="45" r="E969" t="s">
        <v>9163</v>
      </c>
      <c r="F969" s="45"/>
      <c r="G969" s="45"/>
      <c r="H969" s="45"/>
      <c r="I969" s="45"/>
      <c s="45" r="J969" t="inlineStr">
        <is>
          <t>Libr.Com.Rel. Spo. &amp; Event Spc / Ad.Admin &amp;Planning (yellow zone)</t>
        </is>
      </c>
      <c s="45" r="K969" t="inlineStr">
        <is>
          <t>QNL/SF-1.jpg</t>
        </is>
      </c>
      <c r="L969" t="inlineStr">
        <is>
          <t>CHECK - read, but with a caveat; see the reason</t>
        </is>
      </c>
      <c r="M969" t="inlineStr">
        <is>
          <t>column D says GULF MATERIAL L2</t>
        </is>
      </c>
    </row>
    <row r="970" spans="1:11" outlineLevel="1" x14ac:dyDescent="0.3">
      <c s="45" r="A970" t="s">
        <v>1638</v>
      </c>
      <c s="45" r="B970" t="s">
        <v>266</v>
      </c>
      <c r="C970" s="46" t="s">
        <v>10</v>
      </c>
      <c r="D970" s="46" t="s">
        <v>9176</v>
      </c>
      <c s="45" r="E970" t="s">
        <v>9163</v>
      </c>
      <c r="F970" s="45"/>
      <c r="G970" s="45"/>
      <c r="H970" s="45"/>
      <c r="I970" s="45"/>
      <c s="45" r="J970" t="inlineStr">
        <is>
          <t>Libr.Com.Rel. Spo. &amp; Event Spc / Ad.Admin &amp;Planning (yellow zone)</t>
        </is>
      </c>
      <c s="45" r="K970" t="inlineStr">
        <is>
          <t>QNL/SF-1.jpg</t>
        </is>
      </c>
      <c r="L970" t="inlineStr">
        <is>
          <t>CHECK - read, but with a caveat; see the reason</t>
        </is>
      </c>
      <c r="M970" t="inlineStr">
        <is>
          <t>column D says GULF MATERIAL L2</t>
        </is>
      </c>
    </row>
    <row r="971" spans="1:11" outlineLevel="1" x14ac:dyDescent="0.3">
      <c s="45" r="A971" t="s">
        <v>1639</v>
      </c>
      <c s="45" r="B971" t="s">
        <v>266</v>
      </c>
      <c r="C971" s="46" t="s">
        <v>10</v>
      </c>
      <c r="D971" s="46" t="s">
        <v>9176</v>
      </c>
      <c s="45" r="E971" t="s">
        <v>9163</v>
      </c>
      <c r="F971" s="45"/>
      <c r="G971" s="45"/>
      <c r="H971" s="45"/>
      <c r="I971" s="45"/>
      <c s="45" r="J971" t="inlineStr">
        <is>
          <t>Libr.Com.Rel. Spo. &amp; Event Spc / Ad.Admin &amp;Planning (yellow zone)</t>
        </is>
      </c>
      <c s="45" r="K971" t="inlineStr">
        <is>
          <t>QNL/SF-1.jpg</t>
        </is>
      </c>
      <c r="L971" t="inlineStr">
        <is>
          <t>CHECK - read, but with a caveat; see the reason</t>
        </is>
      </c>
      <c r="M971" t="inlineStr">
        <is>
          <t>column D says GULF MATERIAL L2</t>
        </is>
      </c>
    </row>
    <row r="972" spans="1:11" outlineLevel="1" x14ac:dyDescent="0.3">
      <c s="45" r="A972" t="s">
        <v>1640</v>
      </c>
      <c s="45" r="B972" t="s">
        <v>266</v>
      </c>
      <c r="C972" s="46" t="s">
        <v>10</v>
      </c>
      <c r="D972" s="46" t="s">
        <v>9176</v>
      </c>
      <c s="45" r="E972" t="s">
        <v>9163</v>
      </c>
      <c r="F972" s="45"/>
      <c r="G972" s="45"/>
      <c r="H972" s="45"/>
      <c r="I972" s="45"/>
      <c s="45" r="J972" t="inlineStr">
        <is>
          <t>Libr.Com.Rel. Spo. &amp; Event Spc / Ad.Admin &amp;Planning (yellow zone)</t>
        </is>
      </c>
      <c s="45" r="K972" t="inlineStr">
        <is>
          <t>QNL/SF-1.jpg</t>
        </is>
      </c>
      <c r="L972" t="inlineStr">
        <is>
          <t>CHECK - read, but with a caveat; see the reason</t>
        </is>
      </c>
      <c r="M972" t="inlineStr">
        <is>
          <t>south half of the yellow zone, which carries no label of its own; column D says GULF MATERIAL L2</t>
        </is>
      </c>
    </row>
    <row r="973" spans="1:11" outlineLevel="1" x14ac:dyDescent="0.3">
      <c s="45" r="A973" t="s">
        <v>1641</v>
      </c>
      <c s="45" r="B973" t="s">
        <v>266</v>
      </c>
      <c r="C973" s="46" t="s">
        <v>10</v>
      </c>
      <c r="D973" s="46" t="s">
        <v>9176</v>
      </c>
      <c s="45" r="E973" t="s">
        <v>9163</v>
      </c>
      <c r="F973" s="45"/>
      <c r="G973" s="45"/>
      <c r="H973" s="45"/>
      <c r="I973" s="45"/>
      <c s="45" r="J973" t="inlineStr">
        <is>
          <t>Libr.Com.Rel. Spo. &amp; Event Spc / Ad.Admin &amp;Planning (yellow zone)</t>
        </is>
      </c>
      <c s="45" r="K973" t="inlineStr">
        <is>
          <t>QNL/SF-1.jpg</t>
        </is>
      </c>
      <c r="L973" t="inlineStr">
        <is>
          <t>CHECK - read, but with a caveat; see the reason</t>
        </is>
      </c>
      <c r="M973" t="inlineStr">
        <is>
          <t>south half of the yellow zone, which carries no label of its own; column D says GULF MATERIAL L2</t>
        </is>
      </c>
    </row>
    <row r="974" spans="1:5" outlineLevel="1" x14ac:dyDescent="0.3">
      <c r="A974" t="s">
        <v>1642</v>
      </c>
      <c r="B974" t="s">
        <v>266</v>
      </c>
      <c r="C974" s="15" t="s">
        <v>10</v>
      </c>
      <c r="D974" s="15" t="s">
        <v>9176</v>
      </c>
      <c r="E974" t="s">
        <v>9163</v>
      </c>
    </row>
    <row r="975" spans="1:5" outlineLevel="1" x14ac:dyDescent="0.3">
      <c r="A975" t="s">
        <v>1643</v>
      </c>
      <c r="B975" t="s">
        <v>266</v>
      </c>
      <c r="C975" s="15" t="s">
        <v>10</v>
      </c>
      <c r="D975" s="15" t="s">
        <v>1644</v>
      </c>
      <c r="E975" t="s">
        <v>8823</v>
      </c>
    </row>
    <row r="976" spans="1:5" outlineLevel="1" x14ac:dyDescent="0.3">
      <c r="A976" t="s">
        <v>1645</v>
      </c>
      <c r="B976" t="s">
        <v>266</v>
      </c>
      <c r="C976" s="15" t="s">
        <v>10</v>
      </c>
      <c r="D976" s="15" t="s">
        <v>1644</v>
      </c>
      <c r="E976" t="s">
        <v>8823</v>
      </c>
    </row>
    <row r="977" spans="1:11" outlineLevel="1" x14ac:dyDescent="0.3">
      <c s="45" r="A977" t="s">
        <v>1646</v>
      </c>
      <c s="45" r="B977" t="s">
        <v>266</v>
      </c>
      <c r="C977" s="46" t="s">
        <v>10</v>
      </c>
      <c r="D977" s="46" t="s">
        <v>1644</v>
      </c>
      <c s="45" r="E977" t="s">
        <v>8823</v>
      </c>
      <c r="F977" s="45"/>
      <c r="G977" s="45"/>
      <c r="H977" s="45"/>
      <c r="I977" s="45"/>
      <c s="45" r="J977" t="inlineStr">
        <is>
          <t>Unlabelled open area, west half of Zone 1</t>
        </is>
      </c>
      <c s="45" r="K977" t="inlineStr">
        <is>
          <t>QNL/SF-1.jpg</t>
        </is>
      </c>
      <c r="L977" t="inlineStr">
        <is>
          <t>CHECK - read, but with a caveat; see the reason</t>
        </is>
      </c>
      <c r="M977" t="inlineStr">
        <is>
          <t>the west half of this Zone 1 plan carries no room label at all; column D gives this unit a first-floor room number (L1.xxx) although the tag and the screen are both second floor</t>
        </is>
      </c>
    </row>
    <row r="978" spans="1:5" outlineLevel="1" x14ac:dyDescent="0.3">
      <c r="A978" t="s">
        <v>1647</v>
      </c>
      <c r="B978" t="s">
        <v>266</v>
      </c>
      <c r="C978" s="15" t="s">
        <v>10</v>
      </c>
      <c r="D978" s="15" t="s">
        <v>1644</v>
      </c>
      <c r="E978" t="s">
        <v>8823</v>
      </c>
    </row>
    <row r="979" spans="1:5" outlineLevel="1" x14ac:dyDescent="0.3">
      <c r="A979" t="s">
        <v>1648</v>
      </c>
      <c r="B979" t="s">
        <v>266</v>
      </c>
      <c r="C979" s="15" t="s">
        <v>10</v>
      </c>
      <c r="D979" s="15" t="s">
        <v>1644</v>
      </c>
      <c r="E979" t="s">
        <v>8823</v>
      </c>
    </row>
    <row r="980" spans="1:11" outlineLevel="1" x14ac:dyDescent="0.3">
      <c s="45" r="A980" t="s">
        <v>1649</v>
      </c>
      <c s="45" r="B980" t="s">
        <v>266</v>
      </c>
      <c r="C980" s="46" t="s">
        <v>10</v>
      </c>
      <c r="D980" s="46" t="s">
        <v>1644</v>
      </c>
      <c s="45" r="E980" t="s">
        <v>8823</v>
      </c>
      <c r="F980" s="45"/>
      <c r="G980" s="45"/>
      <c r="H980" s="45"/>
      <c r="I980" s="45"/>
      <c s="45" r="J980" t="inlineStr">
        <is>
          <t>Unlabelled open area, west half of Zone 1</t>
        </is>
      </c>
      <c s="45" r="K980" t="inlineStr">
        <is>
          <t>QNL/SF-1.jpg</t>
        </is>
      </c>
      <c r="L980" t="inlineStr">
        <is>
          <t>CHECK - read, but with a caveat; see the reason</t>
        </is>
      </c>
      <c r="M980" t="inlineStr">
        <is>
          <t>the west half of this Zone 1 plan carries no room label at all; column D gives this unit a first-floor room number (L1.xxx) although the tag and the screen are both second floor</t>
        </is>
      </c>
    </row>
    <row r="981" spans="1:11" outlineLevel="1" x14ac:dyDescent="0.3">
      <c s="45" r="A981" t="s">
        <v>1650</v>
      </c>
      <c s="45" r="B981" t="s">
        <v>266</v>
      </c>
      <c r="C981" s="46" t="s">
        <v>10</v>
      </c>
      <c r="D981" s="46" t="s">
        <v>1644</v>
      </c>
      <c s="45" r="E981" t="s">
        <v>8823</v>
      </c>
      <c r="F981" s="45"/>
      <c r="G981" s="45"/>
      <c r="H981" s="45"/>
      <c r="I981" s="45"/>
      <c s="45" r="J981" t="inlineStr">
        <is>
          <t>Unlabelled open area, west half of Zone 1</t>
        </is>
      </c>
      <c s="45" r="K981" t="inlineStr">
        <is>
          <t>QNL/SF-1.jpg</t>
        </is>
      </c>
      <c r="L981" t="inlineStr">
        <is>
          <t>CHECK - read, but with a caveat; see the reason</t>
        </is>
      </c>
      <c r="M981" t="inlineStr">
        <is>
          <t>the west half of this Zone 1 plan carries no room label at all; column D gives this unit a first-floor room number (L1.xxx) although the tag and the screen are both second floor</t>
        </is>
      </c>
    </row>
    <row r="982" spans="1:11" outlineLevel="1" x14ac:dyDescent="0.3">
      <c s="45" r="A982" t="s">
        <v>1651</v>
      </c>
      <c s="45" r="B982" t="s">
        <v>266</v>
      </c>
      <c r="C982" s="46" t="s">
        <v>10</v>
      </c>
      <c r="D982" s="46" t="s">
        <v>1644</v>
      </c>
      <c s="45" r="E982" t="s">
        <v>8823</v>
      </c>
      <c r="F982" s="45"/>
      <c r="G982" s="45"/>
      <c r="H982" s="45"/>
      <c r="I982" s="45"/>
      <c s="45" r="J982" t="inlineStr">
        <is>
          <t>Unlabelled open area, west half of Zone 1</t>
        </is>
      </c>
      <c s="45" r="K982" t="inlineStr">
        <is>
          <t>QNL/SF-1.jpg</t>
        </is>
      </c>
      <c r="L982" t="inlineStr">
        <is>
          <t>CHECK - read, but with a caveat; see the reason</t>
        </is>
      </c>
      <c r="M982" t="inlineStr">
        <is>
          <t>the west half of this Zone 1 plan carries no room label at all; column D gives this unit a first-floor room number (L1.xxx) although the tag and the screen are both second floor</t>
        </is>
      </c>
    </row>
    <row r="983" spans="1:11" outlineLevel="1" x14ac:dyDescent="0.3">
      <c s="45" r="A983" t="s">
        <v>1652</v>
      </c>
      <c s="45" r="B983" t="s">
        <v>266</v>
      </c>
      <c r="C983" s="46" t="s">
        <v>10</v>
      </c>
      <c r="D983" s="46" t="s">
        <v>1644</v>
      </c>
      <c s="45" r="E983" t="s">
        <v>8823</v>
      </c>
      <c r="F983" s="45"/>
      <c r="G983" s="45"/>
      <c r="H983" s="45"/>
      <c r="I983" s="45"/>
      <c s="45" r="J983" t="inlineStr">
        <is>
          <t>Unlabelled open area, west half of Zone 1</t>
        </is>
      </c>
      <c s="45" r="K983" t="inlineStr">
        <is>
          <t>QNL/SF-1.jpg</t>
        </is>
      </c>
      <c r="L983" t="inlineStr">
        <is>
          <t>CHECK - read, but with a caveat; see the reason</t>
        </is>
      </c>
      <c r="M983" t="inlineStr">
        <is>
          <t>the west half of this Zone 1 plan carries no room label at all; column D gives this unit a first-floor room number (L1.xxx) although the tag and the screen are both second floor</t>
        </is>
      </c>
    </row>
    <row r="984" spans="1:11" outlineLevel="1" x14ac:dyDescent="0.3">
      <c s="45" r="A984" t="s">
        <v>1653</v>
      </c>
      <c s="45" r="B984" t="s">
        <v>266</v>
      </c>
      <c r="C984" s="46" t="s">
        <v>10</v>
      </c>
      <c r="D984" s="46" t="s">
        <v>1654</v>
      </c>
      <c s="45" r="E984" t="s">
        <v>8826</v>
      </c>
      <c r="F984" s="45"/>
      <c r="G984" s="45"/>
      <c r="H984" s="45"/>
      <c r="I984" s="45"/>
      <c s="45" r="J984" t="inlineStr">
        <is>
          <t>Unlabelled open area, west half of Zone 1</t>
        </is>
      </c>
      <c s="45" r="K984" t="inlineStr">
        <is>
          <t>QNL/SF-1.jpg</t>
        </is>
      </c>
      <c r="L984" t="inlineStr">
        <is>
          <t>CHECK - read, but with a caveat; see the reason</t>
        </is>
      </c>
      <c r="M984" t="inlineStr">
        <is>
          <t>the west half of this Zone 1 plan carries no room label at all; column D gives this unit a first-floor room number (L1.xxx) although the tag and the screen are both second floor</t>
        </is>
      </c>
    </row>
    <row r="985" spans="1:11" outlineLevel="1" x14ac:dyDescent="0.3">
      <c s="45" r="A985" t="s">
        <v>1655</v>
      </c>
      <c s="45" r="B985" t="s">
        <v>266</v>
      </c>
      <c r="C985" s="46" t="s">
        <v>10</v>
      </c>
      <c r="D985" s="46" t="s">
        <v>1654</v>
      </c>
      <c s="45" r="E985" t="s">
        <v>8826</v>
      </c>
      <c r="F985" s="45"/>
      <c r="G985" s="45"/>
      <c r="H985" s="45"/>
      <c r="I985" s="45"/>
      <c s="45" r="J985" t="inlineStr">
        <is>
          <t>Unlabelled open area, west half of Zone 1</t>
        </is>
      </c>
      <c s="45" r="K985" t="inlineStr">
        <is>
          <t>QNL/SF-1.jpg</t>
        </is>
      </c>
      <c r="L985" t="inlineStr">
        <is>
          <t>CHECK - read, but with a caveat; see the reason</t>
        </is>
      </c>
      <c r="M985" t="inlineStr">
        <is>
          <t>the west half of this Zone 1 plan carries no room label at all; column D gives this unit a first-floor room number (L1.xxx) although the tag and the screen are both second floor</t>
        </is>
      </c>
    </row>
    <row r="986" spans="1:11" outlineLevel="1" x14ac:dyDescent="0.3">
      <c s="45" r="A986" t="s">
        <v>1656</v>
      </c>
      <c s="45" r="B986" t="s">
        <v>266</v>
      </c>
      <c r="C986" s="46" t="s">
        <v>10</v>
      </c>
      <c r="D986" s="46" t="s">
        <v>1657</v>
      </c>
      <c s="45" r="E986" t="s">
        <v>8832</v>
      </c>
      <c r="F986" s="45"/>
      <c r="G986" s="45"/>
      <c r="H986" s="45"/>
      <c r="I986" s="45"/>
      <c s="45" r="J986" t="inlineStr">
        <is>
          <t>Unlabelled open area, west half of Zone 1</t>
        </is>
      </c>
      <c s="45" r="K986" t="inlineStr">
        <is>
          <t>QNL/SF-1.jpg</t>
        </is>
      </c>
      <c r="L986" t="inlineStr">
        <is>
          <t>CHECK - read, but with a caveat; see the reason</t>
        </is>
      </c>
      <c r="M986" t="inlineStr">
        <is>
          <t>the west half of this Zone 1 plan carries no room label at all; column D gives this unit a first-floor room number (L1.xxx) although the tag and the screen are both second floor</t>
        </is>
      </c>
    </row>
    <row r="987" spans="1:11" outlineLevel="1" x14ac:dyDescent="0.3">
      <c s="45" r="A987" t="s">
        <v>1658</v>
      </c>
      <c s="45" r="B987" t="s">
        <v>266</v>
      </c>
      <c r="C987" s="46" t="s">
        <v>10</v>
      </c>
      <c r="D987" s="46" t="s">
        <v>1659</v>
      </c>
      <c s="45" r="E987" t="s">
        <v>8835</v>
      </c>
      <c r="F987" s="45"/>
      <c r="G987" s="45"/>
      <c r="H987" s="45"/>
      <c r="I987" s="45"/>
      <c s="45" r="J987" t="inlineStr">
        <is>
          <t>Unlabelled open area, west half of Zone 1</t>
        </is>
      </c>
      <c s="45" r="K987" t="inlineStr">
        <is>
          <t>QNL/SF-1.jpg</t>
        </is>
      </c>
      <c r="L987" t="inlineStr">
        <is>
          <t>CHECK - read, but with a caveat; see the reason</t>
        </is>
      </c>
      <c r="M987" t="inlineStr">
        <is>
          <t>the west half of this Zone 1 plan carries no room label at all; column D gives this unit a first-floor room number (L1.xxx) although the tag and the screen are both second floor</t>
        </is>
      </c>
    </row>
    <row r="988" spans="1:11" outlineLevel="1" x14ac:dyDescent="0.3">
      <c s="45" r="A988" t="s">
        <v>1660</v>
      </c>
      <c s="45" r="B988" t="s">
        <v>266</v>
      </c>
      <c r="C988" s="46" t="s">
        <v>10</v>
      </c>
      <c r="D988" s="46" t="s">
        <v>1661</v>
      </c>
      <c s="45" r="E988" t="s">
        <v>8838</v>
      </c>
      <c r="F988" s="45"/>
      <c r="G988" s="45"/>
      <c r="H988" s="45"/>
      <c r="I988" s="45"/>
      <c s="45" r="J988" t="inlineStr">
        <is>
          <t>Unlabelled open area, west half of Zone 1</t>
        </is>
      </c>
      <c s="45" r="K988" t="inlineStr">
        <is>
          <t>QNL/SF-1.jpg</t>
        </is>
      </c>
      <c r="L988" t="inlineStr">
        <is>
          <t>CHECK - read, but with a caveat; see the reason</t>
        </is>
      </c>
      <c r="M988" t="inlineStr">
        <is>
          <t>the west half of this Zone 1 plan carries no room label at all; column D gives this unit a first-floor room number (L1.xxx) although the tag and the screen are both second floor</t>
        </is>
      </c>
    </row>
    <row r="989" spans="1:5" outlineLevel="1" x14ac:dyDescent="0.3">
      <c r="A989" t="s">
        <v>1662</v>
      </c>
      <c r="B989" t="s">
        <v>266</v>
      </c>
      <c r="C989" s="15" t="s">
        <v>10</v>
      </c>
      <c r="D989" s="15" t="s">
        <v>1663</v>
      </c>
      <c r="E989" t="s">
        <v>8838</v>
      </c>
    </row>
    <row r="990" spans="1:11" outlineLevel="1" x14ac:dyDescent="0.3">
      <c s="45" r="A990" t="s">
        <v>1664</v>
      </c>
      <c s="45" r="B990" t="s">
        <v>266</v>
      </c>
      <c r="C990" s="46" t="s">
        <v>10</v>
      </c>
      <c r="D990" s="46" t="s">
        <v>1665</v>
      </c>
      <c s="45" r="E990" t="s">
        <v>8843</v>
      </c>
      <c r="F990" s="45"/>
      <c r="G990" s="45"/>
      <c r="H990" s="45"/>
      <c r="I990" s="45"/>
      <c s="45" r="J990" t="inlineStr">
        <is>
          <t>Unlabelled open area, west half of Zone 1</t>
        </is>
      </c>
      <c s="45" r="K990" t="inlineStr">
        <is>
          <t>QNL/SF-1.jpg</t>
        </is>
      </c>
      <c r="L990" t="inlineStr">
        <is>
          <t>CHECK - read, but with a caveat; see the reason</t>
        </is>
      </c>
      <c r="M990" t="inlineStr">
        <is>
          <t>the west half of this Zone 1 plan carries no room label at all; column D gives this unit a first-floor room number (L1.xxx) although the tag and the screen are both second floor</t>
        </is>
      </c>
    </row>
    <row r="991" spans="1:5" outlineLevel="1" x14ac:dyDescent="0.3">
      <c r="A991" t="s">
        <v>1666</v>
      </c>
      <c r="B991" t="s">
        <v>266</v>
      </c>
      <c r="C991" s="15" t="s">
        <v>10</v>
      </c>
      <c r="D991" s="15" t="s">
        <v>1665</v>
      </c>
      <c r="E991" t="s">
        <v>8843</v>
      </c>
    </row>
    <row r="992" spans="1:5" outlineLevel="1" x14ac:dyDescent="0.3">
      <c r="A992" t="s">
        <v>1667</v>
      </c>
      <c r="B992" t="s">
        <v>266</v>
      </c>
      <c r="C992" s="15" t="s">
        <v>10</v>
      </c>
      <c r="D992" s="15" t="s">
        <v>1665</v>
      </c>
      <c r="E992" t="s">
        <v>8843</v>
      </c>
    </row>
    <row r="993" spans="1:5" outlineLevel="1" x14ac:dyDescent="0.3">
      <c r="A993" t="s">
        <v>1668</v>
      </c>
      <c r="B993" t="s">
        <v>266</v>
      </c>
      <c r="C993" s="15" t="s">
        <v>10</v>
      </c>
      <c r="D993" s="15" t="s">
        <v>1665</v>
      </c>
      <c r="E993" t="s">
        <v>8843</v>
      </c>
    </row>
    <row r="994" spans="1:5" outlineLevel="1" x14ac:dyDescent="0.3">
      <c r="A994" t="s">
        <v>1669</v>
      </c>
      <c r="B994" t="s">
        <v>266</v>
      </c>
      <c r="C994" s="15" t="s">
        <v>10</v>
      </c>
      <c r="D994" s="15" t="s">
        <v>1665</v>
      </c>
      <c r="E994" t="s">
        <v>8843</v>
      </c>
    </row>
    <row r="995" spans="1:13" outlineLevel="1" x14ac:dyDescent="0.3">
      <c r="A995" t="s">
        <v>1670</v>
      </c>
      <c r="B995" t="s">
        <v>266</v>
      </c>
      <c r="C995" s="15" t="s">
        <v>10</v>
      </c>
      <c r="D995" s="15" t="s">
        <v>1671</v>
      </c>
      <c r="E995" t="s">
        <v>9012</v>
      </c>
      <c r="J995" t="inlineStr">
        <is>
          <t>Circulation Office / Breakout space (open plan)</t>
        </is>
      </c>
      <c r="K995" t="inlineStr">
        <is>
          <t>QNL/SF-1.jpg</t>
        </is>
      </c>
      <c r="L995" t="inlineStr">
        <is>
          <t>OPEN - one space, two or more labels; the screen cannot split them</t>
        </is>
      </c>
      <c r="M995" t="inlineStr">
        <is>
          <t>open plan</t>
        </is>
      </c>
    </row>
    <row r="996" spans="1:13" outlineLevel="1" x14ac:dyDescent="0.3">
      <c r="A996" t="s">
        <v>1672</v>
      </c>
      <c r="B996" t="s">
        <v>266</v>
      </c>
      <c r="C996" s="15" t="s">
        <v>10</v>
      </c>
      <c r="D996" s="15" t="s">
        <v>1673</v>
      </c>
      <c r="E996" t="s">
        <v>9015</v>
      </c>
      <c r="J996" t="inlineStr">
        <is>
          <t>Circulation Office / Breakout space (open plan)</t>
        </is>
      </c>
      <c r="K996" t="inlineStr">
        <is>
          <t>QNL/SF-1.jpg</t>
        </is>
      </c>
      <c r="L996" t="inlineStr">
        <is>
          <t>OPEN - one space, two or more labels; the screen cannot split them</t>
        </is>
      </c>
      <c r="M996" t="inlineStr">
        <is>
          <t>open plan</t>
        </is>
      </c>
    </row>
    <row r="997" spans="1:5" outlineLevel="1" x14ac:dyDescent="0.3">
      <c r="A997" t="s">
        <v>1674</v>
      </c>
      <c r="B997" t="s">
        <v>266</v>
      </c>
      <c r="C997" s="15" t="s">
        <v>10</v>
      </c>
      <c r="D997" s="15" t="s">
        <v>1675</v>
      </c>
      <c r="E997" t="s">
        <v>9018</v>
      </c>
    </row>
    <row r="998" spans="1:5" outlineLevel="1" x14ac:dyDescent="0.3">
      <c r="A998" t="s">
        <v>1676</v>
      </c>
      <c r="B998" t="s">
        <v>266</v>
      </c>
      <c r="C998" s="15" t="s">
        <v>10</v>
      </c>
      <c r="D998" s="15" t="s">
        <v>1677</v>
      </c>
      <c r="E998" t="s">
        <v>9021</v>
      </c>
    </row>
    <row r="999" spans="1:5" outlineLevel="1" x14ac:dyDescent="0.3">
      <c r="A999" t="s">
        <v>1678</v>
      </c>
      <c r="B999" t="s">
        <v>266</v>
      </c>
      <c r="C999" s="15" t="s">
        <v>10</v>
      </c>
      <c r="D999" s="15" t="s">
        <v>1679</v>
      </c>
      <c r="E999" t="s">
        <v>9166</v>
      </c>
    </row>
    <row r="1000" spans="1:11" outlineLevel="1" x14ac:dyDescent="0.3">
      <c s="45" r="A1000" t="s">
        <v>1680</v>
      </c>
      <c s="45" r="B1000" t="s">
        <v>266</v>
      </c>
      <c r="C1000" s="46" t="s">
        <v>10</v>
      </c>
      <c r="D1000" s="46" t="s">
        <v>1681</v>
      </c>
      <c s="45" r="E1000" t="s">
        <v>9025</v>
      </c>
      <c r="F1000" s="45"/>
      <c r="G1000" s="45"/>
      <c r="H1000" s="45"/>
      <c r="I1000" s="45"/>
      <c s="45" r="J1000" t="inlineStr">
        <is>
          <t>Circulation Office / Breakout space (open plan)</t>
        </is>
      </c>
      <c s="45" r="K1000" t="inlineStr">
        <is>
          <t>QNL/SF-1.jpg</t>
        </is>
      </c>
      <c r="L1000" t="inlineStr">
        <is>
          <t>DIFF - the screen puts this unit somewhere column D does not</t>
        </is>
      </c>
      <c r="M1000" t="inlineStr">
        <is>
          <t>the dot is in the open Circulation Office / Breakout space band; Group Study Room 5, which column D names, is a cell south of it</t>
        </is>
      </c>
    </row>
    <row r="1001" spans="1:5" outlineLevel="1" x14ac:dyDescent="0.3">
      <c r="A1001" t="s">
        <v>1682</v>
      </c>
      <c r="B1001" t="s">
        <v>266</v>
      </c>
      <c r="C1001" s="15" t="s">
        <v>10</v>
      </c>
      <c r="D1001" s="15" t="s">
        <v>1683</v>
      </c>
      <c r="E1001" t="s">
        <v>9031</v>
      </c>
    </row>
    <row r="1002" spans="1:5" outlineLevel="1" x14ac:dyDescent="0.3">
      <c r="A1002" t="s">
        <v>1684</v>
      </c>
      <c r="B1002" t="s">
        <v>266</v>
      </c>
      <c r="C1002" s="15" t="s">
        <v>10</v>
      </c>
      <c r="D1002" s="15" t="s">
        <v>1685</v>
      </c>
      <c r="E1002" t="s">
        <v>9209</v>
      </c>
    </row>
    <row r="1003" spans="1:11" outlineLevel="1" x14ac:dyDescent="0.3">
      <c s="45" r="A1003" t="s">
        <v>1686</v>
      </c>
      <c s="45" r="B1003" t="s">
        <v>266</v>
      </c>
      <c r="C1003" s="46" t="s">
        <v>10</v>
      </c>
      <c r="D1003" s="46" t="s">
        <v>1687</v>
      </c>
      <c s="45" r="E1003" t="s">
        <v>9028</v>
      </c>
      <c r="F1003" s="45"/>
      <c r="G1003" s="45"/>
      <c r="H1003" s="45"/>
      <c r="I1003" s="45"/>
      <c s="45" r="J1003" t="inlineStr">
        <is>
          <t>Group Study Rm 7</t>
        </is>
      </c>
      <c s="45" r="K1003" t="inlineStr">
        <is>
          <t>QNL/SF-1.jpg</t>
        </is>
      </c>
      <c r="L1003" t="inlineStr">
        <is>
          <t>DIFF - the screen puts this unit somewhere column D does not</t>
        </is>
      </c>
      <c r="M1003" t="inlineStr">
        <is>
          <t>the dot is inside the Group Study Rm 7 cell; column D says Group Study Room 6 L2.016, the cell one wall west</t>
        </is>
      </c>
    </row>
    <row r="1004" spans="1:5" outlineLevel="1" x14ac:dyDescent="0.3">
      <c r="A1004" t="s">
        <v>1688</v>
      </c>
      <c r="B1004" t="s">
        <v>266</v>
      </c>
      <c r="C1004" s="15" t="s">
        <v>10</v>
      </c>
      <c r="D1004" s="15" t="s">
        <v>1689</v>
      </c>
      <c r="E1004" t="s">
        <v>9209</v>
      </c>
    </row>
    <row r="1005" spans="1:13" outlineLevel="1" x14ac:dyDescent="0.3">
      <c r="A1005" t="s">
        <v>1690</v>
      </c>
      <c r="B1005" t="s">
        <v>266</v>
      </c>
      <c r="C1005" s="15" t="s">
        <v>8</v>
      </c>
      <c r="D1005" s="15" t="s">
        <v>1691</v>
      </c>
      <c r="E1005" t="s">
        <v>9055</v>
      </c>
      <c r="J1005" t="inlineStr">
        <is>
          <t>Lib. Director's Rm</t>
        </is>
      </c>
      <c r="K1005" t="inlineStr">
        <is>
          <t>QNL/SF-3.jpg</t>
        </is>
      </c>
      <c r="L1005" t="inlineStr">
        <is>
          <t>SAME - screen and column D name the same room</t>
        </is>
      </c>
    </row>
    <row r="1006" spans="1:5" outlineLevel="1" x14ac:dyDescent="0.3">
      <c r="A1006" t="s">
        <v>1692</v>
      </c>
      <c r="B1006" t="s">
        <v>266</v>
      </c>
      <c r="C1006" s="15" t="s">
        <v>8</v>
      </c>
      <c r="D1006" s="15" t="s">
        <v>1691</v>
      </c>
      <c r="E1006" t="s">
        <v>9055</v>
      </c>
    </row>
    <row r="1007" spans="1:13" outlineLevel="1" x14ac:dyDescent="0.3">
      <c r="A1007" t="s">
        <v>1693</v>
      </c>
      <c r="B1007" t="s">
        <v>266</v>
      </c>
      <c r="C1007" s="15" t="s">
        <v>10</v>
      </c>
      <c r="D1007" s="15" t="s">
        <v>1694</v>
      </c>
      <c r="E1007" t="s">
        <v>9052</v>
      </c>
      <c r="J1007" t="inlineStr">
        <is>
          <t>Service &amp; Lounge</t>
        </is>
      </c>
      <c r="K1007" t="inlineStr">
        <is>
          <t>QNL/SF-3.jpg</t>
        </is>
      </c>
      <c r="L1007" t="inlineStr">
        <is>
          <t>SAME - screen and column D name the same room</t>
        </is>
      </c>
    </row>
    <row r="1008" spans="1:11" outlineLevel="1" x14ac:dyDescent="0.3">
      <c s="45" r="A1008" t="s">
        <v>1695</v>
      </c>
      <c s="45" r="B1008" t="s">
        <v>266</v>
      </c>
      <c r="C1008" s="46" t="s">
        <v>10</v>
      </c>
      <c r="D1008" s="46" t="s">
        <v>1696</v>
      </c>
      <c s="45" r="E1008" t="s">
        <v>9046</v>
      </c>
      <c r="F1008" s="45"/>
      <c r="G1008" s="45"/>
      <c r="H1008" s="45"/>
      <c r="I1008" s="45"/>
      <c s="45" r="J1008" t="inlineStr">
        <is>
          <t>Academic Pers. Libraria</t>
        </is>
      </c>
      <c s="45" r="K1008" t="inlineStr">
        <is>
          <t>QNL/SF-1.jpg</t>
        </is>
      </c>
      <c r="L1008" t="inlineStr">
        <is>
          <t>DIFF - the screen puts this unit somewhere column D does not</t>
        </is>
      </c>
      <c r="M1008" t="inlineStr">
        <is>
          <t>the dot is inside the Academic Pers. Libraria cell; column D says OPEN OFFICE L2.025, which is the cell at the west end of the same zone</t>
        </is>
      </c>
    </row>
    <row r="1009" spans="1:11" outlineLevel="1" x14ac:dyDescent="0.3">
      <c s="45" r="A1009" t="s">
        <v>1697</v>
      </c>
      <c s="45" r="B1009" t="s">
        <v>266</v>
      </c>
      <c r="C1009" s="46" t="s">
        <v>10</v>
      </c>
      <c r="D1009" s="46" t="s">
        <v>1698</v>
      </c>
      <c s="45" r="E1009" t="s">
        <v>9037</v>
      </c>
      <c r="F1009" s="45"/>
      <c r="G1009" s="45"/>
      <c r="H1009" s="45"/>
      <c r="I1009" s="45"/>
      <c s="45" r="J1009" t="inlineStr">
        <is>
          <t>Transl.Spc&amp; Space ED (strip along the south of the cyan zone)</t>
        </is>
      </c>
      <c s="45" r="K1009" t="inlineStr">
        <is>
          <t>QNL/SF-1.jpg</t>
        </is>
      </c>
      <c r="L1009" t="inlineStr">
        <is>
          <t>CHECK - read, but with a caveat; see the reason</t>
        </is>
      </c>
      <c r="M1009" t="inlineStr">
        <is>
          <t>the strip runs the width of the cyan zone below the cells; column D says ACADEMIC PERS. LIBRARIA L2.022, which is one of those cells</t>
        </is>
      </c>
    </row>
    <row r="1010" spans="1:11" outlineLevel="1" x14ac:dyDescent="0.3">
      <c s="45" r="A1010" t="s">
        <v>1699</v>
      </c>
      <c s="45" r="B1010" t="s">
        <v>266</v>
      </c>
      <c r="C1010" s="46" t="s">
        <v>10</v>
      </c>
      <c r="D1010" s="46" t="s">
        <v>1700</v>
      </c>
      <c s="45" r="E1010" t="s">
        <v>9037</v>
      </c>
      <c r="F1010" s="45"/>
      <c r="G1010" s="45"/>
      <c r="H1010" s="45"/>
      <c r="I1010" s="45"/>
      <c s="45" r="J1010" t="inlineStr">
        <is>
          <t>Transl.Spc&amp; Space ED (strip along the south of the cyan zone)</t>
        </is>
      </c>
      <c s="45" r="K1010" t="inlineStr">
        <is>
          <t>QNL/SF-1.jpg</t>
        </is>
      </c>
      <c r="L1010" t="inlineStr">
        <is>
          <t>CHECK - read, but with a caveat; see the reason</t>
        </is>
      </c>
      <c r="M1010" t="inlineStr">
        <is>
          <t>the strip runs the width of the cyan zone below the cells; column D says ACD PERS LIBRARIAN L2.022, which is one of those cells</t>
        </is>
      </c>
    </row>
    <row r="1011" spans="1:11" outlineLevel="1" x14ac:dyDescent="0.3">
      <c s="45" r="A1011" t="s">
        <v>1701</v>
      </c>
      <c s="45" r="B1011" t="s">
        <v>266</v>
      </c>
      <c r="C1011" s="46" t="s">
        <v>10</v>
      </c>
      <c r="D1011" s="46" t="s">
        <v>1702</v>
      </c>
      <c s="45" r="E1011" t="s">
        <v>9040</v>
      </c>
      <c r="F1011" s="45"/>
      <c r="G1011" s="45"/>
      <c r="H1011" s="45"/>
      <c r="I1011" s="45"/>
      <c s="45" r="J1011" t="inlineStr">
        <is>
          <t>Cell east of Academic Pers. Libraria</t>
        </is>
      </c>
      <c s="45" r="K1011" t="inlineStr">
        <is>
          <t>QNL/SF-1.jpg</t>
        </is>
      </c>
      <c r="L1011" t="inlineStr">
        <is>
          <t>CHECK - read, but with a caveat; see the reason</t>
        </is>
      </c>
      <c r="M1011" t="inlineStr">
        <is>
          <t>the cell carries no label; column D says AD ADMIN &amp; PLANNING L2.023, which is in the yellow zone to the south</t>
        </is>
      </c>
    </row>
    <row r="1012" spans="1:13" outlineLevel="1" x14ac:dyDescent="0.3">
      <c r="A1012" t="s">
        <v>1703</v>
      </c>
      <c r="B1012" t="s">
        <v>266</v>
      </c>
      <c r="C1012" s="15" t="s">
        <v>10</v>
      </c>
      <c r="D1012" s="15" t="s">
        <v>1704</v>
      </c>
      <c r="E1012" t="s">
        <v>9043</v>
      </c>
      <c r="J1012" t="inlineStr">
        <is>
          <t>Office Coord</t>
        </is>
      </c>
      <c r="K1012" t="inlineStr">
        <is>
          <t>QNL/SF-3.jpg</t>
        </is>
      </c>
      <c r="L1012" t="inlineStr">
        <is>
          <t>SAME - screen and column D name the same room</t>
        </is>
      </c>
    </row>
    <row r="1013" spans="1:5" outlineLevel="1" x14ac:dyDescent="0.3">
      <c r="A1013" t="s">
        <v>1705</v>
      </c>
      <c r="B1013" t="s">
        <v>266</v>
      </c>
      <c r="C1013" s="15" t="s">
        <v>10</v>
      </c>
      <c r="D1013" s="15" t="s">
        <v>1696</v>
      </c>
      <c r="E1013" t="s">
        <v>9046</v>
      </c>
    </row>
    <row r="1014" spans="1:5" outlineLevel="1" x14ac:dyDescent="0.3">
      <c r="A1014" t="s">
        <v>1706</v>
      </c>
      <c r="B1014" t="s">
        <v>266</v>
      </c>
      <c r="C1014" s="15" t="s">
        <v>10</v>
      </c>
      <c r="D1014" s="15" t="s">
        <v>1679</v>
      </c>
      <c r="E1014" t="s">
        <v>9166</v>
      </c>
    </row>
    <row r="1015" spans="1:5" outlineLevel="1" x14ac:dyDescent="0.3">
      <c r="A1015" t="s">
        <v>1707</v>
      </c>
      <c r="B1015" t="s">
        <v>266</v>
      </c>
      <c r="C1015" s="15" t="s">
        <v>10</v>
      </c>
      <c r="D1015" s="15" t="s">
        <v>1679</v>
      </c>
      <c r="E1015" t="s">
        <v>9166</v>
      </c>
    </row>
    <row r="1016" spans="1:11" outlineLevel="1" x14ac:dyDescent="0.3">
      <c s="45" r="A1016" t="s">
        <v>1708</v>
      </c>
      <c s="45" r="B1016" t="s">
        <v>266</v>
      </c>
      <c r="C1016" s="46" t="s">
        <v>10</v>
      </c>
      <c r="D1016" s="46" t="s">
        <v>1679</v>
      </c>
      <c s="45" r="E1016" t="s">
        <v>9166</v>
      </c>
      <c r="F1016" s="45"/>
      <c r="G1016" s="45"/>
      <c r="H1016" s="45"/>
      <c r="I1016" s="45"/>
      <c s="45" r="J1016" t="inlineStr">
        <is>
          <t>Transl.Spc&amp; Space ED (strip along the south of the cyan zone)</t>
        </is>
      </c>
      <c s="45" r="K1016" t="inlineStr">
        <is>
          <t>QNL/SF-1.jpg</t>
        </is>
      </c>
      <c r="L1016" t="inlineStr">
        <is>
          <t>CHECK - read, but with a caveat; see the reason</t>
        </is>
      </c>
      <c r="M1016" t="inlineStr">
        <is>
          <t>column D says CORRIDOR L2; the strip may be that corridor, it is not labelled as one</t>
        </is>
      </c>
    </row>
    <row r="1017" spans="1:11" outlineLevel="1" x14ac:dyDescent="0.3">
      <c s="45" r="A1017" t="s">
        <v>1709</v>
      </c>
      <c s="45" r="B1017" t="s">
        <v>266</v>
      </c>
      <c r="C1017" s="46" t="s">
        <v>10</v>
      </c>
      <c r="D1017" s="46" t="s">
        <v>1679</v>
      </c>
      <c s="45" r="E1017" t="s">
        <v>9166</v>
      </c>
      <c r="F1017" s="45"/>
      <c r="G1017" s="45"/>
      <c r="H1017" s="45"/>
      <c r="I1017" s="45"/>
      <c s="45" r="J1017" t="inlineStr">
        <is>
          <t>Transl.Spc&amp; Space ED (strip along the south of the cyan zone)</t>
        </is>
      </c>
      <c s="45" r="K1017" t="inlineStr">
        <is>
          <t>QNL/SF-1.jpg</t>
        </is>
      </c>
      <c r="L1017" t="inlineStr">
        <is>
          <t>CHECK - read, but with a caveat; see the reason</t>
        </is>
      </c>
      <c r="M1017" t="inlineStr">
        <is>
          <t>column D says CORRIDOR L2; the strip may be that corridor, it is not labelled as one</t>
        </is>
      </c>
    </row>
    <row r="1018" spans="1:5" outlineLevel="1" x14ac:dyDescent="0.3">
      <c r="A1018" t="s">
        <v>1710</v>
      </c>
      <c r="B1018" t="s">
        <v>266</v>
      </c>
      <c r="C1018" s="15" t="s">
        <v>10</v>
      </c>
      <c r="D1018" s="15" t="s">
        <v>1679</v>
      </c>
      <c r="E1018" t="s">
        <v>9166</v>
      </c>
    </row>
    <row r="1019" spans="1:5" outlineLevel="1" x14ac:dyDescent="0.3">
      <c r="A1019" t="s">
        <v>1711</v>
      </c>
      <c r="B1019" t="s">
        <v>266</v>
      </c>
      <c r="C1019" s="15" t="s">
        <v>10</v>
      </c>
      <c r="D1019" s="15" t="s">
        <v>1679</v>
      </c>
      <c r="E1019" t="s">
        <v>9166</v>
      </c>
    </row>
    <row r="1020" spans="1:5" outlineLevel="1" x14ac:dyDescent="0.3">
      <c r="A1020" t="s">
        <v>1712</v>
      </c>
      <c r="B1020" t="s">
        <v>266</v>
      </c>
      <c r="C1020" s="15" t="s">
        <v>8</v>
      </c>
      <c r="D1020" s="15" t="s">
        <v>1713</v>
      </c>
      <c r="E1020" t="s">
        <v>9062</v>
      </c>
    </row>
    <row r="1021" spans="1:5" outlineLevel="1" x14ac:dyDescent="0.3">
      <c r="A1021" t="s">
        <v>1714</v>
      </c>
      <c r="B1021" t="s">
        <v>266</v>
      </c>
      <c r="C1021" s="15" t="s">
        <v>10</v>
      </c>
      <c r="D1021" s="15" t="s">
        <v>1715</v>
      </c>
      <c r="E1021" t="s">
        <v>8910</v>
      </c>
    </row>
    <row r="1022" spans="1:5" outlineLevel="1" x14ac:dyDescent="0.3">
      <c r="A1022" t="s">
        <v>1716</v>
      </c>
      <c r="B1022" t="s">
        <v>266</v>
      </c>
      <c r="C1022" s="15" t="s">
        <v>10</v>
      </c>
      <c r="D1022" s="15" t="s">
        <v>1715</v>
      </c>
      <c r="E1022" t="s">
        <v>8910</v>
      </c>
    </row>
    <row r="1023" spans="1:5" outlineLevel="1" x14ac:dyDescent="0.3">
      <c r="A1023" t="s">
        <v>1717</v>
      </c>
      <c r="B1023" t="s">
        <v>266</v>
      </c>
      <c r="C1023" s="15" t="s">
        <v>10</v>
      </c>
      <c r="D1023" s="15" t="s">
        <v>1715</v>
      </c>
      <c r="E1023" t="s">
        <v>8910</v>
      </c>
    </row>
    <row r="1024" spans="1:5" outlineLevel="1" x14ac:dyDescent="0.3">
      <c r="A1024" t="s">
        <v>1718</v>
      </c>
      <c r="B1024" t="s">
        <v>266</v>
      </c>
      <c r="C1024" s="15" t="s">
        <v>10</v>
      </c>
      <c r="D1024" s="15" t="s">
        <v>1715</v>
      </c>
      <c r="E1024" t="s">
        <v>8910</v>
      </c>
    </row>
    <row r="1025" spans="1:11" outlineLevel="1" x14ac:dyDescent="0.3">
      <c s="45" r="A1025" t="s">
        <v>1719</v>
      </c>
      <c s="45" r="B1025" t="s">
        <v>266</v>
      </c>
      <c r="C1025" s="46" t="s">
        <v>10</v>
      </c>
      <c r="D1025" s="46" t="s">
        <v>9177</v>
      </c>
      <c s="45" r="E1025" t="s">
        <v>8913</v>
      </c>
      <c r="F1025" s="45"/>
      <c r="G1025" s="45"/>
      <c r="H1025" s="45"/>
      <c r="I1025" s="45"/>
      <c s="45" r="J1025" t="inlineStr">
        <is>
          <t>VIP Waiting / VIP Meeting (open cyan zone)</t>
        </is>
      </c>
      <c s="45" r="K1025" t="inlineStr">
        <is>
          <t>QNL/SF-3.jpg</t>
        </is>
      </c>
      <c r="L1025" t="inlineStr">
        <is>
          <t>CHECK - read, but with a caveat; see the reason</t>
        </is>
      </c>
      <c r="M1025" t="inlineStr">
        <is>
          <t>column D gives this unit a first-floor room number (L1.xxx) although the tag and the screen are both second floor</t>
        </is>
      </c>
    </row>
    <row r="1026" spans="1:11" outlineLevel="1" x14ac:dyDescent="0.3">
      <c s="45" r="A1026" t="s">
        <v>1720</v>
      </c>
      <c s="45" r="B1026" t="s">
        <v>266</v>
      </c>
      <c r="C1026" s="46" t="s">
        <v>10</v>
      </c>
      <c r="D1026" s="46" t="s">
        <v>9178</v>
      </c>
      <c s="45" r="E1026" t="s">
        <v>8916</v>
      </c>
      <c r="F1026" s="45"/>
      <c r="G1026" s="45"/>
      <c r="H1026" s="45"/>
      <c r="I1026" s="45"/>
      <c s="45" r="J1026" t="inlineStr">
        <is>
          <t>VIP Waiting / VIP Meeting (open cyan zone)</t>
        </is>
      </c>
      <c s="45" r="K1026" t="inlineStr">
        <is>
          <t>QNL/SF-3.jpg</t>
        </is>
      </c>
      <c r="L1026" t="inlineStr">
        <is>
          <t>CHECK - read, but with a caveat; see the reason</t>
        </is>
      </c>
      <c r="M1026" t="inlineStr">
        <is>
          <t>column D gives this unit a first-floor room number (L1.xxx) although the tag and the screen are both second floor</t>
        </is>
      </c>
    </row>
    <row r="1027" spans="1:11" outlineLevel="1" x14ac:dyDescent="0.3">
      <c s="45" r="A1027" t="s">
        <v>1721</v>
      </c>
      <c s="45" r="B1027" t="s">
        <v>266</v>
      </c>
      <c r="C1027" s="46" t="s">
        <v>10</v>
      </c>
      <c r="D1027" s="46" t="s">
        <v>1722</v>
      </c>
      <c s="45" r="E1027" t="s">
        <v>8919</v>
      </c>
      <c r="F1027" s="45"/>
      <c r="G1027" s="45"/>
      <c r="H1027" s="45"/>
      <c r="I1027" s="45"/>
      <c s="45" r="J1027" t="inlineStr">
        <is>
          <t>VIP Waiting / VIP Meeting (open cyan zone)</t>
        </is>
      </c>
      <c s="45" r="K1027" t="inlineStr">
        <is>
          <t>QNL/SF-3.jpg</t>
        </is>
      </c>
      <c r="L1027" t="inlineStr">
        <is>
          <t>CHECK - read, but with a caveat; see the reason</t>
        </is>
      </c>
      <c r="M1027" t="inlineStr">
        <is>
          <t>column D gives this unit a first-floor room number (L1.xxx) although the tag and the screen are both second floor</t>
        </is>
      </c>
    </row>
    <row r="1028" spans="1:11" outlineLevel="1" x14ac:dyDescent="0.3">
      <c s="45" r="A1028" t="s">
        <v>1723</v>
      </c>
      <c s="45" r="B1028" t="s">
        <v>266</v>
      </c>
      <c r="C1028" s="46" t="s">
        <v>10</v>
      </c>
      <c r="D1028" s="46" t="s">
        <v>1724</v>
      </c>
      <c s="45" r="E1028" t="s">
        <v>8922</v>
      </c>
      <c r="F1028" s="45"/>
      <c r="G1028" s="45"/>
      <c r="H1028" s="45"/>
      <c r="I1028" s="45"/>
      <c s="45" r="J1028" t="inlineStr">
        <is>
          <t>VIP Waiting / VIP Meeting (open cyan zone)</t>
        </is>
      </c>
      <c s="45" r="K1028" t="inlineStr">
        <is>
          <t>QNL/SF-3.jpg</t>
        </is>
      </c>
      <c r="L1028" t="inlineStr">
        <is>
          <t>CHECK - read, but with a caveat; see the reason</t>
        </is>
      </c>
      <c r="M1028" t="inlineStr">
        <is>
          <t>column D gives this unit a first-floor room number (L1.xxx) although the tag and the screen are both second floor</t>
        </is>
      </c>
    </row>
    <row r="1029" spans="1:11" outlineLevel="1" x14ac:dyDescent="0.3">
      <c s="45" r="A1029" t="s">
        <v>1725</v>
      </c>
      <c s="45" r="B1029" t="s">
        <v>266</v>
      </c>
      <c r="C1029" s="46" t="s">
        <v>10</v>
      </c>
      <c r="D1029" s="46" t="s">
        <v>1726</v>
      </c>
      <c s="45" r="E1029" t="s">
        <v>8925</v>
      </c>
      <c r="F1029" s="45"/>
      <c r="G1029" s="45"/>
      <c r="H1029" s="45"/>
      <c r="I1029" s="45"/>
      <c s="45" r="J1029" t="inlineStr">
        <is>
          <t>VIP Waiting / VIP Meeting (open cyan zone)</t>
        </is>
      </c>
      <c s="45" r="K1029" t="inlineStr">
        <is>
          <t>QNL/SF-3.jpg</t>
        </is>
      </c>
      <c r="L1029" t="inlineStr">
        <is>
          <t>CHECK - read, but with a caveat; see the reason</t>
        </is>
      </c>
      <c r="M1029" t="inlineStr">
        <is>
          <t>column D gives this unit a first-floor room number (L1.xxx) although the tag and the screen are both second floor</t>
        </is>
      </c>
    </row>
    <row r="1030" spans="1:11" outlineLevel="1" x14ac:dyDescent="0.3">
      <c s="45" r="A1030" t="s">
        <v>1727</v>
      </c>
      <c s="45" r="B1030" t="s">
        <v>266</v>
      </c>
      <c r="C1030" s="46" t="s">
        <v>10</v>
      </c>
      <c r="D1030" s="46" t="s">
        <v>1728</v>
      </c>
      <c s="45" r="E1030" t="s">
        <v>8928</v>
      </c>
      <c r="F1030" s="45"/>
      <c r="G1030" s="45"/>
      <c r="H1030" s="45"/>
      <c r="I1030" s="45"/>
      <c s="45" r="J1030" t="inlineStr">
        <is>
          <t>VIP Waiting / VIP Meeting (open cyan zone)</t>
        </is>
      </c>
      <c s="45" r="K1030" t="inlineStr">
        <is>
          <t>QNL/SF-3.jpg</t>
        </is>
      </c>
      <c r="L1030" t="inlineStr">
        <is>
          <t>CHECK - read, but with a caveat; see the reason</t>
        </is>
      </c>
      <c r="M1030" t="inlineStr">
        <is>
          <t>column D gives this unit a first-floor room number (L1.xxx) although the tag and the screen are both second floor</t>
        </is>
      </c>
    </row>
    <row r="1031" spans="1:11" outlineLevel="1" x14ac:dyDescent="0.3">
      <c s="45" r="A1031" t="s">
        <v>1729</v>
      </c>
      <c s="45" r="B1031" t="s">
        <v>266</v>
      </c>
      <c r="C1031" s="46" t="s">
        <v>10</v>
      </c>
      <c r="D1031" s="46" t="s">
        <v>1730</v>
      </c>
      <c s="45" r="E1031" t="s">
        <v>8931</v>
      </c>
      <c r="F1031" s="45"/>
      <c r="G1031" s="45"/>
      <c r="H1031" s="45"/>
      <c r="I1031" s="45"/>
      <c s="45" r="J1031" t="inlineStr">
        <is>
          <t>VIP Waiting / VIP Meeting (open cyan zone)</t>
        </is>
      </c>
      <c s="45" r="K1031" t="inlineStr">
        <is>
          <t>QNL/SF-3.jpg</t>
        </is>
      </c>
      <c r="L1031" t="inlineStr">
        <is>
          <t>CHECK - read, but with a caveat; see the reason</t>
        </is>
      </c>
      <c r="M1031" t="inlineStr">
        <is>
          <t>column D gives this unit a first-floor room number (L1.xxx) although the tag and the screen are both second floor</t>
        </is>
      </c>
    </row>
    <row r="1032" spans="1:11" outlineLevel="1" x14ac:dyDescent="0.3">
      <c s="45" r="A1032" t="s">
        <v>1731</v>
      </c>
      <c s="45" r="B1032" t="s">
        <v>266</v>
      </c>
      <c r="C1032" s="46" t="s">
        <v>10</v>
      </c>
      <c r="D1032" s="46" t="s">
        <v>1732</v>
      </c>
      <c s="45" r="E1032" t="s">
        <v>8934</v>
      </c>
      <c r="F1032" s="45"/>
      <c r="G1032" s="45"/>
      <c r="H1032" s="45"/>
      <c r="I1032" s="45"/>
      <c s="45" r="J1032" t="inlineStr">
        <is>
          <t>VIP Waiting / VIP Meeting (open cyan zone)</t>
        </is>
      </c>
      <c s="45" r="K1032" t="inlineStr">
        <is>
          <t>QNL/SF-3.jpg</t>
        </is>
      </c>
      <c r="L1032" t="inlineStr">
        <is>
          <t>CHECK - read, but with a caveat; see the reason</t>
        </is>
      </c>
      <c r="M1032" t="inlineStr">
        <is>
          <t>column D gives this unit a first-floor room number (L1.xxx) although the tag and the screen are both second floor</t>
        </is>
      </c>
    </row>
    <row r="1033" spans="1:11" outlineLevel="1" x14ac:dyDescent="0.3">
      <c s="45" r="A1033" t="s">
        <v>1733</v>
      </c>
      <c s="45" r="B1033" t="s">
        <v>266</v>
      </c>
      <c r="C1033" s="46" t="s">
        <v>10</v>
      </c>
      <c r="D1033" s="46" t="s">
        <v>1734</v>
      </c>
      <c s="45" r="E1033" t="s">
        <v>8937</v>
      </c>
      <c r="F1033" s="45"/>
      <c r="G1033" s="45"/>
      <c r="H1033" s="45"/>
      <c r="I1033" s="45"/>
      <c s="45" r="J1033" t="inlineStr">
        <is>
          <t>VIP Waiting / VIP Meeting (open cyan zone)</t>
        </is>
      </c>
      <c s="45" r="K1033" t="inlineStr">
        <is>
          <t>QNL/SF-3.jpg</t>
        </is>
      </c>
      <c r="L1033" t="inlineStr">
        <is>
          <t>CHECK - read, but with a caveat; see the reason</t>
        </is>
      </c>
      <c r="M1033" t="inlineStr">
        <is>
          <t>column D gives this unit a first-floor room number (L1.xxx) although the tag and the screen are both second floor</t>
        </is>
      </c>
    </row>
    <row r="1034" spans="1:11" outlineLevel="1" x14ac:dyDescent="0.3">
      <c s="45" r="A1034" t="s">
        <v>1735</v>
      </c>
      <c s="45" r="B1034" t="s">
        <v>266</v>
      </c>
      <c r="C1034" s="46" t="s">
        <v>10</v>
      </c>
      <c r="D1034" s="46" t="s">
        <v>1736</v>
      </c>
      <c s="45" r="E1034" t="s">
        <v>8940</v>
      </c>
      <c r="F1034" s="45"/>
      <c r="G1034" s="45"/>
      <c r="H1034" s="45"/>
      <c r="I1034" s="45"/>
      <c s="45" r="J1034" t="inlineStr">
        <is>
          <t>VIP Waiting / VIP Meeting (open cyan zone)</t>
        </is>
      </c>
      <c s="45" r="K1034" t="inlineStr">
        <is>
          <t>QNL/SF-3.jpg</t>
        </is>
      </c>
      <c r="L1034" t="inlineStr">
        <is>
          <t>CHECK - read, but with a caveat; see the reason</t>
        </is>
      </c>
      <c r="M1034" t="inlineStr">
        <is>
          <t>column D gives this unit a first-floor room number (L1.xxx) although the tag and the screen are both second floor</t>
        </is>
      </c>
    </row>
    <row r="1035" spans="1:11" outlineLevel="1" x14ac:dyDescent="0.3">
      <c s="45" r="A1035" t="s">
        <v>1737</v>
      </c>
      <c s="45" r="B1035" t="s">
        <v>266</v>
      </c>
      <c r="C1035" s="46" t="s">
        <v>10</v>
      </c>
      <c r="D1035" s="46" t="s">
        <v>1738</v>
      </c>
      <c s="45" r="E1035" t="s">
        <v>8943</v>
      </c>
      <c r="F1035" s="45"/>
      <c r="G1035" s="45"/>
      <c r="H1035" s="45"/>
      <c r="I1035" s="45"/>
      <c s="45" r="J1035" t="inlineStr">
        <is>
          <t>VIP Waiting / VIP Meeting (open cyan zone)</t>
        </is>
      </c>
      <c s="45" r="K1035" t="inlineStr">
        <is>
          <t>QNL/SF-3.jpg</t>
        </is>
      </c>
      <c r="L1035" t="inlineStr">
        <is>
          <t>CHECK - read, but with a caveat; see the reason</t>
        </is>
      </c>
      <c r="M1035" t="inlineStr">
        <is>
          <t>column D gives this unit a first-floor room number (L1.xxx) although the tag and the screen are both second floor</t>
        </is>
      </c>
    </row>
    <row r="1036" spans="1:5" outlineLevel="1" x14ac:dyDescent="0.3">
      <c r="A1036" t="s">
        <v>1739</v>
      </c>
      <c r="B1036" t="s">
        <v>266</v>
      </c>
      <c r="C1036" s="15" t="s">
        <v>10</v>
      </c>
      <c r="D1036" s="15" t="s">
        <v>1740</v>
      </c>
      <c r="E1036" t="s">
        <v>8946</v>
      </c>
    </row>
    <row r="1037" spans="1:11" outlineLevel="1" x14ac:dyDescent="0.3">
      <c s="45" r="A1037" t="s">
        <v>1741</v>
      </c>
      <c s="45" r="B1037" t="s">
        <v>266</v>
      </c>
      <c r="C1037" s="46" t="s">
        <v>10</v>
      </c>
      <c r="D1037" s="46" t="s">
        <v>1742</v>
      </c>
      <c s="45" r="E1037" t="s">
        <v>8949</v>
      </c>
      <c r="F1037" s="45"/>
      <c r="G1037" s="45"/>
      <c r="H1037" s="45"/>
      <c r="I1037" s="45"/>
      <c s="45" r="J1037" t="inlineStr">
        <is>
          <t>VIP Waiting / VIP Meeting (open cyan zone)</t>
        </is>
      </c>
      <c s="45" r="K1037" t="inlineStr">
        <is>
          <t>QNL/SF-3.jpg</t>
        </is>
      </c>
      <c r="L1037" t="inlineStr">
        <is>
          <t>CHECK - read, but with a caveat; see the reason</t>
        </is>
      </c>
      <c r="M1037" t="inlineStr">
        <is>
          <t>column D gives this unit a first-floor room number (L1.xxx) although the tag and the screen are both second floor</t>
        </is>
      </c>
    </row>
    <row r="1038" spans="1:11" outlineLevel="1" x14ac:dyDescent="0.3">
      <c s="45" r="A1038" t="s">
        <v>1743</v>
      </c>
      <c s="45" r="B1038" t="s">
        <v>266</v>
      </c>
      <c r="C1038" s="46" t="s">
        <v>10</v>
      </c>
      <c r="D1038" s="46" t="s">
        <v>1744</v>
      </c>
      <c s="45" r="E1038" t="s">
        <v>8952</v>
      </c>
      <c r="F1038" s="45"/>
      <c r="G1038" s="45"/>
      <c r="H1038" s="45"/>
      <c r="I1038" s="45"/>
      <c s="45" r="J1038" t="inlineStr">
        <is>
          <t>VIP Waiting / VIP Meeting (open cyan zone)</t>
        </is>
      </c>
      <c s="45" r="K1038" t="inlineStr">
        <is>
          <t>QNL/SF-3.jpg</t>
        </is>
      </c>
      <c r="L1038" t="inlineStr">
        <is>
          <t>CHECK - read, but with a caveat; see the reason</t>
        </is>
      </c>
      <c r="M1038" t="inlineStr">
        <is>
          <t>column D gives this unit a first-floor room number (L1.xxx) although the tag and the screen are both second floor</t>
        </is>
      </c>
    </row>
    <row r="1039" spans="1:11" outlineLevel="1" x14ac:dyDescent="0.3">
      <c s="45" r="A1039" t="s">
        <v>1745</v>
      </c>
      <c s="45" r="B1039" t="s">
        <v>266</v>
      </c>
      <c r="C1039" s="46" t="s">
        <v>10</v>
      </c>
      <c r="D1039" s="46" t="s">
        <v>1746</v>
      </c>
      <c s="45" r="E1039" t="s">
        <v>8955</v>
      </c>
      <c r="F1039" s="45"/>
      <c r="G1039" s="45"/>
      <c r="H1039" s="45"/>
      <c r="I1039" s="45"/>
      <c s="45" r="J1039" t="inlineStr">
        <is>
          <t>VIP Waiting / VIP Meeting (open cyan zone)</t>
        </is>
      </c>
      <c s="45" r="K1039" t="inlineStr">
        <is>
          <t>QNL/SF-3.jpg</t>
        </is>
      </c>
      <c r="L1039" t="inlineStr">
        <is>
          <t>CHECK - read, but with a caveat; see the reason</t>
        </is>
      </c>
      <c r="M1039" t="inlineStr">
        <is>
          <t>column D gives this unit a first-floor room number (L1.xxx) although the tag and the screen are both second floor</t>
        </is>
      </c>
    </row>
    <row r="1040" spans="1:11" outlineLevel="1" x14ac:dyDescent="0.3">
      <c s="45" r="A1040" t="s">
        <v>1747</v>
      </c>
      <c s="45" r="B1040" t="s">
        <v>266</v>
      </c>
      <c r="C1040" s="46" t="s">
        <v>10</v>
      </c>
      <c r="D1040" s="46" t="s">
        <v>1748</v>
      </c>
      <c s="45" r="E1040" t="s">
        <v>8958</v>
      </c>
      <c r="F1040" s="45"/>
      <c r="G1040" s="45"/>
      <c r="H1040" s="45"/>
      <c r="I1040" s="45"/>
      <c s="45" r="J1040" t="inlineStr">
        <is>
          <t>VIP Waiting / VIP Meeting (open cyan zone)</t>
        </is>
      </c>
      <c s="45" r="K1040" t="inlineStr">
        <is>
          <t>QNL/SF-3.jpg</t>
        </is>
      </c>
      <c r="L1040" t="inlineStr">
        <is>
          <t>CHECK - read, but with a caveat; see the reason</t>
        </is>
      </c>
      <c r="M1040" t="inlineStr">
        <is>
          <t>column D gives this unit a first-floor room number (L1.xxx) although the tag and the screen are both second floor</t>
        </is>
      </c>
    </row>
    <row r="1041" spans="1:11" outlineLevel="1" x14ac:dyDescent="0.3">
      <c s="45" r="A1041" t="s">
        <v>1749</v>
      </c>
      <c s="45" r="B1041" t="s">
        <v>266</v>
      </c>
      <c r="C1041" s="46" t="s">
        <v>10</v>
      </c>
      <c r="D1041" s="46" t="s">
        <v>1750</v>
      </c>
      <c s="45" r="E1041" t="s">
        <v>8961</v>
      </c>
      <c r="F1041" s="45"/>
      <c r="G1041" s="45"/>
      <c r="H1041" s="45"/>
      <c r="I1041" s="45"/>
      <c s="45" r="J1041" t="inlineStr">
        <is>
          <t>VIP Waiting / VIP Meeting (open cyan zone)</t>
        </is>
      </c>
      <c s="45" r="K1041" t="inlineStr">
        <is>
          <t>QNL/SF-3.jpg</t>
        </is>
      </c>
      <c r="L1041" t="inlineStr">
        <is>
          <t>CHECK - read, but with a caveat; see the reason</t>
        </is>
      </c>
      <c r="M1041" t="inlineStr">
        <is>
          <t>column D gives this unit a first-floor room number (L1.xxx) although the tag and the screen are both second floor</t>
        </is>
      </c>
    </row>
    <row r="1042" spans="1:5" outlineLevel="1" x14ac:dyDescent="0.3">
      <c r="A1042" t="s">
        <v>1751</v>
      </c>
      <c r="B1042" t="s">
        <v>266</v>
      </c>
      <c r="C1042" s="15" t="s">
        <v>8</v>
      </c>
      <c r="D1042" s="15" t="s">
        <v>1752</v>
      </c>
      <c r="E1042" t="s">
        <v>9067</v>
      </c>
    </row>
    <row r="1043" spans="1:13" outlineLevel="1" x14ac:dyDescent="0.3">
      <c r="A1043" t="s">
        <v>1753</v>
      </c>
      <c r="B1043" t="s">
        <v>266</v>
      </c>
      <c r="C1043" s="15" t="s">
        <v>8</v>
      </c>
      <c r="D1043" s="15" t="s">
        <v>1752</v>
      </c>
      <c r="E1043" t="s">
        <v>9067</v>
      </c>
      <c r="J1043" t="inlineStr">
        <is>
          <t>VIP Rm</t>
        </is>
      </c>
      <c r="K1043" t="inlineStr">
        <is>
          <t>QNL/SF-3.jpg</t>
        </is>
      </c>
      <c r="L1043" t="inlineStr">
        <is>
          <t>SAME - screen and column D name the same room</t>
        </is>
      </c>
    </row>
    <row r="1044" spans="1:5" outlineLevel="1" x14ac:dyDescent="0.3">
      <c r="A1044" t="s">
        <v>1754</v>
      </c>
      <c r="B1044" t="s">
        <v>266</v>
      </c>
      <c r="C1044" s="15" t="s">
        <v>8</v>
      </c>
      <c r="D1044" s="15" t="s">
        <v>1752</v>
      </c>
      <c r="E1044" t="s">
        <v>9067</v>
      </c>
    </row>
    <row r="1045" spans="1:5" outlineLevel="1" x14ac:dyDescent="0.3">
      <c r="A1045" t="s">
        <v>1755</v>
      </c>
      <c r="B1045" t="s">
        <v>266</v>
      </c>
      <c r="C1045" s="15" t="s">
        <v>8</v>
      </c>
      <c r="D1045" s="15" t="s">
        <v>1752</v>
      </c>
      <c r="E1045" t="s">
        <v>9067</v>
      </c>
    </row>
    <row r="1046" spans="1:11" outlineLevel="1" x14ac:dyDescent="0.3">
      <c s="45" r="A1046" t="s">
        <v>1756</v>
      </c>
      <c s="45" r="B1046" t="s">
        <v>266</v>
      </c>
      <c r="C1046" s="46" t="s">
        <v>8</v>
      </c>
      <c r="D1046" s="46" t="s">
        <v>1757</v>
      </c>
      <c s="45" r="E1046" t="s">
        <v>9058</v>
      </c>
      <c r="F1046" s="45"/>
      <c r="G1046" s="45"/>
      <c r="H1046" s="45"/>
      <c r="I1046" s="45"/>
      <c s="45" r="J1046" t="inlineStr">
        <is>
          <t>VIP Rm</t>
        </is>
      </c>
      <c s="45" r="K1046" t="inlineStr">
        <is>
          <t>QNL/SF-3.jpg</t>
        </is>
      </c>
      <c r="L1046" t="inlineStr">
        <is>
          <t>CHECK - read, but with a caveat; see the reason</t>
        </is>
      </c>
      <c r="M1046" t="inlineStr">
        <is>
          <t>the dot is in the pink VIP Rm; column D says MAJLIS-VIP Meeting L2.046, and VIP Meeting is printed in the cyan zone to the east</t>
        </is>
      </c>
    </row>
    <row r="1047" spans="1:5" outlineLevel="1" x14ac:dyDescent="0.3">
      <c r="A1047" t="s">
        <v>1758</v>
      </c>
      <c r="B1047" t="s">
        <v>266</v>
      </c>
      <c r="C1047" s="15" t="s">
        <v>10</v>
      </c>
      <c r="D1047" s="15" t="s">
        <v>1759</v>
      </c>
      <c r="E1047" t="s">
        <v>8734</v>
      </c>
    </row>
    <row r="1048" spans="1:5" outlineLevel="1" x14ac:dyDescent="0.3">
      <c r="A1048" t="s">
        <v>1760</v>
      </c>
      <c r="B1048" t="s">
        <v>266</v>
      </c>
      <c r="C1048" s="15" t="s">
        <v>10</v>
      </c>
      <c r="D1048" s="15" t="s">
        <v>1759</v>
      </c>
      <c r="E1048" t="s">
        <v>8734</v>
      </c>
    </row>
    <row r="1049" spans="1:5" outlineLevel="1" x14ac:dyDescent="0.3">
      <c r="A1049" t="s">
        <v>1761</v>
      </c>
      <c r="B1049" t="s">
        <v>266</v>
      </c>
      <c r="C1049" s="15" t="s">
        <v>10</v>
      </c>
      <c r="D1049" s="15" t="s">
        <v>1759</v>
      </c>
      <c r="E1049" t="s">
        <v>8734</v>
      </c>
    </row>
    <row r="1050" spans="1:5" outlineLevel="1" x14ac:dyDescent="0.3">
      <c r="A1050" t="s">
        <v>1762</v>
      </c>
      <c r="B1050" t="s">
        <v>266</v>
      </c>
      <c r="C1050" s="15" t="s">
        <v>10</v>
      </c>
      <c r="D1050" s="15" t="s">
        <v>1759</v>
      </c>
      <c r="E1050" t="s">
        <v>8734</v>
      </c>
    </row>
    <row r="1051" spans="1:5" outlineLevel="1" x14ac:dyDescent="0.3">
      <c r="A1051" t="s">
        <v>1763</v>
      </c>
      <c r="B1051" t="s">
        <v>266</v>
      </c>
      <c r="C1051" s="15" t="s">
        <v>10</v>
      </c>
      <c r="D1051" s="15" t="s">
        <v>1759</v>
      </c>
      <c r="E1051" t="s">
        <v>8734</v>
      </c>
    </row>
    <row r="1052" spans="1:5" outlineLevel="1" x14ac:dyDescent="0.3">
      <c r="A1052" t="s">
        <v>1764</v>
      </c>
      <c r="B1052" t="s">
        <v>266</v>
      </c>
      <c r="C1052" s="15" t="s">
        <v>10</v>
      </c>
      <c r="D1052" s="15" t="s">
        <v>1759</v>
      </c>
      <c r="E1052" t="s">
        <v>8734</v>
      </c>
    </row>
    <row r="1053" spans="1:5" outlineLevel="1" x14ac:dyDescent="0.3">
      <c r="A1053" t="s">
        <v>1765</v>
      </c>
      <c r="B1053" t="s">
        <v>266</v>
      </c>
      <c r="C1053" s="15" t="s">
        <v>10</v>
      </c>
      <c r="D1053" s="15" t="s">
        <v>1759</v>
      </c>
      <c r="E1053" t="s">
        <v>8734</v>
      </c>
    </row>
    <row r="1054" spans="1:5" outlineLevel="1" x14ac:dyDescent="0.3">
      <c r="A1054" t="s">
        <v>1766</v>
      </c>
      <c r="B1054" t="s">
        <v>266</v>
      </c>
      <c r="C1054" s="15" t="s">
        <v>10</v>
      </c>
      <c r="D1054" s="15" t="s">
        <v>1759</v>
      </c>
      <c r="E1054" t="s">
        <v>8734</v>
      </c>
    </row>
    <row r="1055" spans="1:5" outlineLevel="1" x14ac:dyDescent="0.3">
      <c r="A1055" t="s">
        <v>1767</v>
      </c>
      <c r="B1055" t="s">
        <v>266</v>
      </c>
      <c r="C1055" s="15" t="s">
        <v>10</v>
      </c>
      <c r="D1055" s="15" t="s">
        <v>9179</v>
      </c>
      <c r="E1055" t="s">
        <v>8740</v>
      </c>
    </row>
    <row r="1056" spans="1:13" outlineLevel="1" x14ac:dyDescent="0.3">
      <c r="A1056" t="s">
        <v>1768</v>
      </c>
      <c r="B1056" t="s">
        <v>266</v>
      </c>
      <c r="C1056" s="15" t="s">
        <v>10</v>
      </c>
      <c r="D1056" s="15" t="s">
        <v>1769</v>
      </c>
      <c r="E1056" t="s">
        <v>8740</v>
      </c>
      <c r="J1056" t="inlineStr">
        <is>
          <t>Technical Services</t>
        </is>
      </c>
      <c r="K1056" t="inlineStr">
        <is>
          <t>QNL/BF-5.jpg</t>
        </is>
      </c>
      <c r="L1056" t="inlineStr">
        <is>
          <t>SAME - screen and column D name the same room</t>
        </is>
      </c>
    </row>
    <row r="1057" spans="1:13" outlineLevel="1" x14ac:dyDescent="0.3">
      <c r="A1057" t="s">
        <v>1770</v>
      </c>
      <c r="B1057" t="s">
        <v>266</v>
      </c>
      <c r="C1057" s="15" t="s">
        <v>10</v>
      </c>
      <c r="D1057" s="15" t="s">
        <v>1769</v>
      </c>
      <c r="E1057" t="s">
        <v>8740</v>
      </c>
      <c r="J1057" t="inlineStr">
        <is>
          <t>Technical Services</t>
        </is>
      </c>
      <c r="K1057" t="inlineStr">
        <is>
          <t>QNL/BF-5.jpg</t>
        </is>
      </c>
      <c r="L1057" t="inlineStr">
        <is>
          <t>SAME - screen and column D name the same room</t>
        </is>
      </c>
    </row>
    <row r="1058" spans="1:5" outlineLevel="1" x14ac:dyDescent="0.3">
      <c r="A1058" t="s">
        <v>1771</v>
      </c>
      <c r="B1058" t="s">
        <v>266</v>
      </c>
      <c r="C1058" s="15" t="s">
        <v>10</v>
      </c>
      <c r="D1058" s="15" t="s">
        <v>1772</v>
      </c>
      <c r="E1058" t="s">
        <v>8754</v>
      </c>
    </row>
    <row r="1059" spans="1:5" outlineLevel="1" x14ac:dyDescent="0.3">
      <c r="A1059" t="s">
        <v>1773</v>
      </c>
      <c r="B1059" t="s">
        <v>266</v>
      </c>
      <c r="C1059" s="15" t="s">
        <v>10</v>
      </c>
      <c r="D1059" s="15" t="s">
        <v>1772</v>
      </c>
      <c r="E1059" t="s">
        <v>8754</v>
      </c>
    </row>
    <row r="1060" spans="1:5" outlineLevel="1" x14ac:dyDescent="0.3">
      <c r="A1060" t="s">
        <v>1774</v>
      </c>
      <c r="B1060" t="s">
        <v>266</v>
      </c>
      <c r="C1060" s="15" t="s">
        <v>10</v>
      </c>
      <c r="D1060" s="15" t="s">
        <v>1772</v>
      </c>
      <c r="E1060" t="s">
        <v>8754</v>
      </c>
    </row>
    <row r="1061" spans="1:5" outlineLevel="1" x14ac:dyDescent="0.3">
      <c r="A1061" t="s">
        <v>1775</v>
      </c>
      <c r="B1061" t="s">
        <v>266</v>
      </c>
      <c r="C1061" t="s">
        <v>10</v>
      </c>
      <c r="D1061" t="s">
        <v>1776</v>
      </c>
      <c r="E1061" t="s">
        <v>8746</v>
      </c>
    </row>
    <row r="1062" spans="1:13" outlineLevel="1" x14ac:dyDescent="0.3">
      <c r="A1062" t="s">
        <v>1777</v>
      </c>
      <c r="B1062" t="s">
        <v>266</v>
      </c>
      <c r="C1062" t="s">
        <v>10</v>
      </c>
      <c r="D1062" t="s">
        <v>1778</v>
      </c>
      <c r="E1062" t="s">
        <v>8743</v>
      </c>
      <c r="J1062" t="inlineStr">
        <is>
          <t>Instruction Presentation</t>
        </is>
      </c>
      <c r="K1062" t="inlineStr">
        <is>
          <t>QNL/BF-5.jpg</t>
        </is>
      </c>
      <c r="L1062" t="inlineStr">
        <is>
          <t>SAME - screen and column D name the same room</t>
        </is>
      </c>
    </row>
    <row r="1063" spans="1:13" outlineLevel="1" x14ac:dyDescent="0.3">
      <c r="A1063" t="s">
        <v>1779</v>
      </c>
      <c r="B1063" t="s">
        <v>266</v>
      </c>
      <c r="C1063" t="s">
        <v>10</v>
      </c>
      <c r="D1063" t="s">
        <v>1778</v>
      </c>
      <c r="E1063" t="s">
        <v>8743</v>
      </c>
      <c r="J1063" t="inlineStr">
        <is>
          <t>Instruction Presentation</t>
        </is>
      </c>
      <c r="K1063" t="inlineStr">
        <is>
          <t>QNL/BF-5.jpg</t>
        </is>
      </c>
      <c r="L1063" t="inlineStr">
        <is>
          <t>SAME - screen and column D name the same room</t>
        </is>
      </c>
    </row>
    <row r="1064" spans="1:5" outlineLevel="1" x14ac:dyDescent="0.3">
      <c r="A1064" t="s">
        <v>1780</v>
      </c>
      <c r="B1064" t="s">
        <v>266</v>
      </c>
      <c r="C1064" t="s">
        <v>10</v>
      </c>
      <c r="D1064" t="s">
        <v>1778</v>
      </c>
      <c r="E1064" t="s">
        <v>8743</v>
      </c>
    </row>
    <row r="1065" spans="1:5" outlineLevel="1" x14ac:dyDescent="0.3">
      <c r="A1065" t="s">
        <v>1781</v>
      </c>
      <c r="B1065" t="s">
        <v>266</v>
      </c>
      <c r="C1065" t="s">
        <v>10</v>
      </c>
      <c r="D1065" t="s">
        <v>1782</v>
      </c>
      <c r="E1065" t="s">
        <v>8752</v>
      </c>
    </row>
    <row r="1066" spans="1:13" outlineLevel="1" x14ac:dyDescent="0.3">
      <c r="A1066" t="s">
        <v>1783</v>
      </c>
      <c r="B1066" t="s">
        <v>266</v>
      </c>
      <c r="C1066" s="15" t="s">
        <v>10</v>
      </c>
      <c r="D1066" s="15" t="s">
        <v>1784</v>
      </c>
      <c r="E1066" t="s">
        <v>8749</v>
      </c>
      <c r="J1066" t="inlineStr">
        <is>
          <t>Researchers Reading Area</t>
        </is>
      </c>
      <c r="K1066" t="inlineStr">
        <is>
          <t>QNL/BF-7.jpg</t>
        </is>
      </c>
      <c r="L1066" t="inlineStr">
        <is>
          <t>SAME - screen and column D name the same room</t>
        </is>
      </c>
    </row>
    <row r="1067" spans="1:13" outlineLevel="1" x14ac:dyDescent="0.3">
      <c r="A1067" t="s">
        <v>1785</v>
      </c>
      <c r="B1067" t="s">
        <v>266</v>
      </c>
      <c r="C1067" s="15" t="s">
        <v>10</v>
      </c>
      <c r="D1067" s="15" t="s">
        <v>1784</v>
      </c>
      <c r="E1067" t="s">
        <v>8749</v>
      </c>
      <c r="J1067" t="inlineStr">
        <is>
          <t>Researchers Reading Area</t>
        </is>
      </c>
      <c r="K1067" t="inlineStr">
        <is>
          <t>QNL/BF-7.jpg</t>
        </is>
      </c>
      <c r="L1067" t="inlineStr">
        <is>
          <t>SAME - screen and column D name the same room</t>
        </is>
      </c>
    </row>
    <row r="1068" spans="1:13" outlineLevel="1" x14ac:dyDescent="0.3">
      <c r="A1068" t="s">
        <v>1786</v>
      </c>
      <c r="B1068" t="s">
        <v>266</v>
      </c>
      <c r="C1068" s="15" t="s">
        <v>10</v>
      </c>
      <c r="D1068" s="15" t="s">
        <v>1784</v>
      </c>
      <c r="E1068" t="s">
        <v>8749</v>
      </c>
      <c r="J1068" t="inlineStr">
        <is>
          <t>Researchers Reading Area</t>
        </is>
      </c>
      <c r="K1068" t="inlineStr">
        <is>
          <t>QNL/BF-7.jpg</t>
        </is>
      </c>
      <c r="L1068" t="inlineStr">
        <is>
          <t>SAME - screen and column D name the same room</t>
        </is>
      </c>
    </row>
    <row r="1069" spans="1:13" outlineLevel="1" x14ac:dyDescent="0.3">
      <c r="A1069" t="s">
        <v>1787</v>
      </c>
      <c r="B1069" t="s">
        <v>266</v>
      </c>
      <c r="C1069" s="15" t="s">
        <v>10</v>
      </c>
      <c r="D1069" s="15" t="s">
        <v>1784</v>
      </c>
      <c r="E1069" t="s">
        <v>8749</v>
      </c>
      <c r="J1069" t="inlineStr">
        <is>
          <t>Researchers Reading Area</t>
        </is>
      </c>
      <c r="K1069" t="inlineStr">
        <is>
          <t>QNL/BF-7.jpg</t>
        </is>
      </c>
      <c r="L1069" t="inlineStr">
        <is>
          <t>SAME - screen and column D name the same room</t>
        </is>
      </c>
    </row>
    <row r="1070" spans="1:13" outlineLevel="1" x14ac:dyDescent="0.3">
      <c r="A1070" t="s">
        <v>1788</v>
      </c>
      <c r="B1070" t="s">
        <v>266</v>
      </c>
      <c r="C1070" s="15" t="s">
        <v>10</v>
      </c>
      <c r="D1070" s="15" t="s">
        <v>1759</v>
      </c>
      <c r="E1070" t="s">
        <v>8734</v>
      </c>
      <c r="J1070" t="inlineStr">
        <is>
          <t>Digitization / Instruction Outreach (open plan)</t>
        </is>
      </c>
      <c r="K1070" t="inlineStr">
        <is>
          <t>QNL/BF-5.jpg</t>
        </is>
      </c>
      <c r="L1070" t="inlineStr">
        <is>
          <t>OPEN - one space, two or more labels; the screen cannot split them</t>
        </is>
      </c>
      <c r="M1070" t="inlineStr">
        <is>
          <t>open plan</t>
        </is>
      </c>
    </row>
    <row r="1071" spans="1:13" outlineLevel="1" x14ac:dyDescent="0.3">
      <c r="A1071" t="s">
        <v>1789</v>
      </c>
      <c r="B1071" t="s">
        <v>266</v>
      </c>
      <c r="C1071" s="15" t="s">
        <v>10</v>
      </c>
      <c r="D1071" s="15" t="s">
        <v>1790</v>
      </c>
      <c r="E1071" t="s">
        <v>9130</v>
      </c>
      <c r="J1071" t="inlineStr">
        <is>
          <t>Break Out Area / Tech.Services &amp; Collections Office (open plan)</t>
        </is>
      </c>
      <c r="K1071" t="inlineStr">
        <is>
          <t>QNL/BF.jpg</t>
        </is>
      </c>
      <c r="L1071" t="inlineStr">
        <is>
          <t>OPEN - one space, two or more labels; the screen cannot split them</t>
        </is>
      </c>
      <c r="M1071" t="inlineStr">
        <is>
          <t>open plan - west end</t>
        </is>
      </c>
    </row>
    <row r="1072" spans="1:13" outlineLevel="1" x14ac:dyDescent="0.3">
      <c r="A1072" t="s">
        <v>1791</v>
      </c>
      <c r="B1072" t="s">
        <v>266</v>
      </c>
      <c r="C1072" s="15" t="s">
        <v>10</v>
      </c>
      <c r="D1072" s="15" t="s">
        <v>1790</v>
      </c>
      <c r="E1072" t="s">
        <v>9130</v>
      </c>
      <c r="J1072" t="inlineStr">
        <is>
          <t>Break Out Area / Tech.Services &amp; Collections Office (open plan)</t>
        </is>
      </c>
      <c r="K1072" t="inlineStr">
        <is>
          <t>QNL/BF.jpg</t>
        </is>
      </c>
      <c r="L1072" t="inlineStr">
        <is>
          <t>OPEN - one space, two or more labels; the screen cannot split them</t>
        </is>
      </c>
      <c r="M1072" t="inlineStr">
        <is>
          <t>open plan - west end</t>
        </is>
      </c>
    </row>
    <row r="1073" spans="1:13" outlineLevel="1" x14ac:dyDescent="0.3">
      <c r="A1073" t="s">
        <v>1792</v>
      </c>
      <c r="B1073" t="s">
        <v>266</v>
      </c>
      <c r="C1073" s="15" t="s">
        <v>10</v>
      </c>
      <c r="D1073" s="15" t="s">
        <v>1793</v>
      </c>
      <c r="E1073" t="s">
        <v>9168</v>
      </c>
      <c r="J1073" t="inlineStr">
        <is>
          <t>Break Out Area / Tech.Services &amp; Collections Office (open plan)</t>
        </is>
      </c>
      <c r="K1073" t="inlineStr">
        <is>
          <t>QNL/BF.jpg</t>
        </is>
      </c>
      <c r="L1073" t="inlineStr">
        <is>
          <t>OPEN - one space, two or more labels; the screen cannot split them</t>
        </is>
      </c>
      <c r="M1073" t="inlineStr">
        <is>
          <t>open plan - west end</t>
        </is>
      </c>
    </row>
    <row r="1074" spans="1:13" outlineLevel="1" x14ac:dyDescent="0.3">
      <c r="A1074" t="s">
        <v>1794</v>
      </c>
      <c r="B1074" t="s">
        <v>266</v>
      </c>
      <c r="C1074" s="15" t="s">
        <v>10</v>
      </c>
      <c r="D1074" s="15" t="s">
        <v>1793</v>
      </c>
      <c r="E1074" t="s">
        <v>9168</v>
      </c>
      <c r="J1074" t="inlineStr">
        <is>
          <t>Break Out Area / Tech.Services &amp; Collections Office (open plan)</t>
        </is>
      </c>
      <c r="K1074" t="inlineStr">
        <is>
          <t>QNL/BF.jpg</t>
        </is>
      </c>
      <c r="L1074" t="inlineStr">
        <is>
          <t>OPEN - one space, two or more labels; the screen cannot split them</t>
        </is>
      </c>
      <c r="M1074" t="inlineStr">
        <is>
          <t>open plan</t>
        </is>
      </c>
    </row>
    <row r="1075" spans="1:13" outlineLevel="1" x14ac:dyDescent="0.3">
      <c r="A1075" t="s">
        <v>1795</v>
      </c>
      <c r="B1075" t="s">
        <v>266</v>
      </c>
      <c r="C1075" s="15" t="s">
        <v>10</v>
      </c>
      <c r="D1075" s="15" t="s">
        <v>1793</v>
      </c>
      <c r="E1075" t="s">
        <v>9168</v>
      </c>
      <c r="J1075" t="inlineStr">
        <is>
          <t>Break Out Area / Tech.Services &amp; Collections Office (open plan)</t>
        </is>
      </c>
      <c r="K1075" t="inlineStr">
        <is>
          <t>QNL/BF.jpg</t>
        </is>
      </c>
      <c r="L1075" t="inlineStr">
        <is>
          <t>OPEN - one space, two or more labels; the screen cannot split them</t>
        </is>
      </c>
      <c r="M1075" t="inlineStr">
        <is>
          <t>open plan - east end</t>
        </is>
      </c>
    </row>
    <row r="1076" spans="1:13" outlineLevel="1" x14ac:dyDescent="0.3">
      <c r="A1076" t="s">
        <v>1796</v>
      </c>
      <c r="B1076" t="s">
        <v>266</v>
      </c>
      <c r="C1076" s="15" t="s">
        <v>10</v>
      </c>
      <c r="D1076" s="15" t="s">
        <v>1793</v>
      </c>
      <c r="E1076" t="s">
        <v>9168</v>
      </c>
      <c r="J1076" t="inlineStr">
        <is>
          <t>Break Out Area / Tech.Services &amp; Collections Office (open plan)</t>
        </is>
      </c>
      <c r="K1076" t="inlineStr">
        <is>
          <t>QNL/BF.jpg</t>
        </is>
      </c>
      <c r="L1076" t="inlineStr">
        <is>
          <t>OPEN - one space, two or more labels; the screen cannot split them</t>
        </is>
      </c>
      <c r="M1076" t="inlineStr">
        <is>
          <t>open plan - east end</t>
        </is>
      </c>
    </row>
    <row r="1077" spans="1:13" outlineLevel="1" x14ac:dyDescent="0.3">
      <c r="A1077" t="s">
        <v>1797</v>
      </c>
      <c r="B1077" t="s">
        <v>266</v>
      </c>
      <c r="C1077" s="15" t="s">
        <v>10</v>
      </c>
      <c r="D1077" s="15" t="s">
        <v>1793</v>
      </c>
      <c r="E1077" t="s">
        <v>9168</v>
      </c>
      <c r="J1077" t="inlineStr">
        <is>
          <t>Break Out Area / Tech.Services &amp; Collections Office (open plan)</t>
        </is>
      </c>
      <c r="K1077" t="inlineStr">
        <is>
          <t>QNL/BF.jpg</t>
        </is>
      </c>
      <c r="L1077" t="inlineStr">
        <is>
          <t>OPEN - one space, two or more labels; the screen cannot split them</t>
        </is>
      </c>
      <c r="M1077" t="inlineStr">
        <is>
          <t>open plan - east end</t>
        </is>
      </c>
    </row>
    <row r="1078" spans="1:13" outlineLevel="1" x14ac:dyDescent="0.3">
      <c r="A1078" t="s">
        <v>1798</v>
      </c>
      <c r="B1078" t="s">
        <v>266</v>
      </c>
      <c r="C1078" s="15" t="s">
        <v>10</v>
      </c>
      <c r="D1078" s="15" t="s">
        <v>1793</v>
      </c>
      <c r="E1078" t="s">
        <v>9168</v>
      </c>
      <c r="J1078" t="inlineStr">
        <is>
          <t>Tech.Services &amp; Collection (open plan)</t>
        </is>
      </c>
      <c r="K1078" t="inlineStr">
        <is>
          <t>QNL/BF-1.jpg</t>
        </is>
      </c>
      <c r="L1078" t="inlineStr">
        <is>
          <t>OPEN - one space, two or more labels; the screen cannot split them</t>
        </is>
      </c>
    </row>
    <row r="1079" spans="1:13" outlineLevel="1" x14ac:dyDescent="0.3">
      <c r="A1079" t="s">
        <v>1799</v>
      </c>
      <c r="B1079" t="s">
        <v>266</v>
      </c>
      <c r="C1079" s="15" t="s">
        <v>10</v>
      </c>
      <c r="D1079" s="15" t="s">
        <v>1793</v>
      </c>
      <c r="E1079" t="s">
        <v>9168</v>
      </c>
      <c r="J1079" t="inlineStr">
        <is>
          <t>Tech.Services &amp; Collection (open plan)</t>
        </is>
      </c>
      <c r="K1079" t="inlineStr">
        <is>
          <t>QNL/BF-1.jpg</t>
        </is>
      </c>
      <c r="L1079" t="inlineStr">
        <is>
          <t>OPEN - one space, two or more labels; the screen cannot split them</t>
        </is>
      </c>
    </row>
    <row r="1080" spans="1:13" outlineLevel="1" x14ac:dyDescent="0.3">
      <c r="A1080" t="s">
        <v>1800</v>
      </c>
      <c r="B1080" t="s">
        <v>266</v>
      </c>
      <c r="C1080" s="15" t="s">
        <v>10</v>
      </c>
      <c r="D1080" s="15" t="s">
        <v>1793</v>
      </c>
      <c r="E1080" t="s">
        <v>9168</v>
      </c>
      <c r="J1080" t="inlineStr">
        <is>
          <t>Tech.Services &amp; Collection (open plan)</t>
        </is>
      </c>
      <c r="K1080" t="inlineStr">
        <is>
          <t>QNL/BF-1.jpg</t>
        </is>
      </c>
      <c r="L1080" t="inlineStr">
        <is>
          <t>OPEN - one space, two or more labels; the screen cannot split them</t>
        </is>
      </c>
    </row>
    <row r="1081" spans="1:13" outlineLevel="1" x14ac:dyDescent="0.3">
      <c r="A1081" t="s">
        <v>1801</v>
      </c>
      <c r="B1081" t="s">
        <v>266</v>
      </c>
      <c r="C1081" s="15" t="s">
        <v>10</v>
      </c>
      <c r="D1081" s="15" t="s">
        <v>1790</v>
      </c>
      <c r="E1081" t="s">
        <v>9130</v>
      </c>
      <c r="J1081" t="inlineStr">
        <is>
          <t>Break Out Area / Tech.Services &amp; Collections Office (open plan)</t>
        </is>
      </c>
      <c r="K1081" t="inlineStr">
        <is>
          <t>QNL/BF.jpg</t>
        </is>
      </c>
      <c r="L1081" t="inlineStr">
        <is>
          <t>OPEN - one space, two or more labels; the screen cannot split them</t>
        </is>
      </c>
      <c r="M1081" t="inlineStr">
        <is>
          <t>open plan - west end</t>
        </is>
      </c>
    </row>
    <row r="1082" spans="1:13" outlineLevel="1" x14ac:dyDescent="0.3">
      <c r="A1082" t="s">
        <v>1802</v>
      </c>
      <c r="B1082" t="s">
        <v>266</v>
      </c>
      <c r="C1082" s="15" t="s">
        <v>10</v>
      </c>
      <c r="D1082" s="15" t="s">
        <v>1790</v>
      </c>
      <c r="E1082" t="s">
        <v>9130</v>
      </c>
      <c r="J1082" t="inlineStr">
        <is>
          <t>Break Out Area / Tech.Services &amp; Collections Office (open plan)</t>
        </is>
      </c>
      <c r="K1082" t="inlineStr">
        <is>
          <t>QNL/BF.jpg</t>
        </is>
      </c>
      <c r="L1082" t="inlineStr">
        <is>
          <t>OPEN - one space, two or more labels; the screen cannot split them</t>
        </is>
      </c>
      <c r="M1082" t="inlineStr">
        <is>
          <t>open plan - west end</t>
        </is>
      </c>
    </row>
    <row r="1083" spans="1:13" outlineLevel="1" x14ac:dyDescent="0.3">
      <c r="A1083" t="s">
        <v>1803</v>
      </c>
      <c r="B1083" t="s">
        <v>266</v>
      </c>
      <c r="C1083" s="15" t="s">
        <v>10</v>
      </c>
      <c r="D1083" s="15" t="s">
        <v>1793</v>
      </c>
      <c r="E1083" t="s">
        <v>9168</v>
      </c>
      <c r="J1083" t="inlineStr">
        <is>
          <t>Break Out Area / Tech.Services &amp; Collections Office (open plan)</t>
        </is>
      </c>
      <c r="K1083" t="inlineStr">
        <is>
          <t>QNL/BF.jpg</t>
        </is>
      </c>
      <c r="L1083" t="inlineStr">
        <is>
          <t>OPEN - one space, two or more labels; the screen cannot split them</t>
        </is>
      </c>
      <c r="M1083" t="inlineStr">
        <is>
          <t>open plan - west end</t>
        </is>
      </c>
    </row>
    <row r="1084" spans="1:13" outlineLevel="1" x14ac:dyDescent="0.3">
      <c r="A1084" t="s">
        <v>1804</v>
      </c>
      <c r="B1084" t="s">
        <v>266</v>
      </c>
      <c r="C1084" s="15" t="s">
        <v>10</v>
      </c>
      <c r="D1084" s="15" t="s">
        <v>1793</v>
      </c>
      <c r="E1084" t="s">
        <v>9168</v>
      </c>
      <c r="J1084" t="inlineStr">
        <is>
          <t>Break Out Area / Tech.Services &amp; Collections Office (open plan)</t>
        </is>
      </c>
      <c r="K1084" t="inlineStr">
        <is>
          <t>QNL/BF.jpg</t>
        </is>
      </c>
      <c r="L1084" t="inlineStr">
        <is>
          <t>OPEN - one space, two or more labels; the screen cannot split them</t>
        </is>
      </c>
      <c r="M1084" t="inlineStr">
        <is>
          <t>open plan - west end</t>
        </is>
      </c>
    </row>
    <row r="1085" spans="1:13" outlineLevel="1" x14ac:dyDescent="0.3">
      <c r="A1085" t="s">
        <v>1805</v>
      </c>
      <c r="B1085" t="s">
        <v>266</v>
      </c>
      <c r="C1085" s="15" t="s">
        <v>10</v>
      </c>
      <c r="D1085" s="15" t="s">
        <v>1793</v>
      </c>
      <c r="E1085" t="s">
        <v>9168</v>
      </c>
      <c r="J1085" t="inlineStr">
        <is>
          <t>Break Out Area / Tech.Services &amp; Collections Office (open plan)</t>
        </is>
      </c>
      <c r="K1085" t="inlineStr">
        <is>
          <t>QNL/BF.jpg</t>
        </is>
      </c>
      <c r="L1085" t="inlineStr">
        <is>
          <t>OPEN - one space, two or more labels; the screen cannot split them</t>
        </is>
      </c>
      <c r="M1085" t="inlineStr">
        <is>
          <t>open plan - east end</t>
        </is>
      </c>
    </row>
    <row r="1086" spans="1:13" outlineLevel="1" x14ac:dyDescent="0.3">
      <c r="A1086" t="s">
        <v>1806</v>
      </c>
      <c r="B1086" t="s">
        <v>266</v>
      </c>
      <c r="C1086" s="15" t="s">
        <v>10</v>
      </c>
      <c r="D1086" s="15" t="s">
        <v>1793</v>
      </c>
      <c r="E1086" t="s">
        <v>9168</v>
      </c>
      <c r="J1086" t="inlineStr">
        <is>
          <t>Break Out Area / Tech.Services &amp; Collections Office (open plan)</t>
        </is>
      </c>
      <c r="K1086" t="inlineStr">
        <is>
          <t>QNL/BF.jpg</t>
        </is>
      </c>
      <c r="L1086" t="inlineStr">
        <is>
          <t>OPEN - one space, two or more labels; the screen cannot split them</t>
        </is>
      </c>
      <c r="M1086" t="inlineStr">
        <is>
          <t>open plan - east end</t>
        </is>
      </c>
    </row>
    <row r="1087" spans="1:13" outlineLevel="1" x14ac:dyDescent="0.3">
      <c r="A1087" t="s">
        <v>1807</v>
      </c>
      <c r="B1087" t="s">
        <v>266</v>
      </c>
      <c r="C1087" s="15" t="s">
        <v>10</v>
      </c>
      <c r="D1087" s="15" t="s">
        <v>1793</v>
      </c>
      <c r="E1087" t="s">
        <v>9168</v>
      </c>
      <c r="J1087" t="inlineStr">
        <is>
          <t>Break Out Area / Tech.Services &amp; Collections Office (open plan)</t>
        </is>
      </c>
      <c r="K1087" t="inlineStr">
        <is>
          <t>QNL/BF.jpg</t>
        </is>
      </c>
      <c r="L1087" t="inlineStr">
        <is>
          <t>OPEN - one space, two or more labels; the screen cannot split them</t>
        </is>
      </c>
      <c r="M1087" t="inlineStr">
        <is>
          <t>open plan - east end</t>
        </is>
      </c>
    </row>
    <row r="1088" spans="1:13" outlineLevel="1" x14ac:dyDescent="0.3">
      <c r="A1088" t="s">
        <v>1808</v>
      </c>
      <c r="B1088" t="s">
        <v>266</v>
      </c>
      <c r="C1088" s="15" t="s">
        <v>10</v>
      </c>
      <c r="D1088" s="15" t="s">
        <v>1793</v>
      </c>
      <c r="E1088" t="s">
        <v>9168</v>
      </c>
      <c r="J1088" t="inlineStr">
        <is>
          <t>Tech.Services &amp; Collection (open plan)</t>
        </is>
      </c>
      <c r="K1088" t="inlineStr">
        <is>
          <t>QNL/BF-1.jpg</t>
        </is>
      </c>
      <c r="L1088" t="inlineStr">
        <is>
          <t>OPEN - one space, two or more labels; the screen cannot split them</t>
        </is>
      </c>
    </row>
    <row r="1089" spans="1:1022 1025:2046 2049:3070 3073:4094 4097:5118 5121:6142 6145:7166 7169:8190 8193:9214 9217:10238 10241:11262 11265:12286 12289:13310 13313:14334 14337:15358 15361:16382" outlineLevel="1" x14ac:dyDescent="0.3">
      <c r="A1089" t="s">
        <v>1809</v>
      </c>
      <c r="B1089" t="s">
        <v>266</v>
      </c>
      <c r="C1089" s="15" t="s">
        <v>10</v>
      </c>
      <c r="D1089" s="15" t="s">
        <v>1793</v>
      </c>
      <c r="E1089" t="s">
        <v>9168</v>
      </c>
      <c r="J1089" t="inlineStr">
        <is>
          <t>Tech.Services &amp; Collection (open plan)</t>
        </is>
      </c>
      <c r="K1089" t="inlineStr">
        <is>
          <t>QNL/BF-1.jpg</t>
        </is>
      </c>
      <c r="L1089" t="inlineStr">
        <is>
          <t>OPEN - one space, two or more labels; the screen cannot split them</t>
        </is>
      </c>
    </row>
    <row r="1090" spans="1:1022 1025:2046 2049:3070 3073:4094 4097:5118 5121:6142 6145:7166 7169:8190 8193:9214 9217:10238 10241:11262 11265:12286 12289:13310 13313:14334 14337:15358 15361:16382" s="15" customFormat="1" outlineLevel="1" x14ac:dyDescent="0.3">
      <c r="A1090" t="s">
        <v>1810</v>
      </c>
      <c r="B1090" t="s">
        <v>266</v>
      </c>
      <c r="C1090" s="15" t="s">
        <v>10</v>
      </c>
      <c r="D1090" s="15" t="s">
        <v>1793</v>
      </c>
      <c r="E1090" t="s">
        <v>9168</v>
      </c>
      <c r="F1090"/>
      <c r="I1090"/>
      <c r="J1090" t="inlineStr">
        <is>
          <t>Tech.Services &amp; Collection (open plan)</t>
        </is>
      </c>
      <c r="K1090" t="inlineStr">
        <is>
          <t>QNL/BF-1.jpg</t>
        </is>
      </c>
      <c r="L1090" t="inlineStr">
        <is>
          <t>OPEN - one space, two or more labels; the screen cannot split them</t>
        </is>
      </c>
      <c r="N1090"/>
      <c r="Q1090"/>
      <c r="R1090"/>
      <c r="U1090"/>
      <c r="V1090"/>
      <c r="Y1090"/>
      <c r="Z1090"/>
      <c r="AC1090"/>
      <c r="AD1090"/>
      <c r="AG1090"/>
      <c r="AH1090"/>
      <c r="AK1090"/>
      <c r="AL1090"/>
      <c r="AO1090"/>
      <c r="AP1090"/>
      <c r="AS1090"/>
      <c r="AT1090"/>
      <c r="AW1090"/>
      <c r="AX1090"/>
      <c r="BA1090"/>
      <c r="BB1090"/>
      <c r="BE1090"/>
      <c r="BF1090"/>
      <c r="BI1090"/>
      <c r="BJ1090"/>
      <c r="BM1090"/>
      <c r="BN1090"/>
      <c r="BQ1090"/>
      <c r="BR1090"/>
      <c r="BU1090"/>
      <c r="BV1090"/>
      <c r="BY1090"/>
      <c r="BZ1090"/>
      <c r="CC1090"/>
      <c r="CD1090"/>
      <c r="CG1090"/>
      <c r="CH1090"/>
      <c r="CK1090"/>
      <c r="CL1090"/>
      <c r="CO1090"/>
      <c r="CP1090"/>
      <c r="CS1090"/>
      <c r="CT1090"/>
      <c r="CW1090"/>
      <c r="CX1090"/>
      <c r="DA1090"/>
      <c r="DB1090"/>
      <c r="DE1090"/>
      <c r="DF1090"/>
      <c r="DI1090"/>
      <c r="DJ1090"/>
      <c r="DM1090"/>
      <c r="DN1090"/>
      <c r="DQ1090"/>
      <c r="DR1090"/>
      <c r="DU1090"/>
      <c r="DV1090"/>
      <c r="DY1090"/>
      <c r="DZ1090"/>
      <c r="EC1090"/>
      <c r="ED1090"/>
      <c r="EG1090"/>
      <c r="EH1090"/>
      <c r="EK1090"/>
      <c r="EL1090"/>
      <c r="EO1090"/>
      <c r="EP1090"/>
      <c r="ES1090"/>
      <c r="ET1090"/>
      <c r="EW1090"/>
      <c r="EX1090"/>
      <c r="FA1090"/>
      <c r="FB1090"/>
      <c r="FE1090"/>
      <c r="FF1090"/>
      <c r="FI1090"/>
      <c r="FJ1090"/>
      <c r="FM1090"/>
      <c r="FN1090"/>
      <c r="FQ1090"/>
      <c r="FR1090"/>
      <c r="FU1090"/>
      <c r="FV1090"/>
      <c r="FY1090"/>
      <c r="FZ1090"/>
      <c r="GC1090"/>
      <c r="GD1090"/>
      <c r="GG1090"/>
      <c r="GH1090"/>
      <c r="GK1090"/>
      <c r="GL1090"/>
      <c r="GO1090"/>
      <c r="GP1090"/>
      <c r="GS1090"/>
      <c r="GT1090"/>
      <c r="GW1090"/>
      <c r="GX1090"/>
      <c r="HA1090"/>
      <c r="HB1090"/>
      <c r="HE1090"/>
      <c r="HF1090"/>
      <c r="HI1090"/>
      <c r="HJ1090"/>
      <c r="HM1090"/>
      <c r="HN1090"/>
      <c r="HQ1090"/>
      <c r="HR1090"/>
      <c r="HU1090"/>
      <c r="HV1090"/>
      <c r="HY1090"/>
      <c r="HZ1090"/>
      <c r="IC1090"/>
      <c r="ID1090"/>
      <c r="IG1090"/>
      <c r="IH1090"/>
      <c r="IK1090"/>
      <c r="IL1090"/>
      <c r="IO1090"/>
      <c r="IP1090"/>
      <c r="IS1090"/>
      <c r="IT1090"/>
      <c r="IW1090"/>
      <c r="IX1090"/>
      <c r="JA1090"/>
      <c r="JB1090"/>
      <c r="JE1090"/>
      <c r="JF1090"/>
      <c r="JI1090"/>
      <c r="JJ1090"/>
      <c r="JM1090"/>
      <c r="JN1090"/>
      <c r="JQ1090"/>
      <c r="JR1090"/>
      <c r="JU1090"/>
      <c r="JV1090"/>
      <c r="JY1090"/>
      <c r="JZ1090"/>
      <c r="KC1090"/>
      <c r="KD1090"/>
      <c r="KG1090"/>
      <c r="KH1090"/>
      <c r="KK1090"/>
      <c r="KL1090"/>
      <c r="KO1090"/>
      <c r="KP1090"/>
      <c r="KS1090"/>
      <c r="KT1090"/>
      <c r="KW1090"/>
      <c r="KX1090"/>
      <c r="LA1090"/>
      <c r="LB1090"/>
      <c r="LE1090"/>
      <c r="LF1090"/>
      <c r="LI1090"/>
      <c r="LJ1090"/>
      <c r="LM1090"/>
      <c r="LN1090"/>
      <c r="LQ1090"/>
      <c r="LR1090"/>
      <c r="LU1090"/>
      <c r="LV1090"/>
      <c r="LY1090"/>
      <c r="LZ1090"/>
      <c r="MC1090"/>
      <c r="MD1090"/>
      <c r="MG1090"/>
      <c r="MH1090"/>
      <c r="MK1090"/>
      <c r="ML1090"/>
      <c r="MO1090"/>
      <c r="MP1090"/>
      <c r="MS1090"/>
      <c r="MT1090"/>
      <c r="MW1090"/>
      <c r="MX1090"/>
      <c r="NA1090"/>
      <c r="NB1090"/>
      <c r="NE1090"/>
      <c r="NF1090"/>
      <c r="NI1090"/>
      <c r="NJ1090"/>
      <c r="NM1090"/>
      <c r="NN1090"/>
      <c r="NQ1090"/>
      <c r="NR1090"/>
      <c r="NU1090"/>
      <c r="NV1090"/>
      <c r="NY1090"/>
      <c r="NZ1090"/>
      <c r="OC1090"/>
      <c r="OD1090"/>
      <c r="OG1090"/>
      <c r="OH1090"/>
      <c r="OK1090"/>
      <c r="OL1090"/>
      <c r="OO1090"/>
      <c r="OP1090"/>
      <c r="OS1090"/>
      <c r="OT1090"/>
      <c r="OW1090"/>
      <c r="OX1090"/>
      <c r="PA1090"/>
      <c r="PB1090"/>
      <c r="PE1090"/>
      <c r="PF1090"/>
      <c r="PI1090"/>
      <c r="PJ1090"/>
      <c r="PM1090"/>
      <c r="PN1090"/>
      <c r="PQ1090"/>
      <c r="PR1090"/>
      <c r="PU1090"/>
      <c r="PV1090"/>
      <c r="PY1090"/>
      <c r="PZ1090"/>
      <c r="QC1090"/>
      <c r="QD1090"/>
      <c r="QG1090"/>
      <c r="QH1090"/>
      <c r="QK1090"/>
      <c r="QL1090"/>
      <c r="QO1090"/>
      <c r="QP1090"/>
      <c r="QS1090"/>
      <c r="QT1090"/>
      <c r="QW1090"/>
      <c r="QX1090"/>
      <c r="RA1090"/>
      <c r="RB1090"/>
      <c r="RE1090"/>
      <c r="RF1090"/>
      <c r="RI1090"/>
      <c r="RJ1090"/>
      <c r="RM1090"/>
      <c r="RN1090"/>
      <c r="RQ1090"/>
      <c r="RR1090"/>
      <c r="RU1090"/>
      <c r="RV1090"/>
      <c r="RY1090"/>
      <c r="RZ1090"/>
      <c r="SC1090"/>
      <c r="SD1090"/>
      <c r="SG1090"/>
      <c r="SH1090"/>
      <c r="SK1090"/>
      <c r="SL1090"/>
      <c r="SO1090"/>
      <c r="SP1090"/>
      <c r="SS1090"/>
      <c r="ST1090"/>
      <c r="SW1090"/>
      <c r="SX1090"/>
      <c r="TA1090"/>
      <c r="TB1090"/>
      <c r="TE1090"/>
      <c r="TF1090"/>
      <c r="TI1090"/>
      <c r="TJ1090"/>
      <c r="TM1090"/>
      <c r="TN1090"/>
      <c r="TQ1090"/>
      <c r="TR1090"/>
      <c r="TU1090"/>
      <c r="TV1090"/>
      <c r="TY1090"/>
      <c r="TZ1090"/>
      <c r="UC1090"/>
      <c r="UD1090"/>
      <c r="UG1090"/>
      <c r="UH1090"/>
      <c r="UK1090"/>
      <c r="UL1090"/>
      <c r="UO1090"/>
      <c r="UP1090"/>
      <c r="US1090"/>
      <c r="UT1090"/>
      <c r="UW1090"/>
      <c r="UX1090"/>
      <c r="VA1090"/>
      <c r="VB1090"/>
      <c r="VE1090"/>
      <c r="VF1090"/>
      <c r="VI1090"/>
      <c r="VJ1090"/>
      <c r="VM1090"/>
      <c r="VN1090"/>
      <c r="VQ1090"/>
      <c r="VR1090"/>
      <c r="VU1090"/>
      <c r="VV1090"/>
      <c r="VY1090"/>
      <c r="VZ1090"/>
      <c r="WC1090"/>
      <c r="WD1090"/>
      <c r="WG1090"/>
      <c r="WH1090"/>
      <c r="WK1090"/>
      <c r="WL1090"/>
      <c r="WO1090"/>
      <c r="WP1090"/>
      <c r="WS1090"/>
      <c r="WT1090"/>
      <c r="WW1090"/>
      <c r="WX1090"/>
      <c r="XA1090"/>
      <c r="XB1090"/>
      <c r="XE1090"/>
      <c r="XF1090"/>
      <c r="XI1090"/>
      <c r="XJ1090"/>
      <c r="XM1090"/>
      <c r="XN1090"/>
      <c r="XQ1090"/>
      <c r="XR1090"/>
      <c r="XU1090"/>
      <c r="XV1090"/>
      <c r="XY1090"/>
      <c r="XZ1090"/>
      <c r="YC1090"/>
      <c r="YD1090"/>
      <c r="YG1090"/>
      <c r="YH1090"/>
      <c r="YK1090"/>
      <c r="YL1090"/>
      <c r="YO1090"/>
      <c r="YP1090"/>
      <c r="YS1090"/>
      <c r="YT1090"/>
      <c r="YW1090"/>
      <c r="YX1090"/>
      <c r="ZA1090"/>
      <c r="ZB1090"/>
      <c r="ZE1090"/>
      <c r="ZF1090"/>
      <c r="ZI1090"/>
      <c r="ZJ1090"/>
      <c r="ZM1090"/>
      <c r="ZN1090"/>
      <c r="ZQ1090"/>
      <c r="ZR1090"/>
      <c r="ZU1090"/>
      <c r="ZV1090"/>
      <c r="ZY1090"/>
      <c r="ZZ1090"/>
      <c r="AAC1090"/>
      <c r="AAD1090"/>
      <c r="AAG1090"/>
      <c r="AAH1090"/>
      <c r="AAK1090"/>
      <c r="AAL1090"/>
      <c r="AAO1090"/>
      <c r="AAP1090"/>
      <c r="AAS1090"/>
      <c r="AAT1090"/>
      <c r="AAW1090"/>
      <c r="AAX1090"/>
      <c r="ABA1090"/>
      <c r="ABB1090"/>
      <c r="ABE1090"/>
      <c r="ABF1090"/>
      <c r="ABI1090"/>
      <c r="ABJ1090"/>
      <c r="ABM1090"/>
      <c r="ABN1090"/>
      <c r="ABQ1090"/>
      <c r="ABR1090"/>
      <c r="ABU1090"/>
      <c r="ABV1090"/>
      <c r="ABY1090"/>
      <c r="ABZ1090"/>
      <c r="ACC1090"/>
      <c r="ACD1090"/>
      <c r="ACG1090"/>
      <c r="ACH1090"/>
      <c r="ACK1090"/>
      <c r="ACL1090"/>
      <c r="ACO1090"/>
      <c r="ACP1090"/>
      <c r="ACS1090"/>
      <c r="ACT1090"/>
      <c r="ACW1090"/>
      <c r="ACX1090"/>
      <c r="ADA1090"/>
      <c r="ADB1090"/>
      <c r="ADE1090"/>
      <c r="ADF1090"/>
      <c r="ADI1090"/>
      <c r="ADJ1090"/>
      <c r="ADM1090"/>
      <c r="ADN1090"/>
      <c r="ADQ1090"/>
      <c r="ADR1090"/>
      <c r="ADU1090"/>
      <c r="ADV1090"/>
      <c r="ADY1090"/>
      <c r="ADZ1090"/>
      <c r="AEC1090"/>
      <c r="AED1090"/>
      <c r="AEG1090"/>
      <c r="AEH1090"/>
      <c r="AEK1090"/>
      <c r="AEL1090"/>
      <c r="AEO1090"/>
      <c r="AEP1090"/>
      <c r="AES1090"/>
      <c r="AET1090"/>
      <c r="AEW1090"/>
      <c r="AEX1090"/>
      <c r="AFA1090"/>
      <c r="AFB1090"/>
      <c r="AFE1090"/>
      <c r="AFF1090"/>
      <c r="AFI1090"/>
      <c r="AFJ1090"/>
      <c r="AFM1090"/>
      <c r="AFN1090"/>
      <c r="AFQ1090"/>
      <c r="AFR1090"/>
      <c r="AFU1090"/>
      <c r="AFV1090"/>
      <c r="AFY1090"/>
      <c r="AFZ1090"/>
      <c r="AGC1090"/>
      <c r="AGD1090"/>
      <c r="AGG1090"/>
      <c r="AGH1090"/>
      <c r="AGK1090"/>
      <c r="AGL1090"/>
      <c r="AGO1090"/>
      <c r="AGP1090"/>
      <c r="AGS1090"/>
      <c r="AGT1090"/>
      <c r="AGW1090"/>
      <c r="AGX1090"/>
      <c r="AHA1090"/>
      <c r="AHB1090"/>
      <c r="AHE1090"/>
      <c r="AHF1090"/>
      <c r="AHI1090"/>
      <c r="AHJ1090"/>
      <c r="AHM1090"/>
      <c r="AHN1090"/>
      <c r="AHQ1090"/>
      <c r="AHR1090"/>
      <c r="AHU1090"/>
      <c r="AHV1090"/>
      <c r="AHY1090"/>
      <c r="AHZ1090"/>
      <c r="AIC1090"/>
      <c r="AID1090"/>
      <c r="AIG1090"/>
      <c r="AIH1090"/>
      <c r="AIK1090"/>
      <c r="AIL1090"/>
      <c r="AIO1090"/>
      <c r="AIP1090"/>
      <c r="AIS1090"/>
      <c r="AIT1090"/>
      <c r="AIW1090"/>
      <c r="AIX1090"/>
      <c r="AJA1090"/>
      <c r="AJB1090"/>
      <c r="AJE1090"/>
      <c r="AJF1090"/>
      <c r="AJI1090"/>
      <c r="AJJ1090"/>
      <c r="AJM1090"/>
      <c r="AJN1090"/>
      <c r="AJQ1090"/>
      <c r="AJR1090"/>
      <c r="AJU1090"/>
      <c r="AJV1090"/>
      <c r="AJY1090"/>
      <c r="AJZ1090"/>
      <c r="AKC1090"/>
      <c r="AKD1090"/>
      <c r="AKG1090"/>
      <c r="AKH1090"/>
      <c r="AKK1090"/>
      <c r="AKL1090"/>
      <c r="AKO1090"/>
      <c r="AKP1090"/>
      <c r="AKS1090"/>
      <c r="AKT1090"/>
      <c r="AKW1090"/>
      <c r="AKX1090"/>
      <c r="ALA1090"/>
      <c r="ALB1090"/>
      <c r="ALE1090"/>
      <c r="ALF1090"/>
      <c r="ALI1090"/>
      <c r="ALJ1090"/>
      <c r="ALM1090"/>
      <c r="ALN1090"/>
      <c r="ALQ1090"/>
      <c r="ALR1090"/>
      <c r="ALU1090"/>
      <c r="ALV1090"/>
      <c r="ALY1090"/>
      <c r="ALZ1090"/>
      <c r="AMC1090"/>
      <c r="AMD1090"/>
      <c r="AMG1090"/>
      <c r="AMH1090"/>
      <c r="AMK1090"/>
      <c r="AML1090"/>
      <c r="AMO1090"/>
      <c r="AMP1090"/>
      <c r="AMS1090"/>
      <c r="AMT1090"/>
      <c r="AMW1090"/>
      <c r="AMX1090"/>
      <c r="ANA1090"/>
      <c r="ANB1090"/>
      <c r="ANE1090"/>
      <c r="ANF1090"/>
      <c r="ANI1090"/>
      <c r="ANJ1090"/>
      <c r="ANM1090"/>
      <c r="ANN1090"/>
      <c r="ANQ1090"/>
      <c r="ANR1090"/>
      <c r="ANU1090"/>
      <c r="ANV1090"/>
      <c r="ANY1090"/>
      <c r="ANZ1090"/>
      <c r="AOC1090"/>
      <c r="AOD1090"/>
      <c r="AOG1090"/>
      <c r="AOH1090"/>
      <c r="AOK1090"/>
      <c r="AOL1090"/>
      <c r="AOO1090"/>
      <c r="AOP1090"/>
      <c r="AOS1090"/>
      <c r="AOT1090"/>
      <c r="AOW1090"/>
      <c r="AOX1090"/>
      <c r="APA1090"/>
      <c r="APB1090"/>
      <c r="APE1090"/>
      <c r="APF1090"/>
      <c r="API1090"/>
      <c r="APJ1090"/>
      <c r="APM1090"/>
      <c r="APN1090"/>
      <c r="APQ1090"/>
      <c r="APR1090"/>
      <c r="APU1090"/>
      <c r="APV1090"/>
      <c r="APY1090"/>
      <c r="APZ1090"/>
      <c r="AQC1090"/>
      <c r="AQD1090"/>
      <c r="AQG1090"/>
      <c r="AQH1090"/>
      <c r="AQK1090"/>
      <c r="AQL1090"/>
      <c r="AQO1090"/>
      <c r="AQP1090"/>
      <c r="AQS1090"/>
      <c r="AQT1090"/>
      <c r="AQW1090"/>
      <c r="AQX1090"/>
      <c r="ARA1090"/>
      <c r="ARB1090"/>
      <c r="ARE1090"/>
      <c r="ARF1090"/>
      <c r="ARI1090"/>
      <c r="ARJ1090"/>
      <c r="ARM1090"/>
      <c r="ARN1090"/>
      <c r="ARQ1090"/>
      <c r="ARR1090"/>
      <c r="ARU1090"/>
      <c r="ARV1090"/>
      <c r="ARY1090"/>
      <c r="ARZ1090"/>
      <c r="ASC1090"/>
      <c r="ASD1090"/>
      <c r="ASG1090"/>
      <c r="ASH1090"/>
      <c r="ASK1090"/>
      <c r="ASL1090"/>
      <c r="ASO1090"/>
      <c r="ASP1090"/>
      <c r="ASS1090"/>
      <c r="AST1090"/>
      <c r="ASW1090"/>
      <c r="ASX1090"/>
      <c r="ATA1090"/>
      <c r="ATB1090"/>
      <c r="ATE1090"/>
      <c r="ATF1090"/>
      <c r="ATI1090"/>
      <c r="ATJ1090"/>
      <c r="ATM1090"/>
      <c r="ATN1090"/>
      <c r="ATQ1090"/>
      <c r="ATR1090"/>
      <c r="ATU1090"/>
      <c r="ATV1090"/>
      <c r="ATY1090"/>
      <c r="ATZ1090"/>
      <c r="AUC1090"/>
      <c r="AUD1090"/>
      <c r="AUG1090"/>
      <c r="AUH1090"/>
      <c r="AUK1090"/>
      <c r="AUL1090"/>
      <c r="AUO1090"/>
      <c r="AUP1090"/>
      <c r="AUS1090"/>
      <c r="AUT1090"/>
      <c r="AUW1090"/>
      <c r="AUX1090"/>
      <c r="AVA1090"/>
      <c r="AVB1090"/>
      <c r="AVE1090"/>
      <c r="AVF1090"/>
      <c r="AVI1090"/>
      <c r="AVJ1090"/>
      <c r="AVM1090"/>
      <c r="AVN1090"/>
      <c r="AVQ1090"/>
      <c r="AVR1090"/>
      <c r="AVU1090"/>
      <c r="AVV1090"/>
      <c r="AVY1090"/>
      <c r="AVZ1090"/>
      <c r="AWC1090"/>
      <c r="AWD1090"/>
      <c r="AWG1090"/>
      <c r="AWH1090"/>
      <c r="AWK1090"/>
      <c r="AWL1090"/>
      <c r="AWO1090"/>
      <c r="AWP1090"/>
      <c r="AWS1090"/>
      <c r="AWT1090"/>
      <c r="AWW1090"/>
      <c r="AWX1090"/>
      <c r="AXA1090"/>
      <c r="AXB1090"/>
      <c r="AXE1090"/>
      <c r="AXF1090"/>
      <c r="AXI1090"/>
      <c r="AXJ1090"/>
      <c r="AXM1090"/>
      <c r="AXN1090"/>
      <c r="AXQ1090"/>
      <c r="AXR1090"/>
      <c r="AXU1090"/>
      <c r="AXV1090"/>
      <c r="AXY1090"/>
      <c r="AXZ1090"/>
      <c r="AYC1090"/>
      <c r="AYD1090"/>
      <c r="AYG1090"/>
      <c r="AYH1090"/>
      <c r="AYK1090"/>
      <c r="AYL1090"/>
      <c r="AYO1090"/>
      <c r="AYP1090"/>
      <c r="AYS1090"/>
      <c r="AYT1090"/>
      <c r="AYW1090"/>
      <c r="AYX1090"/>
      <c r="AZA1090"/>
      <c r="AZB1090"/>
      <c r="AZE1090"/>
      <c r="AZF1090"/>
      <c r="AZI1090"/>
      <c r="AZJ1090"/>
      <c r="AZM1090"/>
      <c r="AZN1090"/>
      <c r="AZQ1090"/>
      <c r="AZR1090"/>
      <c r="AZU1090"/>
      <c r="AZV1090"/>
      <c r="AZY1090"/>
      <c r="AZZ1090"/>
      <c r="BAC1090"/>
      <c r="BAD1090"/>
      <c r="BAG1090"/>
      <c r="BAH1090"/>
      <c r="BAK1090"/>
      <c r="BAL1090"/>
      <c r="BAO1090"/>
      <c r="BAP1090"/>
      <c r="BAS1090"/>
      <c r="BAT1090"/>
      <c r="BAW1090"/>
      <c r="BAX1090"/>
      <c r="BBA1090"/>
      <c r="BBB1090"/>
      <c r="BBE1090"/>
      <c r="BBF1090"/>
      <c r="BBI1090"/>
      <c r="BBJ1090"/>
      <c r="BBM1090"/>
      <c r="BBN1090"/>
      <c r="BBQ1090"/>
      <c r="BBR1090"/>
      <c r="BBU1090"/>
      <c r="BBV1090"/>
      <c r="BBY1090"/>
      <c r="BBZ1090"/>
      <c r="BCC1090"/>
      <c r="BCD1090"/>
      <c r="BCG1090"/>
      <c r="BCH1090"/>
      <c r="BCK1090"/>
      <c r="BCL1090"/>
      <c r="BCO1090"/>
      <c r="BCP1090"/>
      <c r="BCS1090"/>
      <c r="BCT1090"/>
      <c r="BCW1090"/>
      <c r="BCX1090"/>
      <c r="BDA1090"/>
      <c r="BDB1090"/>
      <c r="BDE1090"/>
      <c r="BDF1090"/>
      <c r="BDI1090"/>
      <c r="BDJ1090"/>
      <c r="BDM1090"/>
      <c r="BDN1090"/>
      <c r="BDQ1090"/>
      <c r="BDR1090"/>
      <c r="BDU1090"/>
      <c r="BDV1090"/>
      <c r="BDY1090"/>
      <c r="BDZ1090"/>
      <c r="BEC1090"/>
      <c r="BED1090"/>
      <c r="BEG1090"/>
      <c r="BEH1090"/>
      <c r="BEK1090"/>
      <c r="BEL1090"/>
      <c r="BEO1090"/>
      <c r="BEP1090"/>
      <c r="BES1090"/>
      <c r="BET1090"/>
      <c r="BEW1090"/>
      <c r="BEX1090"/>
      <c r="BFA1090"/>
      <c r="BFB1090"/>
      <c r="BFE1090"/>
      <c r="BFF1090"/>
      <c r="BFI1090"/>
      <c r="BFJ1090"/>
      <c r="BFM1090"/>
      <c r="BFN1090"/>
      <c r="BFQ1090"/>
      <c r="BFR1090"/>
      <c r="BFU1090"/>
      <c r="BFV1090"/>
      <c r="BFY1090"/>
      <c r="BFZ1090"/>
      <c r="BGC1090"/>
      <c r="BGD1090"/>
      <c r="BGG1090"/>
      <c r="BGH1090"/>
      <c r="BGK1090"/>
      <c r="BGL1090"/>
      <c r="BGO1090"/>
      <c r="BGP1090"/>
      <c r="BGS1090"/>
      <c r="BGT1090"/>
      <c r="BGW1090"/>
      <c r="BGX1090"/>
      <c r="BHA1090"/>
      <c r="BHB1090"/>
      <c r="BHE1090"/>
      <c r="BHF1090"/>
      <c r="BHI1090"/>
      <c r="BHJ1090"/>
      <c r="BHM1090"/>
      <c r="BHN1090"/>
      <c r="BHQ1090"/>
      <c r="BHR1090"/>
      <c r="BHU1090"/>
      <c r="BHV1090"/>
      <c r="BHY1090"/>
      <c r="BHZ1090"/>
      <c r="BIC1090"/>
      <c r="BID1090"/>
      <c r="BIG1090"/>
      <c r="BIH1090"/>
      <c r="BIK1090"/>
      <c r="BIL1090"/>
      <c r="BIO1090"/>
      <c r="BIP1090"/>
      <c r="BIS1090"/>
      <c r="BIT1090"/>
      <c r="BIW1090"/>
      <c r="BIX1090"/>
      <c r="BJA1090"/>
      <c r="BJB1090"/>
      <c r="BJE1090"/>
      <c r="BJF1090"/>
      <c r="BJI1090"/>
      <c r="BJJ1090"/>
      <c r="BJM1090"/>
      <c r="BJN1090"/>
      <c r="BJQ1090"/>
      <c r="BJR1090"/>
      <c r="BJU1090"/>
      <c r="BJV1090"/>
      <c r="BJY1090"/>
      <c r="BJZ1090"/>
      <c r="BKC1090"/>
      <c r="BKD1090"/>
      <c r="BKG1090"/>
      <c r="BKH1090"/>
      <c r="BKK1090"/>
      <c r="BKL1090"/>
      <c r="BKO1090"/>
      <c r="BKP1090"/>
      <c r="BKS1090"/>
      <c r="BKT1090"/>
      <c r="BKW1090"/>
      <c r="BKX1090"/>
      <c r="BLA1090"/>
      <c r="BLB1090"/>
      <c r="BLE1090"/>
      <c r="BLF1090"/>
      <c r="BLI1090"/>
      <c r="BLJ1090"/>
      <c r="BLM1090"/>
      <c r="BLN1090"/>
      <c r="BLQ1090"/>
      <c r="BLR1090"/>
      <c r="BLU1090"/>
      <c r="BLV1090"/>
      <c r="BLY1090"/>
      <c r="BLZ1090"/>
      <c r="BMC1090"/>
      <c r="BMD1090"/>
      <c r="BMG1090"/>
      <c r="BMH1090"/>
      <c r="BMK1090"/>
      <c r="BML1090"/>
      <c r="BMO1090"/>
      <c r="BMP1090"/>
      <c r="BMS1090"/>
      <c r="BMT1090"/>
      <c r="BMW1090"/>
      <c r="BMX1090"/>
      <c r="BNA1090"/>
      <c r="BNB1090"/>
      <c r="BNE1090"/>
      <c r="BNF1090"/>
      <c r="BNI1090"/>
      <c r="BNJ1090"/>
      <c r="BNM1090"/>
      <c r="BNN1090"/>
      <c r="BNQ1090"/>
      <c r="BNR1090"/>
      <c r="BNU1090"/>
      <c r="BNV1090"/>
      <c r="BNY1090"/>
      <c r="BNZ1090"/>
      <c r="BOC1090"/>
      <c r="BOD1090"/>
      <c r="BOG1090"/>
      <c r="BOH1090"/>
      <c r="BOK1090"/>
      <c r="BOL1090"/>
      <c r="BOO1090"/>
      <c r="BOP1090"/>
      <c r="BOS1090"/>
      <c r="BOT1090"/>
      <c r="BOW1090"/>
      <c r="BOX1090"/>
      <c r="BPA1090"/>
      <c r="BPB1090"/>
      <c r="BPE1090"/>
      <c r="BPF1090"/>
      <c r="BPI1090"/>
      <c r="BPJ1090"/>
      <c r="BPM1090"/>
      <c r="BPN1090"/>
      <c r="BPQ1090"/>
      <c r="BPR1090"/>
      <c r="BPU1090"/>
      <c r="BPV1090"/>
      <c r="BPY1090"/>
      <c r="BPZ1090"/>
      <c r="BQC1090"/>
      <c r="BQD1090"/>
      <c r="BQG1090"/>
      <c r="BQH1090"/>
      <c r="BQK1090"/>
      <c r="BQL1090"/>
      <c r="BQO1090"/>
      <c r="BQP1090"/>
      <c r="BQS1090"/>
      <c r="BQT1090"/>
      <c r="BQW1090"/>
      <c r="BQX1090"/>
      <c r="BRA1090"/>
      <c r="BRB1090"/>
      <c r="BRE1090"/>
      <c r="BRF1090"/>
      <c r="BRI1090"/>
      <c r="BRJ1090"/>
      <c r="BRM1090"/>
      <c r="BRN1090"/>
      <c r="BRQ1090"/>
      <c r="BRR1090"/>
      <c r="BRU1090"/>
      <c r="BRV1090"/>
      <c r="BRY1090"/>
      <c r="BRZ1090"/>
      <c r="BSC1090"/>
      <c r="BSD1090"/>
      <c r="BSG1090"/>
      <c r="BSH1090"/>
      <c r="BSK1090"/>
      <c r="BSL1090"/>
      <c r="BSO1090"/>
      <c r="BSP1090"/>
      <c r="BSS1090"/>
      <c r="BST1090"/>
      <c r="BSW1090"/>
      <c r="BSX1090"/>
      <c r="BTA1090"/>
      <c r="BTB1090"/>
      <c r="BTE1090"/>
      <c r="BTF1090"/>
      <c r="BTI1090"/>
      <c r="BTJ1090"/>
      <c r="BTM1090"/>
      <c r="BTN1090"/>
      <c r="BTQ1090"/>
      <c r="BTR1090"/>
      <c r="BTU1090"/>
      <c r="BTV1090"/>
      <c r="BTY1090"/>
      <c r="BTZ1090"/>
      <c r="BUC1090"/>
      <c r="BUD1090"/>
      <c r="BUG1090"/>
      <c r="BUH1090"/>
      <c r="BUK1090"/>
      <c r="BUL1090"/>
      <c r="BUO1090"/>
      <c r="BUP1090"/>
      <c r="BUS1090"/>
      <c r="BUT1090"/>
      <c r="BUW1090"/>
      <c r="BUX1090"/>
      <c r="BVA1090"/>
      <c r="BVB1090"/>
      <c r="BVE1090"/>
      <c r="BVF1090"/>
      <c r="BVI1090"/>
      <c r="BVJ1090"/>
      <c r="BVM1090"/>
      <c r="BVN1090"/>
      <c r="BVQ1090"/>
      <c r="BVR1090"/>
      <c r="BVU1090"/>
      <c r="BVV1090"/>
      <c r="BVY1090"/>
      <c r="BVZ1090"/>
      <c r="BWC1090"/>
      <c r="BWD1090"/>
      <c r="BWG1090"/>
      <c r="BWH1090"/>
      <c r="BWK1090"/>
      <c r="BWL1090"/>
      <c r="BWO1090"/>
      <c r="BWP1090"/>
      <c r="BWS1090"/>
      <c r="BWT1090"/>
      <c r="BWW1090"/>
      <c r="BWX1090"/>
      <c r="BXA1090"/>
      <c r="BXB1090"/>
      <c r="BXE1090"/>
      <c r="BXF1090"/>
      <c r="BXI1090"/>
      <c r="BXJ1090"/>
      <c r="BXM1090"/>
      <c r="BXN1090"/>
      <c r="BXQ1090"/>
      <c r="BXR1090"/>
      <c r="BXU1090"/>
      <c r="BXV1090"/>
      <c r="BXY1090"/>
      <c r="BXZ1090"/>
      <c r="BYC1090"/>
      <c r="BYD1090"/>
      <c r="BYG1090"/>
      <c r="BYH1090"/>
      <c r="BYK1090"/>
      <c r="BYL1090"/>
      <c r="BYO1090"/>
      <c r="BYP1090"/>
      <c r="BYS1090"/>
      <c r="BYT1090"/>
      <c r="BYW1090"/>
      <c r="BYX1090"/>
      <c r="BZA1090"/>
      <c r="BZB1090"/>
      <c r="BZE1090"/>
      <c r="BZF1090"/>
      <c r="BZI1090"/>
      <c r="BZJ1090"/>
      <c r="BZM1090"/>
      <c r="BZN1090"/>
      <c r="BZQ1090"/>
      <c r="BZR1090"/>
      <c r="BZU1090"/>
      <c r="BZV1090"/>
      <c r="BZY1090"/>
      <c r="BZZ1090"/>
      <c r="CAC1090"/>
      <c r="CAD1090"/>
      <c r="CAG1090"/>
      <c r="CAH1090"/>
      <c r="CAK1090"/>
      <c r="CAL1090"/>
      <c r="CAO1090"/>
      <c r="CAP1090"/>
      <c r="CAS1090"/>
      <c r="CAT1090"/>
      <c r="CAW1090"/>
      <c r="CAX1090"/>
      <c r="CBA1090"/>
      <c r="CBB1090"/>
      <c r="CBE1090"/>
      <c r="CBF1090"/>
      <c r="CBI1090"/>
      <c r="CBJ1090"/>
      <c r="CBM1090"/>
      <c r="CBN1090"/>
      <c r="CBQ1090"/>
      <c r="CBR1090"/>
      <c r="CBU1090"/>
      <c r="CBV1090"/>
      <c r="CBY1090"/>
      <c r="CBZ1090"/>
      <c r="CCC1090"/>
      <c r="CCD1090"/>
      <c r="CCG1090"/>
      <c r="CCH1090"/>
      <c r="CCK1090"/>
      <c r="CCL1090"/>
      <c r="CCO1090"/>
      <c r="CCP1090"/>
      <c r="CCS1090"/>
      <c r="CCT1090"/>
      <c r="CCW1090"/>
      <c r="CCX1090"/>
      <c r="CDA1090"/>
      <c r="CDB1090"/>
      <c r="CDE1090"/>
      <c r="CDF1090"/>
      <c r="CDI1090"/>
      <c r="CDJ1090"/>
      <c r="CDM1090"/>
      <c r="CDN1090"/>
      <c r="CDQ1090"/>
      <c r="CDR1090"/>
      <c r="CDU1090"/>
      <c r="CDV1090"/>
      <c r="CDY1090"/>
      <c r="CDZ1090"/>
      <c r="CEC1090"/>
      <c r="CED1090"/>
      <c r="CEG1090"/>
      <c r="CEH1090"/>
      <c r="CEK1090"/>
      <c r="CEL1090"/>
      <c r="CEO1090"/>
      <c r="CEP1090"/>
      <c r="CES1090"/>
      <c r="CET1090"/>
      <c r="CEW1090"/>
      <c r="CEX1090"/>
      <c r="CFA1090"/>
      <c r="CFB1090"/>
      <c r="CFE1090"/>
      <c r="CFF1090"/>
      <c r="CFI1090"/>
      <c r="CFJ1090"/>
      <c r="CFM1090"/>
      <c r="CFN1090"/>
      <c r="CFQ1090"/>
      <c r="CFR1090"/>
      <c r="CFU1090"/>
      <c r="CFV1090"/>
      <c r="CFY1090"/>
      <c r="CFZ1090"/>
      <c r="CGC1090"/>
      <c r="CGD1090"/>
      <c r="CGG1090"/>
      <c r="CGH1090"/>
      <c r="CGK1090"/>
      <c r="CGL1090"/>
      <c r="CGO1090"/>
      <c r="CGP1090"/>
      <c r="CGS1090"/>
      <c r="CGT1090"/>
      <c r="CGW1090"/>
      <c r="CGX1090"/>
      <c r="CHA1090"/>
      <c r="CHB1090"/>
      <c r="CHE1090"/>
      <c r="CHF1090"/>
      <c r="CHI1090"/>
      <c r="CHJ1090"/>
      <c r="CHM1090"/>
      <c r="CHN1090"/>
      <c r="CHQ1090"/>
      <c r="CHR1090"/>
      <c r="CHU1090"/>
      <c r="CHV1090"/>
      <c r="CHY1090"/>
      <c r="CHZ1090"/>
      <c r="CIC1090"/>
      <c r="CID1090"/>
      <c r="CIG1090"/>
      <c r="CIH1090"/>
      <c r="CIK1090"/>
      <c r="CIL1090"/>
      <c r="CIO1090"/>
      <c r="CIP1090"/>
      <c r="CIS1090"/>
      <c r="CIT1090"/>
      <c r="CIW1090"/>
      <c r="CIX1090"/>
      <c r="CJA1090"/>
      <c r="CJB1090"/>
      <c r="CJE1090"/>
      <c r="CJF1090"/>
      <c r="CJI1090"/>
      <c r="CJJ1090"/>
      <c r="CJM1090"/>
      <c r="CJN1090"/>
      <c r="CJQ1090"/>
      <c r="CJR1090"/>
      <c r="CJU1090"/>
      <c r="CJV1090"/>
      <c r="CJY1090"/>
      <c r="CJZ1090"/>
      <c r="CKC1090"/>
      <c r="CKD1090"/>
      <c r="CKG1090"/>
      <c r="CKH1090"/>
      <c r="CKK1090"/>
      <c r="CKL1090"/>
      <c r="CKO1090"/>
      <c r="CKP1090"/>
      <c r="CKS1090"/>
      <c r="CKT1090"/>
      <c r="CKW1090"/>
      <c r="CKX1090"/>
      <c r="CLA1090"/>
      <c r="CLB1090"/>
      <c r="CLE1090"/>
      <c r="CLF1090"/>
      <c r="CLI1090"/>
      <c r="CLJ1090"/>
      <c r="CLM1090"/>
      <c r="CLN1090"/>
      <c r="CLQ1090"/>
      <c r="CLR1090"/>
      <c r="CLU1090"/>
      <c r="CLV1090"/>
      <c r="CLY1090"/>
      <c r="CLZ1090"/>
      <c r="CMC1090"/>
      <c r="CMD1090"/>
      <c r="CMG1090"/>
      <c r="CMH1090"/>
      <c r="CMK1090"/>
      <c r="CML1090"/>
      <c r="CMO1090"/>
      <c r="CMP1090"/>
      <c r="CMS1090"/>
      <c r="CMT1090"/>
      <c r="CMW1090"/>
      <c r="CMX1090"/>
      <c r="CNA1090"/>
      <c r="CNB1090"/>
      <c r="CNE1090"/>
      <c r="CNF1090"/>
      <c r="CNI1090"/>
      <c r="CNJ1090"/>
      <c r="CNM1090"/>
      <c r="CNN1090"/>
      <c r="CNQ1090"/>
      <c r="CNR1090"/>
      <c r="CNU1090"/>
      <c r="CNV1090"/>
      <c r="CNY1090"/>
      <c r="CNZ1090"/>
      <c r="COC1090"/>
      <c r="COD1090"/>
      <c r="COG1090"/>
      <c r="COH1090"/>
      <c r="COK1090"/>
      <c r="COL1090"/>
      <c r="COO1090"/>
      <c r="COP1090"/>
      <c r="COS1090"/>
      <c r="COT1090"/>
      <c r="COW1090"/>
      <c r="COX1090"/>
      <c r="CPA1090"/>
      <c r="CPB1090"/>
      <c r="CPE1090"/>
      <c r="CPF1090"/>
      <c r="CPI1090"/>
      <c r="CPJ1090"/>
      <c r="CPM1090"/>
      <c r="CPN1090"/>
      <c r="CPQ1090"/>
      <c r="CPR1090"/>
      <c r="CPU1090"/>
      <c r="CPV1090"/>
      <c r="CPY1090"/>
      <c r="CPZ1090"/>
      <c r="CQC1090"/>
      <c r="CQD1090"/>
      <c r="CQG1090"/>
      <c r="CQH1090"/>
      <c r="CQK1090"/>
      <c r="CQL1090"/>
      <c r="CQO1090"/>
      <c r="CQP1090"/>
      <c r="CQS1090"/>
      <c r="CQT1090"/>
      <c r="CQW1090"/>
      <c r="CQX1090"/>
      <c r="CRA1090"/>
      <c r="CRB1090"/>
      <c r="CRE1090"/>
      <c r="CRF1090"/>
      <c r="CRI1090"/>
      <c r="CRJ1090"/>
      <c r="CRM1090"/>
      <c r="CRN1090"/>
      <c r="CRQ1090"/>
      <c r="CRR1090"/>
      <c r="CRU1090"/>
      <c r="CRV1090"/>
      <c r="CRY1090"/>
      <c r="CRZ1090"/>
      <c r="CSC1090"/>
      <c r="CSD1090"/>
      <c r="CSG1090"/>
      <c r="CSH1090"/>
      <c r="CSK1090"/>
      <c r="CSL1090"/>
      <c r="CSO1090"/>
      <c r="CSP1090"/>
      <c r="CSS1090"/>
      <c r="CST1090"/>
      <c r="CSW1090"/>
      <c r="CSX1090"/>
      <c r="CTA1090"/>
      <c r="CTB1090"/>
      <c r="CTE1090"/>
      <c r="CTF1090"/>
      <c r="CTI1090"/>
      <c r="CTJ1090"/>
      <c r="CTM1090"/>
      <c r="CTN1090"/>
      <c r="CTQ1090"/>
      <c r="CTR1090"/>
      <c r="CTU1090"/>
      <c r="CTV1090"/>
      <c r="CTY1090"/>
      <c r="CTZ1090"/>
      <c r="CUC1090"/>
      <c r="CUD1090"/>
      <c r="CUG1090"/>
      <c r="CUH1090"/>
      <c r="CUK1090"/>
      <c r="CUL1090"/>
      <c r="CUO1090"/>
      <c r="CUP1090"/>
      <c r="CUS1090"/>
      <c r="CUT1090"/>
      <c r="CUW1090"/>
      <c r="CUX1090"/>
      <c r="CVA1090"/>
      <c r="CVB1090"/>
      <c r="CVE1090"/>
      <c r="CVF1090"/>
      <c r="CVI1090"/>
      <c r="CVJ1090"/>
      <c r="CVM1090"/>
      <c r="CVN1090"/>
      <c r="CVQ1090"/>
      <c r="CVR1090"/>
      <c r="CVU1090"/>
      <c r="CVV1090"/>
      <c r="CVY1090"/>
      <c r="CVZ1090"/>
      <c r="CWC1090"/>
      <c r="CWD1090"/>
      <c r="CWG1090"/>
      <c r="CWH1090"/>
      <c r="CWK1090"/>
      <c r="CWL1090"/>
      <c r="CWO1090"/>
      <c r="CWP1090"/>
      <c r="CWS1090"/>
      <c r="CWT1090"/>
      <c r="CWW1090"/>
      <c r="CWX1090"/>
      <c r="CXA1090"/>
      <c r="CXB1090"/>
      <c r="CXE1090"/>
      <c r="CXF1090"/>
      <c r="CXI1090"/>
      <c r="CXJ1090"/>
      <c r="CXM1090"/>
      <c r="CXN1090"/>
      <c r="CXQ1090"/>
      <c r="CXR1090"/>
      <c r="CXU1090"/>
      <c r="CXV1090"/>
      <c r="CXY1090"/>
      <c r="CXZ1090"/>
      <c r="CYC1090"/>
      <c r="CYD1090"/>
      <c r="CYG1090"/>
      <c r="CYH1090"/>
      <c r="CYK1090"/>
      <c r="CYL1090"/>
      <c r="CYO1090"/>
      <c r="CYP1090"/>
      <c r="CYS1090"/>
      <c r="CYT1090"/>
      <c r="CYW1090"/>
      <c r="CYX1090"/>
      <c r="CZA1090"/>
      <c r="CZB1090"/>
      <c r="CZE1090"/>
      <c r="CZF1090"/>
      <c r="CZI1090"/>
      <c r="CZJ1090"/>
      <c r="CZM1090"/>
      <c r="CZN1090"/>
      <c r="CZQ1090"/>
      <c r="CZR1090"/>
      <c r="CZU1090"/>
      <c r="CZV1090"/>
      <c r="CZY1090"/>
      <c r="CZZ1090"/>
      <c r="DAC1090"/>
      <c r="DAD1090"/>
      <c r="DAG1090"/>
      <c r="DAH1090"/>
      <c r="DAK1090"/>
      <c r="DAL1090"/>
      <c r="DAO1090"/>
      <c r="DAP1090"/>
      <c r="DAS1090"/>
      <c r="DAT1090"/>
      <c r="DAW1090"/>
      <c r="DAX1090"/>
      <c r="DBA1090"/>
      <c r="DBB1090"/>
      <c r="DBE1090"/>
      <c r="DBF1090"/>
      <c r="DBI1090"/>
      <c r="DBJ1090"/>
      <c r="DBM1090"/>
      <c r="DBN1090"/>
      <c r="DBQ1090"/>
      <c r="DBR1090"/>
      <c r="DBU1090"/>
      <c r="DBV1090"/>
      <c r="DBY1090"/>
      <c r="DBZ1090"/>
      <c r="DCC1090"/>
      <c r="DCD1090"/>
      <c r="DCG1090"/>
      <c r="DCH1090"/>
      <c r="DCK1090"/>
      <c r="DCL1090"/>
      <c r="DCO1090"/>
      <c r="DCP1090"/>
      <c r="DCS1090"/>
      <c r="DCT1090"/>
      <c r="DCW1090"/>
      <c r="DCX1090"/>
      <c r="DDA1090"/>
      <c r="DDB1090"/>
      <c r="DDE1090"/>
      <c r="DDF1090"/>
      <c r="DDI1090"/>
      <c r="DDJ1090"/>
      <c r="DDM1090"/>
      <c r="DDN1090"/>
      <c r="DDQ1090"/>
      <c r="DDR1090"/>
      <c r="DDU1090"/>
      <c r="DDV1090"/>
      <c r="DDY1090"/>
      <c r="DDZ1090"/>
      <c r="DEC1090"/>
      <c r="DED1090"/>
      <c r="DEG1090"/>
      <c r="DEH1090"/>
      <c r="DEK1090"/>
      <c r="DEL1090"/>
      <c r="DEO1090"/>
      <c r="DEP1090"/>
      <c r="DES1090"/>
      <c r="DET1090"/>
      <c r="DEW1090"/>
      <c r="DEX1090"/>
      <c r="DFA1090"/>
      <c r="DFB1090"/>
      <c r="DFE1090"/>
      <c r="DFF1090"/>
      <c r="DFI1090"/>
      <c r="DFJ1090"/>
      <c r="DFM1090"/>
      <c r="DFN1090"/>
      <c r="DFQ1090"/>
      <c r="DFR1090"/>
      <c r="DFU1090"/>
      <c r="DFV1090"/>
      <c r="DFY1090"/>
      <c r="DFZ1090"/>
      <c r="DGC1090"/>
      <c r="DGD1090"/>
      <c r="DGG1090"/>
      <c r="DGH1090"/>
      <c r="DGK1090"/>
      <c r="DGL1090"/>
      <c r="DGO1090"/>
      <c r="DGP1090"/>
      <c r="DGS1090"/>
      <c r="DGT1090"/>
      <c r="DGW1090"/>
      <c r="DGX1090"/>
      <c r="DHA1090"/>
      <c r="DHB1090"/>
      <c r="DHE1090"/>
      <c r="DHF1090"/>
      <c r="DHI1090"/>
      <c r="DHJ1090"/>
      <c r="DHM1090"/>
      <c r="DHN1090"/>
      <c r="DHQ1090"/>
      <c r="DHR1090"/>
      <c r="DHU1090"/>
      <c r="DHV1090"/>
      <c r="DHY1090"/>
      <c r="DHZ1090"/>
      <c r="DIC1090"/>
      <c r="DID1090"/>
      <c r="DIG1090"/>
      <c r="DIH1090"/>
      <c r="DIK1090"/>
      <c r="DIL1090"/>
      <c r="DIO1090"/>
      <c r="DIP1090"/>
      <c r="DIS1090"/>
      <c r="DIT1090"/>
      <c r="DIW1090"/>
      <c r="DIX1090"/>
      <c r="DJA1090"/>
      <c r="DJB1090"/>
      <c r="DJE1090"/>
      <c r="DJF1090"/>
      <c r="DJI1090"/>
      <c r="DJJ1090"/>
      <c r="DJM1090"/>
      <c r="DJN1090"/>
      <c r="DJQ1090"/>
      <c r="DJR1090"/>
      <c r="DJU1090"/>
      <c r="DJV1090"/>
      <c r="DJY1090"/>
      <c r="DJZ1090"/>
      <c r="DKC1090"/>
      <c r="DKD1090"/>
      <c r="DKG1090"/>
      <c r="DKH1090"/>
      <c r="DKK1090"/>
      <c r="DKL1090"/>
      <c r="DKO1090"/>
      <c r="DKP1090"/>
      <c r="DKS1090"/>
      <c r="DKT1090"/>
      <c r="DKW1090"/>
      <c r="DKX1090"/>
      <c r="DLA1090"/>
      <c r="DLB1090"/>
      <c r="DLE1090"/>
      <c r="DLF1090"/>
      <c r="DLI1090"/>
      <c r="DLJ1090"/>
      <c r="DLM1090"/>
      <c r="DLN1090"/>
      <c r="DLQ1090"/>
      <c r="DLR1090"/>
      <c r="DLU1090"/>
      <c r="DLV1090"/>
      <c r="DLY1090"/>
      <c r="DLZ1090"/>
      <c r="DMC1090"/>
      <c r="DMD1090"/>
      <c r="DMG1090"/>
      <c r="DMH1090"/>
      <c r="DMK1090"/>
      <c r="DML1090"/>
      <c r="DMO1090"/>
      <c r="DMP1090"/>
      <c r="DMS1090"/>
      <c r="DMT1090"/>
      <c r="DMW1090"/>
      <c r="DMX1090"/>
      <c r="DNA1090"/>
      <c r="DNB1090"/>
      <c r="DNE1090"/>
      <c r="DNF1090"/>
      <c r="DNI1090"/>
      <c r="DNJ1090"/>
      <c r="DNM1090"/>
      <c r="DNN1090"/>
      <c r="DNQ1090"/>
      <c r="DNR1090"/>
      <c r="DNU1090"/>
      <c r="DNV1090"/>
      <c r="DNY1090"/>
      <c r="DNZ1090"/>
      <c r="DOC1090"/>
      <c r="DOD1090"/>
      <c r="DOG1090"/>
      <c r="DOH1090"/>
      <c r="DOK1090"/>
      <c r="DOL1090"/>
      <c r="DOO1090"/>
      <c r="DOP1090"/>
      <c r="DOS1090"/>
      <c r="DOT1090"/>
      <c r="DOW1090"/>
      <c r="DOX1090"/>
      <c r="DPA1090"/>
      <c r="DPB1090"/>
      <c r="DPE1090"/>
      <c r="DPF1090"/>
      <c r="DPI1090"/>
      <c r="DPJ1090"/>
      <c r="DPM1090"/>
      <c r="DPN1090"/>
      <c r="DPQ1090"/>
      <c r="DPR1090"/>
      <c r="DPU1090"/>
      <c r="DPV1090"/>
      <c r="DPY1090"/>
      <c r="DPZ1090"/>
      <c r="DQC1090"/>
      <c r="DQD1090"/>
      <c r="DQG1090"/>
      <c r="DQH1090"/>
      <c r="DQK1090"/>
      <c r="DQL1090"/>
      <c r="DQO1090"/>
      <c r="DQP1090"/>
      <c r="DQS1090"/>
      <c r="DQT1090"/>
      <c r="DQW1090"/>
      <c r="DQX1090"/>
      <c r="DRA1090"/>
      <c r="DRB1090"/>
      <c r="DRE1090"/>
      <c r="DRF1090"/>
      <c r="DRI1090"/>
      <c r="DRJ1090"/>
      <c r="DRM1090"/>
      <c r="DRN1090"/>
      <c r="DRQ1090"/>
      <c r="DRR1090"/>
      <c r="DRU1090"/>
      <c r="DRV1090"/>
      <c r="DRY1090"/>
      <c r="DRZ1090"/>
      <c r="DSC1090"/>
      <c r="DSD1090"/>
      <c r="DSG1090"/>
      <c r="DSH1090"/>
      <c r="DSK1090"/>
      <c r="DSL1090"/>
      <c r="DSO1090"/>
      <c r="DSP1090"/>
      <c r="DSS1090"/>
      <c r="DST1090"/>
      <c r="DSW1090"/>
      <c r="DSX1090"/>
      <c r="DTA1090"/>
      <c r="DTB1090"/>
      <c r="DTE1090"/>
      <c r="DTF1090"/>
      <c r="DTI1090"/>
      <c r="DTJ1090"/>
      <c r="DTM1090"/>
      <c r="DTN1090"/>
      <c r="DTQ1090"/>
      <c r="DTR1090"/>
      <c r="DTU1090"/>
      <c r="DTV1090"/>
      <c r="DTY1090"/>
      <c r="DTZ1090"/>
      <c r="DUC1090"/>
      <c r="DUD1090"/>
      <c r="DUG1090"/>
      <c r="DUH1090"/>
      <c r="DUK1090"/>
      <c r="DUL1090"/>
      <c r="DUO1090"/>
      <c r="DUP1090"/>
      <c r="DUS1090"/>
      <c r="DUT1090"/>
      <c r="DUW1090"/>
      <c r="DUX1090"/>
      <c r="DVA1090"/>
      <c r="DVB1090"/>
      <c r="DVE1090"/>
      <c r="DVF1090"/>
      <c r="DVI1090"/>
      <c r="DVJ1090"/>
      <c r="DVM1090"/>
      <c r="DVN1090"/>
      <c r="DVQ1090"/>
      <c r="DVR1090"/>
      <c r="DVU1090"/>
      <c r="DVV1090"/>
      <c r="DVY1090"/>
      <c r="DVZ1090"/>
      <c r="DWC1090"/>
      <c r="DWD1090"/>
      <c r="DWG1090"/>
      <c r="DWH1090"/>
      <c r="DWK1090"/>
      <c r="DWL1090"/>
      <c r="DWO1090"/>
      <c r="DWP1090"/>
      <c r="DWS1090"/>
      <c r="DWT1090"/>
      <c r="DWW1090"/>
      <c r="DWX1090"/>
      <c r="DXA1090"/>
      <c r="DXB1090"/>
      <c r="DXE1090"/>
      <c r="DXF1090"/>
      <c r="DXI1090"/>
      <c r="DXJ1090"/>
      <c r="DXM1090"/>
      <c r="DXN1090"/>
      <c r="DXQ1090"/>
      <c r="DXR1090"/>
      <c r="DXU1090"/>
      <c r="DXV1090"/>
      <c r="DXY1090"/>
      <c r="DXZ1090"/>
      <c r="DYC1090"/>
      <c r="DYD1090"/>
      <c r="DYG1090"/>
      <c r="DYH1090"/>
      <c r="DYK1090"/>
      <c r="DYL1090"/>
      <c r="DYO1090"/>
      <c r="DYP1090"/>
      <c r="DYS1090"/>
      <c r="DYT1090"/>
      <c r="DYW1090"/>
      <c r="DYX1090"/>
      <c r="DZA1090"/>
      <c r="DZB1090"/>
      <c r="DZE1090"/>
      <c r="DZF1090"/>
      <c r="DZI1090"/>
      <c r="DZJ1090"/>
      <c r="DZM1090"/>
      <c r="DZN1090"/>
      <c r="DZQ1090"/>
      <c r="DZR1090"/>
      <c r="DZU1090"/>
      <c r="DZV1090"/>
      <c r="DZY1090"/>
      <c r="DZZ1090"/>
      <c r="EAC1090"/>
      <c r="EAD1090"/>
      <c r="EAG1090"/>
      <c r="EAH1090"/>
      <c r="EAK1090"/>
      <c r="EAL1090"/>
      <c r="EAO1090"/>
      <c r="EAP1090"/>
      <c r="EAS1090"/>
      <c r="EAT1090"/>
      <c r="EAW1090"/>
      <c r="EAX1090"/>
      <c r="EBA1090"/>
      <c r="EBB1090"/>
      <c r="EBE1090"/>
      <c r="EBF1090"/>
      <c r="EBI1090"/>
      <c r="EBJ1090"/>
      <c r="EBM1090"/>
      <c r="EBN1090"/>
      <c r="EBQ1090"/>
      <c r="EBR1090"/>
      <c r="EBU1090"/>
      <c r="EBV1090"/>
      <c r="EBY1090"/>
      <c r="EBZ1090"/>
      <c r="ECC1090"/>
      <c r="ECD1090"/>
      <c r="ECG1090"/>
      <c r="ECH1090"/>
      <c r="ECK1090"/>
      <c r="ECL1090"/>
      <c r="ECO1090"/>
      <c r="ECP1090"/>
      <c r="ECS1090"/>
      <c r="ECT1090"/>
      <c r="ECW1090"/>
      <c r="ECX1090"/>
      <c r="EDA1090"/>
      <c r="EDB1090"/>
      <c r="EDE1090"/>
      <c r="EDF1090"/>
      <c r="EDI1090"/>
      <c r="EDJ1090"/>
      <c r="EDM1090"/>
      <c r="EDN1090"/>
      <c r="EDQ1090"/>
      <c r="EDR1090"/>
      <c r="EDU1090"/>
      <c r="EDV1090"/>
      <c r="EDY1090"/>
      <c r="EDZ1090"/>
      <c r="EEC1090"/>
      <c r="EED1090"/>
      <c r="EEG1090"/>
      <c r="EEH1090"/>
      <c r="EEK1090"/>
      <c r="EEL1090"/>
      <c r="EEO1090"/>
      <c r="EEP1090"/>
      <c r="EES1090"/>
      <c r="EET1090"/>
      <c r="EEW1090"/>
      <c r="EEX1090"/>
      <c r="EFA1090"/>
      <c r="EFB1090"/>
      <c r="EFE1090"/>
      <c r="EFF1090"/>
      <c r="EFI1090"/>
      <c r="EFJ1090"/>
      <c r="EFM1090"/>
      <c r="EFN1090"/>
      <c r="EFQ1090"/>
      <c r="EFR1090"/>
      <c r="EFU1090"/>
      <c r="EFV1090"/>
      <c r="EFY1090"/>
      <c r="EFZ1090"/>
      <c r="EGC1090"/>
      <c r="EGD1090"/>
      <c r="EGG1090"/>
      <c r="EGH1090"/>
      <c r="EGK1090"/>
      <c r="EGL1090"/>
      <c r="EGO1090"/>
      <c r="EGP1090"/>
      <c r="EGS1090"/>
      <c r="EGT1090"/>
      <c r="EGW1090"/>
      <c r="EGX1090"/>
      <c r="EHA1090"/>
      <c r="EHB1090"/>
      <c r="EHE1090"/>
      <c r="EHF1090"/>
      <c r="EHI1090"/>
      <c r="EHJ1090"/>
      <c r="EHM1090"/>
      <c r="EHN1090"/>
      <c r="EHQ1090"/>
      <c r="EHR1090"/>
      <c r="EHU1090"/>
      <c r="EHV1090"/>
      <c r="EHY1090"/>
      <c r="EHZ1090"/>
      <c r="EIC1090"/>
      <c r="EID1090"/>
      <c r="EIG1090"/>
      <c r="EIH1090"/>
      <c r="EIK1090"/>
      <c r="EIL1090"/>
      <c r="EIO1090"/>
      <c r="EIP1090"/>
      <c r="EIS1090"/>
      <c r="EIT1090"/>
      <c r="EIW1090"/>
      <c r="EIX1090"/>
      <c r="EJA1090"/>
      <c r="EJB1090"/>
      <c r="EJE1090"/>
      <c r="EJF1090"/>
      <c r="EJI1090"/>
      <c r="EJJ1090"/>
      <c r="EJM1090"/>
      <c r="EJN1090"/>
      <c r="EJQ1090"/>
      <c r="EJR1090"/>
      <c r="EJU1090"/>
      <c r="EJV1090"/>
      <c r="EJY1090"/>
      <c r="EJZ1090"/>
      <c r="EKC1090"/>
      <c r="EKD1090"/>
      <c r="EKG1090"/>
      <c r="EKH1090"/>
      <c r="EKK1090"/>
      <c r="EKL1090"/>
      <c r="EKO1090"/>
      <c r="EKP1090"/>
      <c r="EKS1090"/>
      <c r="EKT1090"/>
      <c r="EKW1090"/>
      <c r="EKX1090"/>
      <c r="ELA1090"/>
      <c r="ELB1090"/>
      <c r="ELE1090"/>
      <c r="ELF1090"/>
      <c r="ELI1090"/>
      <c r="ELJ1090"/>
      <c r="ELM1090"/>
      <c r="ELN1090"/>
      <c r="ELQ1090"/>
      <c r="ELR1090"/>
      <c r="ELU1090"/>
      <c r="ELV1090"/>
      <c r="ELY1090"/>
      <c r="ELZ1090"/>
      <c r="EMC1090"/>
      <c r="EMD1090"/>
      <c r="EMG1090"/>
      <c r="EMH1090"/>
      <c r="EMK1090"/>
      <c r="EML1090"/>
      <c r="EMO1090"/>
      <c r="EMP1090"/>
      <c r="EMS1090"/>
      <c r="EMT1090"/>
      <c r="EMW1090"/>
      <c r="EMX1090"/>
      <c r="ENA1090"/>
      <c r="ENB1090"/>
      <c r="ENE1090"/>
      <c r="ENF1090"/>
      <c r="ENI1090"/>
      <c r="ENJ1090"/>
      <c r="ENM1090"/>
      <c r="ENN1090"/>
      <c r="ENQ1090"/>
      <c r="ENR1090"/>
      <c r="ENU1090"/>
      <c r="ENV1090"/>
      <c r="ENY1090"/>
      <c r="ENZ1090"/>
      <c r="EOC1090"/>
      <c r="EOD1090"/>
      <c r="EOG1090"/>
      <c r="EOH1090"/>
      <c r="EOK1090"/>
      <c r="EOL1090"/>
      <c r="EOO1090"/>
      <c r="EOP1090"/>
      <c r="EOS1090"/>
      <c r="EOT1090"/>
      <c r="EOW1090"/>
      <c r="EOX1090"/>
      <c r="EPA1090"/>
      <c r="EPB1090"/>
      <c r="EPE1090"/>
      <c r="EPF1090"/>
      <c r="EPI1090"/>
      <c r="EPJ1090"/>
      <c r="EPM1090"/>
      <c r="EPN1090"/>
      <c r="EPQ1090"/>
      <c r="EPR1090"/>
      <c r="EPU1090"/>
      <c r="EPV1090"/>
      <c r="EPY1090"/>
      <c r="EPZ1090"/>
      <c r="EQC1090"/>
      <c r="EQD1090"/>
      <c r="EQG1090"/>
      <c r="EQH1090"/>
      <c r="EQK1090"/>
      <c r="EQL1090"/>
      <c r="EQO1090"/>
      <c r="EQP1090"/>
      <c r="EQS1090"/>
      <c r="EQT1090"/>
      <c r="EQW1090"/>
      <c r="EQX1090"/>
      <c r="ERA1090"/>
      <c r="ERB1090"/>
      <c r="ERE1090"/>
      <c r="ERF1090"/>
      <c r="ERI1090"/>
      <c r="ERJ1090"/>
      <c r="ERM1090"/>
      <c r="ERN1090"/>
      <c r="ERQ1090"/>
      <c r="ERR1090"/>
      <c r="ERU1090"/>
      <c r="ERV1090"/>
      <c r="ERY1090"/>
      <c r="ERZ1090"/>
      <c r="ESC1090"/>
      <c r="ESD1090"/>
      <c r="ESG1090"/>
      <c r="ESH1090"/>
      <c r="ESK1090"/>
      <c r="ESL1090"/>
      <c r="ESO1090"/>
      <c r="ESP1090"/>
      <c r="ESS1090"/>
      <c r="EST1090"/>
      <c r="ESW1090"/>
      <c r="ESX1090"/>
      <c r="ETA1090"/>
      <c r="ETB1090"/>
      <c r="ETE1090"/>
      <c r="ETF1090"/>
      <c r="ETI1090"/>
      <c r="ETJ1090"/>
      <c r="ETM1090"/>
      <c r="ETN1090"/>
      <c r="ETQ1090"/>
      <c r="ETR1090"/>
      <c r="ETU1090"/>
      <c r="ETV1090"/>
      <c r="ETY1090"/>
      <c r="ETZ1090"/>
      <c r="EUC1090"/>
      <c r="EUD1090"/>
      <c r="EUG1090"/>
      <c r="EUH1090"/>
      <c r="EUK1090"/>
      <c r="EUL1090"/>
      <c r="EUO1090"/>
      <c r="EUP1090"/>
      <c r="EUS1090"/>
      <c r="EUT1090"/>
      <c r="EUW1090"/>
      <c r="EUX1090"/>
      <c r="EVA1090"/>
      <c r="EVB1090"/>
      <c r="EVE1090"/>
      <c r="EVF1090"/>
      <c r="EVI1090"/>
      <c r="EVJ1090"/>
      <c r="EVM1090"/>
      <c r="EVN1090"/>
      <c r="EVQ1090"/>
      <c r="EVR1090"/>
      <c r="EVU1090"/>
      <c r="EVV1090"/>
      <c r="EVY1090"/>
      <c r="EVZ1090"/>
      <c r="EWC1090"/>
      <c r="EWD1090"/>
      <c r="EWG1090"/>
      <c r="EWH1090"/>
      <c r="EWK1090"/>
      <c r="EWL1090"/>
      <c r="EWO1090"/>
      <c r="EWP1090"/>
      <c r="EWS1090"/>
      <c r="EWT1090"/>
      <c r="EWW1090"/>
      <c r="EWX1090"/>
      <c r="EXA1090"/>
      <c r="EXB1090"/>
      <c r="EXE1090"/>
      <c r="EXF1090"/>
      <c r="EXI1090"/>
      <c r="EXJ1090"/>
      <c r="EXM1090"/>
      <c r="EXN1090"/>
      <c r="EXQ1090"/>
      <c r="EXR1090"/>
      <c r="EXU1090"/>
      <c r="EXV1090"/>
      <c r="EXY1090"/>
      <c r="EXZ1090"/>
      <c r="EYC1090"/>
      <c r="EYD1090"/>
      <c r="EYG1090"/>
      <c r="EYH1090"/>
      <c r="EYK1090"/>
      <c r="EYL1090"/>
      <c r="EYO1090"/>
      <c r="EYP1090"/>
      <c r="EYS1090"/>
      <c r="EYT1090"/>
      <c r="EYW1090"/>
      <c r="EYX1090"/>
      <c r="EZA1090"/>
      <c r="EZB1090"/>
      <c r="EZE1090"/>
      <c r="EZF1090"/>
      <c r="EZI1090"/>
      <c r="EZJ1090"/>
      <c r="EZM1090"/>
      <c r="EZN1090"/>
      <c r="EZQ1090"/>
      <c r="EZR1090"/>
      <c r="EZU1090"/>
      <c r="EZV1090"/>
      <c r="EZY1090"/>
      <c r="EZZ1090"/>
      <c r="FAC1090"/>
      <c r="FAD1090"/>
      <c r="FAG1090"/>
      <c r="FAH1090"/>
      <c r="FAK1090"/>
      <c r="FAL1090"/>
      <c r="FAO1090"/>
      <c r="FAP1090"/>
      <c r="FAS1090"/>
      <c r="FAT1090"/>
      <c r="FAW1090"/>
      <c r="FAX1090"/>
      <c r="FBA1090"/>
      <c r="FBB1090"/>
      <c r="FBE1090"/>
      <c r="FBF1090"/>
      <c r="FBI1090"/>
      <c r="FBJ1090"/>
      <c r="FBM1090"/>
      <c r="FBN1090"/>
      <c r="FBQ1090"/>
      <c r="FBR1090"/>
      <c r="FBU1090"/>
      <c r="FBV1090"/>
      <c r="FBY1090"/>
      <c r="FBZ1090"/>
      <c r="FCC1090"/>
      <c r="FCD1090"/>
      <c r="FCG1090"/>
      <c r="FCH1090"/>
      <c r="FCK1090"/>
      <c r="FCL1090"/>
      <c r="FCO1090"/>
      <c r="FCP1090"/>
      <c r="FCS1090"/>
      <c r="FCT1090"/>
      <c r="FCW1090"/>
      <c r="FCX1090"/>
      <c r="FDA1090"/>
      <c r="FDB1090"/>
      <c r="FDE1090"/>
      <c r="FDF1090"/>
      <c r="FDI1090"/>
      <c r="FDJ1090"/>
      <c r="FDM1090"/>
      <c r="FDN1090"/>
      <c r="FDQ1090"/>
      <c r="FDR1090"/>
      <c r="FDU1090"/>
      <c r="FDV1090"/>
      <c r="FDY1090"/>
      <c r="FDZ1090"/>
      <c r="FEC1090"/>
      <c r="FED1090"/>
      <c r="FEG1090"/>
      <c r="FEH1090"/>
      <c r="FEK1090"/>
      <c r="FEL1090"/>
      <c r="FEO1090"/>
      <c r="FEP1090"/>
      <c r="FES1090"/>
      <c r="FET1090"/>
      <c r="FEW1090"/>
      <c r="FEX1090"/>
      <c r="FFA1090"/>
      <c r="FFB1090"/>
      <c r="FFE1090"/>
      <c r="FFF1090"/>
      <c r="FFI1090"/>
      <c r="FFJ1090"/>
      <c r="FFM1090"/>
      <c r="FFN1090"/>
      <c r="FFQ1090"/>
      <c r="FFR1090"/>
      <c r="FFU1090"/>
      <c r="FFV1090"/>
      <c r="FFY1090"/>
      <c r="FFZ1090"/>
      <c r="FGC1090"/>
      <c r="FGD1090"/>
      <c r="FGG1090"/>
      <c r="FGH1090"/>
      <c r="FGK1090"/>
      <c r="FGL1090"/>
      <c r="FGO1090"/>
      <c r="FGP1090"/>
      <c r="FGS1090"/>
      <c r="FGT1090"/>
      <c r="FGW1090"/>
      <c r="FGX1090"/>
      <c r="FHA1090"/>
      <c r="FHB1090"/>
      <c r="FHE1090"/>
      <c r="FHF1090"/>
      <c r="FHI1090"/>
      <c r="FHJ1090"/>
      <c r="FHM1090"/>
      <c r="FHN1090"/>
      <c r="FHQ1090"/>
      <c r="FHR1090"/>
      <c r="FHU1090"/>
      <c r="FHV1090"/>
      <c r="FHY1090"/>
      <c r="FHZ1090"/>
      <c r="FIC1090"/>
      <c r="FID1090"/>
      <c r="FIG1090"/>
      <c r="FIH1090"/>
      <c r="FIK1090"/>
      <c r="FIL1090"/>
      <c r="FIO1090"/>
      <c r="FIP1090"/>
      <c r="FIS1090"/>
      <c r="FIT1090"/>
      <c r="FIW1090"/>
      <c r="FIX1090"/>
      <c r="FJA1090"/>
      <c r="FJB1090"/>
      <c r="FJE1090"/>
      <c r="FJF1090"/>
      <c r="FJI1090"/>
      <c r="FJJ1090"/>
      <c r="FJM1090"/>
      <c r="FJN1090"/>
      <c r="FJQ1090"/>
      <c r="FJR1090"/>
      <c r="FJU1090"/>
      <c r="FJV1090"/>
      <c r="FJY1090"/>
      <c r="FJZ1090"/>
      <c r="FKC1090"/>
      <c r="FKD1090"/>
      <c r="FKG1090"/>
      <c r="FKH1090"/>
      <c r="FKK1090"/>
      <c r="FKL1090"/>
      <c r="FKO1090"/>
      <c r="FKP1090"/>
      <c r="FKS1090"/>
      <c r="FKT1090"/>
      <c r="FKW1090"/>
      <c r="FKX1090"/>
      <c r="FLA1090"/>
      <c r="FLB1090"/>
      <c r="FLE1090"/>
      <c r="FLF1090"/>
      <c r="FLI1090"/>
      <c r="FLJ1090"/>
      <c r="FLM1090"/>
      <c r="FLN1090"/>
      <c r="FLQ1090"/>
      <c r="FLR1090"/>
      <c r="FLU1090"/>
      <c r="FLV1090"/>
      <c r="FLY1090"/>
      <c r="FLZ1090"/>
      <c r="FMC1090"/>
      <c r="FMD1090"/>
      <c r="FMG1090"/>
      <c r="FMH1090"/>
      <c r="FMK1090"/>
      <c r="FML1090"/>
      <c r="FMO1090"/>
      <c r="FMP1090"/>
      <c r="FMS1090"/>
      <c r="FMT1090"/>
      <c r="FMW1090"/>
      <c r="FMX1090"/>
      <c r="FNA1090"/>
      <c r="FNB1090"/>
      <c r="FNE1090"/>
      <c r="FNF1090"/>
      <c r="FNI1090"/>
      <c r="FNJ1090"/>
      <c r="FNM1090"/>
      <c r="FNN1090"/>
      <c r="FNQ1090"/>
      <c r="FNR1090"/>
      <c r="FNU1090"/>
      <c r="FNV1090"/>
      <c r="FNY1090"/>
      <c r="FNZ1090"/>
      <c r="FOC1090"/>
      <c r="FOD1090"/>
      <c r="FOG1090"/>
      <c r="FOH1090"/>
      <c r="FOK1090"/>
      <c r="FOL1090"/>
      <c r="FOO1090"/>
      <c r="FOP1090"/>
      <c r="FOS1090"/>
      <c r="FOT1090"/>
      <c r="FOW1090"/>
      <c r="FOX1090"/>
      <c r="FPA1090"/>
      <c r="FPB1090"/>
      <c r="FPE1090"/>
      <c r="FPF1090"/>
      <c r="FPI1090"/>
      <c r="FPJ1090"/>
      <c r="FPM1090"/>
      <c r="FPN1090"/>
      <c r="FPQ1090"/>
      <c r="FPR1090"/>
      <c r="FPU1090"/>
      <c r="FPV1090"/>
      <c r="FPY1090"/>
      <c r="FPZ1090"/>
      <c r="FQC1090"/>
      <c r="FQD1090"/>
      <c r="FQG1090"/>
      <c r="FQH1090"/>
      <c r="FQK1090"/>
      <c r="FQL1090"/>
      <c r="FQO1090"/>
      <c r="FQP1090"/>
      <c r="FQS1090"/>
      <c r="FQT1090"/>
      <c r="FQW1090"/>
      <c r="FQX1090"/>
      <c r="FRA1090"/>
      <c r="FRB1090"/>
      <c r="FRE1090"/>
      <c r="FRF1090"/>
      <c r="FRI1090"/>
      <c r="FRJ1090"/>
      <c r="FRM1090"/>
      <c r="FRN1090"/>
      <c r="FRQ1090"/>
      <c r="FRR1090"/>
      <c r="FRU1090"/>
      <c r="FRV1090"/>
      <c r="FRY1090"/>
      <c r="FRZ1090"/>
      <c r="FSC1090"/>
      <c r="FSD1090"/>
      <c r="FSG1090"/>
      <c r="FSH1090"/>
      <c r="FSK1090"/>
      <c r="FSL1090"/>
      <c r="FSO1090"/>
      <c r="FSP1090"/>
      <c r="FSS1090"/>
      <c r="FST1090"/>
      <c r="FSW1090"/>
      <c r="FSX1090"/>
      <c r="FTA1090"/>
      <c r="FTB1090"/>
      <c r="FTE1090"/>
      <c r="FTF1090"/>
      <c r="FTI1090"/>
      <c r="FTJ1090"/>
      <c r="FTM1090"/>
      <c r="FTN1090"/>
      <c r="FTQ1090"/>
      <c r="FTR1090"/>
      <c r="FTU1090"/>
      <c r="FTV1090"/>
      <c r="FTY1090"/>
      <c r="FTZ1090"/>
      <c r="FUC1090"/>
      <c r="FUD1090"/>
      <c r="FUG1090"/>
      <c r="FUH1090"/>
      <c r="FUK1090"/>
      <c r="FUL1090"/>
      <c r="FUO1090"/>
      <c r="FUP1090"/>
      <c r="FUS1090"/>
      <c r="FUT1090"/>
      <c r="FUW1090"/>
      <c r="FUX1090"/>
      <c r="FVA1090"/>
      <c r="FVB1090"/>
      <c r="FVE1090"/>
      <c r="FVF1090"/>
      <c r="FVI1090"/>
      <c r="FVJ1090"/>
      <c r="FVM1090"/>
      <c r="FVN1090"/>
      <c r="FVQ1090"/>
      <c r="FVR1090"/>
      <c r="FVU1090"/>
      <c r="FVV1090"/>
      <c r="FVY1090"/>
      <c r="FVZ1090"/>
      <c r="FWC1090"/>
      <c r="FWD1090"/>
      <c r="FWG1090"/>
      <c r="FWH1090"/>
      <c r="FWK1090"/>
      <c r="FWL1090"/>
      <c r="FWO1090"/>
      <c r="FWP1090"/>
      <c r="FWS1090"/>
      <c r="FWT1090"/>
      <c r="FWW1090"/>
      <c r="FWX1090"/>
      <c r="FXA1090"/>
      <c r="FXB1090"/>
      <c r="FXE1090"/>
      <c r="FXF1090"/>
      <c r="FXI1090"/>
      <c r="FXJ1090"/>
      <c r="FXM1090"/>
      <c r="FXN1090"/>
      <c r="FXQ1090"/>
      <c r="FXR1090"/>
      <c r="FXU1090"/>
      <c r="FXV1090"/>
      <c r="FXY1090"/>
      <c r="FXZ1090"/>
      <c r="FYC1090"/>
      <c r="FYD1090"/>
      <c r="FYG1090"/>
      <c r="FYH1090"/>
      <c r="FYK1090"/>
      <c r="FYL1090"/>
      <c r="FYO1090"/>
      <c r="FYP1090"/>
      <c r="FYS1090"/>
      <c r="FYT1090"/>
      <c r="FYW1090"/>
      <c r="FYX1090"/>
      <c r="FZA1090"/>
      <c r="FZB1090"/>
      <c r="FZE1090"/>
      <c r="FZF1090"/>
      <c r="FZI1090"/>
      <c r="FZJ1090"/>
      <c r="FZM1090"/>
      <c r="FZN1090"/>
      <c r="FZQ1090"/>
      <c r="FZR1090"/>
      <c r="FZU1090"/>
      <c r="FZV1090"/>
      <c r="FZY1090"/>
      <c r="FZZ1090"/>
      <c r="GAC1090"/>
      <c r="GAD1090"/>
      <c r="GAG1090"/>
      <c r="GAH1090"/>
      <c r="GAK1090"/>
      <c r="GAL1090"/>
      <c r="GAO1090"/>
      <c r="GAP1090"/>
      <c r="GAS1090"/>
      <c r="GAT1090"/>
      <c r="GAW1090"/>
      <c r="GAX1090"/>
      <c r="GBA1090"/>
      <c r="GBB1090"/>
      <c r="GBE1090"/>
      <c r="GBF1090"/>
      <c r="GBI1090"/>
      <c r="GBJ1090"/>
      <c r="GBM1090"/>
      <c r="GBN1090"/>
      <c r="GBQ1090"/>
      <c r="GBR1090"/>
      <c r="GBU1090"/>
      <c r="GBV1090"/>
      <c r="GBY1090"/>
      <c r="GBZ1090"/>
      <c r="GCC1090"/>
      <c r="GCD1090"/>
      <c r="GCG1090"/>
      <c r="GCH1090"/>
      <c r="GCK1090"/>
      <c r="GCL1090"/>
      <c r="GCO1090"/>
      <c r="GCP1090"/>
      <c r="GCS1090"/>
      <c r="GCT1090"/>
      <c r="GCW1090"/>
      <c r="GCX1090"/>
      <c r="GDA1090"/>
      <c r="GDB1090"/>
      <c r="GDE1090"/>
      <c r="GDF1090"/>
      <c r="GDI1090"/>
      <c r="GDJ1090"/>
      <c r="GDM1090"/>
      <c r="GDN1090"/>
      <c r="GDQ1090"/>
      <c r="GDR1090"/>
      <c r="GDU1090"/>
      <c r="GDV1090"/>
      <c r="GDY1090"/>
      <c r="GDZ1090"/>
      <c r="GEC1090"/>
      <c r="GED1090"/>
      <c r="GEG1090"/>
      <c r="GEH1090"/>
      <c r="GEK1090"/>
      <c r="GEL1090"/>
      <c r="GEO1090"/>
      <c r="GEP1090"/>
      <c r="GES1090"/>
      <c r="GET1090"/>
      <c r="GEW1090"/>
      <c r="GEX1090"/>
      <c r="GFA1090"/>
      <c r="GFB1090"/>
      <c r="GFE1090"/>
      <c r="GFF1090"/>
      <c r="GFI1090"/>
      <c r="GFJ1090"/>
      <c r="GFM1090"/>
      <c r="GFN1090"/>
      <c r="GFQ1090"/>
      <c r="GFR1090"/>
      <c r="GFU1090"/>
      <c r="GFV1090"/>
      <c r="GFY1090"/>
      <c r="GFZ1090"/>
      <c r="GGC1090"/>
      <c r="GGD1090"/>
      <c r="GGG1090"/>
      <c r="GGH1090"/>
      <c r="GGK1090"/>
      <c r="GGL1090"/>
      <c r="GGO1090"/>
      <c r="GGP1090"/>
      <c r="GGS1090"/>
      <c r="GGT1090"/>
      <c r="GGW1090"/>
      <c r="GGX1090"/>
      <c r="GHA1090"/>
      <c r="GHB1090"/>
      <c r="GHE1090"/>
      <c r="GHF1090"/>
      <c r="GHI1090"/>
      <c r="GHJ1090"/>
      <c r="GHM1090"/>
      <c r="GHN1090"/>
      <c r="GHQ1090"/>
      <c r="GHR1090"/>
      <c r="GHU1090"/>
      <c r="GHV1090"/>
      <c r="GHY1090"/>
      <c r="GHZ1090"/>
      <c r="GIC1090"/>
      <c r="GID1090"/>
      <c r="GIG1090"/>
      <c r="GIH1090"/>
      <c r="GIK1090"/>
      <c r="GIL1090"/>
      <c r="GIO1090"/>
      <c r="GIP1090"/>
      <c r="GIS1090"/>
      <c r="GIT1090"/>
      <c r="GIW1090"/>
      <c r="GIX1090"/>
      <c r="GJA1090"/>
      <c r="GJB1090"/>
      <c r="GJE1090"/>
      <c r="GJF1090"/>
      <c r="GJI1090"/>
      <c r="GJJ1090"/>
      <c r="GJM1090"/>
      <c r="GJN1090"/>
      <c r="GJQ1090"/>
      <c r="GJR1090"/>
      <c r="GJU1090"/>
      <c r="GJV1090"/>
      <c r="GJY1090"/>
      <c r="GJZ1090"/>
      <c r="GKC1090"/>
      <c r="GKD1090"/>
      <c r="GKG1090"/>
      <c r="GKH1090"/>
      <c r="GKK1090"/>
      <c r="GKL1090"/>
      <c r="GKO1090"/>
      <c r="GKP1090"/>
      <c r="GKS1090"/>
      <c r="GKT1090"/>
      <c r="GKW1090"/>
      <c r="GKX1090"/>
      <c r="GLA1090"/>
      <c r="GLB1090"/>
      <c r="GLE1090"/>
      <c r="GLF1090"/>
      <c r="GLI1090"/>
      <c r="GLJ1090"/>
      <c r="GLM1090"/>
      <c r="GLN1090"/>
      <c r="GLQ1090"/>
      <c r="GLR1090"/>
      <c r="GLU1090"/>
      <c r="GLV1090"/>
      <c r="GLY1090"/>
      <c r="GLZ1090"/>
      <c r="GMC1090"/>
      <c r="GMD1090"/>
      <c r="GMG1090"/>
      <c r="GMH1090"/>
      <c r="GMK1090"/>
      <c r="GML1090"/>
      <c r="GMO1090"/>
      <c r="GMP1090"/>
      <c r="GMS1090"/>
      <c r="GMT1090"/>
      <c r="GMW1090"/>
      <c r="GMX1090"/>
      <c r="GNA1090"/>
      <c r="GNB1090"/>
      <c r="GNE1090"/>
      <c r="GNF1090"/>
      <c r="GNI1090"/>
      <c r="GNJ1090"/>
      <c r="GNM1090"/>
      <c r="GNN1090"/>
      <c r="GNQ1090"/>
      <c r="GNR1090"/>
      <c r="GNU1090"/>
      <c r="GNV1090"/>
      <c r="GNY1090"/>
      <c r="GNZ1090"/>
      <c r="GOC1090"/>
      <c r="GOD1090"/>
      <c r="GOG1090"/>
      <c r="GOH1090"/>
      <c r="GOK1090"/>
      <c r="GOL1090"/>
      <c r="GOO1090"/>
      <c r="GOP1090"/>
      <c r="GOS1090"/>
      <c r="GOT1090"/>
      <c r="GOW1090"/>
      <c r="GOX1090"/>
      <c r="GPA1090"/>
      <c r="GPB1090"/>
      <c r="GPE1090"/>
      <c r="GPF1090"/>
      <c r="GPI1090"/>
      <c r="GPJ1090"/>
      <c r="GPM1090"/>
      <c r="GPN1090"/>
      <c r="GPQ1090"/>
      <c r="GPR1090"/>
      <c r="GPU1090"/>
      <c r="GPV1090"/>
      <c r="GPY1090"/>
      <c r="GPZ1090"/>
      <c r="GQC1090"/>
      <c r="GQD1090"/>
      <c r="GQG1090"/>
      <c r="GQH1090"/>
      <c r="GQK1090"/>
      <c r="GQL1090"/>
      <c r="GQO1090"/>
      <c r="GQP1090"/>
      <c r="GQS1090"/>
      <c r="GQT1090"/>
      <c r="GQW1090"/>
      <c r="GQX1090"/>
      <c r="GRA1090"/>
      <c r="GRB1090"/>
      <c r="GRE1090"/>
      <c r="GRF1090"/>
      <c r="GRI1090"/>
      <c r="GRJ1090"/>
      <c r="GRM1090"/>
      <c r="GRN1090"/>
      <c r="GRQ1090"/>
      <c r="GRR1090"/>
      <c r="GRU1090"/>
      <c r="GRV1090"/>
      <c r="GRY1090"/>
      <c r="GRZ1090"/>
      <c r="GSC1090"/>
      <c r="GSD1090"/>
      <c r="GSG1090"/>
      <c r="GSH1090"/>
      <c r="GSK1090"/>
      <c r="GSL1090"/>
      <c r="GSO1090"/>
      <c r="GSP1090"/>
      <c r="GSS1090"/>
      <c r="GST1090"/>
      <c r="GSW1090"/>
      <c r="GSX1090"/>
      <c r="GTA1090"/>
      <c r="GTB1090"/>
      <c r="GTE1090"/>
      <c r="GTF1090"/>
      <c r="GTI1090"/>
      <c r="GTJ1090"/>
      <c r="GTM1090"/>
      <c r="GTN1090"/>
      <c r="GTQ1090"/>
      <c r="GTR1090"/>
      <c r="GTU1090"/>
      <c r="GTV1090"/>
      <c r="GTY1090"/>
      <c r="GTZ1090"/>
      <c r="GUC1090"/>
      <c r="GUD1090"/>
      <c r="GUG1090"/>
      <c r="GUH1090"/>
      <c r="GUK1090"/>
      <c r="GUL1090"/>
      <c r="GUO1090"/>
      <c r="GUP1090"/>
      <c r="GUS1090"/>
      <c r="GUT1090"/>
      <c r="GUW1090"/>
      <c r="GUX1090"/>
      <c r="GVA1090"/>
      <c r="GVB1090"/>
      <c r="GVE1090"/>
      <c r="GVF1090"/>
      <c r="GVI1090"/>
      <c r="GVJ1090"/>
      <c r="GVM1090"/>
      <c r="GVN1090"/>
      <c r="GVQ1090"/>
      <c r="GVR1090"/>
      <c r="GVU1090"/>
      <c r="GVV1090"/>
      <c r="GVY1090"/>
      <c r="GVZ1090"/>
      <c r="GWC1090"/>
      <c r="GWD1090"/>
      <c r="GWG1090"/>
      <c r="GWH1090"/>
      <c r="GWK1090"/>
      <c r="GWL1090"/>
      <c r="GWO1090"/>
      <c r="GWP1090"/>
      <c r="GWS1090"/>
      <c r="GWT1090"/>
      <c r="GWW1090"/>
      <c r="GWX1090"/>
      <c r="GXA1090"/>
      <c r="GXB1090"/>
      <c r="GXE1090"/>
      <c r="GXF1090"/>
      <c r="GXI1090"/>
      <c r="GXJ1090"/>
      <c r="GXM1090"/>
      <c r="GXN1090"/>
      <c r="GXQ1090"/>
      <c r="GXR1090"/>
      <c r="GXU1090"/>
      <c r="GXV1090"/>
      <c r="GXY1090"/>
      <c r="GXZ1090"/>
      <c r="GYC1090"/>
      <c r="GYD1090"/>
      <c r="GYG1090"/>
      <c r="GYH1090"/>
      <c r="GYK1090"/>
      <c r="GYL1090"/>
      <c r="GYO1090"/>
      <c r="GYP1090"/>
      <c r="GYS1090"/>
      <c r="GYT1090"/>
      <c r="GYW1090"/>
      <c r="GYX1090"/>
      <c r="GZA1090"/>
      <c r="GZB1090"/>
      <c r="GZE1090"/>
      <c r="GZF1090"/>
      <c r="GZI1090"/>
      <c r="GZJ1090"/>
      <c r="GZM1090"/>
      <c r="GZN1090"/>
      <c r="GZQ1090"/>
      <c r="GZR1090"/>
      <c r="GZU1090"/>
      <c r="GZV1090"/>
      <c r="GZY1090"/>
      <c r="GZZ1090"/>
      <c r="HAC1090"/>
      <c r="HAD1090"/>
      <c r="HAG1090"/>
      <c r="HAH1090"/>
      <c r="HAK1090"/>
      <c r="HAL1090"/>
      <c r="HAO1090"/>
      <c r="HAP1090"/>
      <c r="HAS1090"/>
      <c r="HAT1090"/>
      <c r="HAW1090"/>
      <c r="HAX1090"/>
      <c r="HBA1090"/>
      <c r="HBB1090"/>
      <c r="HBE1090"/>
      <c r="HBF1090"/>
      <c r="HBI1090"/>
      <c r="HBJ1090"/>
      <c r="HBM1090"/>
      <c r="HBN1090"/>
      <c r="HBQ1090"/>
      <c r="HBR1090"/>
      <c r="HBU1090"/>
      <c r="HBV1090"/>
      <c r="HBY1090"/>
      <c r="HBZ1090"/>
      <c r="HCC1090"/>
      <c r="HCD1090"/>
      <c r="HCG1090"/>
      <c r="HCH1090"/>
      <c r="HCK1090"/>
      <c r="HCL1090"/>
      <c r="HCO1090"/>
      <c r="HCP1090"/>
      <c r="HCS1090"/>
      <c r="HCT1090"/>
      <c r="HCW1090"/>
      <c r="HCX1090"/>
      <c r="HDA1090"/>
      <c r="HDB1090"/>
      <c r="HDE1090"/>
      <c r="HDF1090"/>
      <c r="HDI1090"/>
      <c r="HDJ1090"/>
      <c r="HDM1090"/>
      <c r="HDN1090"/>
      <c r="HDQ1090"/>
      <c r="HDR1090"/>
      <c r="HDU1090"/>
      <c r="HDV1090"/>
      <c r="HDY1090"/>
      <c r="HDZ1090"/>
      <c r="HEC1090"/>
      <c r="HED1090"/>
      <c r="HEG1090"/>
      <c r="HEH1090"/>
      <c r="HEK1090"/>
      <c r="HEL1090"/>
      <c r="HEO1090"/>
      <c r="HEP1090"/>
      <c r="HES1090"/>
      <c r="HET1090"/>
      <c r="HEW1090"/>
      <c r="HEX1090"/>
      <c r="HFA1090"/>
      <c r="HFB1090"/>
      <c r="HFE1090"/>
      <c r="HFF1090"/>
      <c r="HFI1090"/>
      <c r="HFJ1090"/>
      <c r="HFM1090"/>
      <c r="HFN1090"/>
      <c r="HFQ1090"/>
      <c r="HFR1090"/>
      <c r="HFU1090"/>
      <c r="HFV1090"/>
      <c r="HFY1090"/>
      <c r="HFZ1090"/>
      <c r="HGC1090"/>
      <c r="HGD1090"/>
      <c r="HGG1090"/>
      <c r="HGH1090"/>
      <c r="HGK1090"/>
      <c r="HGL1090"/>
      <c r="HGO1090"/>
      <c r="HGP1090"/>
      <c r="HGS1090"/>
      <c r="HGT1090"/>
      <c r="HGW1090"/>
      <c r="HGX1090"/>
      <c r="HHA1090"/>
      <c r="HHB1090"/>
      <c r="HHE1090"/>
      <c r="HHF1090"/>
      <c r="HHI1090"/>
      <c r="HHJ1090"/>
      <c r="HHM1090"/>
      <c r="HHN1090"/>
      <c r="HHQ1090"/>
      <c r="HHR1090"/>
      <c r="HHU1090"/>
      <c r="HHV1090"/>
      <c r="HHY1090"/>
      <c r="HHZ1090"/>
      <c r="HIC1090"/>
      <c r="HID1090"/>
      <c r="HIG1090"/>
      <c r="HIH1090"/>
      <c r="HIK1090"/>
      <c r="HIL1090"/>
      <c r="HIO1090"/>
      <c r="HIP1090"/>
      <c r="HIS1090"/>
      <c r="HIT1090"/>
      <c r="HIW1090"/>
      <c r="HIX1090"/>
      <c r="HJA1090"/>
      <c r="HJB1090"/>
      <c r="HJE1090"/>
      <c r="HJF1090"/>
      <c r="HJI1090"/>
      <c r="HJJ1090"/>
      <c r="HJM1090"/>
      <c r="HJN1090"/>
      <c r="HJQ1090"/>
      <c r="HJR1090"/>
      <c r="HJU1090"/>
      <c r="HJV1090"/>
      <c r="HJY1090"/>
      <c r="HJZ1090"/>
      <c r="HKC1090"/>
      <c r="HKD1090"/>
      <c r="HKG1090"/>
      <c r="HKH1090"/>
      <c r="HKK1090"/>
      <c r="HKL1090"/>
      <c r="HKO1090"/>
      <c r="HKP1090"/>
      <c r="HKS1090"/>
      <c r="HKT1090"/>
      <c r="HKW1090"/>
      <c r="HKX1090"/>
      <c r="HLA1090"/>
      <c r="HLB1090"/>
      <c r="HLE1090"/>
      <c r="HLF1090"/>
      <c r="HLI1090"/>
      <c r="HLJ1090"/>
      <c r="HLM1090"/>
      <c r="HLN1090"/>
      <c r="HLQ1090"/>
      <c r="HLR1090"/>
      <c r="HLU1090"/>
      <c r="HLV1090"/>
      <c r="HLY1090"/>
      <c r="HLZ1090"/>
      <c r="HMC1090"/>
      <c r="HMD1090"/>
      <c r="HMG1090"/>
      <c r="HMH1090"/>
      <c r="HMK1090"/>
      <c r="HML1090"/>
      <c r="HMO1090"/>
      <c r="HMP1090"/>
      <c r="HMS1090"/>
      <c r="HMT1090"/>
      <c r="HMW1090"/>
      <c r="HMX1090"/>
      <c r="HNA1090"/>
      <c r="HNB1090"/>
      <c r="HNE1090"/>
      <c r="HNF1090"/>
      <c r="HNI1090"/>
      <c r="HNJ1090"/>
      <c r="HNM1090"/>
      <c r="HNN1090"/>
      <c r="HNQ1090"/>
      <c r="HNR1090"/>
      <c r="HNU1090"/>
      <c r="HNV1090"/>
      <c r="HNY1090"/>
      <c r="HNZ1090"/>
      <c r="HOC1090"/>
      <c r="HOD1090"/>
      <c r="HOG1090"/>
      <c r="HOH1090"/>
      <c r="HOK1090"/>
      <c r="HOL1090"/>
      <c r="HOO1090"/>
      <c r="HOP1090"/>
      <c r="HOS1090"/>
      <c r="HOT1090"/>
      <c r="HOW1090"/>
      <c r="HOX1090"/>
      <c r="HPA1090"/>
      <c r="HPB1090"/>
      <c r="HPE1090"/>
      <c r="HPF1090"/>
      <c r="HPI1090"/>
      <c r="HPJ1090"/>
      <c r="HPM1090"/>
      <c r="HPN1090"/>
      <c r="HPQ1090"/>
      <c r="HPR1090"/>
      <c r="HPU1090"/>
      <c r="HPV1090"/>
      <c r="HPY1090"/>
      <c r="HPZ1090"/>
      <c r="HQC1090"/>
      <c r="HQD1090"/>
      <c r="HQG1090"/>
      <c r="HQH1090"/>
      <c r="HQK1090"/>
      <c r="HQL1090"/>
      <c r="HQO1090"/>
      <c r="HQP1090"/>
      <c r="HQS1090"/>
      <c r="HQT1090"/>
      <c r="HQW1090"/>
      <c r="HQX1090"/>
      <c r="HRA1090"/>
      <c r="HRB1090"/>
      <c r="HRE1090"/>
      <c r="HRF1090"/>
      <c r="HRI1090"/>
      <c r="HRJ1090"/>
      <c r="HRM1090"/>
      <c r="HRN1090"/>
      <c r="HRQ1090"/>
      <c r="HRR1090"/>
      <c r="HRU1090"/>
      <c r="HRV1090"/>
      <c r="HRY1090"/>
      <c r="HRZ1090"/>
      <c r="HSC1090"/>
      <c r="HSD1090"/>
      <c r="HSG1090"/>
      <c r="HSH1090"/>
      <c r="HSK1090"/>
      <c r="HSL1090"/>
      <c r="HSO1090"/>
      <c r="HSP1090"/>
      <c r="HSS1090"/>
      <c r="HST1090"/>
      <c r="HSW1090"/>
      <c r="HSX1090"/>
      <c r="HTA1090"/>
      <c r="HTB1090"/>
      <c r="HTE1090"/>
      <c r="HTF1090"/>
      <c r="HTI1090"/>
      <c r="HTJ1090"/>
      <c r="HTM1090"/>
      <c r="HTN1090"/>
      <c r="HTQ1090"/>
      <c r="HTR1090"/>
      <c r="HTU1090"/>
      <c r="HTV1090"/>
      <c r="HTY1090"/>
      <c r="HTZ1090"/>
      <c r="HUC1090"/>
      <c r="HUD1090"/>
      <c r="HUG1090"/>
      <c r="HUH1090"/>
      <c r="HUK1090"/>
      <c r="HUL1090"/>
      <c r="HUO1090"/>
      <c r="HUP1090"/>
      <c r="HUS1090"/>
      <c r="HUT1090"/>
      <c r="HUW1090"/>
      <c r="HUX1090"/>
      <c r="HVA1090"/>
      <c r="HVB1090"/>
      <c r="HVE1090"/>
      <c r="HVF1090"/>
      <c r="HVI1090"/>
      <c r="HVJ1090"/>
      <c r="HVM1090"/>
      <c r="HVN1090"/>
      <c r="HVQ1090"/>
      <c r="HVR1090"/>
      <c r="HVU1090"/>
      <c r="HVV1090"/>
      <c r="HVY1090"/>
      <c r="HVZ1090"/>
      <c r="HWC1090"/>
      <c r="HWD1090"/>
      <c r="HWG1090"/>
      <c r="HWH1090"/>
      <c r="HWK1090"/>
      <c r="HWL1090"/>
      <c r="HWO1090"/>
      <c r="HWP1090"/>
      <c r="HWS1090"/>
      <c r="HWT1090"/>
      <c r="HWW1090"/>
      <c r="HWX1090"/>
      <c r="HXA1090"/>
      <c r="HXB1090"/>
      <c r="HXE1090"/>
      <c r="HXF1090"/>
      <c r="HXI1090"/>
      <c r="HXJ1090"/>
      <c r="HXM1090"/>
      <c r="HXN1090"/>
      <c r="HXQ1090"/>
      <c r="HXR1090"/>
      <c r="HXU1090"/>
      <c r="HXV1090"/>
      <c r="HXY1090"/>
      <c r="HXZ1090"/>
      <c r="HYC1090"/>
      <c r="HYD1090"/>
      <c r="HYG1090"/>
      <c r="HYH1090"/>
      <c r="HYK1090"/>
      <c r="HYL1090"/>
      <c r="HYO1090"/>
      <c r="HYP1090"/>
      <c r="HYS1090"/>
      <c r="HYT1090"/>
      <c r="HYW1090"/>
      <c r="HYX1090"/>
      <c r="HZA1090"/>
      <c r="HZB1090"/>
      <c r="HZE1090"/>
      <c r="HZF1090"/>
      <c r="HZI1090"/>
      <c r="HZJ1090"/>
      <c r="HZM1090"/>
      <c r="HZN1090"/>
      <c r="HZQ1090"/>
      <c r="HZR1090"/>
      <c r="HZU1090"/>
      <c r="HZV1090"/>
      <c r="HZY1090"/>
      <c r="HZZ1090"/>
      <c r="IAC1090"/>
      <c r="IAD1090"/>
      <c r="IAG1090"/>
      <c r="IAH1090"/>
      <c r="IAK1090"/>
      <c r="IAL1090"/>
      <c r="IAO1090"/>
      <c r="IAP1090"/>
      <c r="IAS1090"/>
      <c r="IAT1090"/>
      <c r="IAW1090"/>
      <c r="IAX1090"/>
      <c r="IBA1090"/>
      <c r="IBB1090"/>
      <c r="IBE1090"/>
      <c r="IBF1090"/>
      <c r="IBI1090"/>
      <c r="IBJ1090"/>
      <c r="IBM1090"/>
      <c r="IBN1090"/>
      <c r="IBQ1090"/>
      <c r="IBR1090"/>
      <c r="IBU1090"/>
      <c r="IBV1090"/>
      <c r="IBY1090"/>
      <c r="IBZ1090"/>
      <c r="ICC1090"/>
      <c r="ICD1090"/>
      <c r="ICG1090"/>
      <c r="ICH1090"/>
      <c r="ICK1090"/>
      <c r="ICL1090"/>
      <c r="ICO1090"/>
      <c r="ICP1090"/>
      <c r="ICS1090"/>
      <c r="ICT1090"/>
      <c r="ICW1090"/>
      <c r="ICX1090"/>
      <c r="IDA1090"/>
      <c r="IDB1090"/>
      <c r="IDE1090"/>
      <c r="IDF1090"/>
      <c r="IDI1090"/>
      <c r="IDJ1090"/>
      <c r="IDM1090"/>
      <c r="IDN1090"/>
      <c r="IDQ1090"/>
      <c r="IDR1090"/>
      <c r="IDU1090"/>
      <c r="IDV1090"/>
      <c r="IDY1090"/>
      <c r="IDZ1090"/>
      <c r="IEC1090"/>
      <c r="IED1090"/>
      <c r="IEG1090"/>
      <c r="IEH1090"/>
      <c r="IEK1090"/>
      <c r="IEL1090"/>
      <c r="IEO1090"/>
      <c r="IEP1090"/>
      <c r="IES1090"/>
      <c r="IET1090"/>
      <c r="IEW1090"/>
      <c r="IEX1090"/>
      <c r="IFA1090"/>
      <c r="IFB1090"/>
      <c r="IFE1090"/>
      <c r="IFF1090"/>
      <c r="IFI1090"/>
      <c r="IFJ1090"/>
      <c r="IFM1090"/>
      <c r="IFN1090"/>
      <c r="IFQ1090"/>
      <c r="IFR1090"/>
      <c r="IFU1090"/>
      <c r="IFV1090"/>
      <c r="IFY1090"/>
      <c r="IFZ1090"/>
      <c r="IGC1090"/>
      <c r="IGD1090"/>
      <c r="IGG1090"/>
      <c r="IGH1090"/>
      <c r="IGK1090"/>
      <c r="IGL1090"/>
      <c r="IGO1090"/>
      <c r="IGP1090"/>
      <c r="IGS1090"/>
      <c r="IGT1090"/>
      <c r="IGW1090"/>
      <c r="IGX1090"/>
      <c r="IHA1090"/>
      <c r="IHB1090"/>
      <c r="IHE1090"/>
      <c r="IHF1090"/>
      <c r="IHI1090"/>
      <c r="IHJ1090"/>
      <c r="IHM1090"/>
      <c r="IHN1090"/>
      <c r="IHQ1090"/>
      <c r="IHR1090"/>
      <c r="IHU1090"/>
      <c r="IHV1090"/>
      <c r="IHY1090"/>
      <c r="IHZ1090"/>
      <c r="IIC1090"/>
      <c r="IID1090"/>
      <c r="IIG1090"/>
      <c r="IIH1090"/>
      <c r="IIK1090"/>
      <c r="IIL1090"/>
      <c r="IIO1090"/>
      <c r="IIP1090"/>
      <c r="IIS1090"/>
      <c r="IIT1090"/>
      <c r="IIW1090"/>
      <c r="IIX1090"/>
      <c r="IJA1090"/>
      <c r="IJB1090"/>
      <c r="IJE1090"/>
      <c r="IJF1090"/>
      <c r="IJI1090"/>
      <c r="IJJ1090"/>
      <c r="IJM1090"/>
      <c r="IJN1090"/>
      <c r="IJQ1090"/>
      <c r="IJR1090"/>
      <c r="IJU1090"/>
      <c r="IJV1090"/>
      <c r="IJY1090"/>
      <c r="IJZ1090"/>
      <c r="IKC1090"/>
      <c r="IKD1090"/>
      <c r="IKG1090"/>
      <c r="IKH1090"/>
      <c r="IKK1090"/>
      <c r="IKL1090"/>
      <c r="IKO1090"/>
      <c r="IKP1090"/>
      <c r="IKS1090"/>
      <c r="IKT1090"/>
      <c r="IKW1090"/>
      <c r="IKX1090"/>
      <c r="ILA1090"/>
      <c r="ILB1090"/>
      <c r="ILE1090"/>
      <c r="ILF1090"/>
      <c r="ILI1090"/>
      <c r="ILJ1090"/>
      <c r="ILM1090"/>
      <c r="ILN1090"/>
      <c r="ILQ1090"/>
      <c r="ILR1090"/>
      <c r="ILU1090"/>
      <c r="ILV1090"/>
      <c r="ILY1090"/>
      <c r="ILZ1090"/>
      <c r="IMC1090"/>
      <c r="IMD1090"/>
      <c r="IMG1090"/>
      <c r="IMH1090"/>
      <c r="IMK1090"/>
      <c r="IML1090"/>
      <c r="IMO1090"/>
      <c r="IMP1090"/>
      <c r="IMS1090"/>
      <c r="IMT1090"/>
      <c r="IMW1090"/>
      <c r="IMX1090"/>
      <c r="INA1090"/>
      <c r="INB1090"/>
      <c r="INE1090"/>
      <c r="INF1090"/>
      <c r="INI1090"/>
      <c r="INJ1090"/>
      <c r="INM1090"/>
      <c r="INN1090"/>
      <c r="INQ1090"/>
      <c r="INR1090"/>
      <c r="INU1090"/>
      <c r="INV1090"/>
      <c r="INY1090"/>
      <c r="INZ1090"/>
      <c r="IOC1090"/>
      <c r="IOD1090"/>
      <c r="IOG1090"/>
      <c r="IOH1090"/>
      <c r="IOK1090"/>
      <c r="IOL1090"/>
      <c r="IOO1090"/>
      <c r="IOP1090"/>
      <c r="IOS1090"/>
      <c r="IOT1090"/>
      <c r="IOW1090"/>
      <c r="IOX1090"/>
      <c r="IPA1090"/>
      <c r="IPB1090"/>
      <c r="IPE1090"/>
      <c r="IPF1090"/>
      <c r="IPI1090"/>
      <c r="IPJ1090"/>
      <c r="IPM1090"/>
      <c r="IPN1090"/>
      <c r="IPQ1090"/>
      <c r="IPR1090"/>
      <c r="IPU1090"/>
      <c r="IPV1090"/>
      <c r="IPY1090"/>
      <c r="IPZ1090"/>
      <c r="IQC1090"/>
      <c r="IQD1090"/>
      <c r="IQG1090"/>
      <c r="IQH1090"/>
      <c r="IQK1090"/>
      <c r="IQL1090"/>
      <c r="IQO1090"/>
      <c r="IQP1090"/>
      <c r="IQS1090"/>
      <c r="IQT1090"/>
      <c r="IQW1090"/>
      <c r="IQX1090"/>
      <c r="IRA1090"/>
      <c r="IRB1090"/>
      <c r="IRE1090"/>
      <c r="IRF1090"/>
      <c r="IRI1090"/>
      <c r="IRJ1090"/>
      <c r="IRM1090"/>
      <c r="IRN1090"/>
      <c r="IRQ1090"/>
      <c r="IRR1090"/>
      <c r="IRU1090"/>
      <c r="IRV1090"/>
      <c r="IRY1090"/>
      <c r="IRZ1090"/>
      <c r="ISC1090"/>
      <c r="ISD1090"/>
      <c r="ISG1090"/>
      <c r="ISH1090"/>
      <c r="ISK1090"/>
      <c r="ISL1090"/>
      <c r="ISO1090"/>
      <c r="ISP1090"/>
      <c r="ISS1090"/>
      <c r="IST1090"/>
      <c r="ISW1090"/>
      <c r="ISX1090"/>
      <c r="ITA1090"/>
      <c r="ITB1090"/>
      <c r="ITE1090"/>
      <c r="ITF1090"/>
      <c r="ITI1090"/>
      <c r="ITJ1090"/>
      <c r="ITM1090"/>
      <c r="ITN1090"/>
      <c r="ITQ1090"/>
      <c r="ITR1090"/>
      <c r="ITU1090"/>
      <c r="ITV1090"/>
      <c r="ITY1090"/>
      <c r="ITZ1090"/>
      <c r="IUC1090"/>
      <c r="IUD1090"/>
      <c r="IUG1090"/>
      <c r="IUH1090"/>
      <c r="IUK1090"/>
      <c r="IUL1090"/>
      <c r="IUO1090"/>
      <c r="IUP1090"/>
      <c r="IUS1090"/>
      <c r="IUT1090"/>
      <c r="IUW1090"/>
      <c r="IUX1090"/>
      <c r="IVA1090"/>
      <c r="IVB1090"/>
      <c r="IVE1090"/>
      <c r="IVF1090"/>
      <c r="IVI1090"/>
      <c r="IVJ1090"/>
      <c r="IVM1090"/>
      <c r="IVN1090"/>
      <c r="IVQ1090"/>
      <c r="IVR1090"/>
      <c r="IVU1090"/>
      <c r="IVV1090"/>
      <c r="IVY1090"/>
      <c r="IVZ1090"/>
      <c r="IWC1090"/>
      <c r="IWD1090"/>
      <c r="IWG1090"/>
      <c r="IWH1090"/>
      <c r="IWK1090"/>
      <c r="IWL1090"/>
      <c r="IWO1090"/>
      <c r="IWP1090"/>
      <c r="IWS1090"/>
      <c r="IWT1090"/>
      <c r="IWW1090"/>
      <c r="IWX1090"/>
      <c r="IXA1090"/>
      <c r="IXB1090"/>
      <c r="IXE1090"/>
      <c r="IXF1090"/>
      <c r="IXI1090"/>
      <c r="IXJ1090"/>
      <c r="IXM1090"/>
      <c r="IXN1090"/>
      <c r="IXQ1090"/>
      <c r="IXR1090"/>
      <c r="IXU1090"/>
      <c r="IXV1090"/>
      <c r="IXY1090"/>
      <c r="IXZ1090"/>
      <c r="IYC1090"/>
      <c r="IYD1090"/>
      <c r="IYG1090"/>
      <c r="IYH1090"/>
      <c r="IYK1090"/>
      <c r="IYL1090"/>
      <c r="IYO1090"/>
      <c r="IYP1090"/>
      <c r="IYS1090"/>
      <c r="IYT1090"/>
      <c r="IYW1090"/>
      <c r="IYX1090"/>
      <c r="IZA1090"/>
      <c r="IZB1090"/>
      <c r="IZE1090"/>
      <c r="IZF1090"/>
      <c r="IZI1090"/>
      <c r="IZJ1090"/>
      <c r="IZM1090"/>
      <c r="IZN1090"/>
      <c r="IZQ1090"/>
      <c r="IZR1090"/>
      <c r="IZU1090"/>
      <c r="IZV1090"/>
      <c r="IZY1090"/>
      <c r="IZZ1090"/>
      <c r="JAC1090"/>
      <c r="JAD1090"/>
      <c r="JAG1090"/>
      <c r="JAH1090"/>
      <c r="JAK1090"/>
      <c r="JAL1090"/>
      <c r="JAO1090"/>
      <c r="JAP1090"/>
      <c r="JAS1090"/>
      <c r="JAT1090"/>
      <c r="JAW1090"/>
      <c r="JAX1090"/>
      <c r="JBA1090"/>
      <c r="JBB1090"/>
      <c r="JBE1090"/>
      <c r="JBF1090"/>
      <c r="JBI1090"/>
      <c r="JBJ1090"/>
      <c r="JBM1090"/>
      <c r="JBN1090"/>
      <c r="JBQ1090"/>
      <c r="JBR1090"/>
      <c r="JBU1090"/>
      <c r="JBV1090"/>
      <c r="JBY1090"/>
      <c r="JBZ1090"/>
      <c r="JCC1090"/>
      <c r="JCD1090"/>
      <c r="JCG1090"/>
      <c r="JCH1090"/>
      <c r="JCK1090"/>
      <c r="JCL1090"/>
      <c r="JCO1090"/>
      <c r="JCP1090"/>
      <c r="JCS1090"/>
      <c r="JCT1090"/>
      <c r="JCW1090"/>
      <c r="JCX1090"/>
      <c r="JDA1090"/>
      <c r="JDB1090"/>
      <c r="JDE1090"/>
      <c r="JDF1090"/>
      <c r="JDI1090"/>
      <c r="JDJ1090"/>
      <c r="JDM1090"/>
      <c r="JDN1090"/>
      <c r="JDQ1090"/>
      <c r="JDR1090"/>
      <c r="JDU1090"/>
      <c r="JDV1090"/>
      <c r="JDY1090"/>
      <c r="JDZ1090"/>
      <c r="JEC1090"/>
      <c r="JED1090"/>
      <c r="JEG1090"/>
      <c r="JEH1090"/>
      <c r="JEK1090"/>
      <c r="JEL1090"/>
      <c r="JEO1090"/>
      <c r="JEP1090"/>
      <c r="JES1090"/>
      <c r="JET1090"/>
      <c r="JEW1090"/>
      <c r="JEX1090"/>
      <c r="JFA1090"/>
      <c r="JFB1090"/>
      <c r="JFE1090"/>
      <c r="JFF1090"/>
      <c r="JFI1090"/>
      <c r="JFJ1090"/>
      <c r="JFM1090"/>
      <c r="JFN1090"/>
      <c r="JFQ1090"/>
      <c r="JFR1090"/>
      <c r="JFU1090"/>
      <c r="JFV1090"/>
      <c r="JFY1090"/>
      <c r="JFZ1090"/>
      <c r="JGC1090"/>
      <c r="JGD1090"/>
      <c r="JGG1090"/>
      <c r="JGH1090"/>
      <c r="JGK1090"/>
      <c r="JGL1090"/>
      <c r="JGO1090"/>
      <c r="JGP1090"/>
      <c r="JGS1090"/>
      <c r="JGT1090"/>
      <c r="JGW1090"/>
      <c r="JGX1090"/>
      <c r="JHA1090"/>
      <c r="JHB1090"/>
      <c r="JHE1090"/>
      <c r="JHF1090"/>
      <c r="JHI1090"/>
      <c r="JHJ1090"/>
      <c r="JHM1090"/>
      <c r="JHN1090"/>
      <c r="JHQ1090"/>
      <c r="JHR1090"/>
      <c r="JHU1090"/>
      <c r="JHV1090"/>
      <c r="JHY1090"/>
      <c r="JHZ1090"/>
      <c r="JIC1090"/>
      <c r="JID1090"/>
      <c r="JIG1090"/>
      <c r="JIH1090"/>
      <c r="JIK1090"/>
      <c r="JIL1090"/>
      <c r="JIO1090"/>
      <c r="JIP1090"/>
      <c r="JIS1090"/>
      <c r="JIT1090"/>
      <c r="JIW1090"/>
      <c r="JIX1090"/>
      <c r="JJA1090"/>
      <c r="JJB1090"/>
      <c r="JJE1090"/>
      <c r="JJF1090"/>
      <c r="JJI1090"/>
      <c r="JJJ1090"/>
      <c r="JJM1090"/>
      <c r="JJN1090"/>
      <c r="JJQ1090"/>
      <c r="JJR1090"/>
      <c r="JJU1090"/>
      <c r="JJV1090"/>
      <c r="JJY1090"/>
      <c r="JJZ1090"/>
      <c r="JKC1090"/>
      <c r="JKD1090"/>
      <c r="JKG1090"/>
      <c r="JKH1090"/>
      <c r="JKK1090"/>
      <c r="JKL1090"/>
      <c r="JKO1090"/>
      <c r="JKP1090"/>
      <c r="JKS1090"/>
      <c r="JKT1090"/>
      <c r="JKW1090"/>
      <c r="JKX1090"/>
      <c r="JLA1090"/>
      <c r="JLB1090"/>
      <c r="JLE1090"/>
      <c r="JLF1090"/>
      <c r="JLI1090"/>
      <c r="JLJ1090"/>
      <c r="JLM1090"/>
      <c r="JLN1090"/>
      <c r="JLQ1090"/>
      <c r="JLR1090"/>
      <c r="JLU1090"/>
      <c r="JLV1090"/>
      <c r="JLY1090"/>
      <c r="JLZ1090"/>
      <c r="JMC1090"/>
      <c r="JMD1090"/>
      <c r="JMG1090"/>
      <c r="JMH1090"/>
      <c r="JMK1090"/>
      <c r="JML1090"/>
      <c r="JMO1090"/>
      <c r="JMP1090"/>
      <c r="JMS1090"/>
      <c r="JMT1090"/>
      <c r="JMW1090"/>
      <c r="JMX1090"/>
      <c r="JNA1090"/>
      <c r="JNB1090"/>
      <c r="JNE1090"/>
      <c r="JNF1090"/>
      <c r="JNI1090"/>
      <c r="JNJ1090"/>
      <c r="JNM1090"/>
      <c r="JNN1090"/>
      <c r="JNQ1090"/>
      <c r="JNR1090"/>
      <c r="JNU1090"/>
      <c r="JNV1090"/>
      <c r="JNY1090"/>
      <c r="JNZ1090"/>
      <c r="JOC1090"/>
      <c r="JOD1090"/>
      <c r="JOG1090"/>
      <c r="JOH1090"/>
      <c r="JOK1090"/>
      <c r="JOL1090"/>
      <c r="JOO1090"/>
      <c r="JOP1090"/>
      <c r="JOS1090"/>
      <c r="JOT1090"/>
      <c r="JOW1090"/>
      <c r="JOX1090"/>
      <c r="JPA1090"/>
      <c r="JPB1090"/>
      <c r="JPE1090"/>
      <c r="JPF1090"/>
      <c r="JPI1090"/>
      <c r="JPJ1090"/>
      <c r="JPM1090"/>
      <c r="JPN1090"/>
      <c r="JPQ1090"/>
      <c r="JPR1090"/>
      <c r="JPU1090"/>
      <c r="JPV1090"/>
      <c r="JPY1090"/>
      <c r="JPZ1090"/>
      <c r="JQC1090"/>
      <c r="JQD1090"/>
      <c r="JQG1090"/>
      <c r="JQH1090"/>
      <c r="JQK1090"/>
      <c r="JQL1090"/>
      <c r="JQO1090"/>
      <c r="JQP1090"/>
      <c r="JQS1090"/>
      <c r="JQT1090"/>
      <c r="JQW1090"/>
      <c r="JQX1090"/>
      <c r="JRA1090"/>
      <c r="JRB1090"/>
      <c r="JRE1090"/>
      <c r="JRF1090"/>
      <c r="JRI1090"/>
      <c r="JRJ1090"/>
      <c r="JRM1090"/>
      <c r="JRN1090"/>
      <c r="JRQ1090"/>
      <c r="JRR1090"/>
      <c r="JRU1090"/>
      <c r="JRV1090"/>
      <c r="JRY1090"/>
      <c r="JRZ1090"/>
      <c r="JSC1090"/>
      <c r="JSD1090"/>
      <c r="JSG1090"/>
      <c r="JSH1090"/>
      <c r="JSK1090"/>
      <c r="JSL1090"/>
      <c r="JSO1090"/>
      <c r="JSP1090"/>
      <c r="JSS1090"/>
      <c r="JST1090"/>
      <c r="JSW1090"/>
      <c r="JSX1090"/>
      <c r="JTA1090"/>
      <c r="JTB1090"/>
      <c r="JTE1090"/>
      <c r="JTF1090"/>
      <c r="JTI1090"/>
      <c r="JTJ1090"/>
      <c r="JTM1090"/>
      <c r="JTN1090"/>
      <c r="JTQ1090"/>
      <c r="JTR1090"/>
      <c r="JTU1090"/>
      <c r="JTV1090"/>
      <c r="JTY1090"/>
      <c r="JTZ1090"/>
      <c r="JUC1090"/>
      <c r="JUD1090"/>
      <c r="JUG1090"/>
      <c r="JUH1090"/>
      <c r="JUK1090"/>
      <c r="JUL1090"/>
      <c r="JUO1090"/>
      <c r="JUP1090"/>
      <c r="JUS1090"/>
      <c r="JUT1090"/>
      <c r="JUW1090"/>
      <c r="JUX1090"/>
      <c r="JVA1090"/>
      <c r="JVB1090"/>
      <c r="JVE1090"/>
      <c r="JVF1090"/>
      <c r="JVI1090"/>
      <c r="JVJ1090"/>
      <c r="JVM1090"/>
      <c r="JVN1090"/>
      <c r="JVQ1090"/>
      <c r="JVR1090"/>
      <c r="JVU1090"/>
      <c r="JVV1090"/>
      <c r="JVY1090"/>
      <c r="JVZ1090"/>
      <c r="JWC1090"/>
      <c r="JWD1090"/>
      <c r="JWG1090"/>
      <c r="JWH1090"/>
      <c r="JWK1090"/>
      <c r="JWL1090"/>
      <c r="JWO1090"/>
      <c r="JWP1090"/>
      <c r="JWS1090"/>
      <c r="JWT1090"/>
      <c r="JWW1090"/>
      <c r="JWX1090"/>
      <c r="JXA1090"/>
      <c r="JXB1090"/>
      <c r="JXE1090"/>
      <c r="JXF1090"/>
      <c r="JXI1090"/>
      <c r="JXJ1090"/>
      <c r="JXM1090"/>
      <c r="JXN1090"/>
      <c r="JXQ1090"/>
      <c r="JXR1090"/>
      <c r="JXU1090"/>
      <c r="JXV1090"/>
      <c r="JXY1090"/>
      <c r="JXZ1090"/>
      <c r="JYC1090"/>
      <c r="JYD1090"/>
      <c r="JYG1090"/>
      <c r="JYH1090"/>
      <c r="JYK1090"/>
      <c r="JYL1090"/>
      <c r="JYO1090"/>
      <c r="JYP1090"/>
      <c r="JYS1090"/>
      <c r="JYT1090"/>
      <c r="JYW1090"/>
      <c r="JYX1090"/>
      <c r="JZA1090"/>
      <c r="JZB1090"/>
      <c r="JZE1090"/>
      <c r="JZF1090"/>
      <c r="JZI1090"/>
      <c r="JZJ1090"/>
      <c r="JZM1090"/>
      <c r="JZN1090"/>
      <c r="JZQ1090"/>
      <c r="JZR1090"/>
      <c r="JZU1090"/>
      <c r="JZV1090"/>
      <c r="JZY1090"/>
      <c r="JZZ1090"/>
      <c r="KAC1090"/>
      <c r="KAD1090"/>
      <c r="KAG1090"/>
      <c r="KAH1090"/>
      <c r="KAK1090"/>
      <c r="KAL1090"/>
      <c r="KAO1090"/>
      <c r="KAP1090"/>
      <c r="KAS1090"/>
      <c r="KAT1090"/>
      <c r="KAW1090"/>
      <c r="KAX1090"/>
      <c r="KBA1090"/>
      <c r="KBB1090"/>
      <c r="KBE1090"/>
      <c r="KBF1090"/>
      <c r="KBI1090"/>
      <c r="KBJ1090"/>
      <c r="KBM1090"/>
      <c r="KBN1090"/>
      <c r="KBQ1090"/>
      <c r="KBR1090"/>
      <c r="KBU1090"/>
      <c r="KBV1090"/>
      <c r="KBY1090"/>
      <c r="KBZ1090"/>
      <c r="KCC1090"/>
      <c r="KCD1090"/>
      <c r="KCG1090"/>
      <c r="KCH1090"/>
      <c r="KCK1090"/>
      <c r="KCL1090"/>
      <c r="KCO1090"/>
      <c r="KCP1090"/>
      <c r="KCS1090"/>
      <c r="KCT1090"/>
      <c r="KCW1090"/>
      <c r="KCX1090"/>
      <c r="KDA1090"/>
      <c r="KDB1090"/>
      <c r="KDE1090"/>
      <c r="KDF1090"/>
      <c r="KDI1090"/>
      <c r="KDJ1090"/>
      <c r="KDM1090"/>
      <c r="KDN1090"/>
      <c r="KDQ1090"/>
      <c r="KDR1090"/>
      <c r="KDU1090"/>
      <c r="KDV1090"/>
      <c r="KDY1090"/>
      <c r="KDZ1090"/>
      <c r="KEC1090"/>
      <c r="KED1090"/>
      <c r="KEG1090"/>
      <c r="KEH1090"/>
      <c r="KEK1090"/>
      <c r="KEL1090"/>
      <c r="KEO1090"/>
      <c r="KEP1090"/>
      <c r="KES1090"/>
      <c r="KET1090"/>
      <c r="KEW1090"/>
      <c r="KEX1090"/>
      <c r="KFA1090"/>
      <c r="KFB1090"/>
      <c r="KFE1090"/>
      <c r="KFF1090"/>
      <c r="KFI1090"/>
      <c r="KFJ1090"/>
      <c r="KFM1090"/>
      <c r="KFN1090"/>
      <c r="KFQ1090"/>
      <c r="KFR1090"/>
      <c r="KFU1090"/>
      <c r="KFV1090"/>
      <c r="KFY1090"/>
      <c r="KFZ1090"/>
      <c r="KGC1090"/>
      <c r="KGD1090"/>
      <c r="KGG1090"/>
      <c r="KGH1090"/>
      <c r="KGK1090"/>
      <c r="KGL1090"/>
      <c r="KGO1090"/>
      <c r="KGP1090"/>
      <c r="KGS1090"/>
      <c r="KGT1090"/>
      <c r="KGW1090"/>
      <c r="KGX1090"/>
      <c r="KHA1090"/>
      <c r="KHB1090"/>
      <c r="KHE1090"/>
      <c r="KHF1090"/>
      <c r="KHI1090"/>
      <c r="KHJ1090"/>
      <c r="KHM1090"/>
      <c r="KHN1090"/>
      <c r="KHQ1090"/>
      <c r="KHR1090"/>
      <c r="KHU1090"/>
      <c r="KHV1090"/>
      <c r="KHY1090"/>
      <c r="KHZ1090"/>
      <c r="KIC1090"/>
      <c r="KID1090"/>
      <c r="KIG1090"/>
      <c r="KIH1090"/>
      <c r="KIK1090"/>
      <c r="KIL1090"/>
      <c r="KIO1090"/>
      <c r="KIP1090"/>
      <c r="KIS1090"/>
      <c r="KIT1090"/>
      <c r="KIW1090"/>
      <c r="KIX1090"/>
      <c r="KJA1090"/>
      <c r="KJB1090"/>
      <c r="KJE1090"/>
      <c r="KJF1090"/>
      <c r="KJI1090"/>
      <c r="KJJ1090"/>
      <c r="KJM1090"/>
      <c r="KJN1090"/>
      <c r="KJQ1090"/>
      <c r="KJR1090"/>
      <c r="KJU1090"/>
      <c r="KJV1090"/>
      <c r="KJY1090"/>
      <c r="KJZ1090"/>
      <c r="KKC1090"/>
      <c r="KKD1090"/>
      <c r="KKG1090"/>
      <c r="KKH1090"/>
      <c r="KKK1090"/>
      <c r="KKL1090"/>
      <c r="KKO1090"/>
      <c r="KKP1090"/>
      <c r="KKS1090"/>
      <c r="KKT1090"/>
      <c r="KKW1090"/>
      <c r="KKX1090"/>
      <c r="KLA1090"/>
      <c r="KLB1090"/>
      <c r="KLE1090"/>
      <c r="KLF1090"/>
      <c r="KLI1090"/>
      <c r="KLJ1090"/>
      <c r="KLM1090"/>
      <c r="KLN1090"/>
      <c r="KLQ1090"/>
      <c r="KLR1090"/>
      <c r="KLU1090"/>
      <c r="KLV1090"/>
      <c r="KLY1090"/>
      <c r="KLZ1090"/>
      <c r="KMC1090"/>
      <c r="KMD1090"/>
      <c r="KMG1090"/>
      <c r="KMH1090"/>
      <c r="KMK1090"/>
      <c r="KML1090"/>
      <c r="KMO1090"/>
      <c r="KMP1090"/>
      <c r="KMS1090"/>
      <c r="KMT1090"/>
      <c r="KMW1090"/>
      <c r="KMX1090"/>
      <c r="KNA1090"/>
      <c r="KNB1090"/>
      <c r="KNE1090"/>
      <c r="KNF1090"/>
      <c r="KNI1090"/>
      <c r="KNJ1090"/>
      <c r="KNM1090"/>
      <c r="KNN1090"/>
      <c r="KNQ1090"/>
      <c r="KNR1090"/>
      <c r="KNU1090"/>
      <c r="KNV1090"/>
      <c r="KNY1090"/>
      <c r="KNZ1090"/>
      <c r="KOC1090"/>
      <c r="KOD1090"/>
      <c r="KOG1090"/>
      <c r="KOH1090"/>
      <c r="KOK1090"/>
      <c r="KOL1090"/>
      <c r="KOO1090"/>
      <c r="KOP1090"/>
      <c r="KOS1090"/>
      <c r="KOT1090"/>
      <c r="KOW1090"/>
      <c r="KOX1090"/>
      <c r="KPA1090"/>
      <c r="KPB1090"/>
      <c r="KPE1090"/>
      <c r="KPF1090"/>
      <c r="KPI1090"/>
      <c r="KPJ1090"/>
      <c r="KPM1090"/>
      <c r="KPN1090"/>
      <c r="KPQ1090"/>
      <c r="KPR1090"/>
      <c r="KPU1090"/>
      <c r="KPV1090"/>
      <c r="KPY1090"/>
      <c r="KPZ1090"/>
      <c r="KQC1090"/>
      <c r="KQD1090"/>
      <c r="KQG1090"/>
      <c r="KQH1090"/>
      <c r="KQK1090"/>
      <c r="KQL1090"/>
      <c r="KQO1090"/>
      <c r="KQP1090"/>
      <c r="KQS1090"/>
      <c r="KQT1090"/>
      <c r="KQW1090"/>
      <c r="KQX1090"/>
      <c r="KRA1090"/>
      <c r="KRB1090"/>
      <c r="KRE1090"/>
      <c r="KRF1090"/>
      <c r="KRI1090"/>
      <c r="KRJ1090"/>
      <c r="KRM1090"/>
      <c r="KRN1090"/>
      <c r="KRQ1090"/>
      <c r="KRR1090"/>
      <c r="KRU1090"/>
      <c r="KRV1090"/>
      <c r="KRY1090"/>
      <c r="KRZ1090"/>
      <c r="KSC1090"/>
      <c r="KSD1090"/>
      <c r="KSG1090"/>
      <c r="KSH1090"/>
      <c r="KSK1090"/>
      <c r="KSL1090"/>
      <c r="KSO1090"/>
      <c r="KSP1090"/>
      <c r="KSS1090"/>
      <c r="KST1090"/>
      <c r="KSW1090"/>
      <c r="KSX1090"/>
      <c r="KTA1090"/>
      <c r="KTB1090"/>
      <c r="KTE1090"/>
      <c r="KTF1090"/>
      <c r="KTI1090"/>
      <c r="KTJ1090"/>
      <c r="KTM1090"/>
      <c r="KTN1090"/>
      <c r="KTQ1090"/>
      <c r="KTR1090"/>
      <c r="KTU1090"/>
      <c r="KTV1090"/>
      <c r="KTY1090"/>
      <c r="KTZ1090"/>
      <c r="KUC1090"/>
      <c r="KUD1090"/>
      <c r="KUG1090"/>
      <c r="KUH1090"/>
      <c r="KUK1090"/>
      <c r="KUL1090"/>
      <c r="KUO1090"/>
      <c r="KUP1090"/>
      <c r="KUS1090"/>
      <c r="KUT1090"/>
      <c r="KUW1090"/>
      <c r="KUX1090"/>
      <c r="KVA1090"/>
      <c r="KVB1090"/>
      <c r="KVE1090"/>
      <c r="KVF1090"/>
      <c r="KVI1090"/>
      <c r="KVJ1090"/>
      <c r="KVM1090"/>
      <c r="KVN1090"/>
      <c r="KVQ1090"/>
      <c r="KVR1090"/>
      <c r="KVU1090"/>
      <c r="KVV1090"/>
      <c r="KVY1090"/>
      <c r="KVZ1090"/>
      <c r="KWC1090"/>
      <c r="KWD1090"/>
      <c r="KWG1090"/>
      <c r="KWH1090"/>
      <c r="KWK1090"/>
      <c r="KWL1090"/>
      <c r="KWO1090"/>
      <c r="KWP1090"/>
      <c r="KWS1090"/>
      <c r="KWT1090"/>
      <c r="KWW1090"/>
      <c r="KWX1090"/>
      <c r="KXA1090"/>
      <c r="KXB1090"/>
      <c r="KXE1090"/>
      <c r="KXF1090"/>
      <c r="KXI1090"/>
      <c r="KXJ1090"/>
      <c r="KXM1090"/>
      <c r="KXN1090"/>
      <c r="KXQ1090"/>
      <c r="KXR1090"/>
      <c r="KXU1090"/>
      <c r="KXV1090"/>
      <c r="KXY1090"/>
      <c r="KXZ1090"/>
      <c r="KYC1090"/>
      <c r="KYD1090"/>
      <c r="KYG1090"/>
      <c r="KYH1090"/>
      <c r="KYK1090"/>
      <c r="KYL1090"/>
      <c r="KYO1090"/>
      <c r="KYP1090"/>
      <c r="KYS1090"/>
      <c r="KYT1090"/>
      <c r="KYW1090"/>
      <c r="KYX1090"/>
      <c r="KZA1090"/>
      <c r="KZB1090"/>
      <c r="KZE1090"/>
      <c r="KZF1090"/>
      <c r="KZI1090"/>
      <c r="KZJ1090"/>
      <c r="KZM1090"/>
      <c r="KZN1090"/>
      <c r="KZQ1090"/>
      <c r="KZR1090"/>
      <c r="KZU1090"/>
      <c r="KZV1090"/>
      <c r="KZY1090"/>
      <c r="KZZ1090"/>
      <c r="LAC1090"/>
      <c r="LAD1090"/>
      <c r="LAG1090"/>
      <c r="LAH1090"/>
      <c r="LAK1090"/>
      <c r="LAL1090"/>
      <c r="LAO1090"/>
      <c r="LAP1090"/>
      <c r="LAS1090"/>
      <c r="LAT1090"/>
      <c r="LAW1090"/>
      <c r="LAX1090"/>
      <c r="LBA1090"/>
      <c r="LBB1090"/>
      <c r="LBE1090"/>
      <c r="LBF1090"/>
      <c r="LBI1090"/>
      <c r="LBJ1090"/>
      <c r="LBM1090"/>
      <c r="LBN1090"/>
      <c r="LBQ1090"/>
      <c r="LBR1090"/>
      <c r="LBU1090"/>
      <c r="LBV1090"/>
      <c r="LBY1090"/>
      <c r="LBZ1090"/>
      <c r="LCC1090"/>
      <c r="LCD1090"/>
      <c r="LCG1090"/>
      <c r="LCH1090"/>
      <c r="LCK1090"/>
      <c r="LCL1090"/>
      <c r="LCO1090"/>
      <c r="LCP1090"/>
      <c r="LCS1090"/>
      <c r="LCT1090"/>
      <c r="LCW1090"/>
      <c r="LCX1090"/>
      <c r="LDA1090"/>
      <c r="LDB1090"/>
      <c r="LDE1090"/>
      <c r="LDF1090"/>
      <c r="LDI1090"/>
      <c r="LDJ1090"/>
      <c r="LDM1090"/>
      <c r="LDN1090"/>
      <c r="LDQ1090"/>
      <c r="LDR1090"/>
      <c r="LDU1090"/>
      <c r="LDV1090"/>
      <c r="LDY1090"/>
      <c r="LDZ1090"/>
      <c r="LEC1090"/>
      <c r="LED1090"/>
      <c r="LEG1090"/>
      <c r="LEH1090"/>
      <c r="LEK1090"/>
      <c r="LEL1090"/>
      <c r="LEO1090"/>
      <c r="LEP1090"/>
      <c r="LES1090"/>
      <c r="LET1090"/>
      <c r="LEW1090"/>
      <c r="LEX1090"/>
      <c r="LFA1090"/>
      <c r="LFB1090"/>
      <c r="LFE1090"/>
      <c r="LFF1090"/>
      <c r="LFI1090"/>
      <c r="LFJ1090"/>
      <c r="LFM1090"/>
      <c r="LFN1090"/>
      <c r="LFQ1090"/>
      <c r="LFR1090"/>
      <c r="LFU1090"/>
      <c r="LFV1090"/>
      <c r="LFY1090"/>
      <c r="LFZ1090"/>
      <c r="LGC1090"/>
      <c r="LGD1090"/>
      <c r="LGG1090"/>
      <c r="LGH1090"/>
      <c r="LGK1090"/>
      <c r="LGL1090"/>
      <c r="LGO1090"/>
      <c r="LGP1090"/>
      <c r="LGS1090"/>
      <c r="LGT1090"/>
      <c r="LGW1090"/>
      <c r="LGX1090"/>
      <c r="LHA1090"/>
      <c r="LHB1090"/>
      <c r="LHE1090"/>
      <c r="LHF1090"/>
      <c r="LHI1090"/>
      <c r="LHJ1090"/>
      <c r="LHM1090"/>
      <c r="LHN1090"/>
      <c r="LHQ1090"/>
      <c r="LHR1090"/>
      <c r="LHU1090"/>
      <c r="LHV1090"/>
      <c r="LHY1090"/>
      <c r="LHZ1090"/>
      <c r="LIC1090"/>
      <c r="LID1090"/>
      <c r="LIG1090"/>
      <c r="LIH1090"/>
      <c r="LIK1090"/>
      <c r="LIL1090"/>
      <c r="LIO1090"/>
      <c r="LIP1090"/>
      <c r="LIS1090"/>
      <c r="LIT1090"/>
      <c r="LIW1090"/>
      <c r="LIX1090"/>
      <c r="LJA1090"/>
      <c r="LJB1090"/>
      <c r="LJE1090"/>
      <c r="LJF1090"/>
      <c r="LJI1090"/>
      <c r="LJJ1090"/>
      <c r="LJM1090"/>
      <c r="LJN1090"/>
      <c r="LJQ1090"/>
      <c r="LJR1090"/>
      <c r="LJU1090"/>
      <c r="LJV1090"/>
      <c r="LJY1090"/>
      <c r="LJZ1090"/>
      <c r="LKC1090"/>
      <c r="LKD1090"/>
      <c r="LKG1090"/>
      <c r="LKH1090"/>
      <c r="LKK1090"/>
      <c r="LKL1090"/>
      <c r="LKO1090"/>
      <c r="LKP1090"/>
      <c r="LKS1090"/>
      <c r="LKT1090"/>
      <c r="LKW1090"/>
      <c r="LKX1090"/>
      <c r="LLA1090"/>
      <c r="LLB1090"/>
      <c r="LLE1090"/>
      <c r="LLF1090"/>
      <c r="LLI1090"/>
      <c r="LLJ1090"/>
      <c r="LLM1090"/>
      <c r="LLN1090"/>
      <c r="LLQ1090"/>
      <c r="LLR1090"/>
      <c r="LLU1090"/>
      <c r="LLV1090"/>
      <c r="LLY1090"/>
      <c r="LLZ1090"/>
      <c r="LMC1090"/>
      <c r="LMD1090"/>
      <c r="LMG1090"/>
      <c r="LMH1090"/>
      <c r="LMK1090"/>
      <c r="LML1090"/>
      <c r="LMO1090"/>
      <c r="LMP1090"/>
      <c r="LMS1090"/>
      <c r="LMT1090"/>
      <c r="LMW1090"/>
      <c r="LMX1090"/>
      <c r="LNA1090"/>
      <c r="LNB1090"/>
      <c r="LNE1090"/>
      <c r="LNF1090"/>
      <c r="LNI1090"/>
      <c r="LNJ1090"/>
      <c r="LNM1090"/>
      <c r="LNN1090"/>
      <c r="LNQ1090"/>
      <c r="LNR1090"/>
      <c r="LNU1090"/>
      <c r="LNV1090"/>
      <c r="LNY1090"/>
      <c r="LNZ1090"/>
      <c r="LOC1090"/>
      <c r="LOD1090"/>
      <c r="LOG1090"/>
      <c r="LOH1090"/>
      <c r="LOK1090"/>
      <c r="LOL1090"/>
      <c r="LOO1090"/>
      <c r="LOP1090"/>
      <c r="LOS1090"/>
      <c r="LOT1090"/>
      <c r="LOW1090"/>
      <c r="LOX1090"/>
      <c r="LPA1090"/>
      <c r="LPB1090"/>
      <c r="LPE1090"/>
      <c r="LPF1090"/>
      <c r="LPI1090"/>
      <c r="LPJ1090"/>
      <c r="LPM1090"/>
      <c r="LPN1090"/>
      <c r="LPQ1090"/>
      <c r="LPR1090"/>
      <c r="LPU1090"/>
      <c r="LPV1090"/>
      <c r="LPY1090"/>
      <c r="LPZ1090"/>
      <c r="LQC1090"/>
      <c r="LQD1090"/>
      <c r="LQG1090"/>
      <c r="LQH1090"/>
      <c r="LQK1090"/>
      <c r="LQL1090"/>
      <c r="LQO1090"/>
      <c r="LQP1090"/>
      <c r="LQS1090"/>
      <c r="LQT1090"/>
      <c r="LQW1090"/>
      <c r="LQX1090"/>
      <c r="LRA1090"/>
      <c r="LRB1090"/>
      <c r="LRE1090"/>
      <c r="LRF1090"/>
      <c r="LRI1090"/>
      <c r="LRJ1090"/>
      <c r="LRM1090"/>
      <c r="LRN1090"/>
      <c r="LRQ1090"/>
      <c r="LRR1090"/>
      <c r="LRU1090"/>
      <c r="LRV1090"/>
      <c r="LRY1090"/>
      <c r="LRZ1090"/>
      <c r="LSC1090"/>
      <c r="LSD1090"/>
      <c r="LSG1090"/>
      <c r="LSH1090"/>
      <c r="LSK1090"/>
      <c r="LSL1090"/>
      <c r="LSO1090"/>
      <c r="LSP1090"/>
      <c r="LSS1090"/>
      <c r="LST1090"/>
      <c r="LSW1090"/>
      <c r="LSX1090"/>
      <c r="LTA1090"/>
      <c r="LTB1090"/>
      <c r="LTE1090"/>
      <c r="LTF1090"/>
      <c r="LTI1090"/>
      <c r="LTJ1090"/>
      <c r="LTM1090"/>
      <c r="LTN1090"/>
      <c r="LTQ1090"/>
      <c r="LTR1090"/>
      <c r="LTU1090"/>
      <c r="LTV1090"/>
      <c r="LTY1090"/>
      <c r="LTZ1090"/>
      <c r="LUC1090"/>
      <c r="LUD1090"/>
      <c r="LUG1090"/>
      <c r="LUH1090"/>
      <c r="LUK1090"/>
      <c r="LUL1090"/>
      <c r="LUO1090"/>
      <c r="LUP1090"/>
      <c r="LUS1090"/>
      <c r="LUT1090"/>
      <c r="LUW1090"/>
      <c r="LUX1090"/>
      <c r="LVA1090"/>
      <c r="LVB1090"/>
      <c r="LVE1090"/>
      <c r="LVF1090"/>
      <c r="LVI1090"/>
      <c r="LVJ1090"/>
      <c r="LVM1090"/>
      <c r="LVN1090"/>
      <c r="LVQ1090"/>
      <c r="LVR1090"/>
      <c r="LVU1090"/>
      <c r="LVV1090"/>
      <c r="LVY1090"/>
      <c r="LVZ1090"/>
      <c r="LWC1090"/>
      <c r="LWD1090"/>
      <c r="LWG1090"/>
      <c r="LWH1090"/>
      <c r="LWK1090"/>
      <c r="LWL1090"/>
      <c r="LWO1090"/>
      <c r="LWP1090"/>
      <c r="LWS1090"/>
      <c r="LWT1090"/>
      <c r="LWW1090"/>
      <c r="LWX1090"/>
      <c r="LXA1090"/>
      <c r="LXB1090"/>
      <c r="LXE1090"/>
      <c r="LXF1090"/>
      <c r="LXI1090"/>
      <c r="LXJ1090"/>
      <c r="LXM1090"/>
      <c r="LXN1090"/>
      <c r="LXQ1090"/>
      <c r="LXR1090"/>
      <c r="LXU1090"/>
      <c r="LXV1090"/>
      <c r="LXY1090"/>
      <c r="LXZ1090"/>
      <c r="LYC1090"/>
      <c r="LYD1090"/>
      <c r="LYG1090"/>
      <c r="LYH1090"/>
      <c r="LYK1090"/>
      <c r="LYL1090"/>
      <c r="LYO1090"/>
      <c r="LYP1090"/>
      <c r="LYS1090"/>
      <c r="LYT1090"/>
      <c r="LYW1090"/>
      <c r="LYX1090"/>
      <c r="LZA1090"/>
      <c r="LZB1090"/>
      <c r="LZE1090"/>
      <c r="LZF1090"/>
      <c r="LZI1090"/>
      <c r="LZJ1090"/>
      <c r="LZM1090"/>
      <c r="LZN1090"/>
      <c r="LZQ1090"/>
      <c r="LZR1090"/>
      <c r="LZU1090"/>
      <c r="LZV1090"/>
      <c r="LZY1090"/>
      <c r="LZZ1090"/>
      <c r="MAC1090"/>
      <c r="MAD1090"/>
      <c r="MAG1090"/>
      <c r="MAH1090"/>
      <c r="MAK1090"/>
      <c r="MAL1090"/>
      <c r="MAO1090"/>
      <c r="MAP1090"/>
      <c r="MAS1090"/>
      <c r="MAT1090"/>
      <c r="MAW1090"/>
      <c r="MAX1090"/>
      <c r="MBA1090"/>
      <c r="MBB1090"/>
      <c r="MBE1090"/>
      <c r="MBF1090"/>
      <c r="MBI1090"/>
      <c r="MBJ1090"/>
      <c r="MBM1090"/>
      <c r="MBN1090"/>
      <c r="MBQ1090"/>
      <c r="MBR1090"/>
      <c r="MBU1090"/>
      <c r="MBV1090"/>
      <c r="MBY1090"/>
      <c r="MBZ1090"/>
      <c r="MCC1090"/>
      <c r="MCD1090"/>
      <c r="MCG1090"/>
      <c r="MCH1090"/>
      <c r="MCK1090"/>
      <c r="MCL1090"/>
      <c r="MCO1090"/>
      <c r="MCP1090"/>
      <c r="MCS1090"/>
      <c r="MCT1090"/>
      <c r="MCW1090"/>
      <c r="MCX1090"/>
      <c r="MDA1090"/>
      <c r="MDB1090"/>
      <c r="MDE1090"/>
      <c r="MDF1090"/>
      <c r="MDI1090"/>
      <c r="MDJ1090"/>
      <c r="MDM1090"/>
      <c r="MDN1090"/>
      <c r="MDQ1090"/>
      <c r="MDR1090"/>
      <c r="MDU1090"/>
      <c r="MDV1090"/>
      <c r="MDY1090"/>
      <c r="MDZ1090"/>
      <c r="MEC1090"/>
      <c r="MED1090"/>
      <c r="MEG1090"/>
      <c r="MEH1090"/>
      <c r="MEK1090"/>
      <c r="MEL1090"/>
      <c r="MEO1090"/>
      <c r="MEP1090"/>
      <c r="MES1090"/>
      <c r="MET1090"/>
      <c r="MEW1090"/>
      <c r="MEX1090"/>
      <c r="MFA1090"/>
      <c r="MFB1090"/>
      <c r="MFE1090"/>
      <c r="MFF1090"/>
      <c r="MFI1090"/>
      <c r="MFJ1090"/>
      <c r="MFM1090"/>
      <c r="MFN1090"/>
      <c r="MFQ1090"/>
      <c r="MFR1090"/>
      <c r="MFU1090"/>
      <c r="MFV1090"/>
      <c r="MFY1090"/>
      <c r="MFZ1090"/>
      <c r="MGC1090"/>
      <c r="MGD1090"/>
      <c r="MGG1090"/>
      <c r="MGH1090"/>
      <c r="MGK1090"/>
      <c r="MGL1090"/>
      <c r="MGO1090"/>
      <c r="MGP1090"/>
      <c r="MGS1090"/>
      <c r="MGT1090"/>
      <c r="MGW1090"/>
      <c r="MGX1090"/>
      <c r="MHA1090"/>
      <c r="MHB1090"/>
      <c r="MHE1090"/>
      <c r="MHF1090"/>
      <c r="MHI1090"/>
      <c r="MHJ1090"/>
      <c r="MHM1090"/>
      <c r="MHN1090"/>
      <c r="MHQ1090"/>
      <c r="MHR1090"/>
      <c r="MHU1090"/>
      <c r="MHV1090"/>
      <c r="MHY1090"/>
      <c r="MHZ1090"/>
      <c r="MIC1090"/>
      <c r="MID1090"/>
      <c r="MIG1090"/>
      <c r="MIH1090"/>
      <c r="MIK1090"/>
      <c r="MIL1090"/>
      <c r="MIO1090"/>
      <c r="MIP1090"/>
      <c r="MIS1090"/>
      <c r="MIT1090"/>
      <c r="MIW1090"/>
      <c r="MIX1090"/>
      <c r="MJA1090"/>
      <c r="MJB1090"/>
      <c r="MJE1090"/>
      <c r="MJF1090"/>
      <c r="MJI1090"/>
      <c r="MJJ1090"/>
      <c r="MJM1090"/>
      <c r="MJN1090"/>
      <c r="MJQ1090"/>
      <c r="MJR1090"/>
      <c r="MJU1090"/>
      <c r="MJV1090"/>
      <c r="MJY1090"/>
      <c r="MJZ1090"/>
      <c r="MKC1090"/>
      <c r="MKD1090"/>
      <c r="MKG1090"/>
      <c r="MKH1090"/>
      <c r="MKK1090"/>
      <c r="MKL1090"/>
      <c r="MKO1090"/>
      <c r="MKP1090"/>
      <c r="MKS1090"/>
      <c r="MKT1090"/>
      <c r="MKW1090"/>
      <c r="MKX1090"/>
      <c r="MLA1090"/>
      <c r="MLB1090"/>
      <c r="MLE1090"/>
      <c r="MLF1090"/>
      <c r="MLI1090"/>
      <c r="MLJ1090"/>
      <c r="MLM1090"/>
      <c r="MLN1090"/>
      <c r="MLQ1090"/>
      <c r="MLR1090"/>
      <c r="MLU1090"/>
      <c r="MLV1090"/>
      <c r="MLY1090"/>
      <c r="MLZ1090"/>
      <c r="MMC1090"/>
      <c r="MMD1090"/>
      <c r="MMG1090"/>
      <c r="MMH1090"/>
      <c r="MMK1090"/>
      <c r="MML1090"/>
      <c r="MMO1090"/>
      <c r="MMP1090"/>
      <c r="MMS1090"/>
      <c r="MMT1090"/>
      <c r="MMW1090"/>
      <c r="MMX1090"/>
      <c r="MNA1090"/>
      <c r="MNB1090"/>
      <c r="MNE1090"/>
      <c r="MNF1090"/>
      <c r="MNI1090"/>
      <c r="MNJ1090"/>
      <c r="MNM1090"/>
      <c r="MNN1090"/>
      <c r="MNQ1090"/>
      <c r="MNR1090"/>
      <c r="MNU1090"/>
      <c r="MNV1090"/>
      <c r="MNY1090"/>
      <c r="MNZ1090"/>
      <c r="MOC1090"/>
      <c r="MOD1090"/>
      <c r="MOG1090"/>
      <c r="MOH1090"/>
      <c r="MOK1090"/>
      <c r="MOL1090"/>
      <c r="MOO1090"/>
      <c r="MOP1090"/>
      <c r="MOS1090"/>
      <c r="MOT1090"/>
      <c r="MOW1090"/>
      <c r="MOX1090"/>
      <c r="MPA1090"/>
      <c r="MPB1090"/>
      <c r="MPE1090"/>
      <c r="MPF1090"/>
      <c r="MPI1090"/>
      <c r="MPJ1090"/>
      <c r="MPM1090"/>
      <c r="MPN1090"/>
      <c r="MPQ1090"/>
      <c r="MPR1090"/>
      <c r="MPU1090"/>
      <c r="MPV1090"/>
      <c r="MPY1090"/>
      <c r="MPZ1090"/>
      <c r="MQC1090"/>
      <c r="MQD1090"/>
      <c r="MQG1090"/>
      <c r="MQH1090"/>
      <c r="MQK1090"/>
      <c r="MQL1090"/>
      <c r="MQO1090"/>
      <c r="MQP1090"/>
      <c r="MQS1090"/>
      <c r="MQT1090"/>
      <c r="MQW1090"/>
      <c r="MQX1090"/>
      <c r="MRA1090"/>
      <c r="MRB1090"/>
      <c r="MRE1090"/>
      <c r="MRF1090"/>
      <c r="MRI1090"/>
      <c r="MRJ1090"/>
      <c r="MRM1090"/>
      <c r="MRN1090"/>
      <c r="MRQ1090"/>
      <c r="MRR1090"/>
      <c r="MRU1090"/>
      <c r="MRV1090"/>
      <c r="MRY1090"/>
      <c r="MRZ1090"/>
      <c r="MSC1090"/>
      <c r="MSD1090"/>
      <c r="MSG1090"/>
      <c r="MSH1090"/>
      <c r="MSK1090"/>
      <c r="MSL1090"/>
      <c r="MSO1090"/>
      <c r="MSP1090"/>
      <c r="MSS1090"/>
      <c r="MST1090"/>
      <c r="MSW1090"/>
      <c r="MSX1090"/>
      <c r="MTA1090"/>
      <c r="MTB1090"/>
      <c r="MTE1090"/>
      <c r="MTF1090"/>
      <c r="MTI1090"/>
      <c r="MTJ1090"/>
      <c r="MTM1090"/>
      <c r="MTN1090"/>
      <c r="MTQ1090"/>
      <c r="MTR1090"/>
      <c r="MTU1090"/>
      <c r="MTV1090"/>
      <c r="MTY1090"/>
      <c r="MTZ1090"/>
      <c r="MUC1090"/>
      <c r="MUD1090"/>
      <c r="MUG1090"/>
      <c r="MUH1090"/>
      <c r="MUK1090"/>
      <c r="MUL1090"/>
      <c r="MUO1090"/>
      <c r="MUP1090"/>
      <c r="MUS1090"/>
      <c r="MUT1090"/>
      <c r="MUW1090"/>
      <c r="MUX1090"/>
      <c r="MVA1090"/>
      <c r="MVB1090"/>
      <c r="MVE1090"/>
      <c r="MVF1090"/>
      <c r="MVI1090"/>
      <c r="MVJ1090"/>
      <c r="MVM1090"/>
      <c r="MVN1090"/>
      <c r="MVQ1090"/>
      <c r="MVR1090"/>
      <c r="MVU1090"/>
      <c r="MVV1090"/>
      <c r="MVY1090"/>
      <c r="MVZ1090"/>
      <c r="MWC1090"/>
      <c r="MWD1090"/>
      <c r="MWG1090"/>
      <c r="MWH1090"/>
      <c r="MWK1090"/>
      <c r="MWL1090"/>
      <c r="MWO1090"/>
      <c r="MWP1090"/>
      <c r="MWS1090"/>
      <c r="MWT1090"/>
      <c r="MWW1090"/>
      <c r="MWX1090"/>
      <c r="MXA1090"/>
      <c r="MXB1090"/>
      <c r="MXE1090"/>
      <c r="MXF1090"/>
      <c r="MXI1090"/>
      <c r="MXJ1090"/>
      <c r="MXM1090"/>
      <c r="MXN1090"/>
      <c r="MXQ1090"/>
      <c r="MXR1090"/>
      <c r="MXU1090"/>
      <c r="MXV1090"/>
      <c r="MXY1090"/>
      <c r="MXZ1090"/>
      <c r="MYC1090"/>
      <c r="MYD1090"/>
      <c r="MYG1090"/>
      <c r="MYH1090"/>
      <c r="MYK1090"/>
      <c r="MYL1090"/>
      <c r="MYO1090"/>
      <c r="MYP1090"/>
      <c r="MYS1090"/>
      <c r="MYT1090"/>
      <c r="MYW1090"/>
      <c r="MYX1090"/>
      <c r="MZA1090"/>
      <c r="MZB1090"/>
      <c r="MZE1090"/>
      <c r="MZF1090"/>
      <c r="MZI1090"/>
      <c r="MZJ1090"/>
      <c r="MZM1090"/>
      <c r="MZN1090"/>
      <c r="MZQ1090"/>
      <c r="MZR1090"/>
      <c r="MZU1090"/>
      <c r="MZV1090"/>
      <c r="MZY1090"/>
      <c r="MZZ1090"/>
      <c r="NAC1090"/>
      <c r="NAD1090"/>
      <c r="NAG1090"/>
      <c r="NAH1090"/>
      <c r="NAK1090"/>
      <c r="NAL1090"/>
      <c r="NAO1090"/>
      <c r="NAP1090"/>
      <c r="NAS1090"/>
      <c r="NAT1090"/>
      <c r="NAW1090"/>
      <c r="NAX1090"/>
      <c r="NBA1090"/>
      <c r="NBB1090"/>
      <c r="NBE1090"/>
      <c r="NBF1090"/>
      <c r="NBI1090"/>
      <c r="NBJ1090"/>
      <c r="NBM1090"/>
      <c r="NBN1090"/>
      <c r="NBQ1090"/>
      <c r="NBR1090"/>
      <c r="NBU1090"/>
      <c r="NBV1090"/>
      <c r="NBY1090"/>
      <c r="NBZ1090"/>
      <c r="NCC1090"/>
      <c r="NCD1090"/>
      <c r="NCG1090"/>
      <c r="NCH1090"/>
      <c r="NCK1090"/>
      <c r="NCL1090"/>
      <c r="NCO1090"/>
      <c r="NCP1090"/>
      <c r="NCS1090"/>
      <c r="NCT1090"/>
      <c r="NCW1090"/>
      <c r="NCX1090"/>
      <c r="NDA1090"/>
      <c r="NDB1090"/>
      <c r="NDE1090"/>
      <c r="NDF1090"/>
      <c r="NDI1090"/>
      <c r="NDJ1090"/>
      <c r="NDM1090"/>
      <c r="NDN1090"/>
      <c r="NDQ1090"/>
      <c r="NDR1090"/>
      <c r="NDU1090"/>
      <c r="NDV1090"/>
      <c r="NDY1090"/>
      <c r="NDZ1090"/>
      <c r="NEC1090"/>
      <c r="NED1090"/>
      <c r="NEG1090"/>
      <c r="NEH1090"/>
      <c r="NEK1090"/>
      <c r="NEL1090"/>
      <c r="NEO1090"/>
      <c r="NEP1090"/>
      <c r="NES1090"/>
      <c r="NET1090"/>
      <c r="NEW1090"/>
      <c r="NEX1090"/>
      <c r="NFA1090"/>
      <c r="NFB1090"/>
      <c r="NFE1090"/>
      <c r="NFF1090"/>
      <c r="NFI1090"/>
      <c r="NFJ1090"/>
      <c r="NFM1090"/>
      <c r="NFN1090"/>
      <c r="NFQ1090"/>
      <c r="NFR1090"/>
      <c r="NFU1090"/>
      <c r="NFV1090"/>
      <c r="NFY1090"/>
      <c r="NFZ1090"/>
      <c r="NGC1090"/>
      <c r="NGD1090"/>
      <c r="NGG1090"/>
      <c r="NGH1090"/>
      <c r="NGK1090"/>
      <c r="NGL1090"/>
      <c r="NGO1090"/>
      <c r="NGP1090"/>
      <c r="NGS1090"/>
      <c r="NGT1090"/>
      <c r="NGW1090"/>
      <c r="NGX1090"/>
      <c r="NHA1090"/>
      <c r="NHB1090"/>
      <c r="NHE1090"/>
      <c r="NHF1090"/>
      <c r="NHI1090"/>
      <c r="NHJ1090"/>
      <c r="NHM1090"/>
      <c r="NHN1090"/>
      <c r="NHQ1090"/>
      <c r="NHR1090"/>
      <c r="NHU1090"/>
      <c r="NHV1090"/>
      <c r="NHY1090"/>
      <c r="NHZ1090"/>
      <c r="NIC1090"/>
      <c r="NID1090"/>
      <c r="NIG1090"/>
      <c r="NIH1090"/>
      <c r="NIK1090"/>
      <c r="NIL1090"/>
      <c r="NIO1090"/>
      <c r="NIP1090"/>
      <c r="NIS1090"/>
      <c r="NIT1090"/>
      <c r="NIW1090"/>
      <c r="NIX1090"/>
      <c r="NJA1090"/>
      <c r="NJB1090"/>
      <c r="NJE1090"/>
      <c r="NJF1090"/>
      <c r="NJI1090"/>
      <c r="NJJ1090"/>
      <c r="NJM1090"/>
      <c r="NJN1090"/>
      <c r="NJQ1090"/>
      <c r="NJR1090"/>
      <c r="NJU1090"/>
      <c r="NJV1090"/>
      <c r="NJY1090"/>
      <c r="NJZ1090"/>
      <c r="NKC1090"/>
      <c r="NKD1090"/>
      <c r="NKG1090"/>
      <c r="NKH1090"/>
      <c r="NKK1090"/>
      <c r="NKL1090"/>
      <c r="NKO1090"/>
      <c r="NKP1090"/>
      <c r="NKS1090"/>
      <c r="NKT1090"/>
      <c r="NKW1090"/>
      <c r="NKX1090"/>
      <c r="NLA1090"/>
      <c r="NLB1090"/>
      <c r="NLE1090"/>
      <c r="NLF1090"/>
      <c r="NLI1090"/>
      <c r="NLJ1090"/>
      <c r="NLM1090"/>
      <c r="NLN1090"/>
      <c r="NLQ1090"/>
      <c r="NLR1090"/>
      <c r="NLU1090"/>
      <c r="NLV1090"/>
      <c r="NLY1090"/>
      <c r="NLZ1090"/>
      <c r="NMC1090"/>
      <c r="NMD1090"/>
      <c r="NMG1090"/>
      <c r="NMH1090"/>
      <c r="NMK1090"/>
      <c r="NML1090"/>
      <c r="NMO1090"/>
      <c r="NMP1090"/>
      <c r="NMS1090"/>
      <c r="NMT1090"/>
      <c r="NMW1090"/>
      <c r="NMX1090"/>
      <c r="NNA1090"/>
      <c r="NNB1090"/>
      <c r="NNE1090"/>
      <c r="NNF1090"/>
      <c r="NNI1090"/>
      <c r="NNJ1090"/>
      <c r="NNM1090"/>
      <c r="NNN1090"/>
      <c r="NNQ1090"/>
      <c r="NNR1090"/>
      <c r="NNU1090"/>
      <c r="NNV1090"/>
      <c r="NNY1090"/>
      <c r="NNZ1090"/>
      <c r="NOC1090"/>
      <c r="NOD1090"/>
      <c r="NOG1090"/>
      <c r="NOH1090"/>
      <c r="NOK1090"/>
      <c r="NOL1090"/>
      <c r="NOO1090"/>
      <c r="NOP1090"/>
      <c r="NOS1090"/>
      <c r="NOT1090"/>
      <c r="NOW1090"/>
      <c r="NOX1090"/>
      <c r="NPA1090"/>
      <c r="NPB1090"/>
      <c r="NPE1090"/>
      <c r="NPF1090"/>
      <c r="NPI1090"/>
      <c r="NPJ1090"/>
      <c r="NPM1090"/>
      <c r="NPN1090"/>
      <c r="NPQ1090"/>
      <c r="NPR1090"/>
      <c r="NPU1090"/>
      <c r="NPV1090"/>
      <c r="NPY1090"/>
      <c r="NPZ1090"/>
      <c r="NQC1090"/>
      <c r="NQD1090"/>
      <c r="NQG1090"/>
      <c r="NQH1090"/>
      <c r="NQK1090"/>
      <c r="NQL1090"/>
      <c r="NQO1090"/>
      <c r="NQP1090"/>
      <c r="NQS1090"/>
      <c r="NQT1090"/>
      <c r="NQW1090"/>
      <c r="NQX1090"/>
      <c r="NRA1090"/>
      <c r="NRB1090"/>
      <c r="NRE1090"/>
      <c r="NRF1090"/>
      <c r="NRI1090"/>
      <c r="NRJ1090"/>
      <c r="NRM1090"/>
      <c r="NRN1090"/>
      <c r="NRQ1090"/>
      <c r="NRR1090"/>
      <c r="NRU1090"/>
      <c r="NRV1090"/>
      <c r="NRY1090"/>
      <c r="NRZ1090"/>
      <c r="NSC1090"/>
      <c r="NSD1090"/>
      <c r="NSG1090"/>
      <c r="NSH1090"/>
      <c r="NSK1090"/>
      <c r="NSL1090"/>
      <c r="NSO1090"/>
      <c r="NSP1090"/>
      <c r="NSS1090"/>
      <c r="NST1090"/>
      <c r="NSW1090"/>
      <c r="NSX1090"/>
      <c r="NTA1090"/>
      <c r="NTB1090"/>
      <c r="NTE1090"/>
      <c r="NTF1090"/>
      <c r="NTI1090"/>
      <c r="NTJ1090"/>
      <c r="NTM1090"/>
      <c r="NTN1090"/>
      <c r="NTQ1090"/>
      <c r="NTR1090"/>
      <c r="NTU1090"/>
      <c r="NTV1090"/>
      <c r="NTY1090"/>
      <c r="NTZ1090"/>
      <c r="NUC1090"/>
      <c r="NUD1090"/>
      <c r="NUG1090"/>
      <c r="NUH1090"/>
      <c r="NUK1090"/>
      <c r="NUL1090"/>
      <c r="NUO1090"/>
      <c r="NUP1090"/>
      <c r="NUS1090"/>
      <c r="NUT1090"/>
      <c r="NUW1090"/>
      <c r="NUX1090"/>
      <c r="NVA1090"/>
      <c r="NVB1090"/>
      <c r="NVE1090"/>
      <c r="NVF1090"/>
      <c r="NVI1090"/>
      <c r="NVJ1090"/>
      <c r="NVM1090"/>
      <c r="NVN1090"/>
      <c r="NVQ1090"/>
      <c r="NVR1090"/>
      <c r="NVU1090"/>
      <c r="NVV1090"/>
      <c r="NVY1090"/>
      <c r="NVZ1090"/>
      <c r="NWC1090"/>
      <c r="NWD1090"/>
      <c r="NWG1090"/>
      <c r="NWH1090"/>
      <c r="NWK1090"/>
      <c r="NWL1090"/>
      <c r="NWO1090"/>
      <c r="NWP1090"/>
      <c r="NWS1090"/>
      <c r="NWT1090"/>
      <c r="NWW1090"/>
      <c r="NWX1090"/>
      <c r="NXA1090"/>
      <c r="NXB1090"/>
      <c r="NXE1090"/>
      <c r="NXF1090"/>
      <c r="NXI1090"/>
      <c r="NXJ1090"/>
      <c r="NXM1090"/>
      <c r="NXN1090"/>
      <c r="NXQ1090"/>
      <c r="NXR1090"/>
      <c r="NXU1090"/>
      <c r="NXV1090"/>
      <c r="NXY1090"/>
      <c r="NXZ1090"/>
      <c r="NYC1090"/>
      <c r="NYD1090"/>
      <c r="NYG1090"/>
      <c r="NYH1090"/>
      <c r="NYK1090"/>
      <c r="NYL1090"/>
      <c r="NYO1090"/>
      <c r="NYP1090"/>
      <c r="NYS1090"/>
      <c r="NYT1090"/>
      <c r="NYW1090"/>
      <c r="NYX1090"/>
      <c r="NZA1090"/>
      <c r="NZB1090"/>
      <c r="NZE1090"/>
      <c r="NZF1090"/>
      <c r="NZI1090"/>
      <c r="NZJ1090"/>
      <c r="NZM1090"/>
      <c r="NZN1090"/>
      <c r="NZQ1090"/>
      <c r="NZR1090"/>
      <c r="NZU1090"/>
      <c r="NZV1090"/>
      <c r="NZY1090"/>
      <c r="NZZ1090"/>
      <c r="OAC1090"/>
      <c r="OAD1090"/>
      <c r="OAG1090"/>
      <c r="OAH1090"/>
      <c r="OAK1090"/>
      <c r="OAL1090"/>
      <c r="OAO1090"/>
      <c r="OAP1090"/>
      <c r="OAS1090"/>
      <c r="OAT1090"/>
      <c r="OAW1090"/>
      <c r="OAX1090"/>
      <c r="OBA1090"/>
      <c r="OBB1090"/>
      <c r="OBE1090"/>
      <c r="OBF1090"/>
      <c r="OBI1090"/>
      <c r="OBJ1090"/>
      <c r="OBM1090"/>
      <c r="OBN1090"/>
      <c r="OBQ1090"/>
      <c r="OBR1090"/>
      <c r="OBU1090"/>
      <c r="OBV1090"/>
      <c r="OBY1090"/>
      <c r="OBZ1090"/>
      <c r="OCC1090"/>
      <c r="OCD1090"/>
      <c r="OCG1090"/>
      <c r="OCH1090"/>
      <c r="OCK1090"/>
      <c r="OCL1090"/>
      <c r="OCO1090"/>
      <c r="OCP1090"/>
      <c r="OCS1090"/>
      <c r="OCT1090"/>
      <c r="OCW1090"/>
      <c r="OCX1090"/>
      <c r="ODA1090"/>
      <c r="ODB1090"/>
      <c r="ODE1090"/>
      <c r="ODF1090"/>
      <c r="ODI1090"/>
      <c r="ODJ1090"/>
      <c r="ODM1090"/>
      <c r="ODN1090"/>
      <c r="ODQ1090"/>
      <c r="ODR1090"/>
      <c r="ODU1090"/>
      <c r="ODV1090"/>
      <c r="ODY1090"/>
      <c r="ODZ1090"/>
      <c r="OEC1090"/>
      <c r="OED1090"/>
      <c r="OEG1090"/>
      <c r="OEH1090"/>
      <c r="OEK1090"/>
      <c r="OEL1090"/>
      <c r="OEO1090"/>
      <c r="OEP1090"/>
      <c r="OES1090"/>
      <c r="OET1090"/>
      <c r="OEW1090"/>
      <c r="OEX1090"/>
      <c r="OFA1090"/>
      <c r="OFB1090"/>
      <c r="OFE1090"/>
      <c r="OFF1090"/>
      <c r="OFI1090"/>
      <c r="OFJ1090"/>
      <c r="OFM1090"/>
      <c r="OFN1090"/>
      <c r="OFQ1090"/>
      <c r="OFR1090"/>
      <c r="OFU1090"/>
      <c r="OFV1090"/>
      <c r="OFY1090"/>
      <c r="OFZ1090"/>
      <c r="OGC1090"/>
      <c r="OGD1090"/>
      <c r="OGG1090"/>
      <c r="OGH1090"/>
      <c r="OGK1090"/>
      <c r="OGL1090"/>
      <c r="OGO1090"/>
      <c r="OGP1090"/>
      <c r="OGS1090"/>
      <c r="OGT1090"/>
      <c r="OGW1090"/>
      <c r="OGX1090"/>
      <c r="OHA1090"/>
      <c r="OHB1090"/>
      <c r="OHE1090"/>
      <c r="OHF1090"/>
      <c r="OHI1090"/>
      <c r="OHJ1090"/>
      <c r="OHM1090"/>
      <c r="OHN1090"/>
      <c r="OHQ1090"/>
      <c r="OHR1090"/>
      <c r="OHU1090"/>
      <c r="OHV1090"/>
      <c r="OHY1090"/>
      <c r="OHZ1090"/>
      <c r="OIC1090"/>
      <c r="OID1090"/>
      <c r="OIG1090"/>
      <c r="OIH1090"/>
      <c r="OIK1090"/>
      <c r="OIL1090"/>
      <c r="OIO1090"/>
      <c r="OIP1090"/>
      <c r="OIS1090"/>
      <c r="OIT1090"/>
      <c r="OIW1090"/>
      <c r="OIX1090"/>
      <c r="OJA1090"/>
      <c r="OJB1090"/>
      <c r="OJE1090"/>
      <c r="OJF1090"/>
      <c r="OJI1090"/>
      <c r="OJJ1090"/>
      <c r="OJM1090"/>
      <c r="OJN1090"/>
      <c r="OJQ1090"/>
      <c r="OJR1090"/>
      <c r="OJU1090"/>
      <c r="OJV1090"/>
      <c r="OJY1090"/>
      <c r="OJZ1090"/>
      <c r="OKC1090"/>
      <c r="OKD1090"/>
      <c r="OKG1090"/>
      <c r="OKH1090"/>
      <c r="OKK1090"/>
      <c r="OKL1090"/>
      <c r="OKO1090"/>
      <c r="OKP1090"/>
      <c r="OKS1090"/>
      <c r="OKT1090"/>
      <c r="OKW1090"/>
      <c r="OKX1090"/>
      <c r="OLA1090"/>
      <c r="OLB1090"/>
      <c r="OLE1090"/>
      <c r="OLF1090"/>
      <c r="OLI1090"/>
      <c r="OLJ1090"/>
      <c r="OLM1090"/>
      <c r="OLN1090"/>
      <c r="OLQ1090"/>
      <c r="OLR1090"/>
      <c r="OLU1090"/>
      <c r="OLV1090"/>
      <c r="OLY1090"/>
      <c r="OLZ1090"/>
      <c r="OMC1090"/>
      <c r="OMD1090"/>
      <c r="OMG1090"/>
      <c r="OMH1090"/>
      <c r="OMK1090"/>
      <c r="OML1090"/>
      <c r="OMO1090"/>
      <c r="OMP1090"/>
      <c r="OMS1090"/>
      <c r="OMT1090"/>
      <c r="OMW1090"/>
      <c r="OMX1090"/>
      <c r="ONA1090"/>
      <c r="ONB1090"/>
      <c r="ONE1090"/>
      <c r="ONF1090"/>
      <c r="ONI1090"/>
      <c r="ONJ1090"/>
      <c r="ONM1090"/>
      <c r="ONN1090"/>
      <c r="ONQ1090"/>
      <c r="ONR1090"/>
      <c r="ONU1090"/>
      <c r="ONV1090"/>
      <c r="ONY1090"/>
      <c r="ONZ1090"/>
      <c r="OOC1090"/>
      <c r="OOD1090"/>
      <c r="OOG1090"/>
      <c r="OOH1090"/>
      <c r="OOK1090"/>
      <c r="OOL1090"/>
      <c r="OOO1090"/>
      <c r="OOP1090"/>
      <c r="OOS1090"/>
      <c r="OOT1090"/>
      <c r="OOW1090"/>
      <c r="OOX1090"/>
      <c r="OPA1090"/>
      <c r="OPB1090"/>
      <c r="OPE1090"/>
      <c r="OPF1090"/>
      <c r="OPI1090"/>
      <c r="OPJ1090"/>
      <c r="OPM1090"/>
      <c r="OPN1090"/>
      <c r="OPQ1090"/>
      <c r="OPR1090"/>
      <c r="OPU1090"/>
      <c r="OPV1090"/>
      <c r="OPY1090"/>
      <c r="OPZ1090"/>
      <c r="OQC1090"/>
      <c r="OQD1090"/>
      <c r="OQG1090"/>
      <c r="OQH1090"/>
      <c r="OQK1090"/>
      <c r="OQL1090"/>
      <c r="OQO1090"/>
      <c r="OQP1090"/>
      <c r="OQS1090"/>
      <c r="OQT1090"/>
      <c r="OQW1090"/>
      <c r="OQX1090"/>
      <c r="ORA1090"/>
      <c r="ORB1090"/>
      <c r="ORE1090"/>
      <c r="ORF1090"/>
      <c r="ORI1090"/>
      <c r="ORJ1090"/>
      <c r="ORM1090"/>
      <c r="ORN1090"/>
      <c r="ORQ1090"/>
      <c r="ORR1090"/>
      <c r="ORU1090"/>
      <c r="ORV1090"/>
      <c r="ORY1090"/>
      <c r="ORZ1090"/>
      <c r="OSC1090"/>
      <c r="OSD1090"/>
      <c r="OSG1090"/>
      <c r="OSH1090"/>
      <c r="OSK1090"/>
      <c r="OSL1090"/>
      <c r="OSO1090"/>
      <c r="OSP1090"/>
      <c r="OSS1090"/>
      <c r="OST1090"/>
      <c r="OSW1090"/>
      <c r="OSX1090"/>
      <c r="OTA1090"/>
      <c r="OTB1090"/>
      <c r="OTE1090"/>
      <c r="OTF1090"/>
      <c r="OTI1090"/>
      <c r="OTJ1090"/>
      <c r="OTM1090"/>
      <c r="OTN1090"/>
      <c r="OTQ1090"/>
      <c r="OTR1090"/>
      <c r="OTU1090"/>
      <c r="OTV1090"/>
      <c r="OTY1090"/>
      <c r="OTZ1090"/>
      <c r="OUC1090"/>
      <c r="OUD1090"/>
      <c r="OUG1090"/>
      <c r="OUH1090"/>
      <c r="OUK1090"/>
      <c r="OUL1090"/>
      <c r="OUO1090"/>
      <c r="OUP1090"/>
      <c r="OUS1090"/>
      <c r="OUT1090"/>
      <c r="OUW1090"/>
      <c r="OUX1090"/>
      <c r="OVA1090"/>
      <c r="OVB1090"/>
      <c r="OVE1090"/>
      <c r="OVF1090"/>
      <c r="OVI1090"/>
      <c r="OVJ1090"/>
      <c r="OVM1090"/>
      <c r="OVN1090"/>
      <c r="OVQ1090"/>
      <c r="OVR1090"/>
      <c r="OVU1090"/>
      <c r="OVV1090"/>
      <c r="OVY1090"/>
      <c r="OVZ1090"/>
      <c r="OWC1090"/>
      <c r="OWD1090"/>
      <c r="OWG1090"/>
      <c r="OWH1090"/>
      <c r="OWK1090"/>
      <c r="OWL1090"/>
      <c r="OWO1090"/>
      <c r="OWP1090"/>
      <c r="OWS1090"/>
      <c r="OWT1090"/>
      <c r="OWW1090"/>
      <c r="OWX1090"/>
      <c r="OXA1090"/>
      <c r="OXB1090"/>
      <c r="OXE1090"/>
      <c r="OXF1090"/>
      <c r="OXI1090"/>
      <c r="OXJ1090"/>
      <c r="OXM1090"/>
      <c r="OXN1090"/>
      <c r="OXQ1090"/>
      <c r="OXR1090"/>
      <c r="OXU1090"/>
      <c r="OXV1090"/>
      <c r="OXY1090"/>
      <c r="OXZ1090"/>
      <c r="OYC1090"/>
      <c r="OYD1090"/>
      <c r="OYG1090"/>
      <c r="OYH1090"/>
      <c r="OYK1090"/>
      <c r="OYL1090"/>
      <c r="OYO1090"/>
      <c r="OYP1090"/>
      <c r="OYS1090"/>
      <c r="OYT1090"/>
      <c r="OYW1090"/>
      <c r="OYX1090"/>
      <c r="OZA1090"/>
      <c r="OZB1090"/>
      <c r="OZE1090"/>
      <c r="OZF1090"/>
      <c r="OZI1090"/>
      <c r="OZJ1090"/>
      <c r="OZM1090"/>
      <c r="OZN1090"/>
      <c r="OZQ1090"/>
      <c r="OZR1090"/>
      <c r="OZU1090"/>
      <c r="OZV1090"/>
      <c r="OZY1090"/>
      <c r="OZZ1090"/>
      <c r="PAC1090"/>
      <c r="PAD1090"/>
      <c r="PAG1090"/>
      <c r="PAH1090"/>
      <c r="PAK1090"/>
      <c r="PAL1090"/>
      <c r="PAO1090"/>
      <c r="PAP1090"/>
      <c r="PAS1090"/>
      <c r="PAT1090"/>
      <c r="PAW1090"/>
      <c r="PAX1090"/>
      <c r="PBA1090"/>
      <c r="PBB1090"/>
      <c r="PBE1090"/>
      <c r="PBF1090"/>
      <c r="PBI1090"/>
      <c r="PBJ1090"/>
      <c r="PBM1090"/>
      <c r="PBN1090"/>
      <c r="PBQ1090"/>
      <c r="PBR1090"/>
      <c r="PBU1090"/>
      <c r="PBV1090"/>
      <c r="PBY1090"/>
      <c r="PBZ1090"/>
      <c r="PCC1090"/>
      <c r="PCD1090"/>
      <c r="PCG1090"/>
      <c r="PCH1090"/>
      <c r="PCK1090"/>
      <c r="PCL1090"/>
      <c r="PCO1090"/>
      <c r="PCP1090"/>
      <c r="PCS1090"/>
      <c r="PCT1090"/>
      <c r="PCW1090"/>
      <c r="PCX1090"/>
      <c r="PDA1090"/>
      <c r="PDB1090"/>
      <c r="PDE1090"/>
      <c r="PDF1090"/>
      <c r="PDI1090"/>
      <c r="PDJ1090"/>
      <c r="PDM1090"/>
      <c r="PDN1090"/>
      <c r="PDQ1090"/>
      <c r="PDR1090"/>
      <c r="PDU1090"/>
      <c r="PDV1090"/>
      <c r="PDY1090"/>
      <c r="PDZ1090"/>
      <c r="PEC1090"/>
      <c r="PED1090"/>
      <c r="PEG1090"/>
      <c r="PEH1090"/>
      <c r="PEK1090"/>
      <c r="PEL1090"/>
      <c r="PEO1090"/>
      <c r="PEP1090"/>
      <c r="PES1090"/>
      <c r="PET1090"/>
      <c r="PEW1090"/>
      <c r="PEX1090"/>
      <c r="PFA1090"/>
      <c r="PFB1090"/>
      <c r="PFE1090"/>
      <c r="PFF1090"/>
      <c r="PFI1090"/>
      <c r="PFJ1090"/>
      <c r="PFM1090"/>
      <c r="PFN1090"/>
      <c r="PFQ1090"/>
      <c r="PFR1090"/>
      <c r="PFU1090"/>
      <c r="PFV1090"/>
      <c r="PFY1090"/>
      <c r="PFZ1090"/>
      <c r="PGC1090"/>
      <c r="PGD1090"/>
      <c r="PGG1090"/>
      <c r="PGH1090"/>
      <c r="PGK1090"/>
      <c r="PGL1090"/>
      <c r="PGO1090"/>
      <c r="PGP1090"/>
      <c r="PGS1090"/>
      <c r="PGT1090"/>
      <c r="PGW1090"/>
      <c r="PGX1090"/>
      <c r="PHA1090"/>
      <c r="PHB1090"/>
      <c r="PHE1090"/>
      <c r="PHF1090"/>
      <c r="PHI1090"/>
      <c r="PHJ1090"/>
      <c r="PHM1090"/>
      <c r="PHN1090"/>
      <c r="PHQ1090"/>
      <c r="PHR1090"/>
      <c r="PHU1090"/>
      <c r="PHV1090"/>
      <c r="PHY1090"/>
      <c r="PHZ1090"/>
      <c r="PIC1090"/>
      <c r="PID1090"/>
      <c r="PIG1090"/>
      <c r="PIH1090"/>
      <c r="PIK1090"/>
      <c r="PIL1090"/>
      <c r="PIO1090"/>
      <c r="PIP1090"/>
      <c r="PIS1090"/>
      <c r="PIT1090"/>
      <c r="PIW1090"/>
      <c r="PIX1090"/>
      <c r="PJA1090"/>
      <c r="PJB1090"/>
      <c r="PJE1090"/>
      <c r="PJF1090"/>
      <c r="PJI1090"/>
      <c r="PJJ1090"/>
      <c r="PJM1090"/>
      <c r="PJN1090"/>
      <c r="PJQ1090"/>
      <c r="PJR1090"/>
      <c r="PJU1090"/>
      <c r="PJV1090"/>
      <c r="PJY1090"/>
      <c r="PJZ1090"/>
      <c r="PKC1090"/>
      <c r="PKD1090"/>
      <c r="PKG1090"/>
      <c r="PKH1090"/>
      <c r="PKK1090"/>
      <c r="PKL1090"/>
      <c r="PKO1090"/>
      <c r="PKP1090"/>
      <c r="PKS1090"/>
      <c r="PKT1090"/>
      <c r="PKW1090"/>
      <c r="PKX1090"/>
      <c r="PLA1090"/>
      <c r="PLB1090"/>
      <c r="PLE1090"/>
      <c r="PLF1090"/>
      <c r="PLI1090"/>
      <c r="PLJ1090"/>
      <c r="PLM1090"/>
      <c r="PLN1090"/>
      <c r="PLQ1090"/>
      <c r="PLR1090"/>
      <c r="PLU1090"/>
      <c r="PLV1090"/>
      <c r="PLY1090"/>
      <c r="PLZ1090"/>
      <c r="PMC1090"/>
      <c r="PMD1090"/>
      <c r="PMG1090"/>
      <c r="PMH1090"/>
      <c r="PMK1090"/>
      <c r="PML1090"/>
      <c r="PMO1090"/>
      <c r="PMP1090"/>
      <c r="PMS1090"/>
      <c r="PMT1090"/>
      <c r="PMW1090"/>
      <c r="PMX1090"/>
      <c r="PNA1090"/>
      <c r="PNB1090"/>
      <c r="PNE1090"/>
      <c r="PNF1090"/>
      <c r="PNI1090"/>
      <c r="PNJ1090"/>
      <c r="PNM1090"/>
      <c r="PNN1090"/>
      <c r="PNQ1090"/>
      <c r="PNR1090"/>
      <c r="PNU1090"/>
      <c r="PNV1090"/>
      <c r="PNY1090"/>
      <c r="PNZ1090"/>
      <c r="POC1090"/>
      <c r="POD1090"/>
      <c r="POG1090"/>
      <c r="POH1090"/>
      <c r="POK1090"/>
      <c r="POL1090"/>
      <c r="POO1090"/>
      <c r="POP1090"/>
      <c r="POS1090"/>
      <c r="POT1090"/>
      <c r="POW1090"/>
      <c r="POX1090"/>
      <c r="PPA1090"/>
      <c r="PPB1090"/>
      <c r="PPE1090"/>
      <c r="PPF1090"/>
      <c r="PPI1090"/>
      <c r="PPJ1090"/>
      <c r="PPM1090"/>
      <c r="PPN1090"/>
      <c r="PPQ1090"/>
      <c r="PPR1090"/>
      <c r="PPU1090"/>
      <c r="PPV1090"/>
      <c r="PPY1090"/>
      <c r="PPZ1090"/>
      <c r="PQC1090"/>
      <c r="PQD1090"/>
      <c r="PQG1090"/>
      <c r="PQH1090"/>
      <c r="PQK1090"/>
      <c r="PQL1090"/>
      <c r="PQO1090"/>
      <c r="PQP1090"/>
      <c r="PQS1090"/>
      <c r="PQT1090"/>
      <c r="PQW1090"/>
      <c r="PQX1090"/>
      <c r="PRA1090"/>
      <c r="PRB1090"/>
      <c r="PRE1090"/>
      <c r="PRF1090"/>
      <c r="PRI1090"/>
      <c r="PRJ1090"/>
      <c r="PRM1090"/>
      <c r="PRN1090"/>
      <c r="PRQ1090"/>
      <c r="PRR1090"/>
      <c r="PRU1090"/>
      <c r="PRV1090"/>
      <c r="PRY1090"/>
      <c r="PRZ1090"/>
      <c r="PSC1090"/>
      <c r="PSD1090"/>
      <c r="PSG1090"/>
      <c r="PSH1090"/>
      <c r="PSK1090"/>
      <c r="PSL1090"/>
      <c r="PSO1090"/>
      <c r="PSP1090"/>
      <c r="PSS1090"/>
      <c r="PST1090"/>
      <c r="PSW1090"/>
      <c r="PSX1090"/>
      <c r="PTA1090"/>
      <c r="PTB1090"/>
      <c r="PTE1090"/>
      <c r="PTF1090"/>
      <c r="PTI1090"/>
      <c r="PTJ1090"/>
      <c r="PTM1090"/>
      <c r="PTN1090"/>
      <c r="PTQ1090"/>
      <c r="PTR1090"/>
      <c r="PTU1090"/>
      <c r="PTV1090"/>
      <c r="PTY1090"/>
      <c r="PTZ1090"/>
      <c r="PUC1090"/>
      <c r="PUD1090"/>
      <c r="PUG1090"/>
      <c r="PUH1090"/>
      <c r="PUK1090"/>
      <c r="PUL1090"/>
      <c r="PUO1090"/>
      <c r="PUP1090"/>
      <c r="PUS1090"/>
      <c r="PUT1090"/>
      <c r="PUW1090"/>
      <c r="PUX1090"/>
      <c r="PVA1090"/>
      <c r="PVB1090"/>
      <c r="PVE1090"/>
      <c r="PVF1090"/>
      <c r="PVI1090"/>
      <c r="PVJ1090"/>
      <c r="PVM1090"/>
      <c r="PVN1090"/>
      <c r="PVQ1090"/>
      <c r="PVR1090"/>
      <c r="PVU1090"/>
      <c r="PVV1090"/>
      <c r="PVY1090"/>
      <c r="PVZ1090"/>
      <c r="PWC1090"/>
      <c r="PWD1090"/>
      <c r="PWG1090"/>
      <c r="PWH1090"/>
      <c r="PWK1090"/>
      <c r="PWL1090"/>
      <c r="PWO1090"/>
      <c r="PWP1090"/>
      <c r="PWS1090"/>
      <c r="PWT1090"/>
      <c r="PWW1090"/>
      <c r="PWX1090"/>
      <c r="PXA1090"/>
      <c r="PXB1090"/>
      <c r="PXE1090"/>
      <c r="PXF1090"/>
      <c r="PXI1090"/>
      <c r="PXJ1090"/>
      <c r="PXM1090"/>
      <c r="PXN1090"/>
      <c r="PXQ1090"/>
      <c r="PXR1090"/>
      <c r="PXU1090"/>
      <c r="PXV1090"/>
      <c r="PXY1090"/>
      <c r="PXZ1090"/>
      <c r="PYC1090"/>
      <c r="PYD1090"/>
      <c r="PYG1090"/>
      <c r="PYH1090"/>
      <c r="PYK1090"/>
      <c r="PYL1090"/>
      <c r="PYO1090"/>
      <c r="PYP1090"/>
      <c r="PYS1090"/>
      <c r="PYT1090"/>
      <c r="PYW1090"/>
      <c r="PYX1090"/>
      <c r="PZA1090"/>
      <c r="PZB1090"/>
      <c r="PZE1090"/>
      <c r="PZF1090"/>
      <c r="PZI1090"/>
      <c r="PZJ1090"/>
      <c r="PZM1090"/>
      <c r="PZN1090"/>
      <c r="PZQ1090"/>
      <c r="PZR1090"/>
      <c r="PZU1090"/>
      <c r="PZV1090"/>
      <c r="PZY1090"/>
      <c r="PZZ1090"/>
      <c r="QAC1090"/>
      <c r="QAD1090"/>
      <c r="QAG1090"/>
      <c r="QAH1090"/>
      <c r="QAK1090"/>
      <c r="QAL1090"/>
      <c r="QAO1090"/>
      <c r="QAP1090"/>
      <c r="QAS1090"/>
      <c r="QAT1090"/>
      <c r="QAW1090"/>
      <c r="QAX1090"/>
      <c r="QBA1090"/>
      <c r="QBB1090"/>
      <c r="QBE1090"/>
      <c r="QBF1090"/>
      <c r="QBI1090"/>
      <c r="QBJ1090"/>
      <c r="QBM1090"/>
      <c r="QBN1090"/>
      <c r="QBQ1090"/>
      <c r="QBR1090"/>
      <c r="QBU1090"/>
      <c r="QBV1090"/>
      <c r="QBY1090"/>
      <c r="QBZ1090"/>
      <c r="QCC1090"/>
      <c r="QCD1090"/>
      <c r="QCG1090"/>
      <c r="QCH1090"/>
      <c r="QCK1090"/>
      <c r="QCL1090"/>
      <c r="QCO1090"/>
      <c r="QCP1090"/>
      <c r="QCS1090"/>
      <c r="QCT1090"/>
      <c r="QCW1090"/>
      <c r="QCX1090"/>
      <c r="QDA1090"/>
      <c r="QDB1090"/>
      <c r="QDE1090"/>
      <c r="QDF1090"/>
      <c r="QDI1090"/>
      <c r="QDJ1090"/>
      <c r="QDM1090"/>
      <c r="QDN1090"/>
      <c r="QDQ1090"/>
      <c r="QDR1090"/>
      <c r="QDU1090"/>
      <c r="QDV1090"/>
      <c r="QDY1090"/>
      <c r="QDZ1090"/>
      <c r="QEC1090"/>
      <c r="QED1090"/>
      <c r="QEG1090"/>
      <c r="QEH1090"/>
      <c r="QEK1090"/>
      <c r="QEL1090"/>
      <c r="QEO1090"/>
      <c r="QEP1090"/>
      <c r="QES1090"/>
      <c r="QET1090"/>
      <c r="QEW1090"/>
      <c r="QEX1090"/>
      <c r="QFA1090"/>
      <c r="QFB1090"/>
      <c r="QFE1090"/>
      <c r="QFF1090"/>
      <c r="QFI1090"/>
      <c r="QFJ1090"/>
      <c r="QFM1090"/>
      <c r="QFN1090"/>
      <c r="QFQ1090"/>
      <c r="QFR1090"/>
      <c r="QFU1090"/>
      <c r="QFV1090"/>
      <c r="QFY1090"/>
      <c r="QFZ1090"/>
      <c r="QGC1090"/>
      <c r="QGD1090"/>
      <c r="QGG1090"/>
      <c r="QGH1090"/>
      <c r="QGK1090"/>
      <c r="QGL1090"/>
      <c r="QGO1090"/>
      <c r="QGP1090"/>
      <c r="QGS1090"/>
      <c r="QGT1090"/>
      <c r="QGW1090"/>
      <c r="QGX1090"/>
      <c r="QHA1090"/>
      <c r="QHB1090"/>
      <c r="QHE1090"/>
      <c r="QHF1090"/>
      <c r="QHI1090"/>
      <c r="QHJ1090"/>
      <c r="QHM1090"/>
      <c r="QHN1090"/>
      <c r="QHQ1090"/>
      <c r="QHR1090"/>
      <c r="QHU1090"/>
      <c r="QHV1090"/>
      <c r="QHY1090"/>
      <c r="QHZ1090"/>
      <c r="QIC1090"/>
      <c r="QID1090"/>
      <c r="QIG1090"/>
      <c r="QIH1090"/>
      <c r="QIK1090"/>
      <c r="QIL1090"/>
      <c r="QIO1090"/>
      <c r="QIP1090"/>
      <c r="QIS1090"/>
      <c r="QIT1090"/>
      <c r="QIW1090"/>
      <c r="QIX1090"/>
      <c r="QJA1090"/>
      <c r="QJB1090"/>
      <c r="QJE1090"/>
      <c r="QJF1090"/>
      <c r="QJI1090"/>
      <c r="QJJ1090"/>
      <c r="QJM1090"/>
      <c r="QJN1090"/>
      <c r="QJQ1090"/>
      <c r="QJR1090"/>
      <c r="QJU1090"/>
      <c r="QJV1090"/>
      <c r="QJY1090"/>
      <c r="QJZ1090"/>
      <c r="QKC1090"/>
      <c r="QKD1090"/>
      <c r="QKG1090"/>
      <c r="QKH1090"/>
      <c r="QKK1090"/>
      <c r="QKL1090"/>
      <c r="QKO1090"/>
      <c r="QKP1090"/>
      <c r="QKS1090"/>
      <c r="QKT1090"/>
      <c r="QKW1090"/>
      <c r="QKX1090"/>
      <c r="QLA1090"/>
      <c r="QLB1090"/>
      <c r="QLE1090"/>
      <c r="QLF1090"/>
      <c r="QLI1090"/>
      <c r="QLJ1090"/>
      <c r="QLM1090"/>
      <c r="QLN1090"/>
      <c r="QLQ1090"/>
      <c r="QLR1090"/>
      <c r="QLU1090"/>
      <c r="QLV1090"/>
      <c r="QLY1090"/>
      <c r="QLZ1090"/>
      <c r="QMC1090"/>
      <c r="QMD1090"/>
      <c r="QMG1090"/>
      <c r="QMH1090"/>
      <c r="QMK1090"/>
      <c r="QML1090"/>
      <c r="QMO1090"/>
      <c r="QMP1090"/>
      <c r="QMS1090"/>
      <c r="QMT1090"/>
      <c r="QMW1090"/>
      <c r="QMX1090"/>
      <c r="QNA1090"/>
      <c r="QNB1090"/>
      <c r="QNE1090"/>
      <c r="QNF1090"/>
      <c r="QNI1090"/>
      <c r="QNJ1090"/>
      <c r="QNM1090"/>
      <c r="QNN1090"/>
      <c r="QNQ1090"/>
      <c r="QNR1090"/>
      <c r="QNU1090"/>
      <c r="QNV1090"/>
      <c r="QNY1090"/>
      <c r="QNZ1090"/>
      <c r="QOC1090"/>
      <c r="QOD1090"/>
      <c r="QOG1090"/>
      <c r="QOH1090"/>
      <c r="QOK1090"/>
      <c r="QOL1090"/>
      <c r="QOO1090"/>
      <c r="QOP1090"/>
      <c r="QOS1090"/>
      <c r="QOT1090"/>
      <c r="QOW1090"/>
      <c r="QOX1090"/>
      <c r="QPA1090"/>
      <c r="QPB1090"/>
      <c r="QPE1090"/>
      <c r="QPF1090"/>
      <c r="QPI1090"/>
      <c r="QPJ1090"/>
      <c r="QPM1090"/>
      <c r="QPN1090"/>
      <c r="QPQ1090"/>
      <c r="QPR1090"/>
      <c r="QPU1090"/>
      <c r="QPV1090"/>
      <c r="QPY1090"/>
      <c r="QPZ1090"/>
      <c r="QQC1090"/>
      <c r="QQD1090"/>
      <c r="QQG1090"/>
      <c r="QQH1090"/>
      <c r="QQK1090"/>
      <c r="QQL1090"/>
      <c r="QQO1090"/>
      <c r="QQP1090"/>
      <c r="QQS1090"/>
      <c r="QQT1090"/>
      <c r="QQW1090"/>
      <c r="QQX1090"/>
      <c r="QRA1090"/>
      <c r="QRB1090"/>
      <c r="QRE1090"/>
      <c r="QRF1090"/>
      <c r="QRI1090"/>
      <c r="QRJ1090"/>
      <c r="QRM1090"/>
      <c r="QRN1090"/>
      <c r="QRQ1090"/>
      <c r="QRR1090"/>
      <c r="QRU1090"/>
      <c r="QRV1090"/>
      <c r="QRY1090"/>
      <c r="QRZ1090"/>
      <c r="QSC1090"/>
      <c r="QSD1090"/>
      <c r="QSG1090"/>
      <c r="QSH1090"/>
      <c r="QSK1090"/>
      <c r="QSL1090"/>
      <c r="QSO1090"/>
      <c r="QSP1090"/>
      <c r="QSS1090"/>
      <c r="QST1090"/>
      <c r="QSW1090"/>
      <c r="QSX1090"/>
      <c r="QTA1090"/>
      <c r="QTB1090"/>
      <c r="QTE1090"/>
      <c r="QTF1090"/>
      <c r="QTI1090"/>
      <c r="QTJ1090"/>
      <c r="QTM1090"/>
      <c r="QTN1090"/>
      <c r="QTQ1090"/>
      <c r="QTR1090"/>
      <c r="QTU1090"/>
      <c r="QTV1090"/>
      <c r="QTY1090"/>
      <c r="QTZ1090"/>
      <c r="QUC1090"/>
      <c r="QUD1090"/>
      <c r="QUG1090"/>
      <c r="QUH1090"/>
      <c r="QUK1090"/>
      <c r="QUL1090"/>
      <c r="QUO1090"/>
      <c r="QUP1090"/>
      <c r="QUS1090"/>
      <c r="QUT1090"/>
      <c r="QUW1090"/>
      <c r="QUX1090"/>
      <c r="QVA1090"/>
      <c r="QVB1090"/>
      <c r="QVE1090"/>
      <c r="QVF1090"/>
      <c r="QVI1090"/>
      <c r="QVJ1090"/>
      <c r="QVM1090"/>
      <c r="QVN1090"/>
      <c r="QVQ1090"/>
      <c r="QVR1090"/>
      <c r="QVU1090"/>
      <c r="QVV1090"/>
      <c r="QVY1090"/>
      <c r="QVZ1090"/>
      <c r="QWC1090"/>
      <c r="QWD1090"/>
      <c r="QWG1090"/>
      <c r="QWH1090"/>
      <c r="QWK1090"/>
      <c r="QWL1090"/>
      <c r="QWO1090"/>
      <c r="QWP1090"/>
      <c r="QWS1090"/>
      <c r="QWT1090"/>
      <c r="QWW1090"/>
      <c r="QWX1090"/>
      <c r="QXA1090"/>
      <c r="QXB1090"/>
      <c r="QXE1090"/>
      <c r="QXF1090"/>
      <c r="QXI1090"/>
      <c r="QXJ1090"/>
      <c r="QXM1090"/>
      <c r="QXN1090"/>
      <c r="QXQ1090"/>
      <c r="QXR1090"/>
      <c r="QXU1090"/>
      <c r="QXV1090"/>
      <c r="QXY1090"/>
      <c r="QXZ1090"/>
      <c r="QYC1090"/>
      <c r="QYD1090"/>
      <c r="QYG1090"/>
      <c r="QYH1090"/>
      <c r="QYK1090"/>
      <c r="QYL1090"/>
      <c r="QYO1090"/>
      <c r="QYP1090"/>
      <c r="QYS1090"/>
      <c r="QYT1090"/>
      <c r="QYW1090"/>
      <c r="QYX1090"/>
      <c r="QZA1090"/>
      <c r="QZB1090"/>
      <c r="QZE1090"/>
      <c r="QZF1090"/>
      <c r="QZI1090"/>
      <c r="QZJ1090"/>
      <c r="QZM1090"/>
      <c r="QZN1090"/>
      <c r="QZQ1090"/>
      <c r="QZR1090"/>
      <c r="QZU1090"/>
      <c r="QZV1090"/>
      <c r="QZY1090"/>
      <c r="QZZ1090"/>
      <c r="RAC1090"/>
      <c r="RAD1090"/>
      <c r="RAG1090"/>
      <c r="RAH1090"/>
      <c r="RAK1090"/>
      <c r="RAL1090"/>
      <c r="RAO1090"/>
      <c r="RAP1090"/>
      <c r="RAS1090"/>
      <c r="RAT1090"/>
      <c r="RAW1090"/>
      <c r="RAX1090"/>
      <c r="RBA1090"/>
      <c r="RBB1090"/>
      <c r="RBE1090"/>
      <c r="RBF1090"/>
      <c r="RBI1090"/>
      <c r="RBJ1090"/>
      <c r="RBM1090"/>
      <c r="RBN1090"/>
      <c r="RBQ1090"/>
      <c r="RBR1090"/>
      <c r="RBU1090"/>
      <c r="RBV1090"/>
      <c r="RBY1090"/>
      <c r="RBZ1090"/>
      <c r="RCC1090"/>
      <c r="RCD1090"/>
      <c r="RCG1090"/>
      <c r="RCH1090"/>
      <c r="RCK1090"/>
      <c r="RCL1090"/>
      <c r="RCO1090"/>
      <c r="RCP1090"/>
      <c r="RCS1090"/>
      <c r="RCT1090"/>
      <c r="RCW1090"/>
      <c r="RCX1090"/>
      <c r="RDA1090"/>
      <c r="RDB1090"/>
      <c r="RDE1090"/>
      <c r="RDF1090"/>
      <c r="RDI1090"/>
      <c r="RDJ1090"/>
      <c r="RDM1090"/>
      <c r="RDN1090"/>
      <c r="RDQ1090"/>
      <c r="RDR1090"/>
      <c r="RDU1090"/>
      <c r="RDV1090"/>
      <c r="RDY1090"/>
      <c r="RDZ1090"/>
      <c r="REC1090"/>
      <c r="RED1090"/>
      <c r="REG1090"/>
      <c r="REH1090"/>
      <c r="REK1090"/>
      <c r="REL1090"/>
      <c r="REO1090"/>
      <c r="REP1090"/>
      <c r="RES1090"/>
      <c r="RET1090"/>
      <c r="REW1090"/>
      <c r="REX1090"/>
      <c r="RFA1090"/>
      <c r="RFB1090"/>
      <c r="RFE1090"/>
      <c r="RFF1090"/>
      <c r="RFI1090"/>
      <c r="RFJ1090"/>
      <c r="RFM1090"/>
      <c r="RFN1090"/>
      <c r="RFQ1090"/>
      <c r="RFR1090"/>
      <c r="RFU1090"/>
      <c r="RFV1090"/>
      <c r="RFY1090"/>
      <c r="RFZ1090"/>
      <c r="RGC1090"/>
      <c r="RGD1090"/>
      <c r="RGG1090"/>
      <c r="RGH1090"/>
      <c r="RGK1090"/>
      <c r="RGL1090"/>
      <c r="RGO1090"/>
      <c r="RGP1090"/>
      <c r="RGS1090"/>
      <c r="RGT1090"/>
      <c r="RGW1090"/>
      <c r="RGX1090"/>
      <c r="RHA1090"/>
      <c r="RHB1090"/>
      <c r="RHE1090"/>
      <c r="RHF1090"/>
      <c r="RHI1090"/>
      <c r="RHJ1090"/>
      <c r="RHM1090"/>
      <c r="RHN1090"/>
      <c r="RHQ1090"/>
      <c r="RHR1090"/>
      <c r="RHU1090"/>
      <c r="RHV1090"/>
      <c r="RHY1090"/>
      <c r="RHZ1090"/>
      <c r="RIC1090"/>
      <c r="RID1090"/>
      <c r="RIG1090"/>
      <c r="RIH1090"/>
      <c r="RIK1090"/>
      <c r="RIL1090"/>
      <c r="RIO1090"/>
      <c r="RIP1090"/>
      <c r="RIS1090"/>
      <c r="RIT1090"/>
      <c r="RIW1090"/>
      <c r="RIX1090"/>
      <c r="RJA1090"/>
      <c r="RJB1090"/>
      <c r="RJE1090"/>
      <c r="RJF1090"/>
      <c r="RJI1090"/>
      <c r="RJJ1090"/>
      <c r="RJM1090"/>
      <c r="RJN1090"/>
      <c r="RJQ1090"/>
      <c r="RJR1090"/>
      <c r="RJU1090"/>
      <c r="RJV1090"/>
      <c r="RJY1090"/>
      <c r="RJZ1090"/>
      <c r="RKC1090"/>
      <c r="RKD1090"/>
      <c r="RKG1090"/>
      <c r="RKH1090"/>
      <c r="RKK1090"/>
      <c r="RKL1090"/>
      <c r="RKO1090"/>
      <c r="RKP1090"/>
      <c r="RKS1090"/>
      <c r="RKT1090"/>
      <c r="RKW1090"/>
      <c r="RKX1090"/>
      <c r="RLA1090"/>
      <c r="RLB1090"/>
      <c r="RLE1090"/>
      <c r="RLF1090"/>
      <c r="RLI1090"/>
      <c r="RLJ1090"/>
      <c r="RLM1090"/>
      <c r="RLN1090"/>
      <c r="RLQ1090"/>
      <c r="RLR1090"/>
      <c r="RLU1090"/>
      <c r="RLV1090"/>
      <c r="RLY1090"/>
      <c r="RLZ1090"/>
      <c r="RMC1090"/>
      <c r="RMD1090"/>
      <c r="RMG1090"/>
      <c r="RMH1090"/>
      <c r="RMK1090"/>
      <c r="RML1090"/>
      <c r="RMO1090"/>
      <c r="RMP1090"/>
      <c r="RMS1090"/>
      <c r="RMT1090"/>
      <c r="RMW1090"/>
      <c r="RMX1090"/>
      <c r="RNA1090"/>
      <c r="RNB1090"/>
      <c r="RNE1090"/>
      <c r="RNF1090"/>
      <c r="RNI1090"/>
      <c r="RNJ1090"/>
      <c r="RNM1090"/>
      <c r="RNN1090"/>
      <c r="RNQ1090"/>
      <c r="RNR1090"/>
      <c r="RNU1090"/>
      <c r="RNV1090"/>
      <c r="RNY1090"/>
      <c r="RNZ1090"/>
      <c r="ROC1090"/>
      <c r="ROD1090"/>
      <c r="ROG1090"/>
      <c r="ROH1090"/>
      <c r="ROK1090"/>
      <c r="ROL1090"/>
      <c r="ROO1090"/>
      <c r="ROP1090"/>
      <c r="ROS1090"/>
      <c r="ROT1090"/>
      <c r="ROW1090"/>
      <c r="ROX1090"/>
      <c r="RPA1090"/>
      <c r="RPB1090"/>
      <c r="RPE1090"/>
      <c r="RPF1090"/>
      <c r="RPI1090"/>
      <c r="RPJ1090"/>
      <c r="RPM1090"/>
      <c r="RPN1090"/>
      <c r="RPQ1090"/>
      <c r="RPR1090"/>
      <c r="RPU1090"/>
      <c r="RPV1090"/>
      <c r="RPY1090"/>
      <c r="RPZ1090"/>
      <c r="RQC1090"/>
      <c r="RQD1090"/>
      <c r="RQG1090"/>
      <c r="RQH1090"/>
      <c r="RQK1090"/>
      <c r="RQL1090"/>
      <c r="RQO1090"/>
      <c r="RQP1090"/>
      <c r="RQS1090"/>
      <c r="RQT1090"/>
      <c r="RQW1090"/>
      <c r="RQX1090"/>
      <c r="RRA1090"/>
      <c r="RRB1090"/>
      <c r="RRE1090"/>
      <c r="RRF1090"/>
      <c r="RRI1090"/>
      <c r="RRJ1090"/>
      <c r="RRM1090"/>
      <c r="RRN1090"/>
      <c r="RRQ1090"/>
      <c r="RRR1090"/>
      <c r="RRU1090"/>
      <c r="RRV1090"/>
      <c r="RRY1090"/>
      <c r="RRZ1090"/>
      <c r="RSC1090"/>
      <c r="RSD1090"/>
      <c r="RSG1090"/>
      <c r="RSH1090"/>
      <c r="RSK1090"/>
      <c r="RSL1090"/>
      <c r="RSO1090"/>
      <c r="RSP1090"/>
      <c r="RSS1090"/>
      <c r="RST1090"/>
      <c r="RSW1090"/>
      <c r="RSX1090"/>
      <c r="RTA1090"/>
      <c r="RTB1090"/>
      <c r="RTE1090"/>
      <c r="RTF1090"/>
      <c r="RTI1090"/>
      <c r="RTJ1090"/>
      <c r="RTM1090"/>
      <c r="RTN1090"/>
      <c r="RTQ1090"/>
      <c r="RTR1090"/>
      <c r="RTU1090"/>
      <c r="RTV1090"/>
      <c r="RTY1090"/>
      <c r="RTZ1090"/>
      <c r="RUC1090"/>
      <c r="RUD1090"/>
      <c r="RUG1090"/>
      <c r="RUH1090"/>
      <c r="RUK1090"/>
      <c r="RUL1090"/>
      <c r="RUO1090"/>
      <c r="RUP1090"/>
      <c r="RUS1090"/>
      <c r="RUT1090"/>
      <c r="RUW1090"/>
      <c r="RUX1090"/>
      <c r="RVA1090"/>
      <c r="RVB1090"/>
      <c r="RVE1090"/>
      <c r="RVF1090"/>
      <c r="RVI1090"/>
      <c r="RVJ1090"/>
      <c r="RVM1090"/>
      <c r="RVN1090"/>
      <c r="RVQ1090"/>
      <c r="RVR1090"/>
      <c r="RVU1090"/>
      <c r="RVV1090"/>
      <c r="RVY1090"/>
      <c r="RVZ1090"/>
      <c r="RWC1090"/>
      <c r="RWD1090"/>
      <c r="RWG1090"/>
      <c r="RWH1090"/>
      <c r="RWK1090"/>
      <c r="RWL1090"/>
      <c r="RWO1090"/>
      <c r="RWP1090"/>
      <c r="RWS1090"/>
      <c r="RWT1090"/>
      <c r="RWW1090"/>
      <c r="RWX1090"/>
      <c r="RXA1090"/>
      <c r="RXB1090"/>
      <c r="RXE1090"/>
      <c r="RXF1090"/>
      <c r="RXI1090"/>
      <c r="RXJ1090"/>
      <c r="RXM1090"/>
      <c r="RXN1090"/>
      <c r="RXQ1090"/>
      <c r="RXR1090"/>
      <c r="RXU1090"/>
      <c r="RXV1090"/>
      <c r="RXY1090"/>
      <c r="RXZ1090"/>
      <c r="RYC1090"/>
      <c r="RYD1090"/>
      <c r="RYG1090"/>
      <c r="RYH1090"/>
      <c r="RYK1090"/>
      <c r="RYL1090"/>
      <c r="RYO1090"/>
      <c r="RYP1090"/>
      <c r="RYS1090"/>
      <c r="RYT1090"/>
      <c r="RYW1090"/>
      <c r="RYX1090"/>
      <c r="RZA1090"/>
      <c r="RZB1090"/>
      <c r="RZE1090"/>
      <c r="RZF1090"/>
      <c r="RZI1090"/>
      <c r="RZJ1090"/>
      <c r="RZM1090"/>
      <c r="RZN1090"/>
      <c r="RZQ1090"/>
      <c r="RZR1090"/>
      <c r="RZU1090"/>
      <c r="RZV1090"/>
      <c r="RZY1090"/>
      <c r="RZZ1090"/>
      <c r="SAC1090"/>
      <c r="SAD1090"/>
      <c r="SAG1090"/>
      <c r="SAH1090"/>
      <c r="SAK1090"/>
      <c r="SAL1090"/>
      <c r="SAO1090"/>
      <c r="SAP1090"/>
      <c r="SAS1090"/>
      <c r="SAT1090"/>
      <c r="SAW1090"/>
      <c r="SAX1090"/>
      <c r="SBA1090"/>
      <c r="SBB1090"/>
      <c r="SBE1090"/>
      <c r="SBF1090"/>
      <c r="SBI1090"/>
      <c r="SBJ1090"/>
      <c r="SBM1090"/>
      <c r="SBN1090"/>
      <c r="SBQ1090"/>
      <c r="SBR1090"/>
      <c r="SBU1090"/>
      <c r="SBV1090"/>
      <c r="SBY1090"/>
      <c r="SBZ1090"/>
      <c r="SCC1090"/>
      <c r="SCD1090"/>
      <c r="SCG1090"/>
      <c r="SCH1090"/>
      <c r="SCK1090"/>
      <c r="SCL1090"/>
      <c r="SCO1090"/>
      <c r="SCP1090"/>
      <c r="SCS1090"/>
      <c r="SCT1090"/>
      <c r="SCW1090"/>
      <c r="SCX1090"/>
      <c r="SDA1090"/>
      <c r="SDB1090"/>
      <c r="SDE1090"/>
      <c r="SDF1090"/>
      <c r="SDI1090"/>
      <c r="SDJ1090"/>
      <c r="SDM1090"/>
      <c r="SDN1090"/>
      <c r="SDQ1090"/>
      <c r="SDR1090"/>
      <c r="SDU1090"/>
      <c r="SDV1090"/>
      <c r="SDY1090"/>
      <c r="SDZ1090"/>
      <c r="SEC1090"/>
      <c r="SED1090"/>
      <c r="SEG1090"/>
      <c r="SEH1090"/>
      <c r="SEK1090"/>
      <c r="SEL1090"/>
      <c r="SEO1090"/>
      <c r="SEP1090"/>
      <c r="SES1090"/>
      <c r="SET1090"/>
      <c r="SEW1090"/>
      <c r="SEX1090"/>
      <c r="SFA1090"/>
      <c r="SFB1090"/>
      <c r="SFE1090"/>
      <c r="SFF1090"/>
      <c r="SFI1090"/>
      <c r="SFJ1090"/>
      <c r="SFM1090"/>
      <c r="SFN1090"/>
      <c r="SFQ1090"/>
      <c r="SFR1090"/>
      <c r="SFU1090"/>
      <c r="SFV1090"/>
      <c r="SFY1090"/>
      <c r="SFZ1090"/>
      <c r="SGC1090"/>
      <c r="SGD1090"/>
      <c r="SGG1090"/>
      <c r="SGH1090"/>
      <c r="SGK1090"/>
      <c r="SGL1090"/>
      <c r="SGO1090"/>
      <c r="SGP1090"/>
      <c r="SGS1090"/>
      <c r="SGT1090"/>
      <c r="SGW1090"/>
      <c r="SGX1090"/>
      <c r="SHA1090"/>
      <c r="SHB1090"/>
      <c r="SHE1090"/>
      <c r="SHF1090"/>
      <c r="SHI1090"/>
      <c r="SHJ1090"/>
      <c r="SHM1090"/>
      <c r="SHN1090"/>
      <c r="SHQ1090"/>
      <c r="SHR1090"/>
      <c r="SHU1090"/>
      <c r="SHV1090"/>
      <c r="SHY1090"/>
      <c r="SHZ1090"/>
      <c r="SIC1090"/>
      <c r="SID1090"/>
      <c r="SIG1090"/>
      <c r="SIH1090"/>
      <c r="SIK1090"/>
      <c r="SIL1090"/>
      <c r="SIO1090"/>
      <c r="SIP1090"/>
      <c r="SIS1090"/>
      <c r="SIT1090"/>
      <c r="SIW1090"/>
      <c r="SIX1090"/>
      <c r="SJA1090"/>
      <c r="SJB1090"/>
      <c r="SJE1090"/>
      <c r="SJF1090"/>
      <c r="SJI1090"/>
      <c r="SJJ1090"/>
      <c r="SJM1090"/>
      <c r="SJN1090"/>
      <c r="SJQ1090"/>
      <c r="SJR1090"/>
      <c r="SJU1090"/>
      <c r="SJV1090"/>
      <c r="SJY1090"/>
      <c r="SJZ1090"/>
      <c r="SKC1090"/>
      <c r="SKD1090"/>
      <c r="SKG1090"/>
      <c r="SKH1090"/>
      <c r="SKK1090"/>
      <c r="SKL1090"/>
      <c r="SKO1090"/>
      <c r="SKP1090"/>
      <c r="SKS1090"/>
      <c r="SKT1090"/>
      <c r="SKW1090"/>
      <c r="SKX1090"/>
      <c r="SLA1090"/>
      <c r="SLB1090"/>
      <c r="SLE1090"/>
      <c r="SLF1090"/>
      <c r="SLI1090"/>
      <c r="SLJ1090"/>
      <c r="SLM1090"/>
      <c r="SLN1090"/>
      <c r="SLQ1090"/>
      <c r="SLR1090"/>
      <c r="SLU1090"/>
      <c r="SLV1090"/>
      <c r="SLY1090"/>
      <c r="SLZ1090"/>
      <c r="SMC1090"/>
      <c r="SMD1090"/>
      <c r="SMG1090"/>
      <c r="SMH1090"/>
      <c r="SMK1090"/>
      <c r="SML1090"/>
      <c r="SMO1090"/>
      <c r="SMP1090"/>
      <c r="SMS1090"/>
      <c r="SMT1090"/>
      <c r="SMW1090"/>
      <c r="SMX1090"/>
      <c r="SNA1090"/>
      <c r="SNB1090"/>
      <c r="SNE1090"/>
      <c r="SNF1090"/>
      <c r="SNI1090"/>
      <c r="SNJ1090"/>
      <c r="SNM1090"/>
      <c r="SNN1090"/>
      <c r="SNQ1090"/>
      <c r="SNR1090"/>
      <c r="SNU1090"/>
      <c r="SNV1090"/>
      <c r="SNY1090"/>
      <c r="SNZ1090"/>
      <c r="SOC1090"/>
      <c r="SOD1090"/>
      <c r="SOG1090"/>
      <c r="SOH1090"/>
      <c r="SOK1090"/>
      <c r="SOL1090"/>
      <c r="SOO1090"/>
      <c r="SOP1090"/>
      <c r="SOS1090"/>
      <c r="SOT1090"/>
      <c r="SOW1090"/>
      <c r="SOX1090"/>
      <c r="SPA1090"/>
      <c r="SPB1090"/>
      <c r="SPE1090"/>
      <c r="SPF1090"/>
      <c r="SPI1090"/>
      <c r="SPJ1090"/>
      <c r="SPM1090"/>
      <c r="SPN1090"/>
      <c r="SPQ1090"/>
      <c r="SPR1090"/>
      <c r="SPU1090"/>
      <c r="SPV1090"/>
      <c r="SPY1090"/>
      <c r="SPZ1090"/>
      <c r="SQC1090"/>
      <c r="SQD1090"/>
      <c r="SQG1090"/>
      <c r="SQH1090"/>
      <c r="SQK1090"/>
      <c r="SQL1090"/>
      <c r="SQO1090"/>
      <c r="SQP1090"/>
      <c r="SQS1090"/>
      <c r="SQT1090"/>
      <c r="SQW1090"/>
      <c r="SQX1090"/>
      <c r="SRA1090"/>
      <c r="SRB1090"/>
      <c r="SRE1090"/>
      <c r="SRF1090"/>
      <c r="SRI1090"/>
      <c r="SRJ1090"/>
      <c r="SRM1090"/>
      <c r="SRN1090"/>
      <c r="SRQ1090"/>
      <c r="SRR1090"/>
      <c r="SRU1090"/>
      <c r="SRV1090"/>
      <c r="SRY1090"/>
      <c r="SRZ1090"/>
      <c r="SSC1090"/>
      <c r="SSD1090"/>
      <c r="SSG1090"/>
      <c r="SSH1090"/>
      <c r="SSK1090"/>
      <c r="SSL1090"/>
      <c r="SSO1090"/>
      <c r="SSP1090"/>
      <c r="SSS1090"/>
      <c r="SST1090"/>
      <c r="SSW1090"/>
      <c r="SSX1090"/>
      <c r="STA1090"/>
      <c r="STB1090"/>
      <c r="STE1090"/>
      <c r="STF1090"/>
      <c r="STI1090"/>
      <c r="STJ1090"/>
      <c r="STM1090"/>
      <c r="STN1090"/>
      <c r="STQ1090"/>
      <c r="STR1090"/>
      <c r="STU1090"/>
      <c r="STV1090"/>
      <c r="STY1090"/>
      <c r="STZ1090"/>
      <c r="SUC1090"/>
      <c r="SUD1090"/>
      <c r="SUG1090"/>
      <c r="SUH1090"/>
      <c r="SUK1090"/>
      <c r="SUL1090"/>
      <c r="SUO1090"/>
      <c r="SUP1090"/>
      <c r="SUS1090"/>
      <c r="SUT1090"/>
      <c r="SUW1090"/>
      <c r="SUX1090"/>
      <c r="SVA1090"/>
      <c r="SVB1090"/>
      <c r="SVE1090"/>
      <c r="SVF1090"/>
      <c r="SVI1090"/>
      <c r="SVJ1090"/>
      <c r="SVM1090"/>
      <c r="SVN1090"/>
      <c r="SVQ1090"/>
      <c r="SVR1090"/>
      <c r="SVU1090"/>
      <c r="SVV1090"/>
      <c r="SVY1090"/>
      <c r="SVZ1090"/>
      <c r="SWC1090"/>
      <c r="SWD1090"/>
      <c r="SWG1090"/>
      <c r="SWH1090"/>
      <c r="SWK1090"/>
      <c r="SWL1090"/>
      <c r="SWO1090"/>
      <c r="SWP1090"/>
      <c r="SWS1090"/>
      <c r="SWT1090"/>
      <c r="SWW1090"/>
      <c r="SWX1090"/>
      <c r="SXA1090"/>
      <c r="SXB1090"/>
      <c r="SXE1090"/>
      <c r="SXF1090"/>
      <c r="SXI1090"/>
      <c r="SXJ1090"/>
      <c r="SXM1090"/>
      <c r="SXN1090"/>
      <c r="SXQ1090"/>
      <c r="SXR1090"/>
      <c r="SXU1090"/>
      <c r="SXV1090"/>
      <c r="SXY1090"/>
      <c r="SXZ1090"/>
      <c r="SYC1090"/>
      <c r="SYD1090"/>
      <c r="SYG1090"/>
      <c r="SYH1090"/>
      <c r="SYK1090"/>
      <c r="SYL1090"/>
      <c r="SYO1090"/>
      <c r="SYP1090"/>
      <c r="SYS1090"/>
      <c r="SYT1090"/>
      <c r="SYW1090"/>
      <c r="SYX1090"/>
      <c r="SZA1090"/>
      <c r="SZB1090"/>
      <c r="SZE1090"/>
      <c r="SZF1090"/>
      <c r="SZI1090"/>
      <c r="SZJ1090"/>
      <c r="SZM1090"/>
      <c r="SZN1090"/>
      <c r="SZQ1090"/>
      <c r="SZR1090"/>
      <c r="SZU1090"/>
      <c r="SZV1090"/>
      <c r="SZY1090"/>
      <c r="SZZ1090"/>
      <c r="TAC1090"/>
      <c r="TAD1090"/>
      <c r="TAG1090"/>
      <c r="TAH1090"/>
      <c r="TAK1090"/>
      <c r="TAL1090"/>
      <c r="TAO1090"/>
      <c r="TAP1090"/>
      <c r="TAS1090"/>
      <c r="TAT1090"/>
      <c r="TAW1090"/>
      <c r="TAX1090"/>
      <c r="TBA1090"/>
      <c r="TBB1090"/>
      <c r="TBE1090"/>
      <c r="TBF1090"/>
      <c r="TBI1090"/>
      <c r="TBJ1090"/>
      <c r="TBM1090"/>
      <c r="TBN1090"/>
      <c r="TBQ1090"/>
      <c r="TBR1090"/>
      <c r="TBU1090"/>
      <c r="TBV1090"/>
      <c r="TBY1090"/>
      <c r="TBZ1090"/>
      <c r="TCC1090"/>
      <c r="TCD1090"/>
      <c r="TCG1090"/>
      <c r="TCH1090"/>
      <c r="TCK1090"/>
      <c r="TCL1090"/>
      <c r="TCO1090"/>
      <c r="TCP1090"/>
      <c r="TCS1090"/>
      <c r="TCT1090"/>
      <c r="TCW1090"/>
      <c r="TCX1090"/>
      <c r="TDA1090"/>
      <c r="TDB1090"/>
      <c r="TDE1090"/>
      <c r="TDF1090"/>
      <c r="TDI1090"/>
      <c r="TDJ1090"/>
      <c r="TDM1090"/>
      <c r="TDN1090"/>
      <c r="TDQ1090"/>
      <c r="TDR1090"/>
      <c r="TDU1090"/>
      <c r="TDV1090"/>
      <c r="TDY1090"/>
      <c r="TDZ1090"/>
      <c r="TEC1090"/>
      <c r="TED1090"/>
      <c r="TEG1090"/>
      <c r="TEH1090"/>
      <c r="TEK1090"/>
      <c r="TEL1090"/>
      <c r="TEO1090"/>
      <c r="TEP1090"/>
      <c r="TES1090"/>
      <c r="TET1090"/>
      <c r="TEW1090"/>
      <c r="TEX1090"/>
      <c r="TFA1090"/>
      <c r="TFB1090"/>
      <c r="TFE1090"/>
      <c r="TFF1090"/>
      <c r="TFI1090"/>
      <c r="TFJ1090"/>
      <c r="TFM1090"/>
      <c r="TFN1090"/>
      <c r="TFQ1090"/>
      <c r="TFR1090"/>
      <c r="TFU1090"/>
      <c r="TFV1090"/>
      <c r="TFY1090"/>
      <c r="TFZ1090"/>
      <c r="TGC1090"/>
      <c r="TGD1090"/>
      <c r="TGG1090"/>
      <c r="TGH1090"/>
      <c r="TGK1090"/>
      <c r="TGL1090"/>
      <c r="TGO1090"/>
      <c r="TGP1090"/>
      <c r="TGS1090"/>
      <c r="TGT1090"/>
      <c r="TGW1090"/>
      <c r="TGX1090"/>
      <c r="THA1090"/>
      <c r="THB1090"/>
      <c r="THE1090"/>
      <c r="THF1090"/>
      <c r="THI1090"/>
      <c r="THJ1090"/>
      <c r="THM1090"/>
      <c r="THN1090"/>
      <c r="THQ1090"/>
      <c r="THR1090"/>
      <c r="THU1090"/>
      <c r="THV1090"/>
      <c r="THY1090"/>
      <c r="THZ1090"/>
      <c r="TIC1090"/>
      <c r="TID1090"/>
      <c r="TIG1090"/>
      <c r="TIH1090"/>
      <c r="TIK1090"/>
      <c r="TIL1090"/>
      <c r="TIO1090"/>
      <c r="TIP1090"/>
      <c r="TIS1090"/>
      <c r="TIT1090"/>
      <c r="TIW1090"/>
      <c r="TIX1090"/>
      <c r="TJA1090"/>
      <c r="TJB1090"/>
      <c r="TJE1090"/>
      <c r="TJF1090"/>
      <c r="TJI1090"/>
      <c r="TJJ1090"/>
      <c r="TJM1090"/>
      <c r="TJN1090"/>
      <c r="TJQ1090"/>
      <c r="TJR1090"/>
      <c r="TJU1090"/>
      <c r="TJV1090"/>
      <c r="TJY1090"/>
      <c r="TJZ1090"/>
      <c r="TKC1090"/>
      <c r="TKD1090"/>
      <c r="TKG1090"/>
      <c r="TKH1090"/>
      <c r="TKK1090"/>
      <c r="TKL1090"/>
      <c r="TKO1090"/>
      <c r="TKP1090"/>
      <c r="TKS1090"/>
      <c r="TKT1090"/>
      <c r="TKW1090"/>
      <c r="TKX1090"/>
      <c r="TLA1090"/>
      <c r="TLB1090"/>
      <c r="TLE1090"/>
      <c r="TLF1090"/>
      <c r="TLI1090"/>
      <c r="TLJ1090"/>
      <c r="TLM1090"/>
      <c r="TLN1090"/>
      <c r="TLQ1090"/>
      <c r="TLR1090"/>
      <c r="TLU1090"/>
      <c r="TLV1090"/>
      <c r="TLY1090"/>
      <c r="TLZ1090"/>
      <c r="TMC1090"/>
      <c r="TMD1090"/>
      <c r="TMG1090"/>
      <c r="TMH1090"/>
      <c r="TMK1090"/>
      <c r="TML1090"/>
      <c r="TMO1090"/>
      <c r="TMP1090"/>
      <c r="TMS1090"/>
      <c r="TMT1090"/>
      <c r="TMW1090"/>
      <c r="TMX1090"/>
      <c r="TNA1090"/>
      <c r="TNB1090"/>
      <c r="TNE1090"/>
      <c r="TNF1090"/>
      <c r="TNI1090"/>
      <c r="TNJ1090"/>
      <c r="TNM1090"/>
      <c r="TNN1090"/>
      <c r="TNQ1090"/>
      <c r="TNR1090"/>
      <c r="TNU1090"/>
      <c r="TNV1090"/>
      <c r="TNY1090"/>
      <c r="TNZ1090"/>
      <c r="TOC1090"/>
      <c r="TOD1090"/>
      <c r="TOG1090"/>
      <c r="TOH1090"/>
      <c r="TOK1090"/>
      <c r="TOL1090"/>
      <c r="TOO1090"/>
      <c r="TOP1090"/>
      <c r="TOS1090"/>
      <c r="TOT1090"/>
      <c r="TOW1090"/>
      <c r="TOX1090"/>
      <c r="TPA1090"/>
      <c r="TPB1090"/>
      <c r="TPE1090"/>
      <c r="TPF1090"/>
      <c r="TPI1090"/>
      <c r="TPJ1090"/>
      <c r="TPM1090"/>
      <c r="TPN1090"/>
      <c r="TPQ1090"/>
      <c r="TPR1090"/>
      <c r="TPU1090"/>
      <c r="TPV1090"/>
      <c r="TPY1090"/>
      <c r="TPZ1090"/>
      <c r="TQC1090"/>
      <c r="TQD1090"/>
      <c r="TQG1090"/>
      <c r="TQH1090"/>
      <c r="TQK1090"/>
      <c r="TQL1090"/>
      <c r="TQO1090"/>
      <c r="TQP1090"/>
      <c r="TQS1090"/>
      <c r="TQT1090"/>
      <c r="TQW1090"/>
      <c r="TQX1090"/>
      <c r="TRA1090"/>
      <c r="TRB1090"/>
      <c r="TRE1090"/>
      <c r="TRF1090"/>
      <c r="TRI1090"/>
      <c r="TRJ1090"/>
      <c r="TRM1090"/>
      <c r="TRN1090"/>
      <c r="TRQ1090"/>
      <c r="TRR1090"/>
      <c r="TRU1090"/>
      <c r="TRV1090"/>
      <c r="TRY1090"/>
      <c r="TRZ1090"/>
      <c r="TSC1090"/>
      <c r="TSD1090"/>
      <c r="TSG1090"/>
      <c r="TSH1090"/>
      <c r="TSK1090"/>
      <c r="TSL1090"/>
      <c r="TSO1090"/>
      <c r="TSP1090"/>
      <c r="TSS1090"/>
      <c r="TST1090"/>
      <c r="TSW1090"/>
      <c r="TSX1090"/>
      <c r="TTA1090"/>
      <c r="TTB1090"/>
      <c r="TTE1090"/>
      <c r="TTF1090"/>
      <c r="TTI1090"/>
      <c r="TTJ1090"/>
      <c r="TTM1090"/>
      <c r="TTN1090"/>
      <c r="TTQ1090"/>
      <c r="TTR1090"/>
      <c r="TTU1090"/>
      <c r="TTV1090"/>
      <c r="TTY1090"/>
      <c r="TTZ1090"/>
      <c r="TUC1090"/>
      <c r="TUD1090"/>
      <c r="TUG1090"/>
      <c r="TUH1090"/>
      <c r="TUK1090"/>
      <c r="TUL1090"/>
      <c r="TUO1090"/>
      <c r="TUP1090"/>
      <c r="TUS1090"/>
      <c r="TUT1090"/>
      <c r="TUW1090"/>
      <c r="TUX1090"/>
      <c r="TVA1090"/>
      <c r="TVB1090"/>
      <c r="TVE1090"/>
      <c r="TVF1090"/>
      <c r="TVI1090"/>
      <c r="TVJ1090"/>
      <c r="TVM1090"/>
      <c r="TVN1090"/>
      <c r="TVQ1090"/>
      <c r="TVR1090"/>
      <c r="TVU1090"/>
      <c r="TVV1090"/>
      <c r="TVY1090"/>
      <c r="TVZ1090"/>
      <c r="TWC1090"/>
      <c r="TWD1090"/>
      <c r="TWG1090"/>
      <c r="TWH1090"/>
      <c r="TWK1090"/>
      <c r="TWL1090"/>
      <c r="TWO1090"/>
      <c r="TWP1090"/>
      <c r="TWS1090"/>
      <c r="TWT1090"/>
      <c r="TWW1090"/>
      <c r="TWX1090"/>
      <c r="TXA1090"/>
      <c r="TXB1090"/>
      <c r="TXE1090"/>
      <c r="TXF1090"/>
      <c r="TXI1090"/>
      <c r="TXJ1090"/>
      <c r="TXM1090"/>
      <c r="TXN1090"/>
      <c r="TXQ1090"/>
      <c r="TXR1090"/>
      <c r="TXU1090"/>
      <c r="TXV1090"/>
      <c r="TXY1090"/>
      <c r="TXZ1090"/>
      <c r="TYC1090"/>
      <c r="TYD1090"/>
      <c r="TYG1090"/>
      <c r="TYH1090"/>
      <c r="TYK1090"/>
      <c r="TYL1090"/>
      <c r="TYO1090"/>
      <c r="TYP1090"/>
      <c r="TYS1090"/>
      <c r="TYT1090"/>
      <c r="TYW1090"/>
      <c r="TYX1090"/>
      <c r="TZA1090"/>
      <c r="TZB1090"/>
      <c r="TZE1090"/>
      <c r="TZF1090"/>
      <c r="TZI1090"/>
      <c r="TZJ1090"/>
      <c r="TZM1090"/>
      <c r="TZN1090"/>
      <c r="TZQ1090"/>
      <c r="TZR1090"/>
      <c r="TZU1090"/>
      <c r="TZV1090"/>
      <c r="TZY1090"/>
      <c r="TZZ1090"/>
      <c r="UAC1090"/>
      <c r="UAD1090"/>
      <c r="UAG1090"/>
      <c r="UAH1090"/>
      <c r="UAK1090"/>
      <c r="UAL1090"/>
      <c r="UAO1090"/>
      <c r="UAP1090"/>
      <c r="UAS1090"/>
      <c r="UAT1090"/>
      <c r="UAW1090"/>
      <c r="UAX1090"/>
      <c r="UBA1090"/>
      <c r="UBB1090"/>
      <c r="UBE1090"/>
      <c r="UBF1090"/>
      <c r="UBI1090"/>
      <c r="UBJ1090"/>
      <c r="UBM1090"/>
      <c r="UBN1090"/>
      <c r="UBQ1090"/>
      <c r="UBR1090"/>
      <c r="UBU1090"/>
      <c r="UBV1090"/>
      <c r="UBY1090"/>
      <c r="UBZ1090"/>
      <c r="UCC1090"/>
      <c r="UCD1090"/>
      <c r="UCG1090"/>
      <c r="UCH1090"/>
      <c r="UCK1090"/>
      <c r="UCL1090"/>
      <c r="UCO1090"/>
      <c r="UCP1090"/>
      <c r="UCS1090"/>
      <c r="UCT1090"/>
      <c r="UCW1090"/>
      <c r="UCX1090"/>
      <c r="UDA1090"/>
      <c r="UDB1090"/>
      <c r="UDE1090"/>
      <c r="UDF1090"/>
      <c r="UDI1090"/>
      <c r="UDJ1090"/>
      <c r="UDM1090"/>
      <c r="UDN1090"/>
      <c r="UDQ1090"/>
      <c r="UDR1090"/>
      <c r="UDU1090"/>
      <c r="UDV1090"/>
      <c r="UDY1090"/>
      <c r="UDZ1090"/>
      <c r="UEC1090"/>
      <c r="UED1090"/>
      <c r="UEG1090"/>
      <c r="UEH1090"/>
      <c r="UEK1090"/>
      <c r="UEL1090"/>
      <c r="UEO1090"/>
      <c r="UEP1090"/>
      <c r="UES1090"/>
      <c r="UET1090"/>
      <c r="UEW1090"/>
      <c r="UEX1090"/>
      <c r="UFA1090"/>
      <c r="UFB1090"/>
      <c r="UFE1090"/>
      <c r="UFF1090"/>
      <c r="UFI1090"/>
      <c r="UFJ1090"/>
      <c r="UFM1090"/>
      <c r="UFN1090"/>
      <c r="UFQ1090"/>
      <c r="UFR1090"/>
      <c r="UFU1090"/>
      <c r="UFV1090"/>
      <c r="UFY1090"/>
      <c r="UFZ1090"/>
      <c r="UGC1090"/>
      <c r="UGD1090"/>
      <c r="UGG1090"/>
      <c r="UGH1090"/>
      <c r="UGK1090"/>
      <c r="UGL1090"/>
      <c r="UGO1090"/>
      <c r="UGP1090"/>
      <c r="UGS1090"/>
      <c r="UGT1090"/>
      <c r="UGW1090"/>
      <c r="UGX1090"/>
      <c r="UHA1090"/>
      <c r="UHB1090"/>
      <c r="UHE1090"/>
      <c r="UHF1090"/>
      <c r="UHI1090"/>
      <c r="UHJ1090"/>
      <c r="UHM1090"/>
      <c r="UHN1090"/>
      <c r="UHQ1090"/>
      <c r="UHR1090"/>
      <c r="UHU1090"/>
      <c r="UHV1090"/>
      <c r="UHY1090"/>
      <c r="UHZ1090"/>
      <c r="UIC1090"/>
      <c r="UID1090"/>
      <c r="UIG1090"/>
      <c r="UIH1090"/>
      <c r="UIK1090"/>
      <c r="UIL1090"/>
      <c r="UIO1090"/>
      <c r="UIP1090"/>
      <c r="UIS1090"/>
      <c r="UIT1090"/>
      <c r="UIW1090"/>
      <c r="UIX1090"/>
      <c r="UJA1090"/>
      <c r="UJB1090"/>
      <c r="UJE1090"/>
      <c r="UJF1090"/>
      <c r="UJI1090"/>
      <c r="UJJ1090"/>
      <c r="UJM1090"/>
      <c r="UJN1090"/>
      <c r="UJQ1090"/>
      <c r="UJR1090"/>
      <c r="UJU1090"/>
      <c r="UJV1090"/>
      <c r="UJY1090"/>
      <c r="UJZ1090"/>
      <c r="UKC1090"/>
      <c r="UKD1090"/>
      <c r="UKG1090"/>
      <c r="UKH1090"/>
      <c r="UKK1090"/>
      <c r="UKL1090"/>
      <c r="UKO1090"/>
      <c r="UKP1090"/>
      <c r="UKS1090"/>
      <c r="UKT1090"/>
      <c r="UKW1090"/>
      <c r="UKX1090"/>
      <c r="ULA1090"/>
      <c r="ULB1090"/>
      <c r="ULE1090"/>
      <c r="ULF1090"/>
      <c r="ULI1090"/>
      <c r="ULJ1090"/>
      <c r="ULM1090"/>
      <c r="ULN1090"/>
      <c r="ULQ1090"/>
      <c r="ULR1090"/>
      <c r="ULU1090"/>
      <c r="ULV1090"/>
      <c r="ULY1090"/>
      <c r="ULZ1090"/>
      <c r="UMC1090"/>
      <c r="UMD1090"/>
      <c r="UMG1090"/>
      <c r="UMH1090"/>
      <c r="UMK1090"/>
      <c r="UML1090"/>
      <c r="UMO1090"/>
      <c r="UMP1090"/>
      <c r="UMS1090"/>
      <c r="UMT1090"/>
      <c r="UMW1090"/>
      <c r="UMX1090"/>
      <c r="UNA1090"/>
      <c r="UNB1090"/>
      <c r="UNE1090"/>
      <c r="UNF1090"/>
      <c r="UNI1090"/>
      <c r="UNJ1090"/>
      <c r="UNM1090"/>
      <c r="UNN1090"/>
      <c r="UNQ1090"/>
      <c r="UNR1090"/>
      <c r="UNU1090"/>
      <c r="UNV1090"/>
      <c r="UNY1090"/>
      <c r="UNZ1090"/>
      <c r="UOC1090"/>
      <c r="UOD1090"/>
      <c r="UOG1090"/>
      <c r="UOH1090"/>
      <c r="UOK1090"/>
      <c r="UOL1090"/>
      <c r="UOO1090"/>
      <c r="UOP1090"/>
      <c r="UOS1090"/>
      <c r="UOT1090"/>
      <c r="UOW1090"/>
      <c r="UOX1090"/>
      <c r="UPA1090"/>
      <c r="UPB1090"/>
      <c r="UPE1090"/>
      <c r="UPF1090"/>
      <c r="UPI1090"/>
      <c r="UPJ1090"/>
      <c r="UPM1090"/>
      <c r="UPN1090"/>
      <c r="UPQ1090"/>
      <c r="UPR1090"/>
      <c r="UPU1090"/>
      <c r="UPV1090"/>
      <c r="UPY1090"/>
      <c r="UPZ1090"/>
      <c r="UQC1090"/>
      <c r="UQD1090"/>
      <c r="UQG1090"/>
      <c r="UQH1090"/>
      <c r="UQK1090"/>
      <c r="UQL1090"/>
      <c r="UQO1090"/>
      <c r="UQP1090"/>
      <c r="UQS1090"/>
      <c r="UQT1090"/>
      <c r="UQW1090"/>
      <c r="UQX1090"/>
      <c r="URA1090"/>
      <c r="URB1090"/>
      <c r="URE1090"/>
      <c r="URF1090"/>
      <c r="URI1090"/>
      <c r="URJ1090"/>
      <c r="URM1090"/>
      <c r="URN1090"/>
      <c r="URQ1090"/>
      <c r="URR1090"/>
      <c r="URU1090"/>
      <c r="URV1090"/>
      <c r="URY1090"/>
      <c r="URZ1090"/>
      <c r="USC1090"/>
      <c r="USD1090"/>
      <c r="USG1090"/>
      <c r="USH1090"/>
      <c r="USK1090"/>
      <c r="USL1090"/>
      <c r="USO1090"/>
      <c r="USP1090"/>
      <c r="USS1090"/>
      <c r="UST1090"/>
      <c r="USW1090"/>
      <c r="USX1090"/>
      <c r="UTA1090"/>
      <c r="UTB1090"/>
      <c r="UTE1090"/>
      <c r="UTF1090"/>
      <c r="UTI1090"/>
      <c r="UTJ1090"/>
      <c r="UTM1090"/>
      <c r="UTN1090"/>
      <c r="UTQ1090"/>
      <c r="UTR1090"/>
      <c r="UTU1090"/>
      <c r="UTV1090"/>
      <c r="UTY1090"/>
      <c r="UTZ1090"/>
      <c r="UUC1090"/>
      <c r="UUD1090"/>
      <c r="UUG1090"/>
      <c r="UUH1090"/>
      <c r="UUK1090"/>
      <c r="UUL1090"/>
      <c r="UUO1090"/>
      <c r="UUP1090"/>
      <c r="UUS1090"/>
      <c r="UUT1090"/>
      <c r="UUW1090"/>
      <c r="UUX1090"/>
      <c r="UVA1090"/>
      <c r="UVB1090"/>
      <c r="UVE1090"/>
      <c r="UVF1090"/>
      <c r="UVI1090"/>
      <c r="UVJ1090"/>
      <c r="UVM1090"/>
      <c r="UVN1090"/>
      <c r="UVQ1090"/>
      <c r="UVR1090"/>
      <c r="UVU1090"/>
      <c r="UVV1090"/>
      <c r="UVY1090"/>
      <c r="UVZ1090"/>
      <c r="UWC1090"/>
      <c r="UWD1090"/>
      <c r="UWG1090"/>
      <c r="UWH1090"/>
      <c r="UWK1090"/>
      <c r="UWL1090"/>
      <c r="UWO1090"/>
      <c r="UWP1090"/>
      <c r="UWS1090"/>
      <c r="UWT1090"/>
      <c r="UWW1090"/>
      <c r="UWX1090"/>
      <c r="UXA1090"/>
      <c r="UXB1090"/>
      <c r="UXE1090"/>
      <c r="UXF1090"/>
      <c r="UXI1090"/>
      <c r="UXJ1090"/>
      <c r="UXM1090"/>
      <c r="UXN1090"/>
      <c r="UXQ1090"/>
      <c r="UXR1090"/>
      <c r="UXU1090"/>
      <c r="UXV1090"/>
      <c r="UXY1090"/>
      <c r="UXZ1090"/>
      <c r="UYC1090"/>
      <c r="UYD1090"/>
      <c r="UYG1090"/>
      <c r="UYH1090"/>
      <c r="UYK1090"/>
      <c r="UYL1090"/>
      <c r="UYO1090"/>
      <c r="UYP1090"/>
      <c r="UYS1090"/>
      <c r="UYT1090"/>
      <c r="UYW1090"/>
      <c r="UYX1090"/>
      <c r="UZA1090"/>
      <c r="UZB1090"/>
      <c r="UZE1090"/>
      <c r="UZF1090"/>
      <c r="UZI1090"/>
      <c r="UZJ1090"/>
      <c r="UZM1090"/>
      <c r="UZN1090"/>
      <c r="UZQ1090"/>
      <c r="UZR1090"/>
      <c r="UZU1090"/>
      <c r="UZV1090"/>
      <c r="UZY1090"/>
      <c r="UZZ1090"/>
      <c r="VAC1090"/>
      <c r="VAD1090"/>
      <c r="VAG1090"/>
      <c r="VAH1090"/>
      <c r="VAK1090"/>
      <c r="VAL1090"/>
      <c r="VAO1090"/>
      <c r="VAP1090"/>
      <c r="VAS1090"/>
      <c r="VAT1090"/>
      <c r="VAW1090"/>
      <c r="VAX1090"/>
      <c r="VBA1090"/>
      <c r="VBB1090"/>
      <c r="VBE1090"/>
      <c r="VBF1090"/>
      <c r="VBI1090"/>
      <c r="VBJ1090"/>
      <c r="VBM1090"/>
      <c r="VBN1090"/>
      <c r="VBQ1090"/>
      <c r="VBR1090"/>
      <c r="VBU1090"/>
      <c r="VBV1090"/>
      <c r="VBY1090"/>
      <c r="VBZ1090"/>
      <c r="VCC1090"/>
      <c r="VCD1090"/>
      <c r="VCG1090"/>
      <c r="VCH1090"/>
      <c r="VCK1090"/>
      <c r="VCL1090"/>
      <c r="VCO1090"/>
      <c r="VCP1090"/>
      <c r="VCS1090"/>
      <c r="VCT1090"/>
      <c r="VCW1090"/>
      <c r="VCX1090"/>
      <c r="VDA1090"/>
      <c r="VDB1090"/>
      <c r="VDE1090"/>
      <c r="VDF1090"/>
      <c r="VDI1090"/>
      <c r="VDJ1090"/>
      <c r="VDM1090"/>
      <c r="VDN1090"/>
      <c r="VDQ1090"/>
      <c r="VDR1090"/>
      <c r="VDU1090"/>
      <c r="VDV1090"/>
      <c r="VDY1090"/>
      <c r="VDZ1090"/>
      <c r="VEC1090"/>
      <c r="VED1090"/>
      <c r="VEG1090"/>
      <c r="VEH1090"/>
      <c r="VEK1090"/>
      <c r="VEL1090"/>
      <c r="VEO1090"/>
      <c r="VEP1090"/>
      <c r="VES1090"/>
      <c r="VET1090"/>
      <c r="VEW1090"/>
      <c r="VEX1090"/>
      <c r="VFA1090"/>
      <c r="VFB1090"/>
      <c r="VFE1090"/>
      <c r="VFF1090"/>
      <c r="VFI1090"/>
      <c r="VFJ1090"/>
      <c r="VFM1090"/>
      <c r="VFN1090"/>
      <c r="VFQ1090"/>
      <c r="VFR1090"/>
      <c r="VFU1090"/>
      <c r="VFV1090"/>
      <c r="VFY1090"/>
      <c r="VFZ1090"/>
      <c r="VGC1090"/>
      <c r="VGD1090"/>
      <c r="VGG1090"/>
      <c r="VGH1090"/>
      <c r="VGK1090"/>
      <c r="VGL1090"/>
      <c r="VGO1090"/>
      <c r="VGP1090"/>
      <c r="VGS1090"/>
      <c r="VGT1090"/>
      <c r="VGW1090"/>
      <c r="VGX1090"/>
      <c r="VHA1090"/>
      <c r="VHB1090"/>
      <c r="VHE1090"/>
      <c r="VHF1090"/>
      <c r="VHI1090"/>
      <c r="VHJ1090"/>
      <c r="VHM1090"/>
      <c r="VHN1090"/>
      <c r="VHQ1090"/>
      <c r="VHR1090"/>
      <c r="VHU1090"/>
      <c r="VHV1090"/>
      <c r="VHY1090"/>
      <c r="VHZ1090"/>
      <c r="VIC1090"/>
      <c r="VID1090"/>
      <c r="VIG1090"/>
      <c r="VIH1090"/>
      <c r="VIK1090"/>
      <c r="VIL1090"/>
      <c r="VIO1090"/>
      <c r="VIP1090"/>
      <c r="VIS1090"/>
      <c r="VIT1090"/>
      <c r="VIW1090"/>
      <c r="VIX1090"/>
      <c r="VJA1090"/>
      <c r="VJB1090"/>
      <c r="VJE1090"/>
      <c r="VJF1090"/>
      <c r="VJI1090"/>
      <c r="VJJ1090"/>
      <c r="VJM1090"/>
      <c r="VJN1090"/>
      <c r="VJQ1090"/>
      <c r="VJR1090"/>
      <c r="VJU1090"/>
      <c r="VJV1090"/>
      <c r="VJY1090"/>
      <c r="VJZ1090"/>
      <c r="VKC1090"/>
      <c r="VKD1090"/>
      <c r="VKG1090"/>
      <c r="VKH1090"/>
      <c r="VKK1090"/>
      <c r="VKL1090"/>
      <c r="VKO1090"/>
      <c r="VKP1090"/>
      <c r="VKS1090"/>
      <c r="VKT1090"/>
      <c r="VKW1090"/>
      <c r="VKX1090"/>
      <c r="VLA1090"/>
      <c r="VLB1090"/>
      <c r="VLE1090"/>
      <c r="VLF1090"/>
      <c r="VLI1090"/>
      <c r="VLJ1090"/>
      <c r="VLM1090"/>
      <c r="VLN1090"/>
      <c r="VLQ1090"/>
      <c r="VLR1090"/>
      <c r="VLU1090"/>
      <c r="VLV1090"/>
      <c r="VLY1090"/>
      <c r="VLZ1090"/>
      <c r="VMC1090"/>
      <c r="VMD1090"/>
      <c r="VMG1090"/>
      <c r="VMH1090"/>
      <c r="VMK1090"/>
      <c r="VML1090"/>
      <c r="VMO1090"/>
      <c r="VMP1090"/>
      <c r="VMS1090"/>
      <c r="VMT1090"/>
      <c r="VMW1090"/>
      <c r="VMX1090"/>
      <c r="VNA1090"/>
      <c r="VNB1090"/>
      <c r="VNE1090"/>
      <c r="VNF1090"/>
      <c r="VNI1090"/>
      <c r="VNJ1090"/>
      <c r="VNM1090"/>
      <c r="VNN1090"/>
      <c r="VNQ1090"/>
      <c r="VNR1090"/>
      <c r="VNU1090"/>
      <c r="VNV1090"/>
      <c r="VNY1090"/>
      <c r="VNZ1090"/>
      <c r="VOC1090"/>
      <c r="VOD1090"/>
      <c r="VOG1090"/>
      <c r="VOH1090"/>
      <c r="VOK1090"/>
      <c r="VOL1090"/>
      <c r="VOO1090"/>
      <c r="VOP1090"/>
      <c r="VOS1090"/>
      <c r="VOT1090"/>
      <c r="VOW1090"/>
      <c r="VOX1090"/>
      <c r="VPA1090"/>
      <c r="VPB1090"/>
      <c r="VPE1090"/>
      <c r="VPF1090"/>
      <c r="VPI1090"/>
      <c r="VPJ1090"/>
      <c r="VPM1090"/>
      <c r="VPN1090"/>
      <c r="VPQ1090"/>
      <c r="VPR1090"/>
      <c r="VPU1090"/>
      <c r="VPV1090"/>
      <c r="VPY1090"/>
      <c r="VPZ1090"/>
      <c r="VQC1090"/>
      <c r="VQD1090"/>
      <c r="VQG1090"/>
      <c r="VQH1090"/>
      <c r="VQK1090"/>
      <c r="VQL1090"/>
      <c r="VQO1090"/>
      <c r="VQP1090"/>
      <c r="VQS1090"/>
      <c r="VQT1090"/>
      <c r="VQW1090"/>
      <c r="VQX1090"/>
      <c r="VRA1090"/>
      <c r="VRB1090"/>
      <c r="VRE1090"/>
      <c r="VRF1090"/>
      <c r="VRI1090"/>
      <c r="VRJ1090"/>
      <c r="VRM1090"/>
      <c r="VRN1090"/>
      <c r="VRQ1090"/>
      <c r="VRR1090"/>
      <c r="VRU1090"/>
      <c r="VRV1090"/>
      <c r="VRY1090"/>
      <c r="VRZ1090"/>
      <c r="VSC1090"/>
      <c r="VSD1090"/>
      <c r="VSG1090"/>
      <c r="VSH1090"/>
      <c r="VSK1090"/>
      <c r="VSL1090"/>
      <c r="VSO1090"/>
      <c r="VSP1090"/>
      <c r="VSS1090"/>
      <c r="VST1090"/>
      <c r="VSW1090"/>
      <c r="VSX1090"/>
      <c r="VTA1090"/>
      <c r="VTB1090"/>
      <c r="VTE1090"/>
      <c r="VTF1090"/>
      <c r="VTI1090"/>
      <c r="VTJ1090"/>
      <c r="VTM1090"/>
      <c r="VTN1090"/>
      <c r="VTQ1090"/>
      <c r="VTR1090"/>
      <c r="VTU1090"/>
      <c r="VTV1090"/>
      <c r="VTY1090"/>
      <c r="VTZ1090"/>
      <c r="VUC1090"/>
      <c r="VUD1090"/>
      <c r="VUG1090"/>
      <c r="VUH1090"/>
      <c r="VUK1090"/>
      <c r="VUL1090"/>
      <c r="VUO1090"/>
      <c r="VUP1090"/>
      <c r="VUS1090"/>
      <c r="VUT1090"/>
      <c r="VUW1090"/>
      <c r="VUX1090"/>
      <c r="VVA1090"/>
      <c r="VVB1090"/>
      <c r="VVE1090"/>
      <c r="VVF1090"/>
      <c r="VVI1090"/>
      <c r="VVJ1090"/>
      <c r="VVM1090"/>
      <c r="VVN1090"/>
      <c r="VVQ1090"/>
      <c r="VVR1090"/>
      <c r="VVU1090"/>
      <c r="VVV1090"/>
      <c r="VVY1090"/>
      <c r="VVZ1090"/>
      <c r="VWC1090"/>
      <c r="VWD1090"/>
      <c r="VWG1090"/>
      <c r="VWH1090"/>
      <c r="VWK1090"/>
      <c r="VWL1090"/>
      <c r="VWO1090"/>
      <c r="VWP1090"/>
      <c r="VWS1090"/>
      <c r="VWT1090"/>
      <c r="VWW1090"/>
      <c r="VWX1090"/>
      <c r="VXA1090"/>
      <c r="VXB1090"/>
      <c r="VXE1090"/>
      <c r="VXF1090"/>
      <c r="VXI1090"/>
      <c r="VXJ1090"/>
      <c r="VXM1090"/>
      <c r="VXN1090"/>
      <c r="VXQ1090"/>
      <c r="VXR1090"/>
      <c r="VXU1090"/>
      <c r="VXV1090"/>
      <c r="VXY1090"/>
      <c r="VXZ1090"/>
      <c r="VYC1090"/>
      <c r="VYD1090"/>
      <c r="VYG1090"/>
      <c r="VYH1090"/>
      <c r="VYK1090"/>
      <c r="VYL1090"/>
      <c r="VYO1090"/>
      <c r="VYP1090"/>
      <c r="VYS1090"/>
      <c r="VYT1090"/>
      <c r="VYW1090"/>
      <c r="VYX1090"/>
      <c r="VZA1090"/>
      <c r="VZB1090"/>
      <c r="VZE1090"/>
      <c r="VZF1090"/>
      <c r="VZI1090"/>
      <c r="VZJ1090"/>
      <c r="VZM1090"/>
      <c r="VZN1090"/>
      <c r="VZQ1090"/>
      <c r="VZR1090"/>
      <c r="VZU1090"/>
      <c r="VZV1090"/>
      <c r="VZY1090"/>
      <c r="VZZ1090"/>
      <c r="WAC1090"/>
      <c r="WAD1090"/>
      <c r="WAG1090"/>
      <c r="WAH1090"/>
      <c r="WAK1090"/>
      <c r="WAL1090"/>
      <c r="WAO1090"/>
      <c r="WAP1090"/>
      <c r="WAS1090"/>
      <c r="WAT1090"/>
      <c r="WAW1090"/>
      <c r="WAX1090"/>
      <c r="WBA1090"/>
      <c r="WBB1090"/>
      <c r="WBE1090"/>
      <c r="WBF1090"/>
      <c r="WBI1090"/>
      <c r="WBJ1090"/>
      <c r="WBM1090"/>
      <c r="WBN1090"/>
      <c r="WBQ1090"/>
      <c r="WBR1090"/>
      <c r="WBU1090"/>
      <c r="WBV1090"/>
      <c r="WBY1090"/>
      <c r="WBZ1090"/>
      <c r="WCC1090"/>
      <c r="WCD1090"/>
      <c r="WCG1090"/>
      <c r="WCH1090"/>
      <c r="WCK1090"/>
      <c r="WCL1090"/>
      <c r="WCO1090"/>
      <c r="WCP1090"/>
      <c r="WCS1090"/>
      <c r="WCT1090"/>
      <c r="WCW1090"/>
      <c r="WCX1090"/>
      <c r="WDA1090"/>
      <c r="WDB1090"/>
      <c r="WDE1090"/>
      <c r="WDF1090"/>
      <c r="WDI1090"/>
      <c r="WDJ1090"/>
      <c r="WDM1090"/>
      <c r="WDN1090"/>
      <c r="WDQ1090"/>
      <c r="WDR1090"/>
      <c r="WDU1090"/>
      <c r="WDV1090"/>
      <c r="WDY1090"/>
      <c r="WDZ1090"/>
      <c r="WEC1090"/>
      <c r="WED1090"/>
      <c r="WEG1090"/>
      <c r="WEH1090"/>
      <c r="WEK1090"/>
      <c r="WEL1090"/>
      <c r="WEO1090"/>
      <c r="WEP1090"/>
      <c r="WES1090"/>
      <c r="WET1090"/>
      <c r="WEW1090"/>
      <c r="WEX1090"/>
      <c r="WFA1090"/>
      <c r="WFB1090"/>
      <c r="WFE1090"/>
      <c r="WFF1090"/>
      <c r="WFI1090"/>
      <c r="WFJ1090"/>
      <c r="WFM1090"/>
      <c r="WFN1090"/>
      <c r="WFQ1090"/>
      <c r="WFR1090"/>
      <c r="WFU1090"/>
      <c r="WFV1090"/>
      <c r="WFY1090"/>
      <c r="WFZ1090"/>
      <c r="WGC1090"/>
      <c r="WGD1090"/>
      <c r="WGG1090"/>
      <c r="WGH1090"/>
      <c r="WGK1090"/>
      <c r="WGL1090"/>
      <c r="WGO1090"/>
      <c r="WGP1090"/>
      <c r="WGS1090"/>
      <c r="WGT1090"/>
      <c r="WGW1090"/>
      <c r="WGX1090"/>
      <c r="WHA1090"/>
      <c r="WHB1090"/>
      <c r="WHE1090"/>
      <c r="WHF1090"/>
      <c r="WHI1090"/>
      <c r="WHJ1090"/>
      <c r="WHM1090"/>
      <c r="WHN1090"/>
      <c r="WHQ1090"/>
      <c r="WHR1090"/>
      <c r="WHU1090"/>
      <c r="WHV1090"/>
      <c r="WHY1090"/>
      <c r="WHZ1090"/>
      <c r="WIC1090"/>
      <c r="WID1090"/>
      <c r="WIG1090"/>
      <c r="WIH1090"/>
      <c r="WIK1090"/>
      <c r="WIL1090"/>
      <c r="WIO1090"/>
      <c r="WIP1090"/>
      <c r="WIS1090"/>
      <c r="WIT1090"/>
      <c r="WIW1090"/>
      <c r="WIX1090"/>
      <c r="WJA1090"/>
      <c r="WJB1090"/>
      <c r="WJE1090"/>
      <c r="WJF1090"/>
      <c r="WJI1090"/>
      <c r="WJJ1090"/>
      <c r="WJM1090"/>
      <c r="WJN1090"/>
      <c r="WJQ1090"/>
      <c r="WJR1090"/>
      <c r="WJU1090"/>
      <c r="WJV1090"/>
      <c r="WJY1090"/>
      <c r="WJZ1090"/>
      <c r="WKC1090"/>
      <c r="WKD1090"/>
      <c r="WKG1090"/>
      <c r="WKH1090"/>
      <c r="WKK1090"/>
      <c r="WKL1090"/>
      <c r="WKO1090"/>
      <c r="WKP1090"/>
      <c r="WKS1090"/>
      <c r="WKT1090"/>
      <c r="WKW1090"/>
      <c r="WKX1090"/>
      <c r="WLA1090"/>
      <c r="WLB1090"/>
      <c r="WLE1090"/>
      <c r="WLF1090"/>
      <c r="WLI1090"/>
      <c r="WLJ1090"/>
      <c r="WLM1090"/>
      <c r="WLN1090"/>
      <c r="WLQ1090"/>
      <c r="WLR1090"/>
      <c r="WLU1090"/>
      <c r="WLV1090"/>
      <c r="WLY1090"/>
      <c r="WLZ1090"/>
      <c r="WMC1090"/>
      <c r="WMD1090"/>
      <c r="WMG1090"/>
      <c r="WMH1090"/>
      <c r="WMK1090"/>
      <c r="WML1090"/>
      <c r="WMO1090"/>
      <c r="WMP1090"/>
      <c r="WMS1090"/>
      <c r="WMT1090"/>
      <c r="WMW1090"/>
      <c r="WMX1090"/>
      <c r="WNA1090"/>
      <c r="WNB1090"/>
      <c r="WNE1090"/>
      <c r="WNF1090"/>
      <c r="WNI1090"/>
      <c r="WNJ1090"/>
      <c r="WNM1090"/>
      <c r="WNN1090"/>
      <c r="WNQ1090"/>
      <c r="WNR1090"/>
      <c r="WNU1090"/>
      <c r="WNV1090"/>
      <c r="WNY1090"/>
      <c r="WNZ1090"/>
      <c r="WOC1090"/>
      <c r="WOD1090"/>
      <c r="WOG1090"/>
      <c r="WOH1090"/>
      <c r="WOK1090"/>
      <c r="WOL1090"/>
      <c r="WOO1090"/>
      <c r="WOP1090"/>
      <c r="WOS1090"/>
      <c r="WOT1090"/>
      <c r="WOW1090"/>
      <c r="WOX1090"/>
      <c r="WPA1090"/>
      <c r="WPB1090"/>
      <c r="WPE1090"/>
      <c r="WPF1090"/>
      <c r="WPI1090"/>
      <c r="WPJ1090"/>
      <c r="WPM1090"/>
      <c r="WPN1090"/>
      <c r="WPQ1090"/>
      <c r="WPR1090"/>
      <c r="WPU1090"/>
      <c r="WPV1090"/>
      <c r="WPY1090"/>
      <c r="WPZ1090"/>
      <c r="WQC1090"/>
      <c r="WQD1090"/>
      <c r="WQG1090"/>
      <c r="WQH1090"/>
      <c r="WQK1090"/>
      <c r="WQL1090"/>
      <c r="WQO1090"/>
      <c r="WQP1090"/>
      <c r="WQS1090"/>
      <c r="WQT1090"/>
      <c r="WQW1090"/>
      <c r="WQX1090"/>
      <c r="WRA1090"/>
      <c r="WRB1090"/>
      <c r="WRE1090"/>
      <c r="WRF1090"/>
      <c r="WRI1090"/>
      <c r="WRJ1090"/>
      <c r="WRM1090"/>
      <c r="WRN1090"/>
      <c r="WRQ1090"/>
      <c r="WRR1090"/>
      <c r="WRU1090"/>
      <c r="WRV1090"/>
      <c r="WRY1090"/>
      <c r="WRZ1090"/>
      <c r="WSC1090"/>
      <c r="WSD1090"/>
      <c r="WSG1090"/>
      <c r="WSH1090"/>
      <c r="WSK1090"/>
      <c r="WSL1090"/>
      <c r="WSO1090"/>
      <c r="WSP1090"/>
      <c r="WSS1090"/>
      <c r="WST1090"/>
      <c r="WSW1090"/>
      <c r="WSX1090"/>
      <c r="WTA1090"/>
      <c r="WTB1090"/>
      <c r="WTE1090"/>
      <c r="WTF1090"/>
      <c r="WTI1090"/>
      <c r="WTJ1090"/>
      <c r="WTM1090"/>
      <c r="WTN1090"/>
      <c r="WTQ1090"/>
      <c r="WTR1090"/>
      <c r="WTU1090"/>
      <c r="WTV1090"/>
      <c r="WTY1090"/>
      <c r="WTZ1090"/>
      <c r="WUC1090"/>
      <c r="WUD1090"/>
      <c r="WUG1090"/>
      <c r="WUH1090"/>
      <c r="WUK1090"/>
      <c r="WUL1090"/>
      <c r="WUO1090"/>
      <c r="WUP1090"/>
      <c r="WUS1090"/>
      <c r="WUT1090"/>
      <c r="WUW1090"/>
      <c r="WUX1090"/>
      <c r="WVA1090"/>
      <c r="WVB1090"/>
      <c r="WVE1090"/>
      <c r="WVF1090"/>
      <c r="WVI1090"/>
      <c r="WVJ1090"/>
      <c r="WVM1090"/>
      <c r="WVN1090"/>
      <c r="WVQ1090"/>
      <c r="WVR1090"/>
      <c r="WVU1090"/>
      <c r="WVV1090"/>
      <c r="WVY1090"/>
      <c r="WVZ1090"/>
      <c r="WWC1090"/>
      <c r="WWD1090"/>
      <c r="WWG1090"/>
      <c r="WWH1090"/>
      <c r="WWK1090"/>
      <c r="WWL1090"/>
      <c r="WWO1090"/>
      <c r="WWP1090"/>
      <c r="WWS1090"/>
      <c r="WWT1090"/>
      <c r="WWW1090"/>
      <c r="WWX1090"/>
      <c r="WXA1090"/>
      <c r="WXB1090"/>
      <c r="WXE1090"/>
      <c r="WXF1090"/>
      <c r="WXI1090"/>
      <c r="WXJ1090"/>
      <c r="WXM1090"/>
      <c r="WXN1090"/>
      <c r="WXQ1090"/>
      <c r="WXR1090"/>
      <c r="WXU1090"/>
      <c r="WXV1090"/>
      <c r="WXY1090"/>
      <c r="WXZ1090"/>
      <c r="WYC1090"/>
      <c r="WYD1090"/>
      <c r="WYG1090"/>
      <c r="WYH1090"/>
      <c r="WYK1090"/>
      <c r="WYL1090"/>
      <c r="WYO1090"/>
      <c r="WYP1090"/>
      <c r="WYS1090"/>
      <c r="WYT1090"/>
      <c r="WYW1090"/>
      <c r="WYX1090"/>
      <c r="WZA1090"/>
      <c r="WZB1090"/>
      <c r="WZE1090"/>
      <c r="WZF1090"/>
      <c r="WZI1090"/>
      <c r="WZJ1090"/>
      <c r="WZM1090"/>
      <c r="WZN1090"/>
      <c r="WZQ1090"/>
      <c r="WZR1090"/>
      <c r="WZU1090"/>
      <c r="WZV1090"/>
      <c r="WZY1090"/>
      <c r="WZZ1090"/>
      <c r="XAC1090"/>
      <c r="XAD1090"/>
      <c r="XAG1090"/>
      <c r="XAH1090"/>
      <c r="XAK1090"/>
      <c r="XAL1090"/>
      <c r="XAO1090"/>
      <c r="XAP1090"/>
      <c r="XAS1090"/>
      <c r="XAT1090"/>
      <c r="XAW1090"/>
      <c r="XAX1090"/>
      <c r="XBA1090"/>
      <c r="XBB1090"/>
      <c r="XBE1090"/>
      <c r="XBF1090"/>
      <c r="XBI1090"/>
      <c r="XBJ1090"/>
      <c r="XBM1090"/>
      <c r="XBN1090"/>
      <c r="XBQ1090"/>
      <c r="XBR1090"/>
      <c r="XBU1090"/>
      <c r="XBV1090"/>
      <c r="XBY1090"/>
      <c r="XBZ1090"/>
      <c r="XCC1090"/>
      <c r="XCD1090"/>
      <c r="XCG1090"/>
      <c r="XCH1090"/>
      <c r="XCK1090"/>
      <c r="XCL1090"/>
      <c r="XCO1090"/>
      <c r="XCP1090"/>
      <c r="XCS1090"/>
      <c r="XCT1090"/>
      <c r="XCW1090"/>
      <c r="XCX1090"/>
      <c r="XDA1090"/>
      <c r="XDB1090"/>
      <c r="XDE1090"/>
      <c r="XDF1090"/>
      <c r="XDI1090"/>
      <c r="XDJ1090"/>
      <c r="XDM1090"/>
      <c r="XDN1090"/>
      <c r="XDQ1090"/>
      <c r="XDR1090"/>
      <c r="XDU1090"/>
      <c r="XDV1090"/>
      <c r="XDY1090"/>
      <c r="XDZ1090"/>
      <c r="XEC1090"/>
      <c r="XED1090"/>
      <c r="XEG1090"/>
      <c r="XEH1090"/>
      <c r="XEK1090"/>
      <c r="XEL1090"/>
      <c r="XEO1090"/>
      <c r="XEP1090"/>
      <c r="XES1090"/>
      <c r="XET1090"/>
      <c r="XEW1090"/>
      <c r="XEX1090"/>
      <c r="XFA1090"/>
      <c r="XFB1090"/>
    </row>
    <row r="1091" spans="1:1022 1025:2046 2049:3070 3073:4094 4097:5118 5121:6142 6145:7166 7169:8190 8193:9214 9217:10238 10241:11262 11265:12286 12289:13310 13313:14334 14337:15358 15361:16382" s="15" customFormat="1" outlineLevel="1" x14ac:dyDescent="0.3">
      <c s="45" r="A1091" t="s">
        <v>1811</v>
      </c>
      <c s="45" r="B1091" t="s">
        <v>266</v>
      </c>
      <c r="C1091" s="46" t="s">
        <v>10</v>
      </c>
      <c r="D1091" s="46" t="s">
        <v>1812</v>
      </c>
      <c s="45" r="E1091" t="s">
        <v>8493</v>
      </c>
      <c s="45" r="F1091"/>
      <c r="G1091" s="45"/>
      <c r="H1091" s="45"/>
      <c s="45" r="I1091"/>
      <c s="45" r="J1091" t="inlineStr">
        <is>
          <t>Break Out Area / Tech.Services &amp; Collections Office (open plan)</t>
        </is>
      </c>
      <c s="45" r="K1091" t="inlineStr">
        <is>
          <t>QNL/BF.jpg</t>
        </is>
      </c>
      <c r="L1091" t="inlineStr">
        <is>
          <t>DIFF - the screen puts this unit somewhere column D does not</t>
        </is>
      </c>
      <c r="M1091" t="inlineStr">
        <is>
          <t>open plan - east end, inside the purple zone</t>
        </is>
      </c>
      <c r="N1091"/>
      <c r="Q1091"/>
      <c r="R1091"/>
      <c r="U1091"/>
      <c r="V1091"/>
      <c r="Y1091"/>
      <c r="Z1091"/>
      <c r="AC1091"/>
      <c r="AD1091"/>
      <c r="AG1091"/>
      <c r="AH1091"/>
      <c r="AK1091"/>
      <c r="AL1091"/>
      <c r="AO1091"/>
      <c r="AP1091"/>
      <c r="AS1091"/>
      <c r="AT1091"/>
      <c r="AW1091"/>
      <c r="AX1091"/>
      <c r="BA1091"/>
      <c r="BB1091"/>
      <c r="BE1091"/>
      <c r="BF1091"/>
      <c r="BI1091"/>
      <c r="BJ1091"/>
      <c r="BM1091"/>
      <c r="BN1091"/>
      <c r="BQ1091"/>
      <c r="BR1091"/>
      <c r="BU1091"/>
      <c r="BV1091"/>
      <c r="BY1091"/>
      <c r="BZ1091"/>
      <c r="CC1091"/>
      <c s="45" r="CD1091"/>
      <c r="CG1091"/>
      <c r="CH1091"/>
      <c r="CK1091"/>
      <c r="CL1091"/>
      <c r="CO1091"/>
      <c r="CP1091"/>
      <c r="CS1091"/>
      <c r="CT1091"/>
      <c r="CW1091"/>
      <c r="CX1091"/>
      <c r="DA1091"/>
      <c r="DB1091"/>
      <c s="45" r="DE1091"/>
      <c r="DF1091"/>
      <c r="DI1091"/>
      <c r="DJ1091"/>
      <c r="DM1091"/>
      <c r="DN1091"/>
      <c r="DQ1091"/>
      <c r="DR1091"/>
      <c r="DU1091"/>
      <c r="DV1091"/>
      <c r="DY1091"/>
      <c r="DZ1091"/>
      <c r="EC1091"/>
      <c r="ED1091"/>
      <c r="EG1091"/>
      <c r="EH1091"/>
      <c r="EK1091"/>
      <c r="EL1091"/>
      <c r="EO1091"/>
      <c r="EP1091"/>
      <c r="ES1091"/>
      <c r="ET1091"/>
      <c r="EW1091"/>
      <c r="EX1091"/>
      <c r="FA1091"/>
      <c r="FB1091"/>
      <c r="FE1091"/>
      <c r="FF1091"/>
      <c r="FI1091"/>
      <c r="FJ1091"/>
      <c r="FM1091"/>
      <c r="FN1091"/>
      <c r="FQ1091"/>
      <c r="FR1091"/>
      <c r="FU1091"/>
      <c r="FV1091"/>
      <c r="FY1091"/>
      <c r="FZ1091"/>
      <c r="GC1091"/>
      <c r="GD1091"/>
      <c r="GG1091"/>
      <c s="45" r="GH1091"/>
      <c r="GK1091"/>
      <c r="GL1091"/>
      <c r="GO1091"/>
      <c r="GP1091"/>
      <c r="GS1091"/>
      <c r="GT1091"/>
      <c r="GW1091"/>
      <c r="GX1091"/>
      <c r="HA1091"/>
      <c r="HB1091"/>
      <c r="HE1091"/>
      <c r="HF1091"/>
      <c s="45" r="HI1091"/>
      <c r="HJ1091"/>
      <c r="HM1091"/>
      <c r="HN1091"/>
      <c r="HQ1091"/>
      <c r="HR1091"/>
      <c r="HU1091"/>
      <c r="HV1091"/>
      <c r="HY1091"/>
      <c r="HZ1091"/>
      <c r="IC1091"/>
      <c r="ID1091"/>
      <c r="IG1091"/>
      <c r="IH1091"/>
      <c r="IK1091"/>
      <c r="IL1091"/>
      <c r="IO1091"/>
      <c r="IP1091"/>
      <c r="IS1091"/>
      <c r="IT1091"/>
      <c r="IW1091"/>
      <c r="IX1091"/>
      <c r="JA1091"/>
      <c r="JB1091"/>
      <c r="JE1091"/>
      <c r="JF1091"/>
      <c r="JI1091"/>
      <c r="JJ1091"/>
      <c r="JM1091"/>
      <c r="JN1091"/>
      <c r="JQ1091"/>
      <c r="JR1091"/>
      <c r="JU1091"/>
      <c r="JV1091"/>
      <c r="JY1091"/>
      <c r="JZ1091"/>
      <c r="KC1091"/>
      <c r="KD1091"/>
      <c r="KG1091"/>
      <c r="KH1091"/>
      <c r="KK1091"/>
      <c r="KL1091"/>
      <c r="KO1091"/>
      <c r="KP1091"/>
      <c r="KS1091"/>
      <c r="KT1091"/>
      <c r="KW1091"/>
      <c r="KX1091"/>
      <c r="LA1091"/>
      <c r="LB1091"/>
      <c r="LE1091"/>
      <c r="LF1091"/>
      <c r="LI1091"/>
      <c r="LJ1091"/>
      <c r="LM1091"/>
      <c r="LN1091"/>
      <c r="LQ1091"/>
      <c r="LR1091"/>
      <c r="LU1091"/>
      <c r="LV1091"/>
      <c r="LY1091"/>
      <c r="LZ1091"/>
      <c r="MC1091"/>
      <c r="MD1091"/>
      <c r="MG1091"/>
      <c r="MH1091"/>
      <c r="MK1091"/>
      <c r="ML1091"/>
      <c r="MO1091"/>
      <c r="MP1091"/>
      <c r="MS1091"/>
      <c r="MT1091"/>
      <c r="MW1091"/>
      <c r="MX1091"/>
      <c r="NA1091"/>
      <c r="NB1091"/>
      <c r="NE1091"/>
      <c r="NF1091"/>
      <c r="NI1091"/>
      <c r="NJ1091"/>
      <c r="NM1091"/>
      <c r="NN1091"/>
      <c r="NQ1091"/>
      <c r="NR1091"/>
      <c r="NU1091"/>
      <c r="NV1091"/>
      <c r="NY1091"/>
      <c r="NZ1091"/>
      <c r="OC1091"/>
      <c r="OD1091"/>
      <c r="OG1091"/>
      <c r="OH1091"/>
      <c r="OK1091"/>
      <c r="OL1091"/>
      <c r="OO1091"/>
      <c r="OP1091"/>
      <c r="OS1091"/>
      <c r="OT1091"/>
      <c r="OW1091"/>
      <c r="OX1091"/>
      <c r="PA1091"/>
      <c r="PB1091"/>
      <c r="PE1091"/>
      <c r="PF1091"/>
      <c r="PI1091"/>
      <c r="PJ1091"/>
      <c r="PM1091"/>
      <c r="PN1091"/>
      <c r="PQ1091"/>
      <c r="PR1091"/>
      <c r="PU1091"/>
      <c r="PV1091"/>
      <c r="PY1091"/>
      <c r="PZ1091"/>
      <c r="QC1091"/>
      <c r="QD1091"/>
      <c r="QG1091"/>
      <c r="QH1091"/>
      <c r="QK1091"/>
      <c r="QL1091"/>
      <c r="QO1091"/>
      <c r="QP1091"/>
      <c r="QS1091"/>
      <c r="QT1091"/>
      <c r="QW1091"/>
      <c r="QX1091"/>
      <c r="RA1091"/>
      <c r="RB1091"/>
      <c r="RE1091"/>
      <c r="RF1091"/>
      <c r="RI1091"/>
      <c r="RJ1091"/>
      <c r="RM1091"/>
      <c r="RN1091"/>
      <c r="RQ1091"/>
      <c r="RR1091"/>
      <c r="RU1091"/>
      <c r="RV1091"/>
      <c r="RY1091"/>
      <c r="RZ1091"/>
      <c r="SC1091"/>
      <c r="SD1091"/>
      <c r="SG1091"/>
      <c r="SH1091"/>
      <c r="SK1091"/>
      <c r="SL1091"/>
      <c r="SO1091"/>
      <c r="SP1091"/>
      <c r="SS1091"/>
      <c r="ST1091"/>
      <c r="SW1091"/>
      <c r="SX1091"/>
      <c r="TA1091"/>
      <c r="TB1091"/>
      <c r="TE1091"/>
      <c r="TF1091"/>
      <c r="TI1091"/>
      <c r="TJ1091"/>
      <c r="TM1091"/>
      <c r="TN1091"/>
      <c r="TQ1091"/>
      <c r="TR1091"/>
      <c r="TU1091"/>
      <c r="TV1091"/>
      <c r="TY1091"/>
      <c r="TZ1091"/>
      <c r="UC1091"/>
      <c r="UD1091"/>
      <c r="UG1091"/>
      <c r="UH1091"/>
      <c r="UK1091"/>
      <c r="UL1091"/>
      <c r="UO1091"/>
      <c r="UP1091"/>
      <c r="US1091"/>
      <c r="UT1091"/>
      <c r="UW1091"/>
      <c r="UX1091"/>
      <c r="VA1091"/>
      <c r="VB1091"/>
      <c r="VE1091"/>
      <c r="VF1091"/>
      <c r="VI1091"/>
      <c r="VJ1091"/>
      <c r="VM1091"/>
      <c r="VN1091"/>
      <c r="VQ1091"/>
      <c r="VR1091"/>
      <c r="VU1091"/>
      <c r="VV1091"/>
      <c r="VY1091"/>
      <c r="VZ1091"/>
      <c r="WC1091"/>
      <c r="WD1091"/>
      <c r="WG1091"/>
      <c r="WH1091"/>
      <c r="WK1091"/>
      <c r="WL1091"/>
      <c r="WO1091"/>
      <c r="WP1091"/>
      <c r="WS1091"/>
      <c r="WT1091"/>
      <c r="WW1091"/>
      <c r="WX1091"/>
      <c r="XA1091"/>
      <c r="XB1091"/>
      <c r="XE1091"/>
      <c r="XF1091"/>
      <c r="XI1091"/>
      <c r="XJ1091"/>
      <c r="XM1091"/>
      <c r="XN1091"/>
      <c r="XQ1091"/>
      <c r="XR1091"/>
      <c r="XU1091"/>
      <c r="XV1091"/>
      <c r="XY1091"/>
      <c r="XZ1091"/>
      <c r="YC1091"/>
      <c r="YD1091"/>
      <c r="YG1091"/>
      <c r="YH1091"/>
      <c r="YK1091"/>
      <c r="YL1091"/>
      <c r="YO1091"/>
      <c r="YP1091"/>
      <c r="YS1091"/>
      <c r="YT1091"/>
      <c r="YW1091"/>
      <c r="YX1091"/>
      <c r="ZA1091"/>
      <c r="ZB1091"/>
      <c r="ZE1091"/>
      <c r="ZF1091"/>
      <c r="ZI1091"/>
      <c r="ZJ1091"/>
      <c r="ZM1091"/>
      <c r="ZN1091"/>
      <c r="ZQ1091"/>
      <c r="ZR1091"/>
      <c r="ZU1091"/>
      <c r="ZV1091"/>
      <c r="ZY1091"/>
      <c r="ZZ1091"/>
      <c r="AAC1091"/>
      <c r="AAD1091"/>
      <c r="AAG1091"/>
      <c r="AAH1091"/>
      <c r="AAK1091"/>
      <c r="AAL1091"/>
      <c r="AAO1091"/>
      <c r="AAP1091"/>
      <c r="AAS1091"/>
      <c r="AAT1091"/>
      <c r="AAW1091"/>
      <c r="AAX1091"/>
      <c r="ABA1091"/>
      <c r="ABB1091"/>
      <c r="ABE1091"/>
      <c r="ABF1091"/>
      <c r="ABI1091"/>
      <c r="ABJ1091"/>
      <c r="ABM1091"/>
      <c r="ABN1091"/>
      <c r="ABQ1091"/>
      <c r="ABR1091"/>
      <c r="ABU1091"/>
      <c r="ABV1091"/>
      <c r="ABY1091"/>
      <c r="ABZ1091"/>
      <c r="ACC1091"/>
      <c r="ACD1091"/>
      <c r="ACG1091"/>
      <c r="ACH1091"/>
      <c r="ACK1091"/>
      <c r="ACL1091"/>
      <c r="ACO1091"/>
      <c r="ACP1091"/>
      <c r="ACS1091"/>
      <c r="ACT1091"/>
      <c r="ACW1091"/>
      <c r="ACX1091"/>
      <c r="ADA1091"/>
      <c r="ADB1091"/>
      <c r="ADE1091"/>
      <c r="ADF1091"/>
      <c r="ADI1091"/>
      <c r="ADJ1091"/>
      <c r="ADM1091"/>
      <c r="ADN1091"/>
      <c r="ADQ1091"/>
      <c r="ADR1091"/>
      <c r="ADU1091"/>
      <c r="ADV1091"/>
      <c r="ADY1091"/>
      <c r="ADZ1091"/>
      <c r="AEC1091"/>
      <c r="AED1091"/>
      <c r="AEG1091"/>
      <c r="AEH1091"/>
      <c r="AEK1091"/>
      <c r="AEL1091"/>
      <c r="AEO1091"/>
      <c r="AEP1091"/>
      <c r="AES1091"/>
      <c r="AET1091"/>
      <c r="AEW1091"/>
      <c r="AEX1091"/>
      <c r="AFA1091"/>
      <c r="AFB1091"/>
      <c r="AFE1091"/>
      <c r="AFF1091"/>
      <c r="AFI1091"/>
      <c r="AFJ1091"/>
      <c r="AFM1091"/>
      <c r="AFN1091"/>
      <c r="AFQ1091"/>
      <c r="AFR1091"/>
      <c r="AFU1091"/>
      <c r="AFV1091"/>
      <c r="AFY1091"/>
      <c r="AFZ1091"/>
      <c r="AGC1091"/>
      <c r="AGD1091"/>
      <c r="AGG1091"/>
      <c r="AGH1091"/>
      <c r="AGK1091"/>
      <c r="AGL1091"/>
      <c r="AGO1091"/>
      <c r="AGP1091"/>
      <c r="AGS1091"/>
      <c r="AGT1091"/>
      <c r="AGW1091"/>
      <c r="AGX1091"/>
      <c r="AHA1091"/>
      <c r="AHB1091"/>
      <c r="AHE1091"/>
      <c r="AHF1091"/>
      <c r="AHI1091"/>
      <c r="AHJ1091"/>
      <c r="AHM1091"/>
      <c r="AHN1091"/>
      <c r="AHQ1091"/>
      <c r="AHR1091"/>
      <c r="AHU1091"/>
      <c r="AHV1091"/>
      <c r="AHY1091"/>
      <c r="AHZ1091"/>
      <c r="AIC1091"/>
      <c r="AID1091"/>
      <c r="AIG1091"/>
      <c r="AIH1091"/>
      <c r="AIK1091"/>
      <c r="AIL1091"/>
      <c r="AIO1091"/>
      <c r="AIP1091"/>
      <c r="AIS1091"/>
      <c r="AIT1091"/>
      <c r="AIW1091"/>
      <c r="AIX1091"/>
      <c r="AJA1091"/>
      <c r="AJB1091"/>
      <c r="AJE1091"/>
      <c r="AJF1091"/>
      <c r="AJI1091"/>
      <c r="AJJ1091"/>
      <c r="AJM1091"/>
      <c r="AJN1091"/>
      <c r="AJQ1091"/>
      <c r="AJR1091"/>
      <c r="AJU1091"/>
      <c r="AJV1091"/>
      <c r="AJY1091"/>
      <c r="AJZ1091"/>
      <c r="AKC1091"/>
      <c r="AKD1091"/>
      <c r="AKG1091"/>
      <c r="AKH1091"/>
      <c r="AKK1091"/>
      <c r="AKL1091"/>
      <c r="AKO1091"/>
      <c r="AKP1091"/>
      <c r="AKS1091"/>
      <c r="AKT1091"/>
      <c r="AKW1091"/>
      <c r="AKX1091"/>
      <c r="ALA1091"/>
      <c r="ALB1091"/>
      <c r="ALE1091"/>
      <c r="ALF1091"/>
      <c r="ALI1091"/>
      <c r="ALJ1091"/>
      <c r="ALM1091"/>
      <c r="ALN1091"/>
      <c r="ALQ1091"/>
      <c r="ALR1091"/>
      <c r="ALU1091"/>
      <c r="ALV1091"/>
      <c r="ALY1091"/>
      <c r="ALZ1091"/>
      <c r="AMC1091"/>
      <c r="AMD1091"/>
      <c r="AMG1091"/>
      <c r="AMH1091"/>
      <c r="AMK1091"/>
      <c r="AML1091"/>
      <c r="AMO1091"/>
      <c r="AMP1091"/>
      <c r="AMS1091"/>
      <c r="AMT1091"/>
      <c r="AMW1091"/>
      <c r="AMX1091"/>
      <c r="ANA1091"/>
      <c r="ANB1091"/>
      <c r="ANE1091"/>
      <c r="ANF1091"/>
      <c r="ANI1091"/>
      <c r="ANJ1091"/>
      <c r="ANM1091"/>
      <c r="ANN1091"/>
      <c r="ANQ1091"/>
      <c r="ANR1091"/>
      <c r="ANU1091"/>
      <c r="ANV1091"/>
      <c r="ANY1091"/>
      <c r="ANZ1091"/>
      <c r="AOC1091"/>
      <c r="AOD1091"/>
      <c r="AOG1091"/>
      <c r="AOH1091"/>
      <c r="AOK1091"/>
      <c r="AOL1091"/>
      <c r="AOO1091"/>
      <c r="AOP1091"/>
      <c r="AOS1091"/>
      <c r="AOT1091"/>
      <c r="AOW1091"/>
      <c r="AOX1091"/>
      <c r="APA1091"/>
      <c r="APB1091"/>
      <c r="APE1091"/>
      <c r="APF1091"/>
      <c r="API1091"/>
      <c r="APJ1091"/>
      <c r="APM1091"/>
      <c r="APN1091"/>
      <c r="APQ1091"/>
      <c r="APR1091"/>
      <c r="APU1091"/>
      <c r="APV1091"/>
      <c r="APY1091"/>
      <c r="APZ1091"/>
      <c r="AQC1091"/>
      <c r="AQD1091"/>
      <c r="AQG1091"/>
      <c r="AQH1091"/>
      <c r="AQK1091"/>
      <c r="AQL1091"/>
      <c r="AQO1091"/>
      <c r="AQP1091"/>
      <c r="AQS1091"/>
      <c r="AQT1091"/>
      <c r="AQW1091"/>
      <c r="AQX1091"/>
      <c r="ARA1091"/>
      <c r="ARB1091"/>
      <c r="ARE1091"/>
      <c r="ARF1091"/>
      <c r="ARI1091"/>
      <c r="ARJ1091"/>
      <c r="ARM1091"/>
      <c r="ARN1091"/>
      <c r="ARQ1091"/>
      <c r="ARR1091"/>
      <c r="ARU1091"/>
      <c r="ARV1091"/>
      <c r="ARY1091"/>
      <c r="ARZ1091"/>
      <c r="ASC1091"/>
      <c r="ASD1091"/>
      <c r="ASG1091"/>
      <c r="ASH1091"/>
      <c r="ASK1091"/>
      <c r="ASL1091"/>
      <c r="ASO1091"/>
      <c r="ASP1091"/>
      <c r="ASS1091"/>
      <c r="AST1091"/>
      <c r="ASW1091"/>
      <c r="ASX1091"/>
      <c r="ATA1091"/>
      <c r="ATB1091"/>
      <c r="ATE1091"/>
      <c r="ATF1091"/>
      <c r="ATI1091"/>
      <c r="ATJ1091"/>
      <c r="ATM1091"/>
      <c r="ATN1091"/>
      <c r="ATQ1091"/>
      <c r="ATR1091"/>
      <c r="ATU1091"/>
      <c r="ATV1091"/>
      <c r="ATY1091"/>
      <c r="ATZ1091"/>
      <c r="AUC1091"/>
      <c r="AUD1091"/>
      <c r="AUG1091"/>
      <c r="AUH1091"/>
      <c r="AUK1091"/>
      <c r="AUL1091"/>
      <c r="AUO1091"/>
      <c r="AUP1091"/>
      <c r="AUS1091"/>
      <c r="AUT1091"/>
      <c r="AUW1091"/>
      <c r="AUX1091"/>
      <c r="AVA1091"/>
      <c r="AVB1091"/>
      <c r="AVE1091"/>
      <c r="AVF1091"/>
      <c r="AVI1091"/>
      <c r="AVJ1091"/>
      <c r="AVM1091"/>
      <c r="AVN1091"/>
      <c r="AVQ1091"/>
      <c r="AVR1091"/>
      <c r="AVU1091"/>
      <c r="AVV1091"/>
      <c r="AVY1091"/>
      <c r="AVZ1091"/>
      <c r="AWC1091"/>
      <c r="AWD1091"/>
      <c r="AWG1091"/>
      <c r="AWH1091"/>
      <c r="AWK1091"/>
      <c r="AWL1091"/>
      <c r="AWO1091"/>
      <c r="AWP1091"/>
      <c r="AWS1091"/>
      <c r="AWT1091"/>
      <c r="AWW1091"/>
      <c r="AWX1091"/>
      <c r="AXA1091"/>
      <c r="AXB1091"/>
      <c r="AXE1091"/>
      <c r="AXF1091"/>
      <c r="AXI1091"/>
      <c r="AXJ1091"/>
      <c r="AXM1091"/>
      <c r="AXN1091"/>
      <c r="AXQ1091"/>
      <c r="AXR1091"/>
      <c r="AXU1091"/>
      <c r="AXV1091"/>
      <c r="AXY1091"/>
      <c r="AXZ1091"/>
      <c r="AYC1091"/>
      <c r="AYD1091"/>
      <c r="AYG1091"/>
      <c r="AYH1091"/>
      <c r="AYK1091"/>
      <c r="AYL1091"/>
      <c r="AYO1091"/>
      <c r="AYP1091"/>
      <c r="AYS1091"/>
      <c r="AYT1091"/>
      <c r="AYW1091"/>
      <c r="AYX1091"/>
      <c r="AZA1091"/>
      <c r="AZB1091"/>
      <c r="AZE1091"/>
      <c r="AZF1091"/>
      <c r="AZI1091"/>
      <c r="AZJ1091"/>
      <c r="AZM1091"/>
      <c r="AZN1091"/>
      <c r="AZQ1091"/>
      <c r="AZR1091"/>
      <c r="AZU1091"/>
      <c r="AZV1091"/>
      <c r="AZY1091"/>
      <c r="AZZ1091"/>
      <c r="BAC1091"/>
      <c r="BAD1091"/>
      <c r="BAG1091"/>
      <c r="BAH1091"/>
      <c r="BAK1091"/>
      <c r="BAL1091"/>
      <c r="BAO1091"/>
      <c r="BAP1091"/>
      <c r="BAS1091"/>
      <c r="BAT1091"/>
      <c r="BAW1091"/>
      <c r="BAX1091"/>
      <c r="BBA1091"/>
      <c r="BBB1091"/>
      <c r="BBE1091"/>
      <c r="BBF1091"/>
      <c r="BBI1091"/>
      <c r="BBJ1091"/>
      <c r="BBM1091"/>
      <c r="BBN1091"/>
      <c r="BBQ1091"/>
      <c r="BBR1091"/>
      <c r="BBU1091"/>
      <c r="BBV1091"/>
      <c r="BBY1091"/>
      <c r="BBZ1091"/>
      <c r="BCC1091"/>
      <c s="45" r="BCD1091"/>
      <c r="BCG1091"/>
      <c r="BCH1091"/>
      <c r="BCK1091"/>
      <c r="BCL1091"/>
      <c r="BCO1091"/>
      <c r="BCP1091"/>
      <c r="BCS1091"/>
      <c r="BCT1091"/>
      <c r="BCW1091"/>
      <c r="BCX1091"/>
      <c r="BDA1091"/>
      <c r="BDB1091"/>
      <c r="BDE1091"/>
      <c r="BDF1091"/>
      <c r="BDI1091"/>
      <c r="BDJ1091"/>
      <c r="BDM1091"/>
      <c r="BDN1091"/>
      <c r="BDQ1091"/>
      <c r="BDR1091"/>
      <c r="BDU1091"/>
      <c r="BDV1091"/>
      <c r="BDY1091"/>
      <c r="BDZ1091"/>
      <c r="BEC1091"/>
      <c r="BED1091"/>
      <c r="BEG1091"/>
      <c r="BEH1091"/>
      <c r="BEK1091"/>
      <c r="BEL1091"/>
      <c r="BEO1091"/>
      <c r="BEP1091"/>
      <c r="BES1091"/>
      <c r="BET1091"/>
      <c r="BEW1091"/>
      <c r="BEX1091"/>
      <c r="BFA1091"/>
      <c r="BFB1091"/>
      <c r="BFE1091"/>
      <c r="BFF1091"/>
      <c r="BFI1091"/>
      <c r="BFJ1091"/>
      <c r="BFM1091"/>
      <c r="BFN1091"/>
      <c r="BFQ1091"/>
      <c r="BFR1091"/>
      <c r="BFU1091"/>
      <c r="BFV1091"/>
      <c r="BFY1091"/>
      <c r="BFZ1091"/>
      <c r="BGC1091"/>
      <c r="BGD1091"/>
      <c r="BGG1091"/>
      <c r="BGH1091"/>
      <c r="BGK1091"/>
      <c r="BGL1091"/>
      <c r="BGO1091"/>
      <c r="BGP1091"/>
      <c r="BGS1091"/>
      <c r="BGT1091"/>
      <c r="BGW1091"/>
      <c r="BGX1091"/>
      <c r="BHA1091"/>
      <c r="BHB1091"/>
      <c r="BHE1091"/>
      <c r="BHF1091"/>
      <c r="BHI1091"/>
      <c r="BHJ1091"/>
      <c r="BHM1091"/>
      <c r="BHN1091"/>
      <c r="BHQ1091"/>
      <c r="BHR1091"/>
      <c r="BHU1091"/>
      <c r="BHV1091"/>
      <c r="BHY1091"/>
      <c r="BHZ1091"/>
      <c r="BIC1091"/>
      <c r="BID1091"/>
      <c r="BIG1091"/>
      <c r="BIH1091"/>
      <c r="BIK1091"/>
      <c r="BIL1091"/>
      <c r="BIO1091"/>
      <c r="BIP1091"/>
      <c r="BIS1091"/>
      <c r="BIT1091"/>
      <c r="BIW1091"/>
      <c r="BIX1091"/>
      <c r="BJA1091"/>
      <c r="BJB1091"/>
      <c r="BJE1091"/>
      <c r="BJF1091"/>
      <c r="BJI1091"/>
      <c r="BJJ1091"/>
      <c r="BJM1091"/>
      <c r="BJN1091"/>
      <c r="BJQ1091"/>
      <c r="BJR1091"/>
      <c r="BJU1091"/>
      <c r="BJV1091"/>
      <c r="BJY1091"/>
      <c r="BJZ1091"/>
      <c r="BKC1091"/>
      <c r="BKD1091"/>
      <c r="BKG1091"/>
      <c r="BKH1091"/>
      <c r="BKK1091"/>
      <c r="BKL1091"/>
      <c r="BKO1091"/>
      <c r="BKP1091"/>
      <c r="BKS1091"/>
      <c r="BKT1091"/>
      <c r="BKW1091"/>
      <c r="BKX1091"/>
      <c r="BLA1091"/>
      <c r="BLB1091"/>
      <c r="BLE1091"/>
      <c r="BLF1091"/>
      <c r="BLI1091"/>
      <c r="BLJ1091"/>
      <c r="BLM1091"/>
      <c r="BLN1091"/>
      <c r="BLQ1091"/>
      <c r="BLR1091"/>
      <c r="BLU1091"/>
      <c r="BLV1091"/>
      <c r="BLY1091"/>
      <c r="BLZ1091"/>
      <c r="BMC1091"/>
      <c r="BMD1091"/>
      <c r="BMG1091"/>
      <c r="BMH1091"/>
      <c r="BMK1091"/>
      <c r="BML1091"/>
      <c r="BMO1091"/>
      <c r="BMP1091"/>
      <c r="BMS1091"/>
      <c r="BMT1091"/>
      <c r="BMW1091"/>
      <c r="BMX1091"/>
      <c r="BNA1091"/>
      <c r="BNB1091"/>
      <c r="BNE1091"/>
      <c r="BNF1091"/>
      <c r="BNI1091"/>
      <c r="BNJ1091"/>
      <c r="BNM1091"/>
      <c r="BNN1091"/>
      <c r="BNQ1091"/>
      <c r="BNR1091"/>
      <c r="BNU1091"/>
      <c r="BNV1091"/>
      <c r="BNY1091"/>
      <c r="BNZ1091"/>
      <c r="BOC1091"/>
      <c r="BOD1091"/>
      <c r="BOG1091"/>
      <c r="BOH1091"/>
      <c r="BOK1091"/>
      <c r="BOL1091"/>
      <c r="BOO1091"/>
      <c r="BOP1091"/>
      <c r="BOS1091"/>
      <c r="BOT1091"/>
      <c r="BOW1091"/>
      <c r="BOX1091"/>
      <c r="BPA1091"/>
      <c r="BPB1091"/>
      <c r="BPE1091"/>
      <c r="BPF1091"/>
      <c r="BPI1091"/>
      <c r="BPJ1091"/>
      <c r="BPM1091"/>
      <c r="BPN1091"/>
      <c r="BPQ1091"/>
      <c r="BPR1091"/>
      <c r="BPU1091"/>
      <c r="BPV1091"/>
      <c r="BPY1091"/>
      <c r="BPZ1091"/>
      <c r="BQC1091"/>
      <c r="BQD1091"/>
      <c r="BQG1091"/>
      <c r="BQH1091"/>
      <c r="BQK1091"/>
      <c r="BQL1091"/>
      <c r="BQO1091"/>
      <c r="BQP1091"/>
      <c r="BQS1091"/>
      <c r="BQT1091"/>
      <c r="BQW1091"/>
      <c r="BQX1091"/>
      <c r="BRA1091"/>
      <c r="BRB1091"/>
      <c r="BRE1091"/>
      <c r="BRF1091"/>
      <c r="BRI1091"/>
      <c r="BRJ1091"/>
      <c r="BRM1091"/>
      <c r="BRN1091"/>
      <c r="BRQ1091"/>
      <c r="BRR1091"/>
      <c r="BRU1091"/>
      <c r="BRV1091"/>
      <c r="BRY1091"/>
      <c r="BRZ1091"/>
      <c r="BSC1091"/>
      <c r="BSD1091"/>
      <c r="BSG1091"/>
      <c r="BSH1091"/>
      <c r="BSK1091"/>
      <c r="BSL1091"/>
      <c r="BSO1091"/>
      <c r="BSP1091"/>
      <c r="BSS1091"/>
      <c r="BST1091"/>
      <c r="BSW1091"/>
      <c r="BSX1091"/>
      <c r="BTA1091"/>
      <c r="BTB1091"/>
      <c r="BTE1091"/>
      <c r="BTF1091"/>
      <c r="BTI1091"/>
      <c r="BTJ1091"/>
      <c r="BTM1091"/>
      <c r="BTN1091"/>
      <c r="BTQ1091"/>
      <c r="BTR1091"/>
      <c r="BTU1091"/>
      <c r="BTV1091"/>
      <c r="BTY1091"/>
      <c r="BTZ1091"/>
      <c r="BUC1091"/>
      <c r="BUD1091"/>
      <c r="BUG1091"/>
      <c r="BUH1091"/>
      <c r="BUK1091"/>
      <c r="BUL1091"/>
      <c r="BUO1091"/>
      <c r="BUP1091"/>
      <c r="BUS1091"/>
      <c r="BUT1091"/>
      <c r="BUW1091"/>
      <c r="BUX1091"/>
      <c r="BVA1091"/>
      <c r="BVB1091"/>
      <c r="BVE1091"/>
      <c r="BVF1091"/>
      <c r="BVI1091"/>
      <c r="BVJ1091"/>
      <c r="BVM1091"/>
      <c r="BVN1091"/>
      <c r="BVQ1091"/>
      <c r="BVR1091"/>
      <c r="BVU1091"/>
      <c r="BVV1091"/>
      <c r="BVY1091"/>
      <c r="BVZ1091"/>
      <c r="BWC1091"/>
      <c r="BWD1091"/>
      <c r="BWG1091"/>
      <c r="BWH1091"/>
      <c r="BWK1091"/>
      <c r="BWL1091"/>
      <c r="BWO1091"/>
      <c r="BWP1091"/>
      <c r="BWS1091"/>
      <c r="BWT1091"/>
      <c r="BWW1091"/>
      <c r="BWX1091"/>
      <c r="BXA1091"/>
      <c r="BXB1091"/>
      <c r="BXE1091"/>
      <c r="BXF1091"/>
      <c r="BXI1091"/>
      <c r="BXJ1091"/>
      <c r="BXM1091"/>
      <c r="BXN1091"/>
      <c r="BXQ1091"/>
      <c r="BXR1091"/>
      <c r="BXU1091"/>
      <c r="BXV1091"/>
      <c r="BXY1091"/>
      <c r="BXZ1091"/>
      <c r="BYC1091"/>
      <c r="BYD1091"/>
      <c r="BYG1091"/>
      <c r="BYH1091"/>
      <c r="BYK1091"/>
      <c r="BYL1091"/>
      <c r="BYO1091"/>
      <c r="BYP1091"/>
      <c r="BYS1091"/>
      <c r="BYT1091"/>
      <c r="BYW1091"/>
      <c r="BYX1091"/>
      <c r="BZA1091"/>
      <c r="BZB1091"/>
      <c r="BZE1091"/>
      <c r="BZF1091"/>
      <c r="BZI1091"/>
      <c r="BZJ1091"/>
      <c r="BZM1091"/>
      <c r="BZN1091"/>
      <c r="BZQ1091"/>
      <c r="BZR1091"/>
      <c r="BZU1091"/>
      <c r="BZV1091"/>
      <c r="BZY1091"/>
      <c r="BZZ1091"/>
      <c r="CAC1091"/>
      <c r="CAD1091"/>
      <c r="CAG1091"/>
      <c r="CAH1091"/>
      <c r="CAK1091"/>
      <c r="CAL1091"/>
      <c r="CAO1091"/>
      <c r="CAP1091"/>
      <c r="CAS1091"/>
      <c r="CAT1091"/>
      <c r="CAW1091"/>
      <c r="CAX1091"/>
      <c r="CBA1091"/>
      <c r="CBB1091"/>
      <c r="CBE1091"/>
      <c r="CBF1091"/>
      <c r="CBI1091"/>
      <c r="CBJ1091"/>
      <c r="CBM1091"/>
      <c r="CBN1091"/>
      <c r="CBQ1091"/>
      <c r="CBR1091"/>
      <c r="CBU1091"/>
      <c r="CBV1091"/>
      <c r="CBY1091"/>
      <c r="CBZ1091"/>
      <c r="CCC1091"/>
      <c r="CCD1091"/>
      <c r="CCG1091"/>
      <c r="CCH1091"/>
      <c r="CCK1091"/>
      <c r="CCL1091"/>
      <c r="CCO1091"/>
      <c r="CCP1091"/>
      <c r="CCS1091"/>
      <c r="CCT1091"/>
      <c r="CCW1091"/>
      <c r="CCX1091"/>
      <c r="CDA1091"/>
      <c r="CDB1091"/>
      <c s="45" r="CDE1091"/>
      <c r="CDF1091"/>
      <c r="CDI1091"/>
      <c r="CDJ1091"/>
      <c r="CDM1091"/>
      <c r="CDN1091"/>
      <c r="CDQ1091"/>
      <c r="CDR1091"/>
      <c r="CDU1091"/>
      <c r="CDV1091"/>
      <c r="CDY1091"/>
      <c r="CDZ1091"/>
      <c r="CEC1091"/>
      <c r="CED1091"/>
      <c r="CEG1091"/>
      <c r="CEH1091"/>
      <c r="CEK1091"/>
      <c r="CEL1091"/>
      <c r="CEO1091"/>
      <c r="CEP1091"/>
      <c r="CES1091"/>
      <c r="CET1091"/>
      <c r="CEW1091"/>
      <c r="CEX1091"/>
      <c r="CFA1091"/>
      <c r="CFB1091"/>
      <c r="CFE1091"/>
      <c r="CFF1091"/>
      <c r="CFI1091"/>
      <c r="CFJ1091"/>
      <c r="CFM1091"/>
      <c r="CFN1091"/>
      <c r="CFQ1091"/>
      <c r="CFR1091"/>
      <c r="CFU1091"/>
      <c r="CFV1091"/>
      <c r="CFY1091"/>
      <c r="CFZ1091"/>
      <c r="CGC1091"/>
      <c r="CGD1091"/>
      <c r="CGG1091"/>
      <c r="CGH1091"/>
      <c r="CGK1091"/>
      <c r="CGL1091"/>
      <c r="CGO1091"/>
      <c r="CGP1091"/>
      <c r="CGS1091"/>
      <c r="CGT1091"/>
      <c r="CGW1091"/>
      <c r="CGX1091"/>
      <c r="CHA1091"/>
      <c r="CHB1091"/>
      <c r="CHE1091"/>
      <c r="CHF1091"/>
      <c r="CHI1091"/>
      <c r="CHJ1091"/>
      <c r="CHM1091"/>
      <c r="CHN1091"/>
      <c r="CHQ1091"/>
      <c r="CHR1091"/>
      <c r="CHU1091"/>
      <c r="CHV1091"/>
      <c r="CHY1091"/>
      <c r="CHZ1091"/>
      <c r="CIC1091"/>
      <c r="CID1091"/>
      <c r="CIG1091"/>
      <c r="CIH1091"/>
      <c r="CIK1091"/>
      <c r="CIL1091"/>
      <c r="CIO1091"/>
      <c r="CIP1091"/>
      <c r="CIS1091"/>
      <c r="CIT1091"/>
      <c r="CIW1091"/>
      <c r="CIX1091"/>
      <c r="CJA1091"/>
      <c r="CJB1091"/>
      <c r="CJE1091"/>
      <c r="CJF1091"/>
      <c r="CJI1091"/>
      <c r="CJJ1091"/>
      <c r="CJM1091"/>
      <c r="CJN1091"/>
      <c r="CJQ1091"/>
      <c r="CJR1091"/>
      <c r="CJU1091"/>
      <c r="CJV1091"/>
      <c r="CJY1091"/>
      <c r="CJZ1091"/>
      <c r="CKC1091"/>
      <c r="CKD1091"/>
      <c r="CKG1091"/>
      <c r="CKH1091"/>
      <c r="CKK1091"/>
      <c r="CKL1091"/>
      <c r="CKO1091"/>
      <c r="CKP1091"/>
      <c r="CKS1091"/>
      <c r="CKT1091"/>
      <c r="CKW1091"/>
      <c r="CKX1091"/>
      <c r="CLA1091"/>
      <c r="CLB1091"/>
      <c r="CLE1091"/>
      <c r="CLF1091"/>
      <c r="CLI1091"/>
      <c r="CLJ1091"/>
      <c r="CLM1091"/>
      <c r="CLN1091"/>
      <c r="CLQ1091"/>
      <c r="CLR1091"/>
      <c r="CLU1091"/>
      <c r="CLV1091"/>
      <c r="CLY1091"/>
      <c r="CLZ1091"/>
      <c r="CMC1091"/>
      <c r="CMD1091"/>
      <c r="CMG1091"/>
      <c r="CMH1091"/>
      <c r="CMK1091"/>
      <c r="CML1091"/>
      <c r="CMO1091"/>
      <c r="CMP1091"/>
      <c r="CMS1091"/>
      <c r="CMT1091"/>
      <c r="CMW1091"/>
      <c r="CMX1091"/>
      <c r="CNA1091"/>
      <c r="CNB1091"/>
      <c r="CNE1091"/>
      <c r="CNF1091"/>
      <c r="CNI1091"/>
      <c r="CNJ1091"/>
      <c r="CNM1091"/>
      <c r="CNN1091"/>
      <c r="CNQ1091"/>
      <c r="CNR1091"/>
      <c r="CNU1091"/>
      <c r="CNV1091"/>
      <c r="CNY1091"/>
      <c r="CNZ1091"/>
      <c r="COC1091"/>
      <c r="COD1091"/>
      <c r="COG1091"/>
      <c r="COH1091"/>
      <c r="COK1091"/>
      <c r="COL1091"/>
      <c r="COO1091"/>
      <c r="COP1091"/>
      <c r="COS1091"/>
      <c r="COT1091"/>
      <c r="COW1091"/>
      <c r="COX1091"/>
      <c r="CPA1091"/>
      <c r="CPB1091"/>
      <c r="CPE1091"/>
      <c r="CPF1091"/>
      <c r="CPI1091"/>
      <c r="CPJ1091"/>
      <c r="CPM1091"/>
      <c r="CPN1091"/>
      <c r="CPQ1091"/>
      <c r="CPR1091"/>
      <c r="CPU1091"/>
      <c r="CPV1091"/>
      <c r="CPY1091"/>
      <c r="CPZ1091"/>
      <c r="CQC1091"/>
      <c r="CQD1091"/>
      <c r="CQG1091"/>
      <c r="CQH1091"/>
      <c r="CQK1091"/>
      <c r="CQL1091"/>
      <c r="CQO1091"/>
      <c r="CQP1091"/>
      <c r="CQS1091"/>
      <c r="CQT1091"/>
      <c r="CQW1091"/>
      <c r="CQX1091"/>
      <c r="CRA1091"/>
      <c r="CRB1091"/>
      <c r="CRE1091"/>
      <c r="CRF1091"/>
      <c r="CRI1091"/>
      <c r="CRJ1091"/>
      <c r="CRM1091"/>
      <c r="CRN1091"/>
      <c r="CRQ1091"/>
      <c r="CRR1091"/>
      <c r="CRU1091"/>
      <c r="CRV1091"/>
      <c r="CRY1091"/>
      <c r="CRZ1091"/>
      <c r="CSC1091"/>
      <c r="CSD1091"/>
      <c r="CSG1091"/>
      <c r="CSH1091"/>
      <c r="CSK1091"/>
      <c r="CSL1091"/>
      <c r="CSO1091"/>
      <c r="CSP1091"/>
      <c r="CSS1091"/>
      <c r="CST1091"/>
      <c r="CSW1091"/>
      <c r="CSX1091"/>
      <c r="CTA1091"/>
      <c r="CTB1091"/>
      <c r="CTE1091"/>
      <c r="CTF1091"/>
      <c r="CTI1091"/>
      <c r="CTJ1091"/>
      <c r="CTM1091"/>
      <c r="CTN1091"/>
      <c r="CTQ1091"/>
      <c r="CTR1091"/>
      <c r="CTU1091"/>
      <c r="CTV1091"/>
      <c r="CTY1091"/>
      <c r="CTZ1091"/>
      <c r="CUC1091"/>
      <c r="CUD1091"/>
      <c r="CUG1091"/>
      <c r="CUH1091"/>
      <c r="CUK1091"/>
      <c r="CUL1091"/>
      <c r="CUO1091"/>
      <c r="CUP1091"/>
      <c r="CUS1091"/>
      <c r="CUT1091"/>
      <c r="CUW1091"/>
      <c r="CUX1091"/>
      <c r="CVA1091"/>
      <c r="CVB1091"/>
      <c r="CVE1091"/>
      <c r="CVF1091"/>
      <c r="CVI1091"/>
      <c r="CVJ1091"/>
      <c r="CVM1091"/>
      <c r="CVN1091"/>
      <c r="CVQ1091"/>
      <c r="CVR1091"/>
      <c r="CVU1091"/>
      <c r="CVV1091"/>
      <c r="CVY1091"/>
      <c r="CVZ1091"/>
      <c r="CWC1091"/>
      <c r="CWD1091"/>
      <c r="CWG1091"/>
      <c r="CWH1091"/>
      <c r="CWK1091"/>
      <c r="CWL1091"/>
      <c r="CWO1091"/>
      <c r="CWP1091"/>
      <c r="CWS1091"/>
      <c r="CWT1091"/>
      <c r="CWW1091"/>
      <c r="CWX1091"/>
      <c r="CXA1091"/>
      <c r="CXB1091"/>
      <c r="CXE1091"/>
      <c r="CXF1091"/>
      <c r="CXI1091"/>
      <c r="CXJ1091"/>
      <c r="CXM1091"/>
      <c r="CXN1091"/>
      <c r="CXQ1091"/>
      <c r="CXR1091"/>
      <c r="CXU1091"/>
      <c r="CXV1091"/>
      <c r="CXY1091"/>
      <c r="CXZ1091"/>
      <c r="CYC1091"/>
      <c r="CYD1091"/>
      <c r="CYG1091"/>
      <c r="CYH1091"/>
      <c r="CYK1091"/>
      <c r="CYL1091"/>
      <c r="CYO1091"/>
      <c r="CYP1091"/>
      <c r="CYS1091"/>
      <c r="CYT1091"/>
      <c r="CYW1091"/>
      <c r="CYX1091"/>
      <c r="CZA1091"/>
      <c r="CZB1091"/>
      <c r="CZE1091"/>
      <c r="CZF1091"/>
      <c r="CZI1091"/>
      <c r="CZJ1091"/>
      <c r="CZM1091"/>
      <c r="CZN1091"/>
      <c r="CZQ1091"/>
      <c r="CZR1091"/>
      <c r="CZU1091"/>
      <c r="CZV1091"/>
      <c r="CZY1091"/>
      <c r="CZZ1091"/>
      <c r="DAC1091"/>
      <c r="DAD1091"/>
      <c r="DAG1091"/>
      <c r="DAH1091"/>
      <c r="DAK1091"/>
      <c r="DAL1091"/>
      <c r="DAO1091"/>
      <c r="DAP1091"/>
      <c r="DAS1091"/>
      <c r="DAT1091"/>
      <c r="DAW1091"/>
      <c r="DAX1091"/>
      <c r="DBA1091"/>
      <c r="DBB1091"/>
      <c r="DBE1091"/>
      <c r="DBF1091"/>
      <c r="DBI1091"/>
      <c r="DBJ1091"/>
      <c r="DBM1091"/>
      <c r="DBN1091"/>
      <c r="DBQ1091"/>
      <c r="DBR1091"/>
      <c r="DBU1091"/>
      <c r="DBV1091"/>
      <c r="DBY1091"/>
      <c r="DBZ1091"/>
      <c r="DCC1091"/>
      <c r="DCD1091"/>
      <c r="DCG1091"/>
      <c r="DCH1091"/>
      <c r="DCK1091"/>
      <c r="DCL1091"/>
      <c r="DCO1091"/>
      <c r="DCP1091"/>
      <c r="DCS1091"/>
      <c r="DCT1091"/>
      <c r="DCW1091"/>
      <c r="DCX1091"/>
      <c r="DDA1091"/>
      <c r="DDB1091"/>
      <c r="DDE1091"/>
      <c r="DDF1091"/>
      <c r="DDI1091"/>
      <c r="DDJ1091"/>
      <c r="DDM1091"/>
      <c r="DDN1091"/>
      <c r="DDQ1091"/>
      <c r="DDR1091"/>
      <c r="DDU1091"/>
      <c r="DDV1091"/>
      <c r="DDY1091"/>
      <c r="DDZ1091"/>
      <c r="DEC1091"/>
      <c r="DED1091"/>
      <c r="DEG1091"/>
      <c r="DEH1091"/>
      <c r="DEK1091"/>
      <c r="DEL1091"/>
      <c r="DEO1091"/>
      <c r="DEP1091"/>
      <c r="DES1091"/>
      <c r="DET1091"/>
      <c r="DEW1091"/>
      <c r="DEX1091"/>
      <c r="DFA1091"/>
      <c r="DFB1091"/>
      <c r="DFE1091"/>
      <c r="DFF1091"/>
      <c r="DFI1091"/>
      <c r="DFJ1091"/>
      <c r="DFM1091"/>
      <c r="DFN1091"/>
      <c r="DFQ1091"/>
      <c r="DFR1091"/>
      <c r="DFU1091"/>
      <c r="DFV1091"/>
      <c r="DFY1091"/>
      <c r="DFZ1091"/>
      <c r="DGC1091"/>
      <c r="DGD1091"/>
      <c r="DGG1091"/>
      <c r="DGH1091"/>
      <c r="DGK1091"/>
      <c r="DGL1091"/>
      <c r="DGO1091"/>
      <c r="DGP1091"/>
      <c r="DGS1091"/>
      <c r="DGT1091"/>
      <c r="DGW1091"/>
      <c r="DGX1091"/>
      <c r="DHA1091"/>
      <c r="DHB1091"/>
      <c r="DHE1091"/>
      <c r="DHF1091"/>
      <c r="DHI1091"/>
      <c r="DHJ1091"/>
      <c r="DHM1091"/>
      <c r="DHN1091"/>
      <c r="DHQ1091"/>
      <c r="DHR1091"/>
      <c r="DHU1091"/>
      <c r="DHV1091"/>
      <c r="DHY1091"/>
      <c r="DHZ1091"/>
      <c r="DIC1091"/>
      <c r="DID1091"/>
      <c r="DIG1091"/>
      <c r="DIH1091"/>
      <c r="DIK1091"/>
      <c r="DIL1091"/>
      <c r="DIO1091"/>
      <c r="DIP1091"/>
      <c r="DIS1091"/>
      <c r="DIT1091"/>
      <c r="DIW1091"/>
      <c r="DIX1091"/>
      <c r="DJA1091"/>
      <c r="DJB1091"/>
      <c r="DJE1091"/>
      <c r="DJF1091"/>
      <c r="DJI1091"/>
      <c r="DJJ1091"/>
      <c r="DJM1091"/>
      <c r="DJN1091"/>
      <c r="DJQ1091"/>
      <c r="DJR1091"/>
      <c r="DJU1091"/>
      <c r="DJV1091"/>
      <c r="DJY1091"/>
      <c r="DJZ1091"/>
      <c r="DKC1091"/>
      <c r="DKD1091"/>
      <c r="DKG1091"/>
      <c r="DKH1091"/>
      <c r="DKK1091"/>
      <c r="DKL1091"/>
      <c r="DKO1091"/>
      <c r="DKP1091"/>
      <c r="DKS1091"/>
      <c r="DKT1091"/>
      <c r="DKW1091"/>
      <c r="DKX1091"/>
      <c r="DLA1091"/>
      <c r="DLB1091"/>
      <c r="DLE1091"/>
      <c r="DLF1091"/>
      <c r="DLI1091"/>
      <c r="DLJ1091"/>
      <c r="DLM1091"/>
      <c r="DLN1091"/>
      <c r="DLQ1091"/>
      <c r="DLR1091"/>
      <c r="DLU1091"/>
      <c r="DLV1091"/>
      <c r="DLY1091"/>
      <c r="DLZ1091"/>
      <c r="DMC1091"/>
      <c r="DMD1091"/>
      <c r="DMG1091"/>
      <c r="DMH1091"/>
      <c r="DMK1091"/>
      <c r="DML1091"/>
      <c r="DMO1091"/>
      <c r="DMP1091"/>
      <c r="DMS1091"/>
      <c r="DMT1091"/>
      <c r="DMW1091"/>
      <c r="DMX1091"/>
      <c r="DNA1091"/>
      <c r="DNB1091"/>
      <c r="DNE1091"/>
      <c r="DNF1091"/>
      <c r="DNI1091"/>
      <c r="DNJ1091"/>
      <c r="DNM1091"/>
      <c r="DNN1091"/>
      <c r="DNQ1091"/>
      <c r="DNR1091"/>
      <c r="DNU1091"/>
      <c r="DNV1091"/>
      <c r="DNY1091"/>
      <c r="DNZ1091"/>
      <c r="DOC1091"/>
      <c r="DOD1091"/>
      <c r="DOG1091"/>
      <c r="DOH1091"/>
      <c r="DOK1091"/>
      <c r="DOL1091"/>
      <c r="DOO1091"/>
      <c r="DOP1091"/>
      <c r="DOS1091"/>
      <c r="DOT1091"/>
      <c r="DOW1091"/>
      <c r="DOX1091"/>
      <c r="DPA1091"/>
      <c r="DPB1091"/>
      <c r="DPE1091"/>
      <c r="DPF1091"/>
      <c r="DPI1091"/>
      <c r="DPJ1091"/>
      <c r="DPM1091"/>
      <c r="DPN1091"/>
      <c r="DPQ1091"/>
      <c r="DPR1091"/>
      <c r="DPU1091"/>
      <c r="DPV1091"/>
      <c r="DPY1091"/>
      <c r="DPZ1091"/>
      <c r="DQC1091"/>
      <c r="DQD1091"/>
      <c r="DQG1091"/>
      <c r="DQH1091"/>
      <c r="DQK1091"/>
      <c r="DQL1091"/>
      <c r="DQO1091"/>
      <c r="DQP1091"/>
      <c r="DQS1091"/>
      <c r="DQT1091"/>
      <c r="DQW1091"/>
      <c r="DQX1091"/>
      <c r="DRA1091"/>
      <c r="DRB1091"/>
      <c r="DRE1091"/>
      <c r="DRF1091"/>
      <c r="DRI1091"/>
      <c r="DRJ1091"/>
      <c r="DRM1091"/>
      <c r="DRN1091"/>
      <c r="DRQ1091"/>
      <c r="DRR1091"/>
      <c r="DRU1091"/>
      <c r="DRV1091"/>
      <c r="DRY1091"/>
      <c r="DRZ1091"/>
      <c r="DSC1091"/>
      <c r="DSD1091"/>
      <c r="DSG1091"/>
      <c r="DSH1091"/>
      <c r="DSK1091"/>
      <c r="DSL1091"/>
      <c r="DSO1091"/>
      <c r="DSP1091"/>
      <c r="DSS1091"/>
      <c r="DST1091"/>
      <c r="DSW1091"/>
      <c r="DSX1091"/>
      <c r="DTA1091"/>
      <c r="DTB1091"/>
      <c r="DTE1091"/>
      <c r="DTF1091"/>
      <c r="DTI1091"/>
      <c r="DTJ1091"/>
      <c r="DTM1091"/>
      <c r="DTN1091"/>
      <c r="DTQ1091"/>
      <c r="DTR1091"/>
      <c r="DTU1091"/>
      <c r="DTV1091"/>
      <c r="DTY1091"/>
      <c r="DTZ1091"/>
      <c r="DUC1091"/>
      <c r="DUD1091"/>
      <c r="DUG1091"/>
      <c r="DUH1091"/>
      <c r="DUK1091"/>
      <c r="DUL1091"/>
      <c r="DUO1091"/>
      <c r="DUP1091"/>
      <c r="DUS1091"/>
      <c r="DUT1091"/>
      <c r="DUW1091"/>
      <c r="DUX1091"/>
      <c r="DVA1091"/>
      <c r="DVB1091"/>
      <c r="DVE1091"/>
      <c r="DVF1091"/>
      <c r="DVI1091"/>
      <c r="DVJ1091"/>
      <c r="DVM1091"/>
      <c r="DVN1091"/>
      <c r="DVQ1091"/>
      <c r="DVR1091"/>
      <c r="DVU1091"/>
      <c r="DVV1091"/>
      <c r="DVY1091"/>
      <c r="DVZ1091"/>
      <c r="DWC1091"/>
      <c r="DWD1091"/>
      <c r="DWG1091"/>
      <c r="DWH1091"/>
      <c r="DWK1091"/>
      <c r="DWL1091"/>
      <c r="DWO1091"/>
      <c r="DWP1091"/>
      <c r="DWS1091"/>
      <c r="DWT1091"/>
      <c r="DWW1091"/>
      <c r="DWX1091"/>
      <c r="DXA1091"/>
      <c r="DXB1091"/>
      <c r="DXE1091"/>
      <c r="DXF1091"/>
      <c r="DXI1091"/>
      <c r="DXJ1091"/>
      <c r="DXM1091"/>
      <c r="DXN1091"/>
      <c r="DXQ1091"/>
      <c r="DXR1091"/>
      <c r="DXU1091"/>
      <c r="DXV1091"/>
      <c r="DXY1091"/>
      <c r="DXZ1091"/>
      <c r="DYC1091"/>
      <c r="DYD1091"/>
      <c r="DYG1091"/>
      <c r="DYH1091"/>
      <c r="DYK1091"/>
      <c r="DYL1091"/>
      <c r="DYO1091"/>
      <c r="DYP1091"/>
      <c r="DYS1091"/>
      <c r="DYT1091"/>
      <c r="DYW1091"/>
      <c r="DYX1091"/>
      <c r="DZA1091"/>
      <c r="DZB1091"/>
      <c r="DZE1091"/>
      <c r="DZF1091"/>
      <c r="DZI1091"/>
      <c r="DZJ1091"/>
      <c r="DZM1091"/>
      <c r="DZN1091"/>
      <c r="DZQ1091"/>
      <c r="DZR1091"/>
      <c r="DZU1091"/>
      <c r="DZV1091"/>
      <c r="DZY1091"/>
      <c r="DZZ1091"/>
      <c r="EAC1091"/>
      <c r="EAD1091"/>
      <c r="EAG1091"/>
      <c r="EAH1091"/>
      <c r="EAK1091"/>
      <c r="EAL1091"/>
      <c r="EAO1091"/>
      <c r="EAP1091"/>
      <c r="EAS1091"/>
      <c r="EAT1091"/>
      <c r="EAW1091"/>
      <c r="EAX1091"/>
      <c r="EBA1091"/>
      <c r="EBB1091"/>
      <c r="EBE1091"/>
      <c r="EBF1091"/>
      <c r="EBI1091"/>
      <c r="EBJ1091"/>
      <c r="EBM1091"/>
      <c r="EBN1091"/>
      <c r="EBQ1091"/>
      <c r="EBR1091"/>
      <c r="EBU1091"/>
      <c r="EBV1091"/>
      <c r="EBY1091"/>
      <c r="EBZ1091"/>
      <c r="ECC1091"/>
      <c r="ECD1091"/>
      <c r="ECG1091"/>
      <c r="ECH1091"/>
      <c r="ECK1091"/>
      <c r="ECL1091"/>
      <c r="ECO1091"/>
      <c r="ECP1091"/>
      <c r="ECS1091"/>
      <c r="ECT1091"/>
      <c r="ECW1091"/>
      <c r="ECX1091"/>
      <c r="EDA1091"/>
      <c r="EDB1091"/>
      <c r="EDE1091"/>
      <c r="EDF1091"/>
      <c r="EDI1091"/>
      <c r="EDJ1091"/>
      <c r="EDM1091"/>
      <c r="EDN1091"/>
      <c r="EDQ1091"/>
      <c r="EDR1091"/>
      <c r="EDU1091"/>
      <c r="EDV1091"/>
      <c r="EDY1091"/>
      <c r="EDZ1091"/>
      <c r="EEC1091"/>
      <c r="EED1091"/>
      <c r="EEG1091"/>
      <c r="EEH1091"/>
      <c r="EEK1091"/>
      <c r="EEL1091"/>
      <c r="EEO1091"/>
      <c r="EEP1091"/>
      <c r="EES1091"/>
      <c r="EET1091"/>
      <c r="EEW1091"/>
      <c r="EEX1091"/>
      <c r="EFA1091"/>
      <c r="EFB1091"/>
      <c r="EFE1091"/>
      <c r="EFF1091"/>
      <c r="EFI1091"/>
      <c r="EFJ1091"/>
      <c r="EFM1091"/>
      <c r="EFN1091"/>
      <c r="EFQ1091"/>
      <c r="EFR1091"/>
      <c r="EFU1091"/>
      <c r="EFV1091"/>
      <c r="EFY1091"/>
      <c r="EFZ1091"/>
      <c r="EGC1091"/>
      <c r="EGD1091"/>
      <c r="EGG1091"/>
      <c r="EGH1091"/>
      <c r="EGK1091"/>
      <c r="EGL1091"/>
      <c r="EGO1091"/>
      <c r="EGP1091"/>
      <c r="EGS1091"/>
      <c r="EGT1091"/>
      <c r="EGW1091"/>
      <c r="EGX1091"/>
      <c r="EHA1091"/>
      <c r="EHB1091"/>
      <c r="EHE1091"/>
      <c r="EHF1091"/>
      <c r="EHI1091"/>
      <c r="EHJ1091"/>
      <c r="EHM1091"/>
      <c r="EHN1091"/>
      <c r="EHQ1091"/>
      <c r="EHR1091"/>
      <c r="EHU1091"/>
      <c r="EHV1091"/>
      <c r="EHY1091"/>
      <c r="EHZ1091"/>
      <c r="EIC1091"/>
      <c r="EID1091"/>
      <c r="EIG1091"/>
      <c r="EIH1091"/>
      <c r="EIK1091"/>
      <c r="EIL1091"/>
      <c r="EIO1091"/>
      <c r="EIP1091"/>
      <c r="EIS1091"/>
      <c r="EIT1091"/>
      <c r="EIW1091"/>
      <c r="EIX1091"/>
      <c r="EJA1091"/>
      <c r="EJB1091"/>
      <c r="EJE1091"/>
      <c r="EJF1091"/>
      <c r="EJI1091"/>
      <c r="EJJ1091"/>
      <c r="EJM1091"/>
      <c r="EJN1091"/>
      <c r="EJQ1091"/>
      <c r="EJR1091"/>
      <c r="EJU1091"/>
      <c r="EJV1091"/>
      <c r="EJY1091"/>
      <c r="EJZ1091"/>
      <c r="EKC1091"/>
      <c r="EKD1091"/>
      <c r="EKG1091"/>
      <c r="EKH1091"/>
      <c r="EKK1091"/>
      <c r="EKL1091"/>
      <c r="EKO1091"/>
      <c r="EKP1091"/>
      <c r="EKS1091"/>
      <c r="EKT1091"/>
      <c r="EKW1091"/>
      <c r="EKX1091"/>
      <c r="ELA1091"/>
      <c r="ELB1091"/>
      <c r="ELE1091"/>
      <c r="ELF1091"/>
      <c r="ELI1091"/>
      <c r="ELJ1091"/>
      <c r="ELM1091"/>
      <c r="ELN1091"/>
      <c r="ELQ1091"/>
      <c r="ELR1091"/>
      <c r="ELU1091"/>
      <c r="ELV1091"/>
      <c r="ELY1091"/>
      <c r="ELZ1091"/>
      <c r="EMC1091"/>
      <c r="EMD1091"/>
      <c r="EMG1091"/>
      <c r="EMH1091"/>
      <c r="EMK1091"/>
      <c r="EML1091"/>
      <c r="EMO1091"/>
      <c r="EMP1091"/>
      <c r="EMS1091"/>
      <c r="EMT1091"/>
      <c r="EMW1091"/>
      <c r="EMX1091"/>
      <c r="ENA1091"/>
      <c r="ENB1091"/>
      <c r="ENE1091"/>
      <c r="ENF1091"/>
      <c r="ENI1091"/>
      <c r="ENJ1091"/>
      <c r="ENM1091"/>
      <c r="ENN1091"/>
      <c r="ENQ1091"/>
      <c r="ENR1091"/>
      <c r="ENU1091"/>
      <c r="ENV1091"/>
      <c r="ENY1091"/>
      <c r="ENZ1091"/>
      <c r="EOC1091"/>
      <c r="EOD1091"/>
      <c r="EOG1091"/>
      <c r="EOH1091"/>
      <c r="EOK1091"/>
      <c r="EOL1091"/>
      <c r="EOO1091"/>
      <c r="EOP1091"/>
      <c r="EOS1091"/>
      <c r="EOT1091"/>
      <c r="EOW1091"/>
      <c r="EOX1091"/>
      <c r="EPA1091"/>
      <c r="EPB1091"/>
      <c r="EPE1091"/>
      <c r="EPF1091"/>
      <c r="EPI1091"/>
      <c r="EPJ1091"/>
      <c r="EPM1091"/>
      <c r="EPN1091"/>
      <c r="EPQ1091"/>
      <c r="EPR1091"/>
      <c r="EPU1091"/>
      <c r="EPV1091"/>
      <c r="EPY1091"/>
      <c r="EPZ1091"/>
      <c r="EQC1091"/>
      <c r="EQD1091"/>
      <c r="EQG1091"/>
      <c r="EQH1091"/>
      <c r="EQK1091"/>
      <c r="EQL1091"/>
      <c r="EQO1091"/>
      <c r="EQP1091"/>
      <c r="EQS1091"/>
      <c r="EQT1091"/>
      <c r="EQW1091"/>
      <c r="EQX1091"/>
      <c r="ERA1091"/>
      <c r="ERB1091"/>
      <c r="ERE1091"/>
      <c r="ERF1091"/>
      <c r="ERI1091"/>
      <c r="ERJ1091"/>
      <c r="ERM1091"/>
      <c r="ERN1091"/>
      <c r="ERQ1091"/>
      <c r="ERR1091"/>
      <c r="ERU1091"/>
      <c r="ERV1091"/>
      <c r="ERY1091"/>
      <c r="ERZ1091"/>
      <c r="ESC1091"/>
      <c r="ESD1091"/>
      <c r="ESG1091"/>
      <c r="ESH1091"/>
      <c r="ESK1091"/>
      <c r="ESL1091"/>
      <c r="ESO1091"/>
      <c r="ESP1091"/>
      <c r="ESS1091"/>
      <c r="EST1091"/>
      <c r="ESW1091"/>
      <c r="ESX1091"/>
      <c r="ETA1091"/>
      <c r="ETB1091"/>
      <c r="ETE1091"/>
      <c r="ETF1091"/>
      <c r="ETI1091"/>
      <c r="ETJ1091"/>
      <c r="ETM1091"/>
      <c r="ETN1091"/>
      <c r="ETQ1091"/>
      <c r="ETR1091"/>
      <c r="ETU1091"/>
      <c r="ETV1091"/>
      <c r="ETY1091"/>
      <c r="ETZ1091"/>
      <c r="EUC1091"/>
      <c r="EUD1091"/>
      <c r="EUG1091"/>
      <c r="EUH1091"/>
      <c r="EUK1091"/>
      <c r="EUL1091"/>
      <c r="EUO1091"/>
      <c r="EUP1091"/>
      <c r="EUS1091"/>
      <c r="EUT1091"/>
      <c r="EUW1091"/>
      <c r="EUX1091"/>
      <c r="EVA1091"/>
      <c r="EVB1091"/>
      <c r="EVE1091"/>
      <c r="EVF1091"/>
      <c r="EVI1091"/>
      <c r="EVJ1091"/>
      <c r="EVM1091"/>
      <c r="EVN1091"/>
      <c r="EVQ1091"/>
      <c r="EVR1091"/>
      <c r="EVU1091"/>
      <c r="EVV1091"/>
      <c r="EVY1091"/>
      <c r="EVZ1091"/>
      <c r="EWC1091"/>
      <c r="EWD1091"/>
      <c r="EWG1091"/>
      <c r="EWH1091"/>
      <c r="EWK1091"/>
      <c r="EWL1091"/>
      <c r="EWO1091"/>
      <c r="EWP1091"/>
      <c r="EWS1091"/>
      <c r="EWT1091"/>
      <c r="EWW1091"/>
      <c r="EWX1091"/>
      <c r="EXA1091"/>
      <c r="EXB1091"/>
      <c r="EXE1091"/>
      <c r="EXF1091"/>
      <c r="EXI1091"/>
      <c r="EXJ1091"/>
      <c r="EXM1091"/>
      <c r="EXN1091"/>
      <c r="EXQ1091"/>
      <c r="EXR1091"/>
      <c r="EXU1091"/>
      <c r="EXV1091"/>
      <c r="EXY1091"/>
      <c r="EXZ1091"/>
      <c r="EYC1091"/>
      <c r="EYD1091"/>
      <c r="EYG1091"/>
      <c r="EYH1091"/>
      <c r="EYK1091"/>
      <c r="EYL1091"/>
      <c r="EYO1091"/>
      <c r="EYP1091"/>
      <c r="EYS1091"/>
      <c r="EYT1091"/>
      <c r="EYW1091"/>
      <c r="EYX1091"/>
      <c r="EZA1091"/>
      <c r="EZB1091"/>
      <c r="EZE1091"/>
      <c r="EZF1091"/>
      <c r="EZI1091"/>
      <c r="EZJ1091"/>
      <c r="EZM1091"/>
      <c r="EZN1091"/>
      <c r="EZQ1091"/>
      <c r="EZR1091"/>
      <c r="EZU1091"/>
      <c r="EZV1091"/>
      <c r="EZY1091"/>
      <c r="EZZ1091"/>
      <c r="FAC1091"/>
      <c r="FAD1091"/>
      <c r="FAG1091"/>
      <c r="FAH1091"/>
      <c r="FAK1091"/>
      <c r="FAL1091"/>
      <c r="FAO1091"/>
      <c r="FAP1091"/>
      <c r="FAS1091"/>
      <c r="FAT1091"/>
      <c r="FAW1091"/>
      <c r="FAX1091"/>
      <c r="FBA1091"/>
      <c r="FBB1091"/>
      <c r="FBE1091"/>
      <c r="FBF1091"/>
      <c r="FBI1091"/>
      <c r="FBJ1091"/>
      <c r="FBM1091"/>
      <c r="FBN1091"/>
      <c r="FBQ1091"/>
      <c r="FBR1091"/>
      <c r="FBU1091"/>
      <c r="FBV1091"/>
      <c r="FBY1091"/>
      <c r="FBZ1091"/>
      <c r="FCC1091"/>
      <c r="FCD1091"/>
      <c r="FCG1091"/>
      <c r="FCH1091"/>
      <c r="FCK1091"/>
      <c r="FCL1091"/>
      <c r="FCO1091"/>
      <c r="FCP1091"/>
      <c r="FCS1091"/>
      <c r="FCT1091"/>
      <c r="FCW1091"/>
      <c r="FCX1091"/>
      <c r="FDA1091"/>
      <c r="FDB1091"/>
      <c r="FDE1091"/>
      <c r="FDF1091"/>
      <c r="FDI1091"/>
      <c r="FDJ1091"/>
      <c r="FDM1091"/>
      <c r="FDN1091"/>
      <c r="FDQ1091"/>
      <c r="FDR1091"/>
      <c r="FDU1091"/>
      <c r="FDV1091"/>
      <c r="FDY1091"/>
      <c r="FDZ1091"/>
      <c r="FEC1091"/>
      <c r="FED1091"/>
      <c r="FEG1091"/>
      <c r="FEH1091"/>
      <c r="FEK1091"/>
      <c r="FEL1091"/>
      <c r="FEO1091"/>
      <c r="FEP1091"/>
      <c r="FES1091"/>
      <c r="FET1091"/>
      <c r="FEW1091"/>
      <c r="FEX1091"/>
      <c r="FFA1091"/>
      <c r="FFB1091"/>
      <c r="FFE1091"/>
      <c r="FFF1091"/>
      <c r="FFI1091"/>
      <c r="FFJ1091"/>
      <c r="FFM1091"/>
      <c r="FFN1091"/>
      <c r="FFQ1091"/>
      <c r="FFR1091"/>
      <c r="FFU1091"/>
      <c r="FFV1091"/>
      <c r="FFY1091"/>
      <c r="FFZ1091"/>
      <c r="FGC1091"/>
      <c r="FGD1091"/>
      <c r="FGG1091"/>
      <c s="45" r="FGH1091"/>
      <c r="FGK1091"/>
      <c r="FGL1091"/>
      <c r="FGO1091"/>
      <c r="FGP1091"/>
      <c r="FGS1091"/>
      <c r="FGT1091"/>
      <c r="FGW1091"/>
      <c r="FGX1091"/>
      <c r="FHA1091"/>
      <c r="FHB1091"/>
      <c r="FHE1091"/>
      <c r="FHF1091"/>
      <c r="FHI1091"/>
      <c r="FHJ1091"/>
      <c r="FHM1091"/>
      <c r="FHN1091"/>
      <c r="FHQ1091"/>
      <c r="FHR1091"/>
      <c r="FHU1091"/>
      <c r="FHV1091"/>
      <c r="FHY1091"/>
      <c r="FHZ1091"/>
      <c r="FIC1091"/>
      <c r="FID1091"/>
      <c r="FIG1091"/>
      <c r="FIH1091"/>
      <c r="FIK1091"/>
      <c r="FIL1091"/>
      <c r="FIO1091"/>
      <c r="FIP1091"/>
      <c r="FIS1091"/>
      <c r="FIT1091"/>
      <c r="FIW1091"/>
      <c r="FIX1091"/>
      <c r="FJA1091"/>
      <c r="FJB1091"/>
      <c r="FJE1091"/>
      <c r="FJF1091"/>
      <c r="FJI1091"/>
      <c r="FJJ1091"/>
      <c r="FJM1091"/>
      <c r="FJN1091"/>
      <c r="FJQ1091"/>
      <c r="FJR1091"/>
      <c r="FJU1091"/>
      <c r="FJV1091"/>
      <c r="FJY1091"/>
      <c r="FJZ1091"/>
      <c r="FKC1091"/>
      <c r="FKD1091"/>
      <c r="FKG1091"/>
      <c r="FKH1091"/>
      <c r="FKK1091"/>
      <c r="FKL1091"/>
      <c r="FKO1091"/>
      <c r="FKP1091"/>
      <c r="FKS1091"/>
      <c r="FKT1091"/>
      <c r="FKW1091"/>
      <c r="FKX1091"/>
      <c r="FLA1091"/>
      <c r="FLB1091"/>
      <c r="FLE1091"/>
      <c r="FLF1091"/>
      <c r="FLI1091"/>
      <c r="FLJ1091"/>
      <c r="FLM1091"/>
      <c r="FLN1091"/>
      <c r="FLQ1091"/>
      <c r="FLR1091"/>
      <c r="FLU1091"/>
      <c r="FLV1091"/>
      <c r="FLY1091"/>
      <c r="FLZ1091"/>
      <c r="FMC1091"/>
      <c r="FMD1091"/>
      <c r="FMG1091"/>
      <c r="FMH1091"/>
      <c r="FMK1091"/>
      <c r="FML1091"/>
      <c r="FMO1091"/>
      <c r="FMP1091"/>
      <c r="FMS1091"/>
      <c r="FMT1091"/>
      <c r="FMW1091"/>
      <c r="FMX1091"/>
      <c r="FNA1091"/>
      <c r="FNB1091"/>
      <c r="FNE1091"/>
      <c r="FNF1091"/>
      <c r="FNI1091"/>
      <c r="FNJ1091"/>
      <c r="FNM1091"/>
      <c r="FNN1091"/>
      <c r="FNQ1091"/>
      <c r="FNR1091"/>
      <c r="FNU1091"/>
      <c r="FNV1091"/>
      <c r="FNY1091"/>
      <c r="FNZ1091"/>
      <c r="FOC1091"/>
      <c r="FOD1091"/>
      <c r="FOG1091"/>
      <c r="FOH1091"/>
      <c r="FOK1091"/>
      <c r="FOL1091"/>
      <c r="FOO1091"/>
      <c r="FOP1091"/>
      <c r="FOS1091"/>
      <c r="FOT1091"/>
      <c r="FOW1091"/>
      <c r="FOX1091"/>
      <c r="FPA1091"/>
      <c r="FPB1091"/>
      <c r="FPE1091"/>
      <c r="FPF1091"/>
      <c r="FPI1091"/>
      <c r="FPJ1091"/>
      <c r="FPM1091"/>
      <c r="FPN1091"/>
      <c r="FPQ1091"/>
      <c r="FPR1091"/>
      <c r="FPU1091"/>
      <c r="FPV1091"/>
      <c r="FPY1091"/>
      <c r="FPZ1091"/>
      <c r="FQC1091"/>
      <c r="FQD1091"/>
      <c r="FQG1091"/>
      <c r="FQH1091"/>
      <c r="FQK1091"/>
      <c r="FQL1091"/>
      <c r="FQO1091"/>
      <c r="FQP1091"/>
      <c r="FQS1091"/>
      <c r="FQT1091"/>
      <c r="FQW1091"/>
      <c r="FQX1091"/>
      <c r="FRA1091"/>
      <c r="FRB1091"/>
      <c r="FRE1091"/>
      <c r="FRF1091"/>
      <c r="FRI1091"/>
      <c r="FRJ1091"/>
      <c r="FRM1091"/>
      <c r="FRN1091"/>
      <c r="FRQ1091"/>
      <c r="FRR1091"/>
      <c r="FRU1091"/>
      <c r="FRV1091"/>
      <c r="FRY1091"/>
      <c r="FRZ1091"/>
      <c r="FSC1091"/>
      <c r="FSD1091"/>
      <c r="FSG1091"/>
      <c r="FSH1091"/>
      <c r="FSK1091"/>
      <c r="FSL1091"/>
      <c r="FSO1091"/>
      <c r="FSP1091"/>
      <c r="FSS1091"/>
      <c r="FST1091"/>
      <c r="FSW1091"/>
      <c r="FSX1091"/>
      <c r="FTA1091"/>
      <c r="FTB1091"/>
      <c r="FTE1091"/>
      <c r="FTF1091"/>
      <c r="FTI1091"/>
      <c r="FTJ1091"/>
      <c r="FTM1091"/>
      <c r="FTN1091"/>
      <c r="FTQ1091"/>
      <c r="FTR1091"/>
      <c r="FTU1091"/>
      <c r="FTV1091"/>
      <c r="FTY1091"/>
      <c r="FTZ1091"/>
      <c r="FUC1091"/>
      <c r="FUD1091"/>
      <c r="FUG1091"/>
      <c r="FUH1091"/>
      <c r="FUK1091"/>
      <c r="FUL1091"/>
      <c r="FUO1091"/>
      <c r="FUP1091"/>
      <c r="FUS1091"/>
      <c r="FUT1091"/>
      <c r="FUW1091"/>
      <c r="FUX1091"/>
      <c r="FVA1091"/>
      <c r="FVB1091"/>
      <c r="FVE1091"/>
      <c r="FVF1091"/>
      <c r="FVI1091"/>
      <c r="FVJ1091"/>
      <c r="FVM1091"/>
      <c r="FVN1091"/>
      <c r="FVQ1091"/>
      <c r="FVR1091"/>
      <c r="FVU1091"/>
      <c r="FVV1091"/>
      <c r="FVY1091"/>
      <c r="FVZ1091"/>
      <c r="FWC1091"/>
      <c r="FWD1091"/>
      <c r="FWG1091"/>
      <c r="FWH1091"/>
      <c r="FWK1091"/>
      <c r="FWL1091"/>
      <c r="FWO1091"/>
      <c r="FWP1091"/>
      <c r="FWS1091"/>
      <c r="FWT1091"/>
      <c r="FWW1091"/>
      <c r="FWX1091"/>
      <c r="FXA1091"/>
      <c r="FXB1091"/>
      <c r="FXE1091"/>
      <c r="FXF1091"/>
      <c r="FXI1091"/>
      <c r="FXJ1091"/>
      <c r="FXM1091"/>
      <c r="FXN1091"/>
      <c r="FXQ1091"/>
      <c r="FXR1091"/>
      <c r="FXU1091"/>
      <c r="FXV1091"/>
      <c r="FXY1091"/>
      <c r="FXZ1091"/>
      <c r="FYC1091"/>
      <c r="FYD1091"/>
      <c r="FYG1091"/>
      <c r="FYH1091"/>
      <c r="FYK1091"/>
      <c r="FYL1091"/>
      <c r="FYO1091"/>
      <c r="FYP1091"/>
      <c r="FYS1091"/>
      <c r="FYT1091"/>
      <c r="FYW1091"/>
      <c r="FYX1091"/>
      <c r="FZA1091"/>
      <c r="FZB1091"/>
      <c r="FZE1091"/>
      <c r="FZF1091"/>
      <c r="FZI1091"/>
      <c r="FZJ1091"/>
      <c r="FZM1091"/>
      <c r="FZN1091"/>
      <c r="FZQ1091"/>
      <c r="FZR1091"/>
      <c r="FZU1091"/>
      <c r="FZV1091"/>
      <c r="FZY1091"/>
      <c r="FZZ1091"/>
      <c r="GAC1091"/>
      <c r="GAD1091"/>
      <c r="GAG1091"/>
      <c r="GAH1091"/>
      <c r="GAK1091"/>
      <c r="GAL1091"/>
      <c r="GAO1091"/>
      <c r="GAP1091"/>
      <c r="GAS1091"/>
      <c r="GAT1091"/>
      <c r="GAW1091"/>
      <c r="GAX1091"/>
      <c r="GBA1091"/>
      <c r="GBB1091"/>
      <c r="GBE1091"/>
      <c r="GBF1091"/>
      <c r="GBI1091"/>
      <c r="GBJ1091"/>
      <c r="GBM1091"/>
      <c r="GBN1091"/>
      <c r="GBQ1091"/>
      <c r="GBR1091"/>
      <c r="GBU1091"/>
      <c r="GBV1091"/>
      <c r="GBY1091"/>
      <c r="GBZ1091"/>
      <c r="GCC1091"/>
      <c r="GCD1091"/>
      <c r="GCG1091"/>
      <c r="GCH1091"/>
      <c r="GCK1091"/>
      <c r="GCL1091"/>
      <c r="GCO1091"/>
      <c r="GCP1091"/>
      <c r="GCS1091"/>
      <c r="GCT1091"/>
      <c r="GCW1091"/>
      <c r="GCX1091"/>
      <c r="GDA1091"/>
      <c r="GDB1091"/>
      <c r="GDE1091"/>
      <c r="GDF1091"/>
      <c r="GDI1091"/>
      <c r="GDJ1091"/>
      <c r="GDM1091"/>
      <c r="GDN1091"/>
      <c r="GDQ1091"/>
      <c r="GDR1091"/>
      <c r="GDU1091"/>
      <c r="GDV1091"/>
      <c r="GDY1091"/>
      <c r="GDZ1091"/>
      <c r="GEC1091"/>
      <c r="GED1091"/>
      <c r="GEG1091"/>
      <c r="GEH1091"/>
      <c r="GEK1091"/>
      <c r="GEL1091"/>
      <c r="GEO1091"/>
      <c r="GEP1091"/>
      <c r="GES1091"/>
      <c r="GET1091"/>
      <c r="GEW1091"/>
      <c r="GEX1091"/>
      <c r="GFA1091"/>
      <c r="GFB1091"/>
      <c r="GFE1091"/>
      <c r="GFF1091"/>
      <c r="GFI1091"/>
      <c r="GFJ1091"/>
      <c r="GFM1091"/>
      <c r="GFN1091"/>
      <c r="GFQ1091"/>
      <c r="GFR1091"/>
      <c r="GFU1091"/>
      <c r="GFV1091"/>
      <c r="GFY1091"/>
      <c r="GFZ1091"/>
      <c r="GGC1091"/>
      <c r="GGD1091"/>
      <c r="GGG1091"/>
      <c r="GGH1091"/>
      <c r="GGK1091"/>
      <c r="GGL1091"/>
      <c r="GGO1091"/>
      <c r="GGP1091"/>
      <c r="GGS1091"/>
      <c r="GGT1091"/>
      <c r="GGW1091"/>
      <c r="GGX1091"/>
      <c r="GHA1091"/>
      <c r="GHB1091"/>
      <c r="GHE1091"/>
      <c r="GHF1091"/>
      <c s="45" r="GHI1091"/>
      <c r="GHJ1091"/>
      <c r="GHM1091"/>
      <c r="GHN1091"/>
      <c r="GHQ1091"/>
      <c r="GHR1091"/>
      <c r="GHU1091"/>
      <c r="GHV1091"/>
      <c r="GHY1091"/>
      <c r="GHZ1091"/>
      <c r="GIC1091"/>
      <c r="GID1091"/>
      <c r="GIG1091"/>
      <c r="GIH1091"/>
      <c r="GIK1091"/>
      <c r="GIL1091"/>
      <c r="GIO1091"/>
      <c r="GIP1091"/>
      <c r="GIS1091"/>
      <c r="GIT1091"/>
      <c r="GIW1091"/>
      <c r="GIX1091"/>
      <c r="GJA1091"/>
      <c r="GJB1091"/>
      <c r="GJE1091"/>
      <c r="GJF1091"/>
      <c r="GJI1091"/>
      <c r="GJJ1091"/>
      <c r="GJM1091"/>
      <c r="GJN1091"/>
      <c r="GJQ1091"/>
      <c r="GJR1091"/>
      <c r="GJU1091"/>
      <c r="GJV1091"/>
      <c r="GJY1091"/>
      <c r="GJZ1091"/>
      <c r="GKC1091"/>
      <c r="GKD1091"/>
      <c r="GKG1091"/>
      <c r="GKH1091"/>
      <c r="GKK1091"/>
      <c r="GKL1091"/>
      <c r="GKO1091"/>
      <c r="GKP1091"/>
      <c r="GKS1091"/>
      <c r="GKT1091"/>
      <c r="GKW1091"/>
      <c r="GKX1091"/>
      <c r="GLA1091"/>
      <c r="GLB1091"/>
      <c r="GLE1091"/>
      <c r="GLF1091"/>
      <c r="GLI1091"/>
      <c r="GLJ1091"/>
      <c r="GLM1091"/>
      <c r="GLN1091"/>
      <c r="GLQ1091"/>
      <c r="GLR1091"/>
      <c r="GLU1091"/>
      <c r="GLV1091"/>
      <c r="GLY1091"/>
      <c r="GLZ1091"/>
      <c r="GMC1091"/>
      <c r="GMD1091"/>
      <c r="GMG1091"/>
      <c r="GMH1091"/>
      <c r="GMK1091"/>
      <c r="GML1091"/>
      <c r="GMO1091"/>
      <c r="GMP1091"/>
      <c r="GMS1091"/>
      <c r="GMT1091"/>
      <c r="GMW1091"/>
      <c r="GMX1091"/>
      <c r="GNA1091"/>
      <c r="GNB1091"/>
      <c r="GNE1091"/>
      <c r="GNF1091"/>
      <c r="GNI1091"/>
      <c r="GNJ1091"/>
      <c r="GNM1091"/>
      <c r="GNN1091"/>
      <c r="GNQ1091"/>
      <c r="GNR1091"/>
      <c r="GNU1091"/>
      <c r="GNV1091"/>
      <c r="GNY1091"/>
      <c r="GNZ1091"/>
      <c r="GOC1091"/>
      <c r="GOD1091"/>
      <c r="GOG1091"/>
      <c r="GOH1091"/>
      <c r="GOK1091"/>
      <c r="GOL1091"/>
      <c r="GOO1091"/>
      <c r="GOP1091"/>
      <c r="GOS1091"/>
      <c r="GOT1091"/>
      <c r="GOW1091"/>
      <c r="GOX1091"/>
      <c r="GPA1091"/>
      <c r="GPB1091"/>
      <c r="GPE1091"/>
      <c r="GPF1091"/>
      <c r="GPI1091"/>
      <c r="GPJ1091"/>
      <c r="GPM1091"/>
      <c r="GPN1091"/>
      <c r="GPQ1091"/>
      <c r="GPR1091"/>
      <c r="GPU1091"/>
      <c r="GPV1091"/>
      <c r="GPY1091"/>
      <c r="GPZ1091"/>
      <c r="GQC1091"/>
      <c r="GQD1091"/>
      <c r="GQG1091"/>
      <c r="GQH1091"/>
      <c r="GQK1091"/>
      <c r="GQL1091"/>
      <c r="GQO1091"/>
      <c r="GQP1091"/>
      <c r="GQS1091"/>
      <c r="GQT1091"/>
      <c r="GQW1091"/>
      <c r="GQX1091"/>
      <c r="GRA1091"/>
      <c r="GRB1091"/>
      <c r="GRE1091"/>
      <c r="GRF1091"/>
      <c r="GRI1091"/>
      <c r="GRJ1091"/>
      <c r="GRM1091"/>
      <c r="GRN1091"/>
      <c r="GRQ1091"/>
      <c r="GRR1091"/>
      <c r="GRU1091"/>
      <c r="GRV1091"/>
      <c r="GRY1091"/>
      <c r="GRZ1091"/>
      <c r="GSC1091"/>
      <c r="GSD1091"/>
      <c r="GSG1091"/>
      <c r="GSH1091"/>
      <c r="GSK1091"/>
      <c r="GSL1091"/>
      <c r="GSO1091"/>
      <c r="GSP1091"/>
      <c r="GSS1091"/>
      <c r="GST1091"/>
      <c r="GSW1091"/>
      <c r="GSX1091"/>
      <c r="GTA1091"/>
      <c r="GTB1091"/>
      <c r="GTE1091"/>
      <c r="GTF1091"/>
      <c r="GTI1091"/>
      <c r="GTJ1091"/>
      <c r="GTM1091"/>
      <c r="GTN1091"/>
      <c r="GTQ1091"/>
      <c r="GTR1091"/>
      <c r="GTU1091"/>
      <c r="GTV1091"/>
      <c r="GTY1091"/>
      <c r="GTZ1091"/>
      <c r="GUC1091"/>
      <c r="GUD1091"/>
      <c r="GUG1091"/>
      <c r="GUH1091"/>
      <c r="GUK1091"/>
      <c r="GUL1091"/>
      <c r="GUO1091"/>
      <c r="GUP1091"/>
      <c r="GUS1091"/>
      <c r="GUT1091"/>
      <c r="GUW1091"/>
      <c r="GUX1091"/>
      <c r="GVA1091"/>
      <c r="GVB1091"/>
      <c r="GVE1091"/>
      <c r="GVF1091"/>
      <c r="GVI1091"/>
      <c r="GVJ1091"/>
      <c r="GVM1091"/>
      <c r="GVN1091"/>
      <c r="GVQ1091"/>
      <c r="GVR1091"/>
      <c r="GVU1091"/>
      <c r="GVV1091"/>
      <c r="GVY1091"/>
      <c r="GVZ1091"/>
      <c r="GWC1091"/>
      <c r="GWD1091"/>
      <c r="GWG1091"/>
      <c r="GWH1091"/>
      <c r="GWK1091"/>
      <c r="GWL1091"/>
      <c r="GWO1091"/>
      <c r="GWP1091"/>
      <c r="GWS1091"/>
      <c r="GWT1091"/>
      <c r="GWW1091"/>
      <c r="GWX1091"/>
      <c r="GXA1091"/>
      <c r="GXB1091"/>
      <c r="GXE1091"/>
      <c r="GXF1091"/>
      <c r="GXI1091"/>
      <c r="GXJ1091"/>
      <c r="GXM1091"/>
      <c r="GXN1091"/>
      <c r="GXQ1091"/>
      <c r="GXR1091"/>
      <c r="GXU1091"/>
      <c r="GXV1091"/>
      <c r="GXY1091"/>
      <c r="GXZ1091"/>
      <c r="GYC1091"/>
      <c r="GYD1091"/>
      <c r="GYG1091"/>
      <c r="GYH1091"/>
      <c r="GYK1091"/>
      <c r="GYL1091"/>
      <c r="GYO1091"/>
      <c r="GYP1091"/>
      <c r="GYS1091"/>
      <c r="GYT1091"/>
      <c r="GYW1091"/>
      <c r="GYX1091"/>
      <c r="GZA1091"/>
      <c r="GZB1091"/>
      <c r="GZE1091"/>
      <c r="GZF1091"/>
      <c r="GZI1091"/>
      <c r="GZJ1091"/>
      <c r="GZM1091"/>
      <c r="GZN1091"/>
      <c r="GZQ1091"/>
      <c r="GZR1091"/>
      <c r="GZU1091"/>
      <c r="GZV1091"/>
      <c r="GZY1091"/>
      <c r="GZZ1091"/>
      <c r="HAC1091"/>
      <c r="HAD1091"/>
      <c r="HAG1091"/>
      <c r="HAH1091"/>
      <c r="HAK1091"/>
      <c r="HAL1091"/>
      <c r="HAO1091"/>
      <c r="HAP1091"/>
      <c r="HAS1091"/>
      <c r="HAT1091"/>
      <c r="HAW1091"/>
      <c r="HAX1091"/>
      <c r="HBA1091"/>
      <c r="HBB1091"/>
      <c r="HBE1091"/>
      <c r="HBF1091"/>
      <c r="HBI1091"/>
      <c r="HBJ1091"/>
      <c r="HBM1091"/>
      <c r="HBN1091"/>
      <c r="HBQ1091"/>
      <c r="HBR1091"/>
      <c r="HBU1091"/>
      <c r="HBV1091"/>
      <c r="HBY1091"/>
      <c r="HBZ1091"/>
      <c r="HCC1091"/>
      <c r="HCD1091"/>
      <c r="HCG1091"/>
      <c r="HCH1091"/>
      <c r="HCK1091"/>
      <c r="HCL1091"/>
      <c r="HCO1091"/>
      <c r="HCP1091"/>
      <c r="HCS1091"/>
      <c r="HCT1091"/>
      <c r="HCW1091"/>
      <c r="HCX1091"/>
      <c r="HDA1091"/>
      <c r="HDB1091"/>
      <c r="HDE1091"/>
      <c r="HDF1091"/>
      <c r="HDI1091"/>
      <c r="HDJ1091"/>
      <c r="HDM1091"/>
      <c r="HDN1091"/>
      <c r="HDQ1091"/>
      <c r="HDR1091"/>
      <c r="HDU1091"/>
      <c r="HDV1091"/>
      <c r="HDY1091"/>
      <c r="HDZ1091"/>
      <c r="HEC1091"/>
      <c r="HED1091"/>
      <c r="HEG1091"/>
      <c r="HEH1091"/>
      <c r="HEK1091"/>
      <c r="HEL1091"/>
      <c r="HEO1091"/>
      <c r="HEP1091"/>
      <c r="HES1091"/>
      <c r="HET1091"/>
      <c r="HEW1091"/>
      <c r="HEX1091"/>
      <c r="HFA1091"/>
      <c r="HFB1091"/>
      <c r="HFE1091"/>
      <c r="HFF1091"/>
      <c r="HFI1091"/>
      <c r="HFJ1091"/>
      <c r="HFM1091"/>
      <c r="HFN1091"/>
      <c r="HFQ1091"/>
      <c r="HFR1091"/>
      <c r="HFU1091"/>
      <c r="HFV1091"/>
      <c r="HFY1091"/>
      <c r="HFZ1091"/>
      <c r="HGC1091"/>
      <c r="HGD1091"/>
      <c r="HGG1091"/>
      <c r="HGH1091"/>
      <c r="HGK1091"/>
      <c r="HGL1091"/>
      <c r="HGO1091"/>
      <c r="HGP1091"/>
      <c r="HGS1091"/>
      <c r="HGT1091"/>
      <c r="HGW1091"/>
      <c r="HGX1091"/>
      <c r="HHA1091"/>
      <c r="HHB1091"/>
      <c r="HHE1091"/>
      <c r="HHF1091"/>
      <c r="HHI1091"/>
      <c r="HHJ1091"/>
      <c r="HHM1091"/>
      <c r="HHN1091"/>
      <c r="HHQ1091"/>
      <c r="HHR1091"/>
      <c r="HHU1091"/>
      <c r="HHV1091"/>
      <c r="HHY1091"/>
      <c r="HHZ1091"/>
      <c r="HIC1091"/>
      <c r="HID1091"/>
      <c r="HIG1091"/>
      <c r="HIH1091"/>
      <c r="HIK1091"/>
      <c r="HIL1091"/>
      <c r="HIO1091"/>
      <c r="HIP1091"/>
      <c r="HIS1091"/>
      <c r="HIT1091"/>
      <c r="HIW1091"/>
      <c r="HIX1091"/>
      <c r="HJA1091"/>
      <c r="HJB1091"/>
      <c r="HJE1091"/>
      <c r="HJF1091"/>
      <c r="HJI1091"/>
      <c r="HJJ1091"/>
      <c r="HJM1091"/>
      <c r="HJN1091"/>
      <c r="HJQ1091"/>
      <c r="HJR1091"/>
      <c r="HJU1091"/>
      <c r="HJV1091"/>
      <c r="HJY1091"/>
      <c r="HJZ1091"/>
      <c r="HKC1091"/>
      <c r="HKD1091"/>
      <c r="HKG1091"/>
      <c r="HKH1091"/>
      <c r="HKK1091"/>
      <c r="HKL1091"/>
      <c r="HKO1091"/>
      <c r="HKP1091"/>
      <c r="HKS1091"/>
      <c r="HKT1091"/>
      <c r="HKW1091"/>
      <c r="HKX1091"/>
      <c r="HLA1091"/>
      <c r="HLB1091"/>
      <c r="HLE1091"/>
      <c r="HLF1091"/>
      <c r="HLI1091"/>
      <c r="HLJ1091"/>
      <c r="HLM1091"/>
      <c r="HLN1091"/>
      <c r="HLQ1091"/>
      <c r="HLR1091"/>
      <c r="HLU1091"/>
      <c r="HLV1091"/>
      <c r="HLY1091"/>
      <c r="HLZ1091"/>
      <c r="HMC1091"/>
      <c r="HMD1091"/>
      <c r="HMG1091"/>
      <c r="HMH1091"/>
      <c r="HMK1091"/>
      <c r="HML1091"/>
      <c r="HMO1091"/>
      <c r="HMP1091"/>
      <c r="HMS1091"/>
      <c r="HMT1091"/>
      <c r="HMW1091"/>
      <c r="HMX1091"/>
      <c r="HNA1091"/>
      <c r="HNB1091"/>
      <c r="HNE1091"/>
      <c r="HNF1091"/>
      <c r="HNI1091"/>
      <c r="HNJ1091"/>
      <c r="HNM1091"/>
      <c r="HNN1091"/>
      <c r="HNQ1091"/>
      <c r="HNR1091"/>
      <c r="HNU1091"/>
      <c r="HNV1091"/>
      <c r="HNY1091"/>
      <c r="HNZ1091"/>
      <c r="HOC1091"/>
      <c r="HOD1091"/>
      <c r="HOG1091"/>
      <c r="HOH1091"/>
      <c r="HOK1091"/>
      <c r="HOL1091"/>
      <c r="HOO1091"/>
      <c r="HOP1091"/>
      <c r="HOS1091"/>
      <c r="HOT1091"/>
      <c r="HOW1091"/>
      <c r="HOX1091"/>
      <c r="HPA1091"/>
      <c r="HPB1091"/>
      <c r="HPE1091"/>
      <c r="HPF1091"/>
      <c r="HPI1091"/>
      <c r="HPJ1091"/>
      <c r="HPM1091"/>
      <c r="HPN1091"/>
      <c r="HPQ1091"/>
      <c r="HPR1091"/>
      <c r="HPU1091"/>
      <c r="HPV1091"/>
      <c r="HPY1091"/>
      <c r="HPZ1091"/>
      <c r="HQC1091"/>
      <c r="HQD1091"/>
      <c r="HQG1091"/>
      <c r="HQH1091"/>
      <c r="HQK1091"/>
      <c r="HQL1091"/>
      <c r="HQO1091"/>
      <c r="HQP1091"/>
      <c r="HQS1091"/>
      <c r="HQT1091"/>
      <c r="HQW1091"/>
      <c r="HQX1091"/>
      <c r="HRA1091"/>
      <c r="HRB1091"/>
      <c r="HRE1091"/>
      <c r="HRF1091"/>
      <c r="HRI1091"/>
      <c r="HRJ1091"/>
      <c r="HRM1091"/>
      <c r="HRN1091"/>
      <c r="HRQ1091"/>
      <c r="HRR1091"/>
      <c r="HRU1091"/>
      <c r="HRV1091"/>
      <c r="HRY1091"/>
      <c r="HRZ1091"/>
      <c r="HSC1091"/>
      <c r="HSD1091"/>
      <c r="HSG1091"/>
      <c r="HSH1091"/>
      <c r="HSK1091"/>
      <c r="HSL1091"/>
      <c r="HSO1091"/>
      <c r="HSP1091"/>
      <c r="HSS1091"/>
      <c r="HST1091"/>
      <c r="HSW1091"/>
      <c r="HSX1091"/>
      <c r="HTA1091"/>
      <c r="HTB1091"/>
      <c r="HTE1091"/>
      <c r="HTF1091"/>
      <c r="HTI1091"/>
      <c r="HTJ1091"/>
      <c r="HTM1091"/>
      <c r="HTN1091"/>
      <c r="HTQ1091"/>
      <c r="HTR1091"/>
      <c r="HTU1091"/>
      <c r="HTV1091"/>
      <c r="HTY1091"/>
      <c r="HTZ1091"/>
      <c r="HUC1091"/>
      <c r="HUD1091"/>
      <c r="HUG1091"/>
      <c r="HUH1091"/>
      <c r="HUK1091"/>
      <c r="HUL1091"/>
      <c r="HUO1091"/>
      <c r="HUP1091"/>
      <c r="HUS1091"/>
      <c r="HUT1091"/>
      <c r="HUW1091"/>
      <c r="HUX1091"/>
      <c r="HVA1091"/>
      <c r="HVB1091"/>
      <c r="HVE1091"/>
      <c r="HVF1091"/>
      <c r="HVI1091"/>
      <c r="HVJ1091"/>
      <c r="HVM1091"/>
      <c r="HVN1091"/>
      <c r="HVQ1091"/>
      <c r="HVR1091"/>
      <c r="HVU1091"/>
      <c r="HVV1091"/>
      <c r="HVY1091"/>
      <c r="HVZ1091"/>
      <c r="HWC1091"/>
      <c r="HWD1091"/>
      <c r="HWG1091"/>
      <c r="HWH1091"/>
      <c r="HWK1091"/>
      <c r="HWL1091"/>
      <c r="HWO1091"/>
      <c r="HWP1091"/>
      <c r="HWS1091"/>
      <c r="HWT1091"/>
      <c r="HWW1091"/>
      <c r="HWX1091"/>
      <c r="HXA1091"/>
      <c r="HXB1091"/>
      <c r="HXE1091"/>
      <c r="HXF1091"/>
      <c r="HXI1091"/>
      <c r="HXJ1091"/>
      <c r="HXM1091"/>
      <c r="HXN1091"/>
      <c r="HXQ1091"/>
      <c r="HXR1091"/>
      <c r="HXU1091"/>
      <c r="HXV1091"/>
      <c r="HXY1091"/>
      <c r="HXZ1091"/>
      <c r="HYC1091"/>
      <c r="HYD1091"/>
      <c r="HYG1091"/>
      <c r="HYH1091"/>
      <c r="HYK1091"/>
      <c r="HYL1091"/>
      <c r="HYO1091"/>
      <c r="HYP1091"/>
      <c r="HYS1091"/>
      <c r="HYT1091"/>
      <c r="HYW1091"/>
      <c r="HYX1091"/>
      <c r="HZA1091"/>
      <c r="HZB1091"/>
      <c r="HZE1091"/>
      <c r="HZF1091"/>
      <c r="HZI1091"/>
      <c r="HZJ1091"/>
      <c r="HZM1091"/>
      <c r="HZN1091"/>
      <c r="HZQ1091"/>
      <c r="HZR1091"/>
      <c r="HZU1091"/>
      <c r="HZV1091"/>
      <c r="HZY1091"/>
      <c r="HZZ1091"/>
      <c r="IAC1091"/>
      <c r="IAD1091"/>
      <c r="IAG1091"/>
      <c r="IAH1091"/>
      <c r="IAK1091"/>
      <c r="IAL1091"/>
      <c r="IAO1091"/>
      <c r="IAP1091"/>
      <c r="IAS1091"/>
      <c r="IAT1091"/>
      <c r="IAW1091"/>
      <c r="IAX1091"/>
      <c r="IBA1091"/>
      <c r="IBB1091"/>
      <c r="IBE1091"/>
      <c r="IBF1091"/>
      <c r="IBI1091"/>
      <c r="IBJ1091"/>
      <c r="IBM1091"/>
      <c r="IBN1091"/>
      <c r="IBQ1091"/>
      <c r="IBR1091"/>
      <c r="IBU1091"/>
      <c r="IBV1091"/>
      <c r="IBY1091"/>
      <c r="IBZ1091"/>
      <c r="ICC1091"/>
      <c r="ICD1091"/>
      <c r="ICG1091"/>
      <c r="ICH1091"/>
      <c r="ICK1091"/>
      <c r="ICL1091"/>
      <c r="ICO1091"/>
      <c r="ICP1091"/>
      <c r="ICS1091"/>
      <c r="ICT1091"/>
      <c r="ICW1091"/>
      <c r="ICX1091"/>
      <c r="IDA1091"/>
      <c r="IDB1091"/>
      <c r="IDE1091"/>
      <c r="IDF1091"/>
      <c r="IDI1091"/>
      <c r="IDJ1091"/>
      <c r="IDM1091"/>
      <c r="IDN1091"/>
      <c r="IDQ1091"/>
      <c r="IDR1091"/>
      <c r="IDU1091"/>
      <c r="IDV1091"/>
      <c r="IDY1091"/>
      <c r="IDZ1091"/>
      <c r="IEC1091"/>
      <c r="IED1091"/>
      <c r="IEG1091"/>
      <c r="IEH1091"/>
      <c r="IEK1091"/>
      <c r="IEL1091"/>
      <c r="IEO1091"/>
      <c r="IEP1091"/>
      <c r="IES1091"/>
      <c r="IET1091"/>
      <c r="IEW1091"/>
      <c r="IEX1091"/>
      <c r="IFA1091"/>
      <c r="IFB1091"/>
      <c r="IFE1091"/>
      <c r="IFF1091"/>
      <c r="IFI1091"/>
      <c r="IFJ1091"/>
      <c r="IFM1091"/>
      <c r="IFN1091"/>
      <c r="IFQ1091"/>
      <c r="IFR1091"/>
      <c r="IFU1091"/>
      <c r="IFV1091"/>
      <c r="IFY1091"/>
      <c r="IFZ1091"/>
      <c r="IGC1091"/>
      <c r="IGD1091"/>
      <c r="IGG1091"/>
      <c r="IGH1091"/>
      <c r="IGK1091"/>
      <c r="IGL1091"/>
      <c r="IGO1091"/>
      <c r="IGP1091"/>
      <c r="IGS1091"/>
      <c r="IGT1091"/>
      <c r="IGW1091"/>
      <c r="IGX1091"/>
      <c r="IHA1091"/>
      <c r="IHB1091"/>
      <c r="IHE1091"/>
      <c r="IHF1091"/>
      <c r="IHI1091"/>
      <c r="IHJ1091"/>
      <c r="IHM1091"/>
      <c r="IHN1091"/>
      <c r="IHQ1091"/>
      <c r="IHR1091"/>
      <c r="IHU1091"/>
      <c r="IHV1091"/>
      <c r="IHY1091"/>
      <c r="IHZ1091"/>
      <c r="IIC1091"/>
      <c r="IID1091"/>
      <c r="IIG1091"/>
      <c r="IIH1091"/>
      <c r="IIK1091"/>
      <c r="IIL1091"/>
      <c r="IIO1091"/>
      <c r="IIP1091"/>
      <c r="IIS1091"/>
      <c r="IIT1091"/>
      <c r="IIW1091"/>
      <c r="IIX1091"/>
      <c r="IJA1091"/>
      <c r="IJB1091"/>
      <c r="IJE1091"/>
      <c r="IJF1091"/>
      <c r="IJI1091"/>
      <c r="IJJ1091"/>
      <c r="IJM1091"/>
      <c r="IJN1091"/>
      <c r="IJQ1091"/>
      <c r="IJR1091"/>
      <c r="IJU1091"/>
      <c r="IJV1091"/>
      <c r="IJY1091"/>
      <c r="IJZ1091"/>
      <c r="IKC1091"/>
      <c r="IKD1091"/>
      <c r="IKG1091"/>
      <c r="IKH1091"/>
      <c r="IKK1091"/>
      <c r="IKL1091"/>
      <c r="IKO1091"/>
      <c r="IKP1091"/>
      <c r="IKS1091"/>
      <c r="IKT1091"/>
      <c r="IKW1091"/>
      <c r="IKX1091"/>
      <c r="ILA1091"/>
      <c r="ILB1091"/>
      <c r="ILE1091"/>
      <c r="ILF1091"/>
      <c r="ILI1091"/>
      <c r="ILJ1091"/>
      <c r="ILM1091"/>
      <c r="ILN1091"/>
      <c r="ILQ1091"/>
      <c r="ILR1091"/>
      <c r="ILU1091"/>
      <c r="ILV1091"/>
      <c r="ILY1091"/>
      <c r="ILZ1091"/>
      <c r="IMC1091"/>
      <c r="IMD1091"/>
      <c r="IMG1091"/>
      <c r="IMH1091"/>
      <c r="IMK1091"/>
      <c r="IML1091"/>
      <c r="IMO1091"/>
      <c r="IMP1091"/>
      <c r="IMS1091"/>
      <c r="IMT1091"/>
      <c r="IMW1091"/>
      <c r="IMX1091"/>
      <c r="INA1091"/>
      <c r="INB1091"/>
      <c r="INE1091"/>
      <c r="INF1091"/>
      <c r="INI1091"/>
      <c r="INJ1091"/>
      <c r="INM1091"/>
      <c r="INN1091"/>
      <c r="INQ1091"/>
      <c r="INR1091"/>
      <c r="INU1091"/>
      <c r="INV1091"/>
      <c r="INY1091"/>
      <c r="INZ1091"/>
      <c r="IOC1091"/>
      <c r="IOD1091"/>
      <c r="IOG1091"/>
      <c r="IOH1091"/>
      <c r="IOK1091"/>
      <c r="IOL1091"/>
      <c r="IOO1091"/>
      <c r="IOP1091"/>
      <c r="IOS1091"/>
      <c r="IOT1091"/>
      <c r="IOW1091"/>
      <c r="IOX1091"/>
      <c r="IPA1091"/>
      <c r="IPB1091"/>
      <c r="IPE1091"/>
      <c r="IPF1091"/>
      <c r="IPI1091"/>
      <c r="IPJ1091"/>
      <c r="IPM1091"/>
      <c r="IPN1091"/>
      <c r="IPQ1091"/>
      <c r="IPR1091"/>
      <c r="IPU1091"/>
      <c r="IPV1091"/>
      <c r="IPY1091"/>
      <c r="IPZ1091"/>
      <c r="IQC1091"/>
      <c r="IQD1091"/>
      <c r="IQG1091"/>
      <c r="IQH1091"/>
      <c r="IQK1091"/>
      <c r="IQL1091"/>
      <c r="IQO1091"/>
      <c r="IQP1091"/>
      <c r="IQS1091"/>
      <c r="IQT1091"/>
      <c r="IQW1091"/>
      <c r="IQX1091"/>
      <c r="IRA1091"/>
      <c r="IRB1091"/>
      <c r="IRE1091"/>
      <c r="IRF1091"/>
      <c r="IRI1091"/>
      <c r="IRJ1091"/>
      <c r="IRM1091"/>
      <c r="IRN1091"/>
      <c r="IRQ1091"/>
      <c r="IRR1091"/>
      <c r="IRU1091"/>
      <c r="IRV1091"/>
      <c r="IRY1091"/>
      <c r="IRZ1091"/>
      <c r="ISC1091"/>
      <c r="ISD1091"/>
      <c r="ISG1091"/>
      <c r="ISH1091"/>
      <c r="ISK1091"/>
      <c r="ISL1091"/>
      <c r="ISO1091"/>
      <c r="ISP1091"/>
      <c r="ISS1091"/>
      <c r="IST1091"/>
      <c r="ISW1091"/>
      <c r="ISX1091"/>
      <c r="ITA1091"/>
      <c r="ITB1091"/>
      <c r="ITE1091"/>
      <c r="ITF1091"/>
      <c r="ITI1091"/>
      <c r="ITJ1091"/>
      <c r="ITM1091"/>
      <c r="ITN1091"/>
      <c r="ITQ1091"/>
      <c r="ITR1091"/>
      <c r="ITU1091"/>
      <c r="ITV1091"/>
      <c r="ITY1091"/>
      <c r="ITZ1091"/>
      <c r="IUC1091"/>
      <c r="IUD1091"/>
      <c r="IUG1091"/>
      <c r="IUH1091"/>
      <c r="IUK1091"/>
      <c r="IUL1091"/>
      <c r="IUO1091"/>
      <c r="IUP1091"/>
      <c r="IUS1091"/>
      <c r="IUT1091"/>
      <c r="IUW1091"/>
      <c r="IUX1091"/>
      <c r="IVA1091"/>
      <c r="IVB1091"/>
      <c r="IVE1091"/>
      <c r="IVF1091"/>
      <c r="IVI1091"/>
      <c r="IVJ1091"/>
      <c r="IVM1091"/>
      <c r="IVN1091"/>
      <c r="IVQ1091"/>
      <c r="IVR1091"/>
      <c r="IVU1091"/>
      <c r="IVV1091"/>
      <c r="IVY1091"/>
      <c r="IVZ1091"/>
      <c r="IWC1091"/>
      <c r="IWD1091"/>
      <c r="IWG1091"/>
      <c r="IWH1091"/>
      <c r="IWK1091"/>
      <c r="IWL1091"/>
      <c r="IWO1091"/>
      <c r="IWP1091"/>
      <c r="IWS1091"/>
      <c r="IWT1091"/>
      <c r="IWW1091"/>
      <c r="IWX1091"/>
      <c r="IXA1091"/>
      <c r="IXB1091"/>
      <c r="IXE1091"/>
      <c r="IXF1091"/>
      <c r="IXI1091"/>
      <c r="IXJ1091"/>
      <c r="IXM1091"/>
      <c r="IXN1091"/>
      <c r="IXQ1091"/>
      <c r="IXR1091"/>
      <c r="IXU1091"/>
      <c r="IXV1091"/>
      <c r="IXY1091"/>
      <c r="IXZ1091"/>
      <c r="IYC1091"/>
      <c r="IYD1091"/>
      <c r="IYG1091"/>
      <c r="IYH1091"/>
      <c r="IYK1091"/>
      <c r="IYL1091"/>
      <c r="IYO1091"/>
      <c r="IYP1091"/>
      <c r="IYS1091"/>
      <c r="IYT1091"/>
      <c r="IYW1091"/>
      <c r="IYX1091"/>
      <c r="IZA1091"/>
      <c r="IZB1091"/>
      <c r="IZE1091"/>
      <c r="IZF1091"/>
      <c r="IZI1091"/>
      <c r="IZJ1091"/>
      <c r="IZM1091"/>
      <c r="IZN1091"/>
      <c r="IZQ1091"/>
      <c r="IZR1091"/>
      <c r="IZU1091"/>
      <c r="IZV1091"/>
      <c r="IZY1091"/>
      <c r="IZZ1091"/>
      <c r="JAC1091"/>
      <c r="JAD1091"/>
      <c r="JAG1091"/>
      <c r="JAH1091"/>
      <c r="JAK1091"/>
      <c r="JAL1091"/>
      <c r="JAO1091"/>
      <c r="JAP1091"/>
      <c r="JAS1091"/>
      <c r="JAT1091"/>
      <c r="JAW1091"/>
      <c r="JAX1091"/>
      <c r="JBA1091"/>
      <c r="JBB1091"/>
      <c r="JBE1091"/>
      <c r="JBF1091"/>
      <c r="JBI1091"/>
      <c r="JBJ1091"/>
      <c r="JBM1091"/>
      <c r="JBN1091"/>
      <c r="JBQ1091"/>
      <c r="JBR1091"/>
      <c r="JBU1091"/>
      <c r="JBV1091"/>
      <c r="JBY1091"/>
      <c r="JBZ1091"/>
      <c r="JCC1091"/>
      <c r="JCD1091"/>
      <c r="JCG1091"/>
      <c r="JCH1091"/>
      <c r="JCK1091"/>
      <c r="JCL1091"/>
      <c r="JCO1091"/>
      <c r="JCP1091"/>
      <c r="JCS1091"/>
      <c r="JCT1091"/>
      <c r="JCW1091"/>
      <c r="JCX1091"/>
      <c r="JDA1091"/>
      <c r="JDB1091"/>
      <c r="JDE1091"/>
      <c r="JDF1091"/>
      <c r="JDI1091"/>
      <c r="JDJ1091"/>
      <c r="JDM1091"/>
      <c r="JDN1091"/>
      <c r="JDQ1091"/>
      <c r="JDR1091"/>
      <c r="JDU1091"/>
      <c r="JDV1091"/>
      <c r="JDY1091"/>
      <c r="JDZ1091"/>
      <c r="JEC1091"/>
      <c r="JED1091"/>
      <c r="JEG1091"/>
      <c r="JEH1091"/>
      <c r="JEK1091"/>
      <c r="JEL1091"/>
      <c r="JEO1091"/>
      <c r="JEP1091"/>
      <c r="JES1091"/>
      <c r="JET1091"/>
      <c r="JEW1091"/>
      <c r="JEX1091"/>
      <c r="JFA1091"/>
      <c r="JFB1091"/>
      <c r="JFE1091"/>
      <c r="JFF1091"/>
      <c r="JFI1091"/>
      <c r="JFJ1091"/>
      <c r="JFM1091"/>
      <c r="JFN1091"/>
      <c r="JFQ1091"/>
      <c r="JFR1091"/>
      <c r="JFU1091"/>
      <c r="JFV1091"/>
      <c r="JFY1091"/>
      <c r="JFZ1091"/>
      <c r="JGC1091"/>
      <c r="JGD1091"/>
      <c r="JGG1091"/>
      <c r="JGH1091"/>
      <c r="JGK1091"/>
      <c r="JGL1091"/>
      <c r="JGO1091"/>
      <c r="JGP1091"/>
      <c r="JGS1091"/>
      <c r="JGT1091"/>
      <c r="JGW1091"/>
      <c r="JGX1091"/>
      <c r="JHA1091"/>
      <c r="JHB1091"/>
      <c r="JHE1091"/>
      <c r="JHF1091"/>
      <c r="JHI1091"/>
      <c r="JHJ1091"/>
      <c r="JHM1091"/>
      <c r="JHN1091"/>
      <c r="JHQ1091"/>
      <c r="JHR1091"/>
      <c r="JHU1091"/>
      <c r="JHV1091"/>
      <c r="JHY1091"/>
      <c r="JHZ1091"/>
      <c r="JIC1091"/>
      <c r="JID1091"/>
      <c r="JIG1091"/>
      <c r="JIH1091"/>
      <c r="JIK1091"/>
      <c r="JIL1091"/>
      <c r="JIO1091"/>
      <c r="JIP1091"/>
      <c r="JIS1091"/>
      <c r="JIT1091"/>
      <c r="JIW1091"/>
      <c r="JIX1091"/>
      <c r="JJA1091"/>
      <c r="JJB1091"/>
      <c r="JJE1091"/>
      <c r="JJF1091"/>
      <c r="JJI1091"/>
      <c r="JJJ1091"/>
      <c r="JJM1091"/>
      <c r="JJN1091"/>
      <c r="JJQ1091"/>
      <c r="JJR1091"/>
      <c r="JJU1091"/>
      <c r="JJV1091"/>
      <c r="JJY1091"/>
      <c r="JJZ1091"/>
      <c r="JKC1091"/>
      <c r="JKD1091"/>
      <c r="JKG1091"/>
      <c r="JKH1091"/>
      <c r="JKK1091"/>
      <c r="JKL1091"/>
      <c r="JKO1091"/>
      <c r="JKP1091"/>
      <c r="JKS1091"/>
      <c r="JKT1091"/>
      <c r="JKW1091"/>
      <c r="JKX1091"/>
      <c r="JLA1091"/>
      <c r="JLB1091"/>
      <c r="JLE1091"/>
      <c r="JLF1091"/>
      <c r="JLI1091"/>
      <c r="JLJ1091"/>
      <c r="JLM1091"/>
      <c r="JLN1091"/>
      <c r="JLQ1091"/>
      <c r="JLR1091"/>
      <c r="JLU1091"/>
      <c r="JLV1091"/>
      <c r="JLY1091"/>
      <c r="JLZ1091"/>
      <c r="JMC1091"/>
      <c r="JMD1091"/>
      <c r="JMG1091"/>
      <c r="JMH1091"/>
      <c r="JMK1091"/>
      <c r="JML1091"/>
      <c r="JMO1091"/>
      <c r="JMP1091"/>
      <c r="JMS1091"/>
      <c r="JMT1091"/>
      <c r="JMW1091"/>
      <c r="JMX1091"/>
      <c r="JNA1091"/>
      <c r="JNB1091"/>
      <c r="JNE1091"/>
      <c r="JNF1091"/>
      <c r="JNI1091"/>
      <c r="JNJ1091"/>
      <c r="JNM1091"/>
      <c r="JNN1091"/>
      <c r="JNQ1091"/>
      <c r="JNR1091"/>
      <c r="JNU1091"/>
      <c r="JNV1091"/>
      <c r="JNY1091"/>
      <c r="JNZ1091"/>
      <c r="JOC1091"/>
      <c r="JOD1091"/>
      <c r="JOG1091"/>
      <c r="JOH1091"/>
      <c r="JOK1091"/>
      <c r="JOL1091"/>
      <c r="JOO1091"/>
      <c r="JOP1091"/>
      <c r="JOS1091"/>
      <c r="JOT1091"/>
      <c r="JOW1091"/>
      <c r="JOX1091"/>
      <c r="JPA1091"/>
      <c r="JPB1091"/>
      <c r="JPE1091"/>
      <c r="JPF1091"/>
      <c r="JPI1091"/>
      <c r="JPJ1091"/>
      <c r="JPM1091"/>
      <c r="JPN1091"/>
      <c r="JPQ1091"/>
      <c r="JPR1091"/>
      <c r="JPU1091"/>
      <c r="JPV1091"/>
      <c r="JPY1091"/>
      <c r="JPZ1091"/>
      <c r="JQC1091"/>
      <c r="JQD1091"/>
      <c r="JQG1091"/>
      <c r="JQH1091"/>
      <c r="JQK1091"/>
      <c r="JQL1091"/>
      <c r="JQO1091"/>
      <c r="JQP1091"/>
      <c r="JQS1091"/>
      <c r="JQT1091"/>
      <c r="JQW1091"/>
      <c r="JQX1091"/>
      <c r="JRA1091"/>
      <c r="JRB1091"/>
      <c r="JRE1091"/>
      <c r="JRF1091"/>
      <c r="JRI1091"/>
      <c r="JRJ1091"/>
      <c r="JRM1091"/>
      <c r="JRN1091"/>
      <c r="JRQ1091"/>
      <c r="JRR1091"/>
      <c r="JRU1091"/>
      <c r="JRV1091"/>
      <c r="JRY1091"/>
      <c r="JRZ1091"/>
      <c r="JSC1091"/>
      <c r="JSD1091"/>
      <c r="JSG1091"/>
      <c r="JSH1091"/>
      <c r="JSK1091"/>
      <c r="JSL1091"/>
      <c r="JSO1091"/>
      <c r="JSP1091"/>
      <c r="JSS1091"/>
      <c r="JST1091"/>
      <c r="JSW1091"/>
      <c r="JSX1091"/>
      <c r="JTA1091"/>
      <c r="JTB1091"/>
      <c r="JTE1091"/>
      <c r="JTF1091"/>
      <c r="JTI1091"/>
      <c r="JTJ1091"/>
      <c r="JTM1091"/>
      <c r="JTN1091"/>
      <c r="JTQ1091"/>
      <c r="JTR1091"/>
      <c r="JTU1091"/>
      <c r="JTV1091"/>
      <c r="JTY1091"/>
      <c r="JTZ1091"/>
      <c r="JUC1091"/>
      <c r="JUD1091"/>
      <c r="JUG1091"/>
      <c r="JUH1091"/>
      <c r="JUK1091"/>
      <c r="JUL1091"/>
      <c r="JUO1091"/>
      <c r="JUP1091"/>
      <c r="JUS1091"/>
      <c r="JUT1091"/>
      <c r="JUW1091"/>
      <c r="JUX1091"/>
      <c r="JVA1091"/>
      <c r="JVB1091"/>
      <c r="JVE1091"/>
      <c r="JVF1091"/>
      <c r="JVI1091"/>
      <c r="JVJ1091"/>
      <c r="JVM1091"/>
      <c r="JVN1091"/>
      <c r="JVQ1091"/>
      <c r="JVR1091"/>
      <c r="JVU1091"/>
      <c r="JVV1091"/>
      <c r="JVY1091"/>
      <c r="JVZ1091"/>
      <c r="JWC1091"/>
      <c r="JWD1091"/>
      <c r="JWG1091"/>
      <c r="JWH1091"/>
      <c r="JWK1091"/>
      <c r="JWL1091"/>
      <c r="JWO1091"/>
      <c r="JWP1091"/>
      <c r="JWS1091"/>
      <c r="JWT1091"/>
      <c r="JWW1091"/>
      <c r="JWX1091"/>
      <c r="JXA1091"/>
      <c r="JXB1091"/>
      <c r="JXE1091"/>
      <c r="JXF1091"/>
      <c r="JXI1091"/>
      <c r="JXJ1091"/>
      <c r="JXM1091"/>
      <c r="JXN1091"/>
      <c r="JXQ1091"/>
      <c r="JXR1091"/>
      <c r="JXU1091"/>
      <c r="JXV1091"/>
      <c r="JXY1091"/>
      <c r="JXZ1091"/>
      <c r="JYC1091"/>
      <c r="JYD1091"/>
      <c r="JYG1091"/>
      <c r="JYH1091"/>
      <c r="JYK1091"/>
      <c r="JYL1091"/>
      <c r="JYO1091"/>
      <c r="JYP1091"/>
      <c r="JYS1091"/>
      <c r="JYT1091"/>
      <c r="JYW1091"/>
      <c r="JYX1091"/>
      <c r="JZA1091"/>
      <c r="JZB1091"/>
      <c r="JZE1091"/>
      <c r="JZF1091"/>
      <c r="JZI1091"/>
      <c r="JZJ1091"/>
      <c r="JZM1091"/>
      <c r="JZN1091"/>
      <c r="JZQ1091"/>
      <c r="JZR1091"/>
      <c r="JZU1091"/>
      <c r="JZV1091"/>
      <c r="JZY1091"/>
      <c r="JZZ1091"/>
      <c r="KAC1091"/>
      <c r="KAD1091"/>
      <c r="KAG1091"/>
      <c r="KAH1091"/>
      <c r="KAK1091"/>
      <c r="KAL1091"/>
      <c r="KAO1091"/>
      <c r="KAP1091"/>
      <c r="KAS1091"/>
      <c r="KAT1091"/>
      <c r="KAW1091"/>
      <c r="KAX1091"/>
      <c r="KBA1091"/>
      <c r="KBB1091"/>
      <c r="KBE1091"/>
      <c r="KBF1091"/>
      <c r="KBI1091"/>
      <c r="KBJ1091"/>
      <c r="KBM1091"/>
      <c r="KBN1091"/>
      <c r="KBQ1091"/>
      <c r="KBR1091"/>
      <c r="KBU1091"/>
      <c r="KBV1091"/>
      <c r="KBY1091"/>
      <c r="KBZ1091"/>
      <c r="KCC1091"/>
      <c r="KCD1091"/>
      <c r="KCG1091"/>
      <c r="KCH1091"/>
      <c r="KCK1091"/>
      <c r="KCL1091"/>
      <c r="KCO1091"/>
      <c r="KCP1091"/>
      <c r="KCS1091"/>
      <c r="KCT1091"/>
      <c r="KCW1091"/>
      <c r="KCX1091"/>
      <c r="KDA1091"/>
      <c r="KDB1091"/>
      <c r="KDE1091"/>
      <c r="KDF1091"/>
      <c r="KDI1091"/>
      <c r="KDJ1091"/>
      <c r="KDM1091"/>
      <c r="KDN1091"/>
      <c r="KDQ1091"/>
      <c r="KDR1091"/>
      <c r="KDU1091"/>
      <c r="KDV1091"/>
      <c r="KDY1091"/>
      <c r="KDZ1091"/>
      <c r="KEC1091"/>
      <c r="KED1091"/>
      <c r="KEG1091"/>
      <c r="KEH1091"/>
      <c r="KEK1091"/>
      <c r="KEL1091"/>
      <c r="KEO1091"/>
      <c r="KEP1091"/>
      <c r="KES1091"/>
      <c r="KET1091"/>
      <c r="KEW1091"/>
      <c r="KEX1091"/>
      <c r="KFA1091"/>
      <c r="KFB1091"/>
      <c r="KFE1091"/>
      <c r="KFF1091"/>
      <c r="KFI1091"/>
      <c r="KFJ1091"/>
      <c r="KFM1091"/>
      <c r="KFN1091"/>
      <c r="KFQ1091"/>
      <c r="KFR1091"/>
      <c r="KFU1091"/>
      <c r="KFV1091"/>
      <c r="KFY1091"/>
      <c r="KFZ1091"/>
      <c r="KGC1091"/>
      <c r="KGD1091"/>
      <c r="KGG1091"/>
      <c r="KGH1091"/>
      <c r="KGK1091"/>
      <c r="KGL1091"/>
      <c r="KGO1091"/>
      <c r="KGP1091"/>
      <c r="KGS1091"/>
      <c r="KGT1091"/>
      <c r="KGW1091"/>
      <c r="KGX1091"/>
      <c r="KHA1091"/>
      <c r="KHB1091"/>
      <c r="KHE1091"/>
      <c r="KHF1091"/>
      <c r="KHI1091"/>
      <c r="KHJ1091"/>
      <c r="KHM1091"/>
      <c r="KHN1091"/>
      <c r="KHQ1091"/>
      <c r="KHR1091"/>
      <c r="KHU1091"/>
      <c r="KHV1091"/>
      <c r="KHY1091"/>
      <c r="KHZ1091"/>
      <c r="KIC1091"/>
      <c r="KID1091"/>
      <c r="KIG1091"/>
      <c r="KIH1091"/>
      <c r="KIK1091"/>
      <c r="KIL1091"/>
      <c r="KIO1091"/>
      <c r="KIP1091"/>
      <c r="KIS1091"/>
      <c r="KIT1091"/>
      <c r="KIW1091"/>
      <c r="KIX1091"/>
      <c r="KJA1091"/>
      <c r="KJB1091"/>
      <c r="KJE1091"/>
      <c r="KJF1091"/>
      <c r="KJI1091"/>
      <c r="KJJ1091"/>
      <c r="KJM1091"/>
      <c r="KJN1091"/>
      <c r="KJQ1091"/>
      <c r="KJR1091"/>
      <c r="KJU1091"/>
      <c r="KJV1091"/>
      <c r="KJY1091"/>
      <c r="KJZ1091"/>
      <c r="KKC1091"/>
      <c r="KKD1091"/>
      <c r="KKG1091"/>
      <c r="KKH1091"/>
      <c r="KKK1091"/>
      <c r="KKL1091"/>
      <c r="KKO1091"/>
      <c r="KKP1091"/>
      <c r="KKS1091"/>
      <c r="KKT1091"/>
      <c r="KKW1091"/>
      <c r="KKX1091"/>
      <c r="KLA1091"/>
      <c r="KLB1091"/>
      <c r="KLE1091"/>
      <c r="KLF1091"/>
      <c r="KLI1091"/>
      <c r="KLJ1091"/>
      <c r="KLM1091"/>
      <c r="KLN1091"/>
      <c r="KLQ1091"/>
      <c r="KLR1091"/>
      <c r="KLU1091"/>
      <c r="KLV1091"/>
      <c r="KLY1091"/>
      <c r="KLZ1091"/>
      <c r="KMC1091"/>
      <c r="KMD1091"/>
      <c r="KMG1091"/>
      <c r="KMH1091"/>
      <c r="KMK1091"/>
      <c r="KML1091"/>
      <c r="KMO1091"/>
      <c r="KMP1091"/>
      <c r="KMS1091"/>
      <c r="KMT1091"/>
      <c r="KMW1091"/>
      <c r="KMX1091"/>
      <c r="KNA1091"/>
      <c r="KNB1091"/>
      <c r="KNE1091"/>
      <c r="KNF1091"/>
      <c r="KNI1091"/>
      <c r="KNJ1091"/>
      <c r="KNM1091"/>
      <c r="KNN1091"/>
      <c r="KNQ1091"/>
      <c r="KNR1091"/>
      <c r="KNU1091"/>
      <c r="KNV1091"/>
      <c r="KNY1091"/>
      <c r="KNZ1091"/>
      <c r="KOC1091"/>
      <c r="KOD1091"/>
      <c r="KOG1091"/>
      <c r="KOH1091"/>
      <c r="KOK1091"/>
      <c r="KOL1091"/>
      <c r="KOO1091"/>
      <c r="KOP1091"/>
      <c r="KOS1091"/>
      <c r="KOT1091"/>
      <c r="KOW1091"/>
      <c r="KOX1091"/>
      <c r="KPA1091"/>
      <c r="KPB1091"/>
      <c r="KPE1091"/>
      <c r="KPF1091"/>
      <c r="KPI1091"/>
      <c r="KPJ1091"/>
      <c r="KPM1091"/>
      <c r="KPN1091"/>
      <c r="KPQ1091"/>
      <c r="KPR1091"/>
      <c r="KPU1091"/>
      <c r="KPV1091"/>
      <c r="KPY1091"/>
      <c r="KPZ1091"/>
      <c r="KQC1091"/>
      <c r="KQD1091"/>
      <c r="KQG1091"/>
      <c r="KQH1091"/>
      <c r="KQK1091"/>
      <c r="KQL1091"/>
      <c r="KQO1091"/>
      <c r="KQP1091"/>
      <c r="KQS1091"/>
      <c r="KQT1091"/>
      <c r="KQW1091"/>
      <c r="KQX1091"/>
      <c r="KRA1091"/>
      <c r="KRB1091"/>
      <c r="KRE1091"/>
      <c r="KRF1091"/>
      <c r="KRI1091"/>
      <c r="KRJ1091"/>
      <c r="KRM1091"/>
      <c r="KRN1091"/>
      <c r="KRQ1091"/>
      <c r="KRR1091"/>
      <c r="KRU1091"/>
      <c r="KRV1091"/>
      <c r="KRY1091"/>
      <c r="KRZ1091"/>
      <c r="KSC1091"/>
      <c r="KSD1091"/>
      <c r="KSG1091"/>
      <c r="KSH1091"/>
      <c r="KSK1091"/>
      <c r="KSL1091"/>
      <c r="KSO1091"/>
      <c r="KSP1091"/>
      <c r="KSS1091"/>
      <c r="KST1091"/>
      <c r="KSW1091"/>
      <c r="KSX1091"/>
      <c r="KTA1091"/>
      <c r="KTB1091"/>
      <c r="KTE1091"/>
      <c r="KTF1091"/>
      <c r="KTI1091"/>
      <c r="KTJ1091"/>
      <c r="KTM1091"/>
      <c r="KTN1091"/>
      <c r="KTQ1091"/>
      <c r="KTR1091"/>
      <c r="KTU1091"/>
      <c r="KTV1091"/>
      <c r="KTY1091"/>
      <c r="KTZ1091"/>
      <c r="KUC1091"/>
      <c r="KUD1091"/>
      <c r="KUG1091"/>
      <c r="KUH1091"/>
      <c r="KUK1091"/>
      <c r="KUL1091"/>
      <c r="KUO1091"/>
      <c r="KUP1091"/>
      <c r="KUS1091"/>
      <c r="KUT1091"/>
      <c r="KUW1091"/>
      <c r="KUX1091"/>
      <c r="KVA1091"/>
      <c r="KVB1091"/>
      <c r="KVE1091"/>
      <c r="KVF1091"/>
      <c r="KVI1091"/>
      <c r="KVJ1091"/>
      <c r="KVM1091"/>
      <c r="KVN1091"/>
      <c r="KVQ1091"/>
      <c r="KVR1091"/>
      <c r="KVU1091"/>
      <c r="KVV1091"/>
      <c r="KVY1091"/>
      <c r="KVZ1091"/>
      <c r="KWC1091"/>
      <c r="KWD1091"/>
      <c r="KWG1091"/>
      <c r="KWH1091"/>
      <c r="KWK1091"/>
      <c r="KWL1091"/>
      <c r="KWO1091"/>
      <c r="KWP1091"/>
      <c r="KWS1091"/>
      <c r="KWT1091"/>
      <c r="KWW1091"/>
      <c r="KWX1091"/>
      <c r="KXA1091"/>
      <c r="KXB1091"/>
      <c r="KXE1091"/>
      <c r="KXF1091"/>
      <c r="KXI1091"/>
      <c r="KXJ1091"/>
      <c r="KXM1091"/>
      <c r="KXN1091"/>
      <c r="KXQ1091"/>
      <c r="KXR1091"/>
      <c r="KXU1091"/>
      <c r="KXV1091"/>
      <c r="KXY1091"/>
      <c r="KXZ1091"/>
      <c r="KYC1091"/>
      <c r="KYD1091"/>
      <c r="KYG1091"/>
      <c r="KYH1091"/>
      <c r="KYK1091"/>
      <c r="KYL1091"/>
      <c r="KYO1091"/>
      <c r="KYP1091"/>
      <c r="KYS1091"/>
      <c r="KYT1091"/>
      <c r="KYW1091"/>
      <c r="KYX1091"/>
      <c r="KZA1091"/>
      <c r="KZB1091"/>
      <c r="KZE1091"/>
      <c r="KZF1091"/>
      <c r="KZI1091"/>
      <c r="KZJ1091"/>
      <c r="KZM1091"/>
      <c r="KZN1091"/>
      <c r="KZQ1091"/>
      <c r="KZR1091"/>
      <c r="KZU1091"/>
      <c r="KZV1091"/>
      <c r="KZY1091"/>
      <c r="KZZ1091"/>
      <c r="LAC1091"/>
      <c r="LAD1091"/>
      <c r="LAG1091"/>
      <c r="LAH1091"/>
      <c r="LAK1091"/>
      <c r="LAL1091"/>
      <c r="LAO1091"/>
      <c r="LAP1091"/>
      <c r="LAS1091"/>
      <c r="LAT1091"/>
      <c r="LAW1091"/>
      <c r="LAX1091"/>
      <c r="LBA1091"/>
      <c r="LBB1091"/>
      <c r="LBE1091"/>
      <c r="LBF1091"/>
      <c r="LBI1091"/>
      <c r="LBJ1091"/>
      <c r="LBM1091"/>
      <c r="LBN1091"/>
      <c r="LBQ1091"/>
      <c r="LBR1091"/>
      <c r="LBU1091"/>
      <c r="LBV1091"/>
      <c r="LBY1091"/>
      <c r="LBZ1091"/>
      <c r="LCC1091"/>
      <c r="LCD1091"/>
      <c r="LCG1091"/>
      <c r="LCH1091"/>
      <c r="LCK1091"/>
      <c r="LCL1091"/>
      <c r="LCO1091"/>
      <c r="LCP1091"/>
      <c r="LCS1091"/>
      <c r="LCT1091"/>
      <c r="LCW1091"/>
      <c r="LCX1091"/>
      <c r="LDA1091"/>
      <c r="LDB1091"/>
      <c r="LDE1091"/>
      <c r="LDF1091"/>
      <c r="LDI1091"/>
      <c r="LDJ1091"/>
      <c r="LDM1091"/>
      <c r="LDN1091"/>
      <c r="LDQ1091"/>
      <c r="LDR1091"/>
      <c r="LDU1091"/>
      <c r="LDV1091"/>
      <c r="LDY1091"/>
      <c r="LDZ1091"/>
      <c r="LEC1091"/>
      <c r="LED1091"/>
      <c r="LEG1091"/>
      <c r="LEH1091"/>
      <c r="LEK1091"/>
      <c r="LEL1091"/>
      <c r="LEO1091"/>
      <c r="LEP1091"/>
      <c r="LES1091"/>
      <c r="LET1091"/>
      <c r="LEW1091"/>
      <c r="LEX1091"/>
      <c r="LFA1091"/>
      <c r="LFB1091"/>
      <c r="LFE1091"/>
      <c r="LFF1091"/>
      <c r="LFI1091"/>
      <c r="LFJ1091"/>
      <c r="LFM1091"/>
      <c r="LFN1091"/>
      <c r="LFQ1091"/>
      <c r="LFR1091"/>
      <c r="LFU1091"/>
      <c r="LFV1091"/>
      <c r="LFY1091"/>
      <c r="LFZ1091"/>
      <c r="LGC1091"/>
      <c r="LGD1091"/>
      <c r="LGG1091"/>
      <c r="LGH1091"/>
      <c r="LGK1091"/>
      <c r="LGL1091"/>
      <c r="LGO1091"/>
      <c r="LGP1091"/>
      <c r="LGS1091"/>
      <c r="LGT1091"/>
      <c r="LGW1091"/>
      <c r="LGX1091"/>
      <c r="LHA1091"/>
      <c r="LHB1091"/>
      <c r="LHE1091"/>
      <c r="LHF1091"/>
      <c r="LHI1091"/>
      <c r="LHJ1091"/>
      <c r="LHM1091"/>
      <c r="LHN1091"/>
      <c r="LHQ1091"/>
      <c r="LHR1091"/>
      <c r="LHU1091"/>
      <c r="LHV1091"/>
      <c r="LHY1091"/>
      <c r="LHZ1091"/>
      <c r="LIC1091"/>
      <c r="LID1091"/>
      <c r="LIG1091"/>
      <c r="LIH1091"/>
      <c r="LIK1091"/>
      <c r="LIL1091"/>
      <c r="LIO1091"/>
      <c r="LIP1091"/>
      <c r="LIS1091"/>
      <c r="LIT1091"/>
      <c r="LIW1091"/>
      <c r="LIX1091"/>
      <c r="LJA1091"/>
      <c r="LJB1091"/>
      <c r="LJE1091"/>
      <c r="LJF1091"/>
      <c r="LJI1091"/>
      <c r="LJJ1091"/>
      <c r="LJM1091"/>
      <c r="LJN1091"/>
      <c r="LJQ1091"/>
      <c r="LJR1091"/>
      <c r="LJU1091"/>
      <c r="LJV1091"/>
      <c r="LJY1091"/>
      <c r="LJZ1091"/>
      <c r="LKC1091"/>
      <c r="LKD1091"/>
      <c r="LKG1091"/>
      <c r="LKH1091"/>
      <c r="LKK1091"/>
      <c r="LKL1091"/>
      <c r="LKO1091"/>
      <c r="LKP1091"/>
      <c r="LKS1091"/>
      <c r="LKT1091"/>
      <c r="LKW1091"/>
      <c r="LKX1091"/>
      <c r="LLA1091"/>
      <c r="LLB1091"/>
      <c r="LLE1091"/>
      <c r="LLF1091"/>
      <c r="LLI1091"/>
      <c r="LLJ1091"/>
      <c r="LLM1091"/>
      <c r="LLN1091"/>
      <c r="LLQ1091"/>
      <c r="LLR1091"/>
      <c r="LLU1091"/>
      <c r="LLV1091"/>
      <c r="LLY1091"/>
      <c r="LLZ1091"/>
      <c r="LMC1091"/>
      <c r="LMD1091"/>
      <c r="LMG1091"/>
      <c r="LMH1091"/>
      <c r="LMK1091"/>
      <c r="LML1091"/>
      <c r="LMO1091"/>
      <c r="LMP1091"/>
      <c r="LMS1091"/>
      <c r="LMT1091"/>
      <c r="LMW1091"/>
      <c r="LMX1091"/>
      <c r="LNA1091"/>
      <c r="LNB1091"/>
      <c r="LNE1091"/>
      <c r="LNF1091"/>
      <c r="LNI1091"/>
      <c r="LNJ1091"/>
      <c r="LNM1091"/>
      <c r="LNN1091"/>
      <c r="LNQ1091"/>
      <c r="LNR1091"/>
      <c r="LNU1091"/>
      <c r="LNV1091"/>
      <c r="LNY1091"/>
      <c r="LNZ1091"/>
      <c r="LOC1091"/>
      <c r="LOD1091"/>
      <c r="LOG1091"/>
      <c r="LOH1091"/>
      <c r="LOK1091"/>
      <c r="LOL1091"/>
      <c r="LOO1091"/>
      <c r="LOP1091"/>
      <c r="LOS1091"/>
      <c r="LOT1091"/>
      <c r="LOW1091"/>
      <c r="LOX1091"/>
      <c r="LPA1091"/>
      <c r="LPB1091"/>
      <c r="LPE1091"/>
      <c r="LPF1091"/>
      <c r="LPI1091"/>
      <c r="LPJ1091"/>
      <c r="LPM1091"/>
      <c r="LPN1091"/>
      <c r="LPQ1091"/>
      <c r="LPR1091"/>
      <c r="LPU1091"/>
      <c r="LPV1091"/>
      <c r="LPY1091"/>
      <c r="LPZ1091"/>
      <c r="LQC1091"/>
      <c r="LQD1091"/>
      <c r="LQG1091"/>
      <c r="LQH1091"/>
      <c r="LQK1091"/>
      <c r="LQL1091"/>
      <c r="LQO1091"/>
      <c r="LQP1091"/>
      <c r="LQS1091"/>
      <c r="LQT1091"/>
      <c r="LQW1091"/>
      <c r="LQX1091"/>
      <c r="LRA1091"/>
      <c r="LRB1091"/>
      <c r="LRE1091"/>
      <c r="LRF1091"/>
      <c r="LRI1091"/>
      <c r="LRJ1091"/>
      <c r="LRM1091"/>
      <c r="LRN1091"/>
      <c r="LRQ1091"/>
      <c r="LRR1091"/>
      <c r="LRU1091"/>
      <c r="LRV1091"/>
      <c r="LRY1091"/>
      <c r="LRZ1091"/>
      <c r="LSC1091"/>
      <c r="LSD1091"/>
      <c r="LSG1091"/>
      <c r="LSH1091"/>
      <c r="LSK1091"/>
      <c r="LSL1091"/>
      <c r="LSO1091"/>
      <c r="LSP1091"/>
      <c r="LSS1091"/>
      <c r="LST1091"/>
      <c r="LSW1091"/>
      <c r="LSX1091"/>
      <c r="LTA1091"/>
      <c r="LTB1091"/>
      <c r="LTE1091"/>
      <c r="LTF1091"/>
      <c r="LTI1091"/>
      <c r="LTJ1091"/>
      <c r="LTM1091"/>
      <c r="LTN1091"/>
      <c r="LTQ1091"/>
      <c r="LTR1091"/>
      <c r="LTU1091"/>
      <c r="LTV1091"/>
      <c r="LTY1091"/>
      <c r="LTZ1091"/>
      <c r="LUC1091"/>
      <c r="LUD1091"/>
      <c r="LUG1091"/>
      <c r="LUH1091"/>
      <c r="LUK1091"/>
      <c r="LUL1091"/>
      <c r="LUO1091"/>
      <c r="LUP1091"/>
      <c r="LUS1091"/>
      <c r="LUT1091"/>
      <c r="LUW1091"/>
      <c r="LUX1091"/>
      <c r="LVA1091"/>
      <c r="LVB1091"/>
      <c r="LVE1091"/>
      <c r="LVF1091"/>
      <c r="LVI1091"/>
      <c r="LVJ1091"/>
      <c r="LVM1091"/>
      <c r="LVN1091"/>
      <c r="LVQ1091"/>
      <c r="LVR1091"/>
      <c r="LVU1091"/>
      <c r="LVV1091"/>
      <c r="LVY1091"/>
      <c r="LVZ1091"/>
      <c r="LWC1091"/>
      <c r="LWD1091"/>
      <c r="LWG1091"/>
      <c r="LWH1091"/>
      <c r="LWK1091"/>
      <c r="LWL1091"/>
      <c r="LWO1091"/>
      <c r="LWP1091"/>
      <c r="LWS1091"/>
      <c r="LWT1091"/>
      <c r="LWW1091"/>
      <c r="LWX1091"/>
      <c r="LXA1091"/>
      <c r="LXB1091"/>
      <c r="LXE1091"/>
      <c r="LXF1091"/>
      <c r="LXI1091"/>
      <c r="LXJ1091"/>
      <c r="LXM1091"/>
      <c r="LXN1091"/>
      <c r="LXQ1091"/>
      <c r="LXR1091"/>
      <c r="LXU1091"/>
      <c r="LXV1091"/>
      <c r="LXY1091"/>
      <c r="LXZ1091"/>
      <c r="LYC1091"/>
      <c r="LYD1091"/>
      <c r="LYG1091"/>
      <c r="LYH1091"/>
      <c r="LYK1091"/>
      <c r="LYL1091"/>
      <c r="LYO1091"/>
      <c r="LYP1091"/>
      <c r="LYS1091"/>
      <c r="LYT1091"/>
      <c r="LYW1091"/>
      <c r="LYX1091"/>
      <c r="LZA1091"/>
      <c r="LZB1091"/>
      <c r="LZE1091"/>
      <c r="LZF1091"/>
      <c r="LZI1091"/>
      <c r="LZJ1091"/>
      <c r="LZM1091"/>
      <c r="LZN1091"/>
      <c r="LZQ1091"/>
      <c r="LZR1091"/>
      <c r="LZU1091"/>
      <c r="LZV1091"/>
      <c r="LZY1091"/>
      <c r="LZZ1091"/>
      <c r="MAC1091"/>
      <c r="MAD1091"/>
      <c r="MAG1091"/>
      <c r="MAH1091"/>
      <c r="MAK1091"/>
      <c r="MAL1091"/>
      <c r="MAO1091"/>
      <c r="MAP1091"/>
      <c r="MAS1091"/>
      <c r="MAT1091"/>
      <c r="MAW1091"/>
      <c r="MAX1091"/>
      <c r="MBA1091"/>
      <c r="MBB1091"/>
      <c r="MBE1091"/>
      <c r="MBF1091"/>
      <c r="MBI1091"/>
      <c r="MBJ1091"/>
      <c r="MBM1091"/>
      <c r="MBN1091"/>
      <c r="MBQ1091"/>
      <c r="MBR1091"/>
      <c r="MBU1091"/>
      <c r="MBV1091"/>
      <c r="MBY1091"/>
      <c r="MBZ1091"/>
      <c r="MCC1091"/>
      <c r="MCD1091"/>
      <c r="MCG1091"/>
      <c r="MCH1091"/>
      <c r="MCK1091"/>
      <c r="MCL1091"/>
      <c r="MCO1091"/>
      <c r="MCP1091"/>
      <c r="MCS1091"/>
      <c r="MCT1091"/>
      <c r="MCW1091"/>
      <c r="MCX1091"/>
      <c r="MDA1091"/>
      <c r="MDB1091"/>
      <c r="MDE1091"/>
      <c r="MDF1091"/>
      <c r="MDI1091"/>
      <c r="MDJ1091"/>
      <c r="MDM1091"/>
      <c r="MDN1091"/>
      <c r="MDQ1091"/>
      <c r="MDR1091"/>
      <c r="MDU1091"/>
      <c r="MDV1091"/>
      <c r="MDY1091"/>
      <c r="MDZ1091"/>
      <c r="MEC1091"/>
      <c r="MED1091"/>
      <c r="MEG1091"/>
      <c r="MEH1091"/>
      <c r="MEK1091"/>
      <c r="MEL1091"/>
      <c r="MEO1091"/>
      <c r="MEP1091"/>
      <c r="MES1091"/>
      <c r="MET1091"/>
      <c r="MEW1091"/>
      <c r="MEX1091"/>
      <c r="MFA1091"/>
      <c r="MFB1091"/>
      <c r="MFE1091"/>
      <c r="MFF1091"/>
      <c r="MFI1091"/>
      <c r="MFJ1091"/>
      <c r="MFM1091"/>
      <c r="MFN1091"/>
      <c r="MFQ1091"/>
      <c r="MFR1091"/>
      <c r="MFU1091"/>
      <c r="MFV1091"/>
      <c r="MFY1091"/>
      <c r="MFZ1091"/>
      <c r="MGC1091"/>
      <c r="MGD1091"/>
      <c r="MGG1091"/>
      <c r="MGH1091"/>
      <c r="MGK1091"/>
      <c r="MGL1091"/>
      <c r="MGO1091"/>
      <c r="MGP1091"/>
      <c r="MGS1091"/>
      <c r="MGT1091"/>
      <c r="MGW1091"/>
      <c r="MGX1091"/>
      <c r="MHA1091"/>
      <c r="MHB1091"/>
      <c r="MHE1091"/>
      <c r="MHF1091"/>
      <c r="MHI1091"/>
      <c r="MHJ1091"/>
      <c r="MHM1091"/>
      <c r="MHN1091"/>
      <c r="MHQ1091"/>
      <c r="MHR1091"/>
      <c r="MHU1091"/>
      <c r="MHV1091"/>
      <c r="MHY1091"/>
      <c r="MHZ1091"/>
      <c r="MIC1091"/>
      <c r="MID1091"/>
      <c r="MIG1091"/>
      <c r="MIH1091"/>
      <c r="MIK1091"/>
      <c r="MIL1091"/>
      <c r="MIO1091"/>
      <c r="MIP1091"/>
      <c r="MIS1091"/>
      <c r="MIT1091"/>
      <c r="MIW1091"/>
      <c r="MIX1091"/>
      <c r="MJA1091"/>
      <c r="MJB1091"/>
      <c r="MJE1091"/>
      <c r="MJF1091"/>
      <c r="MJI1091"/>
      <c r="MJJ1091"/>
      <c r="MJM1091"/>
      <c r="MJN1091"/>
      <c r="MJQ1091"/>
      <c r="MJR1091"/>
      <c r="MJU1091"/>
      <c r="MJV1091"/>
      <c r="MJY1091"/>
      <c r="MJZ1091"/>
      <c r="MKC1091"/>
      <c r="MKD1091"/>
      <c r="MKG1091"/>
      <c r="MKH1091"/>
      <c r="MKK1091"/>
      <c r="MKL1091"/>
      <c r="MKO1091"/>
      <c r="MKP1091"/>
      <c r="MKS1091"/>
      <c r="MKT1091"/>
      <c r="MKW1091"/>
      <c r="MKX1091"/>
      <c r="MLA1091"/>
      <c r="MLB1091"/>
      <c r="MLE1091"/>
      <c r="MLF1091"/>
      <c r="MLI1091"/>
      <c r="MLJ1091"/>
      <c r="MLM1091"/>
      <c r="MLN1091"/>
      <c r="MLQ1091"/>
      <c r="MLR1091"/>
      <c r="MLU1091"/>
      <c r="MLV1091"/>
      <c r="MLY1091"/>
      <c r="MLZ1091"/>
      <c r="MMC1091"/>
      <c r="MMD1091"/>
      <c r="MMG1091"/>
      <c r="MMH1091"/>
      <c r="MMK1091"/>
      <c r="MML1091"/>
      <c r="MMO1091"/>
      <c r="MMP1091"/>
      <c r="MMS1091"/>
      <c r="MMT1091"/>
      <c r="MMW1091"/>
      <c r="MMX1091"/>
      <c r="MNA1091"/>
      <c r="MNB1091"/>
      <c r="MNE1091"/>
      <c r="MNF1091"/>
      <c r="MNI1091"/>
      <c r="MNJ1091"/>
      <c r="MNM1091"/>
      <c r="MNN1091"/>
      <c r="MNQ1091"/>
      <c r="MNR1091"/>
      <c r="MNU1091"/>
      <c r="MNV1091"/>
      <c r="MNY1091"/>
      <c r="MNZ1091"/>
      <c r="MOC1091"/>
      <c r="MOD1091"/>
      <c r="MOG1091"/>
      <c r="MOH1091"/>
      <c r="MOK1091"/>
      <c r="MOL1091"/>
      <c r="MOO1091"/>
      <c r="MOP1091"/>
      <c r="MOS1091"/>
      <c r="MOT1091"/>
      <c r="MOW1091"/>
      <c r="MOX1091"/>
      <c r="MPA1091"/>
      <c r="MPB1091"/>
      <c r="MPE1091"/>
      <c r="MPF1091"/>
      <c r="MPI1091"/>
      <c r="MPJ1091"/>
      <c r="MPM1091"/>
      <c r="MPN1091"/>
      <c r="MPQ1091"/>
      <c r="MPR1091"/>
      <c r="MPU1091"/>
      <c r="MPV1091"/>
      <c r="MPY1091"/>
      <c r="MPZ1091"/>
      <c r="MQC1091"/>
      <c r="MQD1091"/>
      <c r="MQG1091"/>
      <c r="MQH1091"/>
      <c r="MQK1091"/>
      <c r="MQL1091"/>
      <c r="MQO1091"/>
      <c r="MQP1091"/>
      <c r="MQS1091"/>
      <c r="MQT1091"/>
      <c r="MQW1091"/>
      <c r="MQX1091"/>
      <c r="MRA1091"/>
      <c r="MRB1091"/>
      <c r="MRE1091"/>
      <c r="MRF1091"/>
      <c r="MRI1091"/>
      <c r="MRJ1091"/>
      <c r="MRM1091"/>
      <c r="MRN1091"/>
      <c r="MRQ1091"/>
      <c r="MRR1091"/>
      <c r="MRU1091"/>
      <c r="MRV1091"/>
      <c r="MRY1091"/>
      <c r="MRZ1091"/>
      <c r="MSC1091"/>
      <c r="MSD1091"/>
      <c r="MSG1091"/>
      <c r="MSH1091"/>
      <c r="MSK1091"/>
      <c r="MSL1091"/>
      <c r="MSO1091"/>
      <c r="MSP1091"/>
      <c r="MSS1091"/>
      <c r="MST1091"/>
      <c r="MSW1091"/>
      <c r="MSX1091"/>
      <c r="MTA1091"/>
      <c r="MTB1091"/>
      <c r="MTE1091"/>
      <c r="MTF1091"/>
      <c r="MTI1091"/>
      <c r="MTJ1091"/>
      <c r="MTM1091"/>
      <c r="MTN1091"/>
      <c r="MTQ1091"/>
      <c r="MTR1091"/>
      <c r="MTU1091"/>
      <c r="MTV1091"/>
      <c r="MTY1091"/>
      <c r="MTZ1091"/>
      <c r="MUC1091"/>
      <c r="MUD1091"/>
      <c r="MUG1091"/>
      <c r="MUH1091"/>
      <c r="MUK1091"/>
      <c r="MUL1091"/>
      <c r="MUO1091"/>
      <c r="MUP1091"/>
      <c r="MUS1091"/>
      <c r="MUT1091"/>
      <c r="MUW1091"/>
      <c r="MUX1091"/>
      <c r="MVA1091"/>
      <c r="MVB1091"/>
      <c r="MVE1091"/>
      <c r="MVF1091"/>
      <c r="MVI1091"/>
      <c r="MVJ1091"/>
      <c r="MVM1091"/>
      <c r="MVN1091"/>
      <c r="MVQ1091"/>
      <c r="MVR1091"/>
      <c r="MVU1091"/>
      <c r="MVV1091"/>
      <c r="MVY1091"/>
      <c r="MVZ1091"/>
      <c r="MWC1091"/>
      <c r="MWD1091"/>
      <c r="MWG1091"/>
      <c r="MWH1091"/>
      <c r="MWK1091"/>
      <c r="MWL1091"/>
      <c r="MWO1091"/>
      <c r="MWP1091"/>
      <c r="MWS1091"/>
      <c r="MWT1091"/>
      <c r="MWW1091"/>
      <c r="MWX1091"/>
      <c r="MXA1091"/>
      <c r="MXB1091"/>
      <c r="MXE1091"/>
      <c r="MXF1091"/>
      <c r="MXI1091"/>
      <c r="MXJ1091"/>
      <c r="MXM1091"/>
      <c r="MXN1091"/>
      <c r="MXQ1091"/>
      <c r="MXR1091"/>
      <c r="MXU1091"/>
      <c r="MXV1091"/>
      <c r="MXY1091"/>
      <c r="MXZ1091"/>
      <c r="MYC1091"/>
      <c r="MYD1091"/>
      <c r="MYG1091"/>
      <c r="MYH1091"/>
      <c r="MYK1091"/>
      <c r="MYL1091"/>
      <c r="MYO1091"/>
      <c r="MYP1091"/>
      <c r="MYS1091"/>
      <c r="MYT1091"/>
      <c r="MYW1091"/>
      <c r="MYX1091"/>
      <c r="MZA1091"/>
      <c r="MZB1091"/>
      <c r="MZE1091"/>
      <c r="MZF1091"/>
      <c r="MZI1091"/>
      <c r="MZJ1091"/>
      <c r="MZM1091"/>
      <c r="MZN1091"/>
      <c r="MZQ1091"/>
      <c r="MZR1091"/>
      <c r="MZU1091"/>
      <c r="MZV1091"/>
      <c r="MZY1091"/>
      <c r="MZZ1091"/>
      <c r="NAC1091"/>
      <c r="NAD1091"/>
      <c r="NAG1091"/>
      <c r="NAH1091"/>
      <c r="NAK1091"/>
      <c r="NAL1091"/>
      <c r="NAO1091"/>
      <c r="NAP1091"/>
      <c r="NAS1091"/>
      <c r="NAT1091"/>
      <c r="NAW1091"/>
      <c r="NAX1091"/>
      <c r="NBA1091"/>
      <c r="NBB1091"/>
      <c r="NBE1091"/>
      <c r="NBF1091"/>
      <c r="NBI1091"/>
      <c r="NBJ1091"/>
      <c r="NBM1091"/>
      <c r="NBN1091"/>
      <c r="NBQ1091"/>
      <c r="NBR1091"/>
      <c r="NBU1091"/>
      <c r="NBV1091"/>
      <c r="NBY1091"/>
      <c r="NBZ1091"/>
      <c r="NCC1091"/>
      <c r="NCD1091"/>
      <c r="NCG1091"/>
      <c r="NCH1091"/>
      <c r="NCK1091"/>
      <c r="NCL1091"/>
      <c r="NCO1091"/>
      <c r="NCP1091"/>
      <c r="NCS1091"/>
      <c r="NCT1091"/>
      <c r="NCW1091"/>
      <c r="NCX1091"/>
      <c r="NDA1091"/>
      <c r="NDB1091"/>
      <c r="NDE1091"/>
      <c r="NDF1091"/>
      <c r="NDI1091"/>
      <c r="NDJ1091"/>
      <c r="NDM1091"/>
      <c r="NDN1091"/>
      <c r="NDQ1091"/>
      <c r="NDR1091"/>
      <c r="NDU1091"/>
      <c r="NDV1091"/>
      <c r="NDY1091"/>
      <c r="NDZ1091"/>
      <c r="NEC1091"/>
      <c r="NED1091"/>
      <c r="NEG1091"/>
      <c r="NEH1091"/>
      <c r="NEK1091"/>
      <c r="NEL1091"/>
      <c r="NEO1091"/>
      <c r="NEP1091"/>
      <c r="NES1091"/>
      <c r="NET1091"/>
      <c r="NEW1091"/>
      <c r="NEX1091"/>
      <c r="NFA1091"/>
      <c r="NFB1091"/>
      <c r="NFE1091"/>
      <c r="NFF1091"/>
      <c r="NFI1091"/>
      <c r="NFJ1091"/>
      <c r="NFM1091"/>
      <c r="NFN1091"/>
      <c r="NFQ1091"/>
      <c r="NFR1091"/>
      <c r="NFU1091"/>
      <c r="NFV1091"/>
      <c r="NFY1091"/>
      <c r="NFZ1091"/>
      <c r="NGC1091"/>
      <c r="NGD1091"/>
      <c r="NGG1091"/>
      <c r="NGH1091"/>
      <c r="NGK1091"/>
      <c r="NGL1091"/>
      <c r="NGO1091"/>
      <c r="NGP1091"/>
      <c r="NGS1091"/>
      <c r="NGT1091"/>
      <c r="NGW1091"/>
      <c r="NGX1091"/>
      <c r="NHA1091"/>
      <c r="NHB1091"/>
      <c r="NHE1091"/>
      <c r="NHF1091"/>
      <c r="NHI1091"/>
      <c r="NHJ1091"/>
      <c r="NHM1091"/>
      <c r="NHN1091"/>
      <c r="NHQ1091"/>
      <c r="NHR1091"/>
      <c r="NHU1091"/>
      <c r="NHV1091"/>
      <c r="NHY1091"/>
      <c r="NHZ1091"/>
      <c r="NIC1091"/>
      <c r="NID1091"/>
      <c r="NIG1091"/>
      <c r="NIH1091"/>
      <c r="NIK1091"/>
      <c r="NIL1091"/>
      <c r="NIO1091"/>
      <c r="NIP1091"/>
      <c r="NIS1091"/>
      <c r="NIT1091"/>
      <c r="NIW1091"/>
      <c r="NIX1091"/>
      <c r="NJA1091"/>
      <c r="NJB1091"/>
      <c r="NJE1091"/>
      <c r="NJF1091"/>
      <c r="NJI1091"/>
      <c r="NJJ1091"/>
      <c r="NJM1091"/>
      <c r="NJN1091"/>
      <c r="NJQ1091"/>
      <c r="NJR1091"/>
      <c r="NJU1091"/>
      <c r="NJV1091"/>
      <c r="NJY1091"/>
      <c r="NJZ1091"/>
      <c r="NKC1091"/>
      <c r="NKD1091"/>
      <c r="NKG1091"/>
      <c r="NKH1091"/>
      <c r="NKK1091"/>
      <c r="NKL1091"/>
      <c r="NKO1091"/>
      <c r="NKP1091"/>
      <c r="NKS1091"/>
      <c r="NKT1091"/>
      <c r="NKW1091"/>
      <c r="NKX1091"/>
      <c r="NLA1091"/>
      <c r="NLB1091"/>
      <c r="NLE1091"/>
      <c r="NLF1091"/>
      <c r="NLI1091"/>
      <c r="NLJ1091"/>
      <c r="NLM1091"/>
      <c r="NLN1091"/>
      <c r="NLQ1091"/>
      <c r="NLR1091"/>
      <c r="NLU1091"/>
      <c r="NLV1091"/>
      <c r="NLY1091"/>
      <c r="NLZ1091"/>
      <c r="NMC1091"/>
      <c r="NMD1091"/>
      <c r="NMG1091"/>
      <c r="NMH1091"/>
      <c r="NMK1091"/>
      <c r="NML1091"/>
      <c r="NMO1091"/>
      <c r="NMP1091"/>
      <c r="NMS1091"/>
      <c r="NMT1091"/>
      <c r="NMW1091"/>
      <c r="NMX1091"/>
      <c r="NNA1091"/>
      <c r="NNB1091"/>
      <c r="NNE1091"/>
      <c r="NNF1091"/>
      <c r="NNI1091"/>
      <c r="NNJ1091"/>
      <c r="NNM1091"/>
      <c r="NNN1091"/>
      <c r="NNQ1091"/>
      <c r="NNR1091"/>
      <c r="NNU1091"/>
      <c r="NNV1091"/>
      <c r="NNY1091"/>
      <c r="NNZ1091"/>
      <c r="NOC1091"/>
      <c r="NOD1091"/>
      <c r="NOG1091"/>
      <c r="NOH1091"/>
      <c r="NOK1091"/>
      <c r="NOL1091"/>
      <c r="NOO1091"/>
      <c r="NOP1091"/>
      <c r="NOS1091"/>
      <c r="NOT1091"/>
      <c r="NOW1091"/>
      <c r="NOX1091"/>
      <c r="NPA1091"/>
      <c r="NPB1091"/>
      <c r="NPE1091"/>
      <c r="NPF1091"/>
      <c r="NPI1091"/>
      <c r="NPJ1091"/>
      <c r="NPM1091"/>
      <c r="NPN1091"/>
      <c r="NPQ1091"/>
      <c r="NPR1091"/>
      <c r="NPU1091"/>
      <c r="NPV1091"/>
      <c r="NPY1091"/>
      <c r="NPZ1091"/>
      <c r="NQC1091"/>
      <c r="NQD1091"/>
      <c r="NQG1091"/>
      <c r="NQH1091"/>
      <c r="NQK1091"/>
      <c r="NQL1091"/>
      <c r="NQO1091"/>
      <c r="NQP1091"/>
      <c r="NQS1091"/>
      <c r="NQT1091"/>
      <c r="NQW1091"/>
      <c r="NQX1091"/>
      <c r="NRA1091"/>
      <c r="NRB1091"/>
      <c r="NRE1091"/>
      <c r="NRF1091"/>
      <c r="NRI1091"/>
      <c r="NRJ1091"/>
      <c r="NRM1091"/>
      <c r="NRN1091"/>
      <c r="NRQ1091"/>
      <c r="NRR1091"/>
      <c r="NRU1091"/>
      <c r="NRV1091"/>
      <c r="NRY1091"/>
      <c r="NRZ1091"/>
      <c r="NSC1091"/>
      <c r="NSD1091"/>
      <c r="NSG1091"/>
      <c r="NSH1091"/>
      <c r="NSK1091"/>
      <c r="NSL1091"/>
      <c r="NSO1091"/>
      <c r="NSP1091"/>
      <c r="NSS1091"/>
      <c r="NST1091"/>
      <c r="NSW1091"/>
      <c r="NSX1091"/>
      <c r="NTA1091"/>
      <c r="NTB1091"/>
      <c r="NTE1091"/>
      <c r="NTF1091"/>
      <c r="NTI1091"/>
      <c r="NTJ1091"/>
      <c r="NTM1091"/>
      <c r="NTN1091"/>
      <c r="NTQ1091"/>
      <c r="NTR1091"/>
      <c r="NTU1091"/>
      <c r="NTV1091"/>
      <c r="NTY1091"/>
      <c r="NTZ1091"/>
      <c r="NUC1091"/>
      <c r="NUD1091"/>
      <c r="NUG1091"/>
      <c r="NUH1091"/>
      <c r="NUK1091"/>
      <c r="NUL1091"/>
      <c r="NUO1091"/>
      <c r="NUP1091"/>
      <c r="NUS1091"/>
      <c r="NUT1091"/>
      <c r="NUW1091"/>
      <c r="NUX1091"/>
      <c r="NVA1091"/>
      <c r="NVB1091"/>
      <c r="NVE1091"/>
      <c r="NVF1091"/>
      <c r="NVI1091"/>
      <c r="NVJ1091"/>
      <c r="NVM1091"/>
      <c r="NVN1091"/>
      <c r="NVQ1091"/>
      <c r="NVR1091"/>
      <c r="NVU1091"/>
      <c r="NVV1091"/>
      <c r="NVY1091"/>
      <c r="NVZ1091"/>
      <c r="NWC1091"/>
      <c r="NWD1091"/>
      <c r="NWG1091"/>
      <c r="NWH1091"/>
      <c r="NWK1091"/>
      <c r="NWL1091"/>
      <c r="NWO1091"/>
      <c r="NWP1091"/>
      <c r="NWS1091"/>
      <c r="NWT1091"/>
      <c r="NWW1091"/>
      <c r="NWX1091"/>
      <c r="NXA1091"/>
      <c r="NXB1091"/>
      <c r="NXE1091"/>
      <c r="NXF1091"/>
      <c r="NXI1091"/>
      <c r="NXJ1091"/>
      <c r="NXM1091"/>
      <c r="NXN1091"/>
      <c r="NXQ1091"/>
      <c r="NXR1091"/>
      <c r="NXU1091"/>
      <c r="NXV1091"/>
      <c r="NXY1091"/>
      <c r="NXZ1091"/>
      <c r="NYC1091"/>
      <c r="NYD1091"/>
      <c r="NYG1091"/>
      <c r="NYH1091"/>
      <c r="NYK1091"/>
      <c r="NYL1091"/>
      <c r="NYO1091"/>
      <c r="NYP1091"/>
      <c r="NYS1091"/>
      <c r="NYT1091"/>
      <c r="NYW1091"/>
      <c r="NYX1091"/>
      <c r="NZA1091"/>
      <c r="NZB1091"/>
      <c r="NZE1091"/>
      <c r="NZF1091"/>
      <c r="NZI1091"/>
      <c r="NZJ1091"/>
      <c r="NZM1091"/>
      <c r="NZN1091"/>
      <c r="NZQ1091"/>
      <c r="NZR1091"/>
      <c r="NZU1091"/>
      <c r="NZV1091"/>
      <c r="NZY1091"/>
      <c r="NZZ1091"/>
      <c r="OAC1091"/>
      <c r="OAD1091"/>
      <c r="OAG1091"/>
      <c r="OAH1091"/>
      <c r="OAK1091"/>
      <c r="OAL1091"/>
      <c r="OAO1091"/>
      <c r="OAP1091"/>
      <c r="OAS1091"/>
      <c r="OAT1091"/>
      <c r="OAW1091"/>
      <c r="OAX1091"/>
      <c r="OBA1091"/>
      <c r="OBB1091"/>
      <c r="OBE1091"/>
      <c r="OBF1091"/>
      <c r="OBI1091"/>
      <c r="OBJ1091"/>
      <c r="OBM1091"/>
      <c r="OBN1091"/>
      <c r="OBQ1091"/>
      <c r="OBR1091"/>
      <c r="OBU1091"/>
      <c r="OBV1091"/>
      <c r="OBY1091"/>
      <c r="OBZ1091"/>
      <c r="OCC1091"/>
      <c r="OCD1091"/>
      <c r="OCG1091"/>
      <c r="OCH1091"/>
      <c r="OCK1091"/>
      <c r="OCL1091"/>
      <c r="OCO1091"/>
      <c r="OCP1091"/>
      <c r="OCS1091"/>
      <c r="OCT1091"/>
      <c r="OCW1091"/>
      <c r="OCX1091"/>
      <c r="ODA1091"/>
      <c r="ODB1091"/>
      <c r="ODE1091"/>
      <c r="ODF1091"/>
      <c r="ODI1091"/>
      <c r="ODJ1091"/>
      <c r="ODM1091"/>
      <c r="ODN1091"/>
      <c r="ODQ1091"/>
      <c r="ODR1091"/>
      <c r="ODU1091"/>
      <c r="ODV1091"/>
      <c r="ODY1091"/>
      <c r="ODZ1091"/>
      <c r="OEC1091"/>
      <c r="OED1091"/>
      <c r="OEG1091"/>
      <c r="OEH1091"/>
      <c r="OEK1091"/>
      <c r="OEL1091"/>
      <c r="OEO1091"/>
      <c r="OEP1091"/>
      <c r="OES1091"/>
      <c r="OET1091"/>
      <c r="OEW1091"/>
      <c r="OEX1091"/>
      <c r="OFA1091"/>
      <c r="OFB1091"/>
      <c r="OFE1091"/>
      <c r="OFF1091"/>
      <c r="OFI1091"/>
      <c r="OFJ1091"/>
      <c r="OFM1091"/>
      <c r="OFN1091"/>
      <c r="OFQ1091"/>
      <c r="OFR1091"/>
      <c r="OFU1091"/>
      <c r="OFV1091"/>
      <c r="OFY1091"/>
      <c r="OFZ1091"/>
      <c r="OGC1091"/>
      <c r="OGD1091"/>
      <c r="OGG1091"/>
      <c r="OGH1091"/>
      <c r="OGK1091"/>
      <c r="OGL1091"/>
      <c r="OGO1091"/>
      <c r="OGP1091"/>
      <c r="OGS1091"/>
      <c r="OGT1091"/>
      <c r="OGW1091"/>
      <c r="OGX1091"/>
      <c r="OHA1091"/>
      <c r="OHB1091"/>
      <c r="OHE1091"/>
      <c r="OHF1091"/>
      <c r="OHI1091"/>
      <c r="OHJ1091"/>
      <c r="OHM1091"/>
      <c r="OHN1091"/>
      <c r="OHQ1091"/>
      <c r="OHR1091"/>
      <c r="OHU1091"/>
      <c r="OHV1091"/>
      <c r="OHY1091"/>
      <c r="OHZ1091"/>
      <c r="OIC1091"/>
      <c r="OID1091"/>
      <c r="OIG1091"/>
      <c r="OIH1091"/>
      <c r="OIK1091"/>
      <c r="OIL1091"/>
      <c r="OIO1091"/>
      <c r="OIP1091"/>
      <c r="OIS1091"/>
      <c r="OIT1091"/>
      <c r="OIW1091"/>
      <c r="OIX1091"/>
      <c r="OJA1091"/>
      <c r="OJB1091"/>
      <c r="OJE1091"/>
      <c r="OJF1091"/>
      <c r="OJI1091"/>
      <c r="OJJ1091"/>
      <c r="OJM1091"/>
      <c r="OJN1091"/>
      <c r="OJQ1091"/>
      <c r="OJR1091"/>
      <c r="OJU1091"/>
      <c r="OJV1091"/>
      <c r="OJY1091"/>
      <c r="OJZ1091"/>
      <c r="OKC1091"/>
      <c r="OKD1091"/>
      <c r="OKG1091"/>
      <c r="OKH1091"/>
      <c r="OKK1091"/>
      <c r="OKL1091"/>
      <c r="OKO1091"/>
      <c r="OKP1091"/>
      <c r="OKS1091"/>
      <c r="OKT1091"/>
      <c r="OKW1091"/>
      <c r="OKX1091"/>
      <c r="OLA1091"/>
      <c r="OLB1091"/>
      <c r="OLE1091"/>
      <c r="OLF1091"/>
      <c r="OLI1091"/>
      <c r="OLJ1091"/>
      <c r="OLM1091"/>
      <c r="OLN1091"/>
      <c r="OLQ1091"/>
      <c r="OLR1091"/>
      <c r="OLU1091"/>
      <c r="OLV1091"/>
      <c r="OLY1091"/>
      <c r="OLZ1091"/>
      <c r="OMC1091"/>
      <c r="OMD1091"/>
      <c r="OMG1091"/>
      <c r="OMH1091"/>
      <c r="OMK1091"/>
      <c r="OML1091"/>
      <c r="OMO1091"/>
      <c r="OMP1091"/>
      <c r="OMS1091"/>
      <c r="OMT1091"/>
      <c r="OMW1091"/>
      <c r="OMX1091"/>
      <c r="ONA1091"/>
      <c r="ONB1091"/>
      <c r="ONE1091"/>
      <c r="ONF1091"/>
      <c r="ONI1091"/>
      <c r="ONJ1091"/>
      <c r="ONM1091"/>
      <c r="ONN1091"/>
      <c r="ONQ1091"/>
      <c r="ONR1091"/>
      <c r="ONU1091"/>
      <c r="ONV1091"/>
      <c r="ONY1091"/>
      <c r="ONZ1091"/>
      <c r="OOC1091"/>
      <c r="OOD1091"/>
      <c r="OOG1091"/>
      <c r="OOH1091"/>
      <c r="OOK1091"/>
      <c r="OOL1091"/>
      <c r="OOO1091"/>
      <c r="OOP1091"/>
      <c r="OOS1091"/>
      <c r="OOT1091"/>
      <c r="OOW1091"/>
      <c r="OOX1091"/>
      <c r="OPA1091"/>
      <c r="OPB1091"/>
      <c r="OPE1091"/>
      <c r="OPF1091"/>
      <c r="OPI1091"/>
      <c r="OPJ1091"/>
      <c r="OPM1091"/>
      <c r="OPN1091"/>
      <c r="OPQ1091"/>
      <c r="OPR1091"/>
      <c r="OPU1091"/>
      <c r="OPV1091"/>
      <c r="OPY1091"/>
      <c r="OPZ1091"/>
      <c r="OQC1091"/>
      <c r="OQD1091"/>
      <c r="OQG1091"/>
      <c r="OQH1091"/>
      <c r="OQK1091"/>
      <c r="OQL1091"/>
      <c r="OQO1091"/>
      <c r="OQP1091"/>
      <c r="OQS1091"/>
      <c r="OQT1091"/>
      <c r="OQW1091"/>
      <c r="OQX1091"/>
      <c r="ORA1091"/>
      <c r="ORB1091"/>
      <c r="ORE1091"/>
      <c r="ORF1091"/>
      <c r="ORI1091"/>
      <c r="ORJ1091"/>
      <c r="ORM1091"/>
      <c r="ORN1091"/>
      <c r="ORQ1091"/>
      <c r="ORR1091"/>
      <c r="ORU1091"/>
      <c r="ORV1091"/>
      <c r="ORY1091"/>
      <c r="ORZ1091"/>
      <c r="OSC1091"/>
      <c r="OSD1091"/>
      <c r="OSG1091"/>
      <c r="OSH1091"/>
      <c r="OSK1091"/>
      <c r="OSL1091"/>
      <c r="OSO1091"/>
      <c r="OSP1091"/>
      <c r="OSS1091"/>
      <c r="OST1091"/>
      <c r="OSW1091"/>
      <c r="OSX1091"/>
      <c r="OTA1091"/>
      <c r="OTB1091"/>
      <c r="OTE1091"/>
      <c r="OTF1091"/>
      <c r="OTI1091"/>
      <c r="OTJ1091"/>
      <c r="OTM1091"/>
      <c r="OTN1091"/>
      <c r="OTQ1091"/>
      <c r="OTR1091"/>
      <c r="OTU1091"/>
      <c r="OTV1091"/>
      <c r="OTY1091"/>
      <c r="OTZ1091"/>
      <c r="OUC1091"/>
      <c r="OUD1091"/>
      <c r="OUG1091"/>
      <c r="OUH1091"/>
      <c r="OUK1091"/>
      <c r="OUL1091"/>
      <c r="OUO1091"/>
      <c r="OUP1091"/>
      <c r="OUS1091"/>
      <c r="OUT1091"/>
      <c r="OUW1091"/>
      <c r="OUX1091"/>
      <c r="OVA1091"/>
      <c r="OVB1091"/>
      <c r="OVE1091"/>
      <c r="OVF1091"/>
      <c r="OVI1091"/>
      <c r="OVJ1091"/>
      <c r="OVM1091"/>
      <c r="OVN1091"/>
      <c r="OVQ1091"/>
      <c r="OVR1091"/>
      <c r="OVU1091"/>
      <c r="OVV1091"/>
      <c r="OVY1091"/>
      <c r="OVZ1091"/>
      <c r="OWC1091"/>
      <c r="OWD1091"/>
      <c r="OWG1091"/>
      <c r="OWH1091"/>
      <c r="OWK1091"/>
      <c r="OWL1091"/>
      <c r="OWO1091"/>
      <c r="OWP1091"/>
      <c r="OWS1091"/>
      <c r="OWT1091"/>
      <c r="OWW1091"/>
      <c r="OWX1091"/>
      <c r="OXA1091"/>
      <c r="OXB1091"/>
      <c r="OXE1091"/>
      <c r="OXF1091"/>
      <c r="OXI1091"/>
      <c r="OXJ1091"/>
      <c r="OXM1091"/>
      <c r="OXN1091"/>
      <c r="OXQ1091"/>
      <c r="OXR1091"/>
      <c r="OXU1091"/>
      <c r="OXV1091"/>
      <c r="OXY1091"/>
      <c r="OXZ1091"/>
      <c r="OYC1091"/>
      <c r="OYD1091"/>
      <c r="OYG1091"/>
      <c r="OYH1091"/>
      <c r="OYK1091"/>
      <c r="OYL1091"/>
      <c r="OYO1091"/>
      <c r="OYP1091"/>
      <c r="OYS1091"/>
      <c r="OYT1091"/>
      <c r="OYW1091"/>
      <c r="OYX1091"/>
      <c r="OZA1091"/>
      <c r="OZB1091"/>
      <c r="OZE1091"/>
      <c r="OZF1091"/>
      <c r="OZI1091"/>
      <c r="OZJ1091"/>
      <c r="OZM1091"/>
      <c r="OZN1091"/>
      <c r="OZQ1091"/>
      <c r="OZR1091"/>
      <c r="OZU1091"/>
      <c r="OZV1091"/>
      <c r="OZY1091"/>
      <c r="OZZ1091"/>
      <c r="PAC1091"/>
      <c r="PAD1091"/>
      <c r="PAG1091"/>
      <c r="PAH1091"/>
      <c r="PAK1091"/>
      <c r="PAL1091"/>
      <c r="PAO1091"/>
      <c r="PAP1091"/>
      <c r="PAS1091"/>
      <c r="PAT1091"/>
      <c r="PAW1091"/>
      <c r="PAX1091"/>
      <c r="PBA1091"/>
      <c r="PBB1091"/>
      <c r="PBE1091"/>
      <c r="PBF1091"/>
      <c r="PBI1091"/>
      <c r="PBJ1091"/>
      <c r="PBM1091"/>
      <c r="PBN1091"/>
      <c r="PBQ1091"/>
      <c r="PBR1091"/>
      <c r="PBU1091"/>
      <c r="PBV1091"/>
      <c r="PBY1091"/>
      <c r="PBZ1091"/>
      <c r="PCC1091"/>
      <c r="PCD1091"/>
      <c r="PCG1091"/>
      <c r="PCH1091"/>
      <c r="PCK1091"/>
      <c r="PCL1091"/>
      <c r="PCO1091"/>
      <c r="PCP1091"/>
      <c r="PCS1091"/>
      <c r="PCT1091"/>
      <c r="PCW1091"/>
      <c r="PCX1091"/>
      <c r="PDA1091"/>
      <c r="PDB1091"/>
      <c r="PDE1091"/>
      <c r="PDF1091"/>
      <c r="PDI1091"/>
      <c r="PDJ1091"/>
      <c r="PDM1091"/>
      <c r="PDN1091"/>
      <c r="PDQ1091"/>
      <c r="PDR1091"/>
      <c r="PDU1091"/>
      <c r="PDV1091"/>
      <c r="PDY1091"/>
      <c r="PDZ1091"/>
      <c r="PEC1091"/>
      <c r="PED1091"/>
      <c r="PEG1091"/>
      <c r="PEH1091"/>
      <c r="PEK1091"/>
      <c r="PEL1091"/>
      <c r="PEO1091"/>
      <c r="PEP1091"/>
      <c r="PES1091"/>
      <c r="PET1091"/>
      <c r="PEW1091"/>
      <c r="PEX1091"/>
      <c r="PFA1091"/>
      <c r="PFB1091"/>
      <c r="PFE1091"/>
      <c r="PFF1091"/>
      <c r="PFI1091"/>
      <c r="PFJ1091"/>
      <c r="PFM1091"/>
      <c r="PFN1091"/>
      <c r="PFQ1091"/>
      <c r="PFR1091"/>
      <c r="PFU1091"/>
      <c r="PFV1091"/>
      <c r="PFY1091"/>
      <c r="PFZ1091"/>
      <c r="PGC1091"/>
      <c r="PGD1091"/>
      <c r="PGG1091"/>
      <c r="PGH1091"/>
      <c r="PGK1091"/>
      <c r="PGL1091"/>
      <c r="PGO1091"/>
      <c r="PGP1091"/>
      <c r="PGS1091"/>
      <c r="PGT1091"/>
      <c r="PGW1091"/>
      <c r="PGX1091"/>
      <c r="PHA1091"/>
      <c r="PHB1091"/>
      <c r="PHE1091"/>
      <c r="PHF1091"/>
      <c r="PHI1091"/>
      <c r="PHJ1091"/>
      <c r="PHM1091"/>
      <c r="PHN1091"/>
      <c r="PHQ1091"/>
      <c r="PHR1091"/>
      <c r="PHU1091"/>
      <c r="PHV1091"/>
      <c r="PHY1091"/>
      <c r="PHZ1091"/>
      <c r="PIC1091"/>
      <c r="PID1091"/>
      <c r="PIG1091"/>
      <c r="PIH1091"/>
      <c r="PIK1091"/>
      <c r="PIL1091"/>
      <c r="PIO1091"/>
      <c r="PIP1091"/>
      <c r="PIS1091"/>
      <c r="PIT1091"/>
      <c r="PIW1091"/>
      <c r="PIX1091"/>
      <c r="PJA1091"/>
      <c r="PJB1091"/>
      <c r="PJE1091"/>
      <c r="PJF1091"/>
      <c r="PJI1091"/>
      <c r="PJJ1091"/>
      <c r="PJM1091"/>
      <c r="PJN1091"/>
      <c r="PJQ1091"/>
      <c r="PJR1091"/>
      <c r="PJU1091"/>
      <c r="PJV1091"/>
      <c r="PJY1091"/>
      <c r="PJZ1091"/>
      <c r="PKC1091"/>
      <c r="PKD1091"/>
      <c r="PKG1091"/>
      <c r="PKH1091"/>
      <c r="PKK1091"/>
      <c r="PKL1091"/>
      <c r="PKO1091"/>
      <c r="PKP1091"/>
      <c r="PKS1091"/>
      <c r="PKT1091"/>
      <c r="PKW1091"/>
      <c r="PKX1091"/>
      <c r="PLA1091"/>
      <c r="PLB1091"/>
      <c r="PLE1091"/>
      <c r="PLF1091"/>
      <c r="PLI1091"/>
      <c r="PLJ1091"/>
      <c r="PLM1091"/>
      <c r="PLN1091"/>
      <c r="PLQ1091"/>
      <c r="PLR1091"/>
      <c r="PLU1091"/>
      <c r="PLV1091"/>
      <c r="PLY1091"/>
      <c r="PLZ1091"/>
      <c r="PMC1091"/>
      <c r="PMD1091"/>
      <c r="PMG1091"/>
      <c r="PMH1091"/>
      <c r="PMK1091"/>
      <c r="PML1091"/>
      <c r="PMO1091"/>
      <c r="PMP1091"/>
      <c r="PMS1091"/>
      <c r="PMT1091"/>
      <c r="PMW1091"/>
      <c r="PMX1091"/>
      <c r="PNA1091"/>
      <c r="PNB1091"/>
      <c r="PNE1091"/>
      <c r="PNF1091"/>
      <c r="PNI1091"/>
      <c r="PNJ1091"/>
      <c r="PNM1091"/>
      <c r="PNN1091"/>
      <c r="PNQ1091"/>
      <c r="PNR1091"/>
      <c r="PNU1091"/>
      <c r="PNV1091"/>
      <c r="PNY1091"/>
      <c r="PNZ1091"/>
      <c r="POC1091"/>
      <c r="POD1091"/>
      <c r="POG1091"/>
      <c r="POH1091"/>
      <c r="POK1091"/>
      <c r="POL1091"/>
      <c r="POO1091"/>
      <c r="POP1091"/>
      <c r="POS1091"/>
      <c r="POT1091"/>
      <c r="POW1091"/>
      <c r="POX1091"/>
      <c r="PPA1091"/>
      <c r="PPB1091"/>
      <c r="PPE1091"/>
      <c r="PPF1091"/>
      <c r="PPI1091"/>
      <c r="PPJ1091"/>
      <c r="PPM1091"/>
      <c r="PPN1091"/>
      <c r="PPQ1091"/>
      <c r="PPR1091"/>
      <c r="PPU1091"/>
      <c r="PPV1091"/>
      <c r="PPY1091"/>
      <c r="PPZ1091"/>
      <c r="PQC1091"/>
      <c r="PQD1091"/>
      <c r="PQG1091"/>
      <c r="PQH1091"/>
      <c r="PQK1091"/>
      <c r="PQL1091"/>
      <c r="PQO1091"/>
      <c r="PQP1091"/>
      <c r="PQS1091"/>
      <c r="PQT1091"/>
      <c r="PQW1091"/>
      <c r="PQX1091"/>
      <c r="PRA1091"/>
      <c r="PRB1091"/>
      <c r="PRE1091"/>
      <c r="PRF1091"/>
      <c r="PRI1091"/>
      <c r="PRJ1091"/>
      <c r="PRM1091"/>
      <c r="PRN1091"/>
      <c r="PRQ1091"/>
      <c r="PRR1091"/>
      <c r="PRU1091"/>
      <c r="PRV1091"/>
      <c r="PRY1091"/>
      <c r="PRZ1091"/>
      <c r="PSC1091"/>
      <c r="PSD1091"/>
      <c r="PSG1091"/>
      <c r="PSH1091"/>
      <c r="PSK1091"/>
      <c r="PSL1091"/>
      <c r="PSO1091"/>
      <c r="PSP1091"/>
      <c r="PSS1091"/>
      <c r="PST1091"/>
      <c r="PSW1091"/>
      <c r="PSX1091"/>
      <c r="PTA1091"/>
      <c r="PTB1091"/>
      <c r="PTE1091"/>
      <c r="PTF1091"/>
      <c r="PTI1091"/>
      <c r="PTJ1091"/>
      <c r="PTM1091"/>
      <c r="PTN1091"/>
      <c r="PTQ1091"/>
      <c r="PTR1091"/>
      <c r="PTU1091"/>
      <c r="PTV1091"/>
      <c r="PTY1091"/>
      <c r="PTZ1091"/>
      <c r="PUC1091"/>
      <c r="PUD1091"/>
      <c r="PUG1091"/>
      <c r="PUH1091"/>
      <c r="PUK1091"/>
      <c r="PUL1091"/>
      <c r="PUO1091"/>
      <c r="PUP1091"/>
      <c r="PUS1091"/>
      <c r="PUT1091"/>
      <c r="PUW1091"/>
      <c r="PUX1091"/>
      <c r="PVA1091"/>
      <c r="PVB1091"/>
      <c r="PVE1091"/>
      <c r="PVF1091"/>
      <c r="PVI1091"/>
      <c r="PVJ1091"/>
      <c r="PVM1091"/>
      <c r="PVN1091"/>
      <c r="PVQ1091"/>
      <c r="PVR1091"/>
      <c r="PVU1091"/>
      <c r="PVV1091"/>
      <c r="PVY1091"/>
      <c r="PVZ1091"/>
      <c r="PWC1091"/>
      <c r="PWD1091"/>
      <c r="PWG1091"/>
      <c r="PWH1091"/>
      <c r="PWK1091"/>
      <c r="PWL1091"/>
      <c r="PWO1091"/>
      <c r="PWP1091"/>
      <c r="PWS1091"/>
      <c r="PWT1091"/>
      <c r="PWW1091"/>
      <c r="PWX1091"/>
      <c r="PXA1091"/>
      <c r="PXB1091"/>
      <c r="PXE1091"/>
      <c r="PXF1091"/>
      <c r="PXI1091"/>
      <c r="PXJ1091"/>
      <c r="PXM1091"/>
      <c r="PXN1091"/>
      <c r="PXQ1091"/>
      <c r="PXR1091"/>
      <c r="PXU1091"/>
      <c r="PXV1091"/>
      <c r="PXY1091"/>
      <c r="PXZ1091"/>
      <c r="PYC1091"/>
      <c r="PYD1091"/>
      <c r="PYG1091"/>
      <c r="PYH1091"/>
      <c r="PYK1091"/>
      <c r="PYL1091"/>
      <c r="PYO1091"/>
      <c r="PYP1091"/>
      <c r="PYS1091"/>
      <c r="PYT1091"/>
      <c r="PYW1091"/>
      <c r="PYX1091"/>
      <c r="PZA1091"/>
      <c r="PZB1091"/>
      <c r="PZE1091"/>
      <c r="PZF1091"/>
      <c r="PZI1091"/>
      <c r="PZJ1091"/>
      <c r="PZM1091"/>
      <c r="PZN1091"/>
      <c r="PZQ1091"/>
      <c r="PZR1091"/>
      <c r="PZU1091"/>
      <c r="PZV1091"/>
      <c r="PZY1091"/>
      <c r="PZZ1091"/>
      <c r="QAC1091"/>
      <c r="QAD1091"/>
      <c r="QAG1091"/>
      <c r="QAH1091"/>
      <c r="QAK1091"/>
      <c r="QAL1091"/>
      <c r="QAO1091"/>
      <c r="QAP1091"/>
      <c r="QAS1091"/>
      <c r="QAT1091"/>
      <c r="QAW1091"/>
      <c r="QAX1091"/>
      <c r="QBA1091"/>
      <c r="QBB1091"/>
      <c r="QBE1091"/>
      <c r="QBF1091"/>
      <c r="QBI1091"/>
      <c r="QBJ1091"/>
      <c r="QBM1091"/>
      <c r="QBN1091"/>
      <c r="QBQ1091"/>
      <c r="QBR1091"/>
      <c r="QBU1091"/>
      <c r="QBV1091"/>
      <c r="QBY1091"/>
      <c r="QBZ1091"/>
      <c r="QCC1091"/>
      <c r="QCD1091"/>
      <c r="QCG1091"/>
      <c r="QCH1091"/>
      <c r="QCK1091"/>
      <c r="QCL1091"/>
      <c r="QCO1091"/>
      <c r="QCP1091"/>
      <c r="QCS1091"/>
      <c r="QCT1091"/>
      <c r="QCW1091"/>
      <c r="QCX1091"/>
      <c r="QDA1091"/>
      <c r="QDB1091"/>
      <c r="QDE1091"/>
      <c r="QDF1091"/>
      <c r="QDI1091"/>
      <c r="QDJ1091"/>
      <c r="QDM1091"/>
      <c r="QDN1091"/>
      <c r="QDQ1091"/>
      <c r="QDR1091"/>
      <c r="QDU1091"/>
      <c r="QDV1091"/>
      <c r="QDY1091"/>
      <c r="QDZ1091"/>
      <c r="QEC1091"/>
      <c r="QED1091"/>
      <c r="QEG1091"/>
      <c r="QEH1091"/>
      <c r="QEK1091"/>
      <c r="QEL1091"/>
      <c r="QEO1091"/>
      <c r="QEP1091"/>
      <c r="QES1091"/>
      <c r="QET1091"/>
      <c r="QEW1091"/>
      <c r="QEX1091"/>
      <c r="QFA1091"/>
      <c r="QFB1091"/>
      <c r="QFE1091"/>
      <c r="QFF1091"/>
      <c r="QFI1091"/>
      <c r="QFJ1091"/>
      <c r="QFM1091"/>
      <c r="QFN1091"/>
      <c r="QFQ1091"/>
      <c r="QFR1091"/>
      <c r="QFU1091"/>
      <c r="QFV1091"/>
      <c r="QFY1091"/>
      <c r="QFZ1091"/>
      <c r="QGC1091"/>
      <c r="QGD1091"/>
      <c r="QGG1091"/>
      <c r="QGH1091"/>
      <c r="QGK1091"/>
      <c r="QGL1091"/>
      <c r="QGO1091"/>
      <c r="QGP1091"/>
      <c r="QGS1091"/>
      <c r="QGT1091"/>
      <c r="QGW1091"/>
      <c r="QGX1091"/>
      <c r="QHA1091"/>
      <c r="QHB1091"/>
      <c r="QHE1091"/>
      <c r="QHF1091"/>
      <c r="QHI1091"/>
      <c r="QHJ1091"/>
      <c r="QHM1091"/>
      <c r="QHN1091"/>
      <c r="QHQ1091"/>
      <c r="QHR1091"/>
      <c r="QHU1091"/>
      <c r="QHV1091"/>
      <c r="QHY1091"/>
      <c r="QHZ1091"/>
      <c r="QIC1091"/>
      <c r="QID1091"/>
      <c r="QIG1091"/>
      <c r="QIH1091"/>
      <c r="QIK1091"/>
      <c r="QIL1091"/>
      <c r="QIO1091"/>
      <c r="QIP1091"/>
      <c r="QIS1091"/>
      <c r="QIT1091"/>
      <c r="QIW1091"/>
      <c r="QIX1091"/>
      <c r="QJA1091"/>
      <c r="QJB1091"/>
      <c r="QJE1091"/>
      <c r="QJF1091"/>
      <c r="QJI1091"/>
      <c r="QJJ1091"/>
      <c r="QJM1091"/>
      <c r="QJN1091"/>
      <c r="QJQ1091"/>
      <c r="QJR1091"/>
      <c r="QJU1091"/>
      <c r="QJV1091"/>
      <c r="QJY1091"/>
      <c r="QJZ1091"/>
      <c r="QKC1091"/>
      <c r="QKD1091"/>
      <c r="QKG1091"/>
      <c r="QKH1091"/>
      <c r="QKK1091"/>
      <c r="QKL1091"/>
      <c r="QKO1091"/>
      <c r="QKP1091"/>
      <c r="QKS1091"/>
      <c r="QKT1091"/>
      <c r="QKW1091"/>
      <c r="QKX1091"/>
      <c r="QLA1091"/>
      <c r="QLB1091"/>
      <c r="QLE1091"/>
      <c r="QLF1091"/>
      <c r="QLI1091"/>
      <c r="QLJ1091"/>
      <c r="QLM1091"/>
      <c r="QLN1091"/>
      <c r="QLQ1091"/>
      <c r="QLR1091"/>
      <c r="QLU1091"/>
      <c r="QLV1091"/>
      <c r="QLY1091"/>
      <c r="QLZ1091"/>
      <c r="QMC1091"/>
      <c r="QMD1091"/>
      <c r="QMG1091"/>
      <c r="QMH1091"/>
      <c r="QMK1091"/>
      <c r="QML1091"/>
      <c r="QMO1091"/>
      <c r="QMP1091"/>
      <c r="QMS1091"/>
      <c r="QMT1091"/>
      <c r="QMW1091"/>
      <c r="QMX1091"/>
      <c r="QNA1091"/>
      <c r="QNB1091"/>
      <c r="QNE1091"/>
      <c r="QNF1091"/>
      <c r="QNI1091"/>
      <c r="QNJ1091"/>
      <c r="QNM1091"/>
      <c r="QNN1091"/>
      <c r="QNQ1091"/>
      <c r="QNR1091"/>
      <c r="QNU1091"/>
      <c r="QNV1091"/>
      <c r="QNY1091"/>
      <c r="QNZ1091"/>
      <c r="QOC1091"/>
      <c r="QOD1091"/>
      <c r="QOG1091"/>
      <c r="QOH1091"/>
      <c r="QOK1091"/>
      <c r="QOL1091"/>
      <c r="QOO1091"/>
      <c r="QOP1091"/>
      <c r="QOS1091"/>
      <c r="QOT1091"/>
      <c r="QOW1091"/>
      <c r="QOX1091"/>
      <c r="QPA1091"/>
      <c r="QPB1091"/>
      <c r="QPE1091"/>
      <c r="QPF1091"/>
      <c r="QPI1091"/>
      <c r="QPJ1091"/>
      <c r="QPM1091"/>
      <c r="QPN1091"/>
      <c r="QPQ1091"/>
      <c r="QPR1091"/>
      <c r="QPU1091"/>
      <c r="QPV1091"/>
      <c r="QPY1091"/>
      <c r="QPZ1091"/>
      <c r="QQC1091"/>
      <c r="QQD1091"/>
      <c r="QQG1091"/>
      <c r="QQH1091"/>
      <c r="QQK1091"/>
      <c r="QQL1091"/>
      <c r="QQO1091"/>
      <c r="QQP1091"/>
      <c r="QQS1091"/>
      <c r="QQT1091"/>
      <c r="QQW1091"/>
      <c r="QQX1091"/>
      <c r="QRA1091"/>
      <c r="QRB1091"/>
      <c r="QRE1091"/>
      <c r="QRF1091"/>
      <c r="QRI1091"/>
      <c r="QRJ1091"/>
      <c r="QRM1091"/>
      <c r="QRN1091"/>
      <c r="QRQ1091"/>
      <c r="QRR1091"/>
      <c r="QRU1091"/>
      <c r="QRV1091"/>
      <c r="QRY1091"/>
      <c r="QRZ1091"/>
      <c r="QSC1091"/>
      <c r="QSD1091"/>
      <c r="QSG1091"/>
      <c r="QSH1091"/>
      <c r="QSK1091"/>
      <c r="QSL1091"/>
      <c r="QSO1091"/>
      <c r="QSP1091"/>
      <c r="QSS1091"/>
      <c r="QST1091"/>
      <c r="QSW1091"/>
      <c r="QSX1091"/>
      <c r="QTA1091"/>
      <c r="QTB1091"/>
      <c r="QTE1091"/>
      <c r="QTF1091"/>
      <c r="QTI1091"/>
      <c r="QTJ1091"/>
      <c r="QTM1091"/>
      <c r="QTN1091"/>
      <c r="QTQ1091"/>
      <c r="QTR1091"/>
      <c r="QTU1091"/>
      <c r="QTV1091"/>
      <c r="QTY1091"/>
      <c r="QTZ1091"/>
      <c r="QUC1091"/>
      <c r="QUD1091"/>
      <c r="QUG1091"/>
      <c r="QUH1091"/>
      <c r="QUK1091"/>
      <c r="QUL1091"/>
      <c r="QUO1091"/>
      <c r="QUP1091"/>
      <c r="QUS1091"/>
      <c r="QUT1091"/>
      <c r="QUW1091"/>
      <c r="QUX1091"/>
      <c r="QVA1091"/>
      <c r="QVB1091"/>
      <c r="QVE1091"/>
      <c r="QVF1091"/>
      <c r="QVI1091"/>
      <c r="QVJ1091"/>
      <c r="QVM1091"/>
      <c r="QVN1091"/>
      <c r="QVQ1091"/>
      <c r="QVR1091"/>
      <c r="QVU1091"/>
      <c r="QVV1091"/>
      <c r="QVY1091"/>
      <c r="QVZ1091"/>
      <c r="QWC1091"/>
      <c r="QWD1091"/>
      <c r="QWG1091"/>
      <c r="QWH1091"/>
      <c r="QWK1091"/>
      <c r="QWL1091"/>
      <c r="QWO1091"/>
      <c r="QWP1091"/>
      <c r="QWS1091"/>
      <c r="QWT1091"/>
      <c r="QWW1091"/>
      <c r="QWX1091"/>
      <c r="QXA1091"/>
      <c r="QXB1091"/>
      <c r="QXE1091"/>
      <c r="QXF1091"/>
      <c r="QXI1091"/>
      <c r="QXJ1091"/>
      <c r="QXM1091"/>
      <c r="QXN1091"/>
      <c r="QXQ1091"/>
      <c r="QXR1091"/>
      <c r="QXU1091"/>
      <c r="QXV1091"/>
      <c r="QXY1091"/>
      <c r="QXZ1091"/>
      <c r="QYC1091"/>
      <c r="QYD1091"/>
      <c r="QYG1091"/>
      <c r="QYH1091"/>
      <c r="QYK1091"/>
      <c r="QYL1091"/>
      <c r="QYO1091"/>
      <c r="QYP1091"/>
      <c r="QYS1091"/>
      <c r="QYT1091"/>
      <c r="QYW1091"/>
      <c r="QYX1091"/>
      <c r="QZA1091"/>
      <c r="QZB1091"/>
      <c r="QZE1091"/>
      <c r="QZF1091"/>
      <c r="QZI1091"/>
      <c r="QZJ1091"/>
      <c r="QZM1091"/>
      <c r="QZN1091"/>
      <c r="QZQ1091"/>
      <c r="QZR1091"/>
      <c r="QZU1091"/>
      <c r="QZV1091"/>
      <c r="QZY1091"/>
      <c r="QZZ1091"/>
      <c r="RAC1091"/>
      <c r="RAD1091"/>
      <c r="RAG1091"/>
      <c r="RAH1091"/>
      <c r="RAK1091"/>
      <c r="RAL1091"/>
      <c r="RAO1091"/>
      <c r="RAP1091"/>
      <c r="RAS1091"/>
      <c r="RAT1091"/>
      <c r="RAW1091"/>
      <c r="RAX1091"/>
      <c r="RBA1091"/>
      <c r="RBB1091"/>
      <c r="RBE1091"/>
      <c r="RBF1091"/>
      <c r="RBI1091"/>
      <c r="RBJ1091"/>
      <c r="RBM1091"/>
      <c r="RBN1091"/>
      <c r="RBQ1091"/>
      <c r="RBR1091"/>
      <c r="RBU1091"/>
      <c r="RBV1091"/>
      <c r="RBY1091"/>
      <c r="RBZ1091"/>
      <c r="RCC1091"/>
      <c r="RCD1091"/>
      <c r="RCG1091"/>
      <c r="RCH1091"/>
      <c r="RCK1091"/>
      <c r="RCL1091"/>
      <c r="RCO1091"/>
      <c r="RCP1091"/>
      <c r="RCS1091"/>
      <c r="RCT1091"/>
      <c r="RCW1091"/>
      <c r="RCX1091"/>
      <c r="RDA1091"/>
      <c r="RDB1091"/>
      <c r="RDE1091"/>
      <c r="RDF1091"/>
      <c r="RDI1091"/>
      <c r="RDJ1091"/>
      <c r="RDM1091"/>
      <c r="RDN1091"/>
      <c r="RDQ1091"/>
      <c r="RDR1091"/>
      <c r="RDU1091"/>
      <c r="RDV1091"/>
      <c r="RDY1091"/>
      <c r="RDZ1091"/>
      <c r="REC1091"/>
      <c r="RED1091"/>
      <c r="REG1091"/>
      <c r="REH1091"/>
      <c r="REK1091"/>
      <c r="REL1091"/>
      <c r="REO1091"/>
      <c r="REP1091"/>
      <c r="RES1091"/>
      <c r="RET1091"/>
      <c r="REW1091"/>
      <c r="REX1091"/>
      <c r="RFA1091"/>
      <c r="RFB1091"/>
      <c r="RFE1091"/>
      <c r="RFF1091"/>
      <c r="RFI1091"/>
      <c r="RFJ1091"/>
      <c r="RFM1091"/>
      <c r="RFN1091"/>
      <c r="RFQ1091"/>
      <c r="RFR1091"/>
      <c r="RFU1091"/>
      <c r="RFV1091"/>
      <c r="RFY1091"/>
      <c r="RFZ1091"/>
      <c r="RGC1091"/>
      <c r="RGD1091"/>
      <c r="RGG1091"/>
      <c r="RGH1091"/>
      <c r="RGK1091"/>
      <c r="RGL1091"/>
      <c r="RGO1091"/>
      <c r="RGP1091"/>
      <c r="RGS1091"/>
      <c r="RGT1091"/>
      <c r="RGW1091"/>
      <c r="RGX1091"/>
      <c r="RHA1091"/>
      <c r="RHB1091"/>
      <c r="RHE1091"/>
      <c r="RHF1091"/>
      <c r="RHI1091"/>
      <c r="RHJ1091"/>
      <c r="RHM1091"/>
      <c r="RHN1091"/>
      <c r="RHQ1091"/>
      <c r="RHR1091"/>
      <c r="RHU1091"/>
      <c r="RHV1091"/>
      <c r="RHY1091"/>
      <c r="RHZ1091"/>
      <c r="RIC1091"/>
      <c r="RID1091"/>
      <c r="RIG1091"/>
      <c r="RIH1091"/>
      <c r="RIK1091"/>
      <c r="RIL1091"/>
      <c r="RIO1091"/>
      <c r="RIP1091"/>
      <c r="RIS1091"/>
      <c r="RIT1091"/>
      <c r="RIW1091"/>
      <c r="RIX1091"/>
      <c r="RJA1091"/>
      <c r="RJB1091"/>
      <c r="RJE1091"/>
      <c r="RJF1091"/>
      <c r="RJI1091"/>
      <c r="RJJ1091"/>
      <c r="RJM1091"/>
      <c r="RJN1091"/>
      <c r="RJQ1091"/>
      <c r="RJR1091"/>
      <c r="RJU1091"/>
      <c r="RJV1091"/>
      <c r="RJY1091"/>
      <c r="RJZ1091"/>
      <c r="RKC1091"/>
      <c r="RKD1091"/>
      <c r="RKG1091"/>
      <c r="RKH1091"/>
      <c r="RKK1091"/>
      <c r="RKL1091"/>
      <c r="RKO1091"/>
      <c r="RKP1091"/>
      <c r="RKS1091"/>
      <c r="RKT1091"/>
      <c r="RKW1091"/>
      <c r="RKX1091"/>
      <c r="RLA1091"/>
      <c r="RLB1091"/>
      <c r="RLE1091"/>
      <c r="RLF1091"/>
      <c r="RLI1091"/>
      <c r="RLJ1091"/>
      <c r="RLM1091"/>
      <c r="RLN1091"/>
      <c r="RLQ1091"/>
      <c r="RLR1091"/>
      <c r="RLU1091"/>
      <c r="RLV1091"/>
      <c r="RLY1091"/>
      <c r="RLZ1091"/>
      <c r="RMC1091"/>
      <c r="RMD1091"/>
      <c r="RMG1091"/>
      <c r="RMH1091"/>
      <c r="RMK1091"/>
      <c r="RML1091"/>
      <c r="RMO1091"/>
      <c r="RMP1091"/>
      <c r="RMS1091"/>
      <c r="RMT1091"/>
      <c r="RMW1091"/>
      <c r="RMX1091"/>
      <c r="RNA1091"/>
      <c r="RNB1091"/>
      <c r="RNE1091"/>
      <c r="RNF1091"/>
      <c r="RNI1091"/>
      <c r="RNJ1091"/>
      <c r="RNM1091"/>
      <c r="RNN1091"/>
      <c r="RNQ1091"/>
      <c r="RNR1091"/>
      <c r="RNU1091"/>
      <c r="RNV1091"/>
      <c r="RNY1091"/>
      <c r="RNZ1091"/>
      <c r="ROC1091"/>
      <c r="ROD1091"/>
      <c r="ROG1091"/>
      <c r="ROH1091"/>
      <c r="ROK1091"/>
      <c r="ROL1091"/>
      <c r="ROO1091"/>
      <c r="ROP1091"/>
      <c r="ROS1091"/>
      <c r="ROT1091"/>
      <c r="ROW1091"/>
      <c r="ROX1091"/>
      <c r="RPA1091"/>
      <c r="RPB1091"/>
      <c r="RPE1091"/>
      <c r="RPF1091"/>
      <c r="RPI1091"/>
      <c r="RPJ1091"/>
      <c r="RPM1091"/>
      <c r="RPN1091"/>
      <c r="RPQ1091"/>
      <c r="RPR1091"/>
      <c r="RPU1091"/>
      <c r="RPV1091"/>
      <c r="RPY1091"/>
      <c r="RPZ1091"/>
      <c r="RQC1091"/>
      <c r="RQD1091"/>
      <c r="RQG1091"/>
      <c r="RQH1091"/>
      <c r="RQK1091"/>
      <c r="RQL1091"/>
      <c r="RQO1091"/>
      <c r="RQP1091"/>
      <c r="RQS1091"/>
      <c r="RQT1091"/>
      <c r="RQW1091"/>
      <c r="RQX1091"/>
      <c r="RRA1091"/>
      <c r="RRB1091"/>
      <c r="RRE1091"/>
      <c r="RRF1091"/>
      <c r="RRI1091"/>
      <c r="RRJ1091"/>
      <c r="RRM1091"/>
      <c r="RRN1091"/>
      <c r="RRQ1091"/>
      <c r="RRR1091"/>
      <c r="RRU1091"/>
      <c r="RRV1091"/>
      <c r="RRY1091"/>
      <c r="RRZ1091"/>
      <c r="RSC1091"/>
      <c r="RSD1091"/>
      <c r="RSG1091"/>
      <c r="RSH1091"/>
      <c r="RSK1091"/>
      <c r="RSL1091"/>
      <c r="RSO1091"/>
      <c r="RSP1091"/>
      <c r="RSS1091"/>
      <c r="RST1091"/>
      <c r="RSW1091"/>
      <c r="RSX1091"/>
      <c r="RTA1091"/>
      <c r="RTB1091"/>
      <c r="RTE1091"/>
      <c r="RTF1091"/>
      <c r="RTI1091"/>
      <c r="RTJ1091"/>
      <c r="RTM1091"/>
      <c r="RTN1091"/>
      <c r="RTQ1091"/>
      <c r="RTR1091"/>
      <c r="RTU1091"/>
      <c r="RTV1091"/>
      <c r="RTY1091"/>
      <c r="RTZ1091"/>
      <c r="RUC1091"/>
      <c r="RUD1091"/>
      <c r="RUG1091"/>
      <c r="RUH1091"/>
      <c r="RUK1091"/>
      <c r="RUL1091"/>
      <c r="RUO1091"/>
      <c r="RUP1091"/>
      <c r="RUS1091"/>
      <c r="RUT1091"/>
      <c r="RUW1091"/>
      <c r="RUX1091"/>
      <c r="RVA1091"/>
      <c r="RVB1091"/>
      <c r="RVE1091"/>
      <c r="RVF1091"/>
      <c r="RVI1091"/>
      <c r="RVJ1091"/>
      <c r="RVM1091"/>
      <c r="RVN1091"/>
      <c r="RVQ1091"/>
      <c r="RVR1091"/>
      <c r="RVU1091"/>
      <c r="RVV1091"/>
      <c r="RVY1091"/>
      <c r="RVZ1091"/>
      <c r="RWC1091"/>
      <c r="RWD1091"/>
      <c r="RWG1091"/>
      <c r="RWH1091"/>
      <c r="RWK1091"/>
      <c r="RWL1091"/>
      <c r="RWO1091"/>
      <c r="RWP1091"/>
      <c r="RWS1091"/>
      <c r="RWT1091"/>
      <c r="RWW1091"/>
      <c r="RWX1091"/>
      <c r="RXA1091"/>
      <c r="RXB1091"/>
      <c r="RXE1091"/>
      <c r="RXF1091"/>
      <c r="RXI1091"/>
      <c r="RXJ1091"/>
      <c r="RXM1091"/>
      <c r="RXN1091"/>
      <c r="RXQ1091"/>
      <c r="RXR1091"/>
      <c r="RXU1091"/>
      <c r="RXV1091"/>
      <c r="RXY1091"/>
      <c r="RXZ1091"/>
      <c r="RYC1091"/>
      <c r="RYD1091"/>
      <c r="RYG1091"/>
      <c r="RYH1091"/>
      <c r="RYK1091"/>
      <c r="RYL1091"/>
      <c r="RYO1091"/>
      <c r="RYP1091"/>
      <c r="RYS1091"/>
      <c r="RYT1091"/>
      <c r="RYW1091"/>
      <c r="RYX1091"/>
      <c r="RZA1091"/>
      <c r="RZB1091"/>
      <c r="RZE1091"/>
      <c r="RZF1091"/>
      <c r="RZI1091"/>
      <c r="RZJ1091"/>
      <c r="RZM1091"/>
      <c r="RZN1091"/>
      <c r="RZQ1091"/>
      <c r="RZR1091"/>
      <c r="RZU1091"/>
      <c r="RZV1091"/>
      <c r="RZY1091"/>
      <c r="RZZ1091"/>
      <c r="SAC1091"/>
      <c r="SAD1091"/>
      <c r="SAG1091"/>
      <c r="SAH1091"/>
      <c r="SAK1091"/>
      <c r="SAL1091"/>
      <c r="SAO1091"/>
      <c r="SAP1091"/>
      <c r="SAS1091"/>
      <c r="SAT1091"/>
      <c r="SAW1091"/>
      <c r="SAX1091"/>
      <c r="SBA1091"/>
      <c r="SBB1091"/>
      <c r="SBE1091"/>
      <c r="SBF1091"/>
      <c r="SBI1091"/>
      <c r="SBJ1091"/>
      <c r="SBM1091"/>
      <c r="SBN1091"/>
      <c r="SBQ1091"/>
      <c r="SBR1091"/>
      <c r="SBU1091"/>
      <c r="SBV1091"/>
      <c r="SBY1091"/>
      <c r="SBZ1091"/>
      <c r="SCC1091"/>
      <c r="SCD1091"/>
      <c r="SCG1091"/>
      <c r="SCH1091"/>
      <c r="SCK1091"/>
      <c r="SCL1091"/>
      <c r="SCO1091"/>
      <c r="SCP1091"/>
      <c r="SCS1091"/>
      <c r="SCT1091"/>
      <c r="SCW1091"/>
      <c r="SCX1091"/>
      <c r="SDA1091"/>
      <c r="SDB1091"/>
      <c r="SDE1091"/>
      <c r="SDF1091"/>
      <c r="SDI1091"/>
      <c r="SDJ1091"/>
      <c r="SDM1091"/>
      <c r="SDN1091"/>
      <c r="SDQ1091"/>
      <c r="SDR1091"/>
      <c r="SDU1091"/>
      <c r="SDV1091"/>
      <c r="SDY1091"/>
      <c r="SDZ1091"/>
      <c r="SEC1091"/>
      <c r="SED1091"/>
      <c r="SEG1091"/>
      <c r="SEH1091"/>
      <c r="SEK1091"/>
      <c r="SEL1091"/>
      <c r="SEO1091"/>
      <c r="SEP1091"/>
      <c r="SES1091"/>
      <c r="SET1091"/>
      <c r="SEW1091"/>
      <c r="SEX1091"/>
      <c r="SFA1091"/>
      <c r="SFB1091"/>
      <c r="SFE1091"/>
      <c r="SFF1091"/>
      <c r="SFI1091"/>
      <c r="SFJ1091"/>
      <c r="SFM1091"/>
      <c r="SFN1091"/>
      <c r="SFQ1091"/>
      <c r="SFR1091"/>
      <c r="SFU1091"/>
      <c r="SFV1091"/>
      <c r="SFY1091"/>
      <c r="SFZ1091"/>
      <c r="SGC1091"/>
      <c r="SGD1091"/>
      <c r="SGG1091"/>
      <c r="SGH1091"/>
      <c r="SGK1091"/>
      <c r="SGL1091"/>
      <c r="SGO1091"/>
      <c r="SGP1091"/>
      <c r="SGS1091"/>
      <c r="SGT1091"/>
      <c r="SGW1091"/>
      <c r="SGX1091"/>
      <c r="SHA1091"/>
      <c r="SHB1091"/>
      <c r="SHE1091"/>
      <c r="SHF1091"/>
      <c r="SHI1091"/>
      <c r="SHJ1091"/>
      <c r="SHM1091"/>
      <c r="SHN1091"/>
      <c r="SHQ1091"/>
      <c r="SHR1091"/>
      <c r="SHU1091"/>
      <c r="SHV1091"/>
      <c r="SHY1091"/>
      <c r="SHZ1091"/>
      <c r="SIC1091"/>
      <c r="SID1091"/>
      <c r="SIG1091"/>
      <c r="SIH1091"/>
      <c r="SIK1091"/>
      <c r="SIL1091"/>
      <c r="SIO1091"/>
      <c r="SIP1091"/>
      <c r="SIS1091"/>
      <c r="SIT1091"/>
      <c r="SIW1091"/>
      <c r="SIX1091"/>
      <c r="SJA1091"/>
      <c r="SJB1091"/>
      <c r="SJE1091"/>
      <c r="SJF1091"/>
      <c r="SJI1091"/>
      <c r="SJJ1091"/>
      <c r="SJM1091"/>
      <c r="SJN1091"/>
      <c r="SJQ1091"/>
      <c r="SJR1091"/>
      <c r="SJU1091"/>
      <c r="SJV1091"/>
      <c r="SJY1091"/>
      <c r="SJZ1091"/>
      <c r="SKC1091"/>
      <c r="SKD1091"/>
      <c r="SKG1091"/>
      <c r="SKH1091"/>
      <c r="SKK1091"/>
      <c r="SKL1091"/>
      <c r="SKO1091"/>
      <c r="SKP1091"/>
      <c r="SKS1091"/>
      <c r="SKT1091"/>
      <c r="SKW1091"/>
      <c r="SKX1091"/>
      <c r="SLA1091"/>
      <c r="SLB1091"/>
      <c r="SLE1091"/>
      <c r="SLF1091"/>
      <c r="SLI1091"/>
      <c r="SLJ1091"/>
      <c r="SLM1091"/>
      <c r="SLN1091"/>
      <c r="SLQ1091"/>
      <c r="SLR1091"/>
      <c r="SLU1091"/>
      <c r="SLV1091"/>
      <c r="SLY1091"/>
      <c r="SLZ1091"/>
      <c r="SMC1091"/>
      <c r="SMD1091"/>
      <c r="SMG1091"/>
      <c r="SMH1091"/>
      <c r="SMK1091"/>
      <c r="SML1091"/>
      <c r="SMO1091"/>
      <c r="SMP1091"/>
      <c r="SMS1091"/>
      <c r="SMT1091"/>
      <c r="SMW1091"/>
      <c r="SMX1091"/>
      <c r="SNA1091"/>
      <c r="SNB1091"/>
      <c r="SNE1091"/>
      <c r="SNF1091"/>
      <c r="SNI1091"/>
      <c r="SNJ1091"/>
      <c r="SNM1091"/>
      <c r="SNN1091"/>
      <c r="SNQ1091"/>
      <c r="SNR1091"/>
      <c r="SNU1091"/>
      <c r="SNV1091"/>
      <c r="SNY1091"/>
      <c r="SNZ1091"/>
      <c r="SOC1091"/>
      <c r="SOD1091"/>
      <c r="SOG1091"/>
      <c r="SOH1091"/>
      <c r="SOK1091"/>
      <c r="SOL1091"/>
      <c r="SOO1091"/>
      <c r="SOP1091"/>
      <c r="SOS1091"/>
      <c r="SOT1091"/>
      <c r="SOW1091"/>
      <c r="SOX1091"/>
      <c r="SPA1091"/>
      <c r="SPB1091"/>
      <c r="SPE1091"/>
      <c r="SPF1091"/>
      <c r="SPI1091"/>
      <c r="SPJ1091"/>
      <c r="SPM1091"/>
      <c r="SPN1091"/>
      <c r="SPQ1091"/>
      <c r="SPR1091"/>
      <c r="SPU1091"/>
      <c r="SPV1091"/>
      <c r="SPY1091"/>
      <c r="SPZ1091"/>
      <c r="SQC1091"/>
      <c r="SQD1091"/>
      <c r="SQG1091"/>
      <c r="SQH1091"/>
      <c r="SQK1091"/>
      <c r="SQL1091"/>
      <c r="SQO1091"/>
      <c r="SQP1091"/>
      <c r="SQS1091"/>
      <c r="SQT1091"/>
      <c r="SQW1091"/>
      <c r="SQX1091"/>
      <c r="SRA1091"/>
      <c r="SRB1091"/>
      <c r="SRE1091"/>
      <c r="SRF1091"/>
      <c r="SRI1091"/>
      <c r="SRJ1091"/>
      <c r="SRM1091"/>
      <c r="SRN1091"/>
      <c r="SRQ1091"/>
      <c r="SRR1091"/>
      <c r="SRU1091"/>
      <c r="SRV1091"/>
      <c r="SRY1091"/>
      <c r="SRZ1091"/>
      <c r="SSC1091"/>
      <c r="SSD1091"/>
      <c r="SSG1091"/>
      <c r="SSH1091"/>
      <c r="SSK1091"/>
      <c r="SSL1091"/>
      <c r="SSO1091"/>
      <c r="SSP1091"/>
      <c r="SSS1091"/>
      <c r="SST1091"/>
      <c r="SSW1091"/>
      <c r="SSX1091"/>
      <c r="STA1091"/>
      <c r="STB1091"/>
      <c r="STE1091"/>
      <c r="STF1091"/>
      <c r="STI1091"/>
      <c r="STJ1091"/>
      <c r="STM1091"/>
      <c r="STN1091"/>
      <c r="STQ1091"/>
      <c r="STR1091"/>
      <c r="STU1091"/>
      <c r="STV1091"/>
      <c r="STY1091"/>
      <c r="STZ1091"/>
      <c r="SUC1091"/>
      <c r="SUD1091"/>
      <c r="SUG1091"/>
      <c r="SUH1091"/>
      <c r="SUK1091"/>
      <c r="SUL1091"/>
      <c r="SUO1091"/>
      <c r="SUP1091"/>
      <c r="SUS1091"/>
      <c r="SUT1091"/>
      <c r="SUW1091"/>
      <c r="SUX1091"/>
      <c r="SVA1091"/>
      <c r="SVB1091"/>
      <c r="SVE1091"/>
      <c r="SVF1091"/>
      <c r="SVI1091"/>
      <c r="SVJ1091"/>
      <c r="SVM1091"/>
      <c r="SVN1091"/>
      <c r="SVQ1091"/>
      <c r="SVR1091"/>
      <c r="SVU1091"/>
      <c r="SVV1091"/>
      <c r="SVY1091"/>
      <c r="SVZ1091"/>
      <c r="SWC1091"/>
      <c r="SWD1091"/>
      <c r="SWG1091"/>
      <c r="SWH1091"/>
      <c r="SWK1091"/>
      <c r="SWL1091"/>
      <c r="SWO1091"/>
      <c r="SWP1091"/>
      <c r="SWS1091"/>
      <c r="SWT1091"/>
      <c r="SWW1091"/>
      <c r="SWX1091"/>
      <c r="SXA1091"/>
      <c r="SXB1091"/>
      <c r="SXE1091"/>
      <c r="SXF1091"/>
      <c r="SXI1091"/>
      <c r="SXJ1091"/>
      <c r="SXM1091"/>
      <c r="SXN1091"/>
      <c r="SXQ1091"/>
      <c r="SXR1091"/>
      <c r="SXU1091"/>
      <c r="SXV1091"/>
      <c r="SXY1091"/>
      <c r="SXZ1091"/>
      <c r="SYC1091"/>
      <c r="SYD1091"/>
      <c r="SYG1091"/>
      <c r="SYH1091"/>
      <c r="SYK1091"/>
      <c r="SYL1091"/>
      <c r="SYO1091"/>
      <c r="SYP1091"/>
      <c r="SYS1091"/>
      <c r="SYT1091"/>
      <c r="SYW1091"/>
      <c r="SYX1091"/>
      <c r="SZA1091"/>
      <c r="SZB1091"/>
      <c r="SZE1091"/>
      <c r="SZF1091"/>
      <c r="SZI1091"/>
      <c r="SZJ1091"/>
      <c r="SZM1091"/>
      <c r="SZN1091"/>
      <c r="SZQ1091"/>
      <c r="SZR1091"/>
      <c r="SZU1091"/>
      <c r="SZV1091"/>
      <c r="SZY1091"/>
      <c r="SZZ1091"/>
      <c r="TAC1091"/>
      <c r="TAD1091"/>
      <c r="TAG1091"/>
      <c r="TAH1091"/>
      <c r="TAK1091"/>
      <c r="TAL1091"/>
      <c r="TAO1091"/>
      <c r="TAP1091"/>
      <c r="TAS1091"/>
      <c r="TAT1091"/>
      <c r="TAW1091"/>
      <c r="TAX1091"/>
      <c r="TBA1091"/>
      <c r="TBB1091"/>
      <c r="TBE1091"/>
      <c r="TBF1091"/>
      <c r="TBI1091"/>
      <c r="TBJ1091"/>
      <c r="TBM1091"/>
      <c r="TBN1091"/>
      <c r="TBQ1091"/>
      <c r="TBR1091"/>
      <c r="TBU1091"/>
      <c r="TBV1091"/>
      <c r="TBY1091"/>
      <c r="TBZ1091"/>
      <c r="TCC1091"/>
      <c r="TCD1091"/>
      <c r="TCG1091"/>
      <c r="TCH1091"/>
      <c r="TCK1091"/>
      <c r="TCL1091"/>
      <c r="TCO1091"/>
      <c r="TCP1091"/>
      <c r="TCS1091"/>
      <c r="TCT1091"/>
      <c r="TCW1091"/>
      <c r="TCX1091"/>
      <c r="TDA1091"/>
      <c r="TDB1091"/>
      <c r="TDE1091"/>
      <c r="TDF1091"/>
      <c r="TDI1091"/>
      <c r="TDJ1091"/>
      <c r="TDM1091"/>
      <c r="TDN1091"/>
      <c r="TDQ1091"/>
      <c r="TDR1091"/>
      <c r="TDU1091"/>
      <c r="TDV1091"/>
      <c r="TDY1091"/>
      <c r="TDZ1091"/>
      <c r="TEC1091"/>
      <c r="TED1091"/>
      <c r="TEG1091"/>
      <c r="TEH1091"/>
      <c r="TEK1091"/>
      <c r="TEL1091"/>
      <c r="TEO1091"/>
      <c r="TEP1091"/>
      <c r="TES1091"/>
      <c r="TET1091"/>
      <c r="TEW1091"/>
      <c r="TEX1091"/>
      <c r="TFA1091"/>
      <c r="TFB1091"/>
      <c r="TFE1091"/>
      <c r="TFF1091"/>
      <c r="TFI1091"/>
      <c r="TFJ1091"/>
      <c r="TFM1091"/>
      <c r="TFN1091"/>
      <c r="TFQ1091"/>
      <c r="TFR1091"/>
      <c r="TFU1091"/>
      <c r="TFV1091"/>
      <c r="TFY1091"/>
      <c r="TFZ1091"/>
      <c r="TGC1091"/>
      <c r="TGD1091"/>
      <c r="TGG1091"/>
      <c r="TGH1091"/>
      <c r="TGK1091"/>
      <c r="TGL1091"/>
      <c r="TGO1091"/>
      <c r="TGP1091"/>
      <c r="TGS1091"/>
      <c r="TGT1091"/>
      <c r="TGW1091"/>
      <c r="TGX1091"/>
      <c r="THA1091"/>
      <c r="THB1091"/>
      <c r="THE1091"/>
      <c r="THF1091"/>
      <c r="THI1091"/>
      <c r="THJ1091"/>
      <c r="THM1091"/>
      <c r="THN1091"/>
      <c r="THQ1091"/>
      <c r="THR1091"/>
      <c r="THU1091"/>
      <c r="THV1091"/>
      <c r="THY1091"/>
      <c r="THZ1091"/>
      <c r="TIC1091"/>
      <c r="TID1091"/>
      <c r="TIG1091"/>
      <c r="TIH1091"/>
      <c r="TIK1091"/>
      <c r="TIL1091"/>
      <c r="TIO1091"/>
      <c r="TIP1091"/>
      <c r="TIS1091"/>
      <c r="TIT1091"/>
      <c r="TIW1091"/>
      <c r="TIX1091"/>
      <c r="TJA1091"/>
      <c r="TJB1091"/>
      <c r="TJE1091"/>
      <c r="TJF1091"/>
      <c r="TJI1091"/>
      <c r="TJJ1091"/>
      <c r="TJM1091"/>
      <c r="TJN1091"/>
      <c r="TJQ1091"/>
      <c r="TJR1091"/>
      <c r="TJU1091"/>
      <c r="TJV1091"/>
      <c r="TJY1091"/>
      <c r="TJZ1091"/>
      <c r="TKC1091"/>
      <c r="TKD1091"/>
      <c r="TKG1091"/>
      <c r="TKH1091"/>
      <c r="TKK1091"/>
      <c r="TKL1091"/>
      <c r="TKO1091"/>
      <c r="TKP1091"/>
      <c r="TKS1091"/>
      <c r="TKT1091"/>
      <c r="TKW1091"/>
      <c r="TKX1091"/>
      <c r="TLA1091"/>
      <c r="TLB1091"/>
      <c r="TLE1091"/>
      <c r="TLF1091"/>
      <c r="TLI1091"/>
      <c r="TLJ1091"/>
      <c r="TLM1091"/>
      <c r="TLN1091"/>
      <c r="TLQ1091"/>
      <c r="TLR1091"/>
      <c r="TLU1091"/>
      <c r="TLV1091"/>
      <c r="TLY1091"/>
      <c r="TLZ1091"/>
      <c r="TMC1091"/>
      <c r="TMD1091"/>
      <c r="TMG1091"/>
      <c r="TMH1091"/>
      <c r="TMK1091"/>
      <c r="TML1091"/>
      <c r="TMO1091"/>
      <c r="TMP1091"/>
      <c r="TMS1091"/>
      <c r="TMT1091"/>
      <c r="TMW1091"/>
      <c r="TMX1091"/>
      <c r="TNA1091"/>
      <c r="TNB1091"/>
      <c r="TNE1091"/>
      <c r="TNF1091"/>
      <c r="TNI1091"/>
      <c r="TNJ1091"/>
      <c r="TNM1091"/>
      <c r="TNN1091"/>
      <c r="TNQ1091"/>
      <c r="TNR1091"/>
      <c r="TNU1091"/>
      <c r="TNV1091"/>
      <c r="TNY1091"/>
      <c r="TNZ1091"/>
      <c r="TOC1091"/>
      <c r="TOD1091"/>
      <c r="TOG1091"/>
      <c r="TOH1091"/>
      <c r="TOK1091"/>
      <c r="TOL1091"/>
      <c r="TOO1091"/>
      <c r="TOP1091"/>
      <c r="TOS1091"/>
      <c r="TOT1091"/>
      <c r="TOW1091"/>
      <c r="TOX1091"/>
      <c r="TPA1091"/>
      <c r="TPB1091"/>
      <c r="TPE1091"/>
      <c r="TPF1091"/>
      <c r="TPI1091"/>
      <c r="TPJ1091"/>
      <c r="TPM1091"/>
      <c r="TPN1091"/>
      <c r="TPQ1091"/>
      <c r="TPR1091"/>
      <c r="TPU1091"/>
      <c r="TPV1091"/>
      <c r="TPY1091"/>
      <c r="TPZ1091"/>
      <c r="TQC1091"/>
      <c r="TQD1091"/>
      <c r="TQG1091"/>
      <c r="TQH1091"/>
      <c r="TQK1091"/>
      <c r="TQL1091"/>
      <c r="TQO1091"/>
      <c r="TQP1091"/>
      <c r="TQS1091"/>
      <c r="TQT1091"/>
      <c r="TQW1091"/>
      <c r="TQX1091"/>
      <c r="TRA1091"/>
      <c r="TRB1091"/>
      <c r="TRE1091"/>
      <c r="TRF1091"/>
      <c r="TRI1091"/>
      <c r="TRJ1091"/>
      <c r="TRM1091"/>
      <c r="TRN1091"/>
      <c r="TRQ1091"/>
      <c r="TRR1091"/>
      <c r="TRU1091"/>
      <c r="TRV1091"/>
      <c r="TRY1091"/>
      <c r="TRZ1091"/>
      <c r="TSC1091"/>
      <c r="TSD1091"/>
      <c r="TSG1091"/>
      <c r="TSH1091"/>
      <c r="TSK1091"/>
      <c r="TSL1091"/>
      <c r="TSO1091"/>
      <c r="TSP1091"/>
      <c r="TSS1091"/>
      <c r="TST1091"/>
      <c r="TSW1091"/>
      <c r="TSX1091"/>
      <c r="TTA1091"/>
      <c r="TTB1091"/>
      <c r="TTE1091"/>
      <c r="TTF1091"/>
      <c r="TTI1091"/>
      <c r="TTJ1091"/>
      <c r="TTM1091"/>
      <c r="TTN1091"/>
      <c r="TTQ1091"/>
      <c r="TTR1091"/>
      <c r="TTU1091"/>
      <c r="TTV1091"/>
      <c r="TTY1091"/>
      <c r="TTZ1091"/>
      <c r="TUC1091"/>
      <c r="TUD1091"/>
      <c r="TUG1091"/>
      <c r="TUH1091"/>
      <c r="TUK1091"/>
      <c r="TUL1091"/>
      <c r="TUO1091"/>
      <c r="TUP1091"/>
      <c r="TUS1091"/>
      <c r="TUT1091"/>
      <c r="TUW1091"/>
      <c r="TUX1091"/>
      <c r="TVA1091"/>
      <c r="TVB1091"/>
      <c r="TVE1091"/>
      <c r="TVF1091"/>
      <c r="TVI1091"/>
      <c r="TVJ1091"/>
      <c r="TVM1091"/>
      <c r="TVN1091"/>
      <c r="TVQ1091"/>
      <c r="TVR1091"/>
      <c r="TVU1091"/>
      <c r="TVV1091"/>
      <c r="TVY1091"/>
      <c r="TVZ1091"/>
      <c r="TWC1091"/>
      <c r="TWD1091"/>
      <c r="TWG1091"/>
      <c r="TWH1091"/>
      <c r="TWK1091"/>
      <c r="TWL1091"/>
      <c r="TWO1091"/>
      <c r="TWP1091"/>
      <c r="TWS1091"/>
      <c r="TWT1091"/>
      <c r="TWW1091"/>
      <c r="TWX1091"/>
      <c r="TXA1091"/>
      <c r="TXB1091"/>
      <c r="TXE1091"/>
      <c r="TXF1091"/>
      <c r="TXI1091"/>
      <c r="TXJ1091"/>
      <c r="TXM1091"/>
      <c r="TXN1091"/>
      <c r="TXQ1091"/>
      <c r="TXR1091"/>
      <c r="TXU1091"/>
      <c r="TXV1091"/>
      <c r="TXY1091"/>
      <c r="TXZ1091"/>
      <c r="TYC1091"/>
      <c r="TYD1091"/>
      <c r="TYG1091"/>
      <c r="TYH1091"/>
      <c r="TYK1091"/>
      <c r="TYL1091"/>
      <c r="TYO1091"/>
      <c r="TYP1091"/>
      <c r="TYS1091"/>
      <c r="TYT1091"/>
      <c r="TYW1091"/>
      <c r="TYX1091"/>
      <c r="TZA1091"/>
      <c r="TZB1091"/>
      <c r="TZE1091"/>
      <c r="TZF1091"/>
      <c r="TZI1091"/>
      <c r="TZJ1091"/>
      <c r="TZM1091"/>
      <c r="TZN1091"/>
      <c r="TZQ1091"/>
      <c r="TZR1091"/>
      <c r="TZU1091"/>
      <c r="TZV1091"/>
      <c r="TZY1091"/>
      <c r="TZZ1091"/>
      <c r="UAC1091"/>
      <c r="UAD1091"/>
      <c r="UAG1091"/>
      <c r="UAH1091"/>
      <c r="UAK1091"/>
      <c r="UAL1091"/>
      <c r="UAO1091"/>
      <c r="UAP1091"/>
      <c r="UAS1091"/>
      <c r="UAT1091"/>
      <c r="UAW1091"/>
      <c r="UAX1091"/>
      <c r="UBA1091"/>
      <c r="UBB1091"/>
      <c r="UBE1091"/>
      <c r="UBF1091"/>
      <c r="UBI1091"/>
      <c r="UBJ1091"/>
      <c r="UBM1091"/>
      <c r="UBN1091"/>
      <c r="UBQ1091"/>
      <c r="UBR1091"/>
      <c r="UBU1091"/>
      <c r="UBV1091"/>
      <c r="UBY1091"/>
      <c r="UBZ1091"/>
      <c r="UCC1091"/>
      <c r="UCD1091"/>
      <c r="UCG1091"/>
      <c r="UCH1091"/>
      <c r="UCK1091"/>
      <c r="UCL1091"/>
      <c r="UCO1091"/>
      <c r="UCP1091"/>
      <c r="UCS1091"/>
      <c r="UCT1091"/>
      <c r="UCW1091"/>
      <c r="UCX1091"/>
      <c r="UDA1091"/>
      <c r="UDB1091"/>
      <c r="UDE1091"/>
      <c r="UDF1091"/>
      <c r="UDI1091"/>
      <c r="UDJ1091"/>
      <c r="UDM1091"/>
      <c r="UDN1091"/>
      <c r="UDQ1091"/>
      <c r="UDR1091"/>
      <c r="UDU1091"/>
      <c r="UDV1091"/>
      <c r="UDY1091"/>
      <c r="UDZ1091"/>
      <c r="UEC1091"/>
      <c r="UED1091"/>
      <c r="UEG1091"/>
      <c r="UEH1091"/>
      <c r="UEK1091"/>
      <c r="UEL1091"/>
      <c r="UEO1091"/>
      <c r="UEP1091"/>
      <c r="UES1091"/>
      <c r="UET1091"/>
      <c r="UEW1091"/>
      <c r="UEX1091"/>
      <c r="UFA1091"/>
      <c r="UFB1091"/>
      <c r="UFE1091"/>
      <c r="UFF1091"/>
      <c r="UFI1091"/>
      <c r="UFJ1091"/>
      <c r="UFM1091"/>
      <c r="UFN1091"/>
      <c r="UFQ1091"/>
      <c r="UFR1091"/>
      <c r="UFU1091"/>
      <c r="UFV1091"/>
      <c r="UFY1091"/>
      <c r="UFZ1091"/>
      <c r="UGC1091"/>
      <c r="UGD1091"/>
      <c r="UGG1091"/>
      <c r="UGH1091"/>
      <c r="UGK1091"/>
      <c r="UGL1091"/>
      <c r="UGO1091"/>
      <c r="UGP1091"/>
      <c r="UGS1091"/>
      <c r="UGT1091"/>
      <c r="UGW1091"/>
      <c r="UGX1091"/>
      <c r="UHA1091"/>
      <c r="UHB1091"/>
      <c r="UHE1091"/>
      <c r="UHF1091"/>
      <c r="UHI1091"/>
      <c r="UHJ1091"/>
      <c r="UHM1091"/>
      <c r="UHN1091"/>
      <c r="UHQ1091"/>
      <c r="UHR1091"/>
      <c r="UHU1091"/>
      <c r="UHV1091"/>
      <c r="UHY1091"/>
      <c r="UHZ1091"/>
      <c r="UIC1091"/>
      <c r="UID1091"/>
      <c r="UIG1091"/>
      <c r="UIH1091"/>
      <c r="UIK1091"/>
      <c r="UIL1091"/>
      <c r="UIO1091"/>
      <c r="UIP1091"/>
      <c r="UIS1091"/>
      <c r="UIT1091"/>
      <c r="UIW1091"/>
      <c r="UIX1091"/>
      <c r="UJA1091"/>
      <c r="UJB1091"/>
      <c r="UJE1091"/>
      <c r="UJF1091"/>
      <c r="UJI1091"/>
      <c r="UJJ1091"/>
      <c r="UJM1091"/>
      <c r="UJN1091"/>
      <c r="UJQ1091"/>
      <c r="UJR1091"/>
      <c r="UJU1091"/>
      <c r="UJV1091"/>
      <c r="UJY1091"/>
      <c r="UJZ1091"/>
      <c r="UKC1091"/>
      <c r="UKD1091"/>
      <c r="UKG1091"/>
      <c r="UKH1091"/>
      <c r="UKK1091"/>
      <c r="UKL1091"/>
      <c r="UKO1091"/>
      <c r="UKP1091"/>
      <c r="UKS1091"/>
      <c r="UKT1091"/>
      <c r="UKW1091"/>
      <c r="UKX1091"/>
      <c r="ULA1091"/>
      <c r="ULB1091"/>
      <c r="ULE1091"/>
      <c r="ULF1091"/>
      <c r="ULI1091"/>
      <c r="ULJ1091"/>
      <c r="ULM1091"/>
      <c r="ULN1091"/>
      <c r="ULQ1091"/>
      <c r="ULR1091"/>
      <c r="ULU1091"/>
      <c r="ULV1091"/>
      <c r="ULY1091"/>
      <c r="ULZ1091"/>
      <c r="UMC1091"/>
      <c r="UMD1091"/>
      <c r="UMG1091"/>
      <c r="UMH1091"/>
      <c r="UMK1091"/>
      <c r="UML1091"/>
      <c r="UMO1091"/>
      <c r="UMP1091"/>
      <c r="UMS1091"/>
      <c r="UMT1091"/>
      <c r="UMW1091"/>
      <c r="UMX1091"/>
      <c r="UNA1091"/>
      <c r="UNB1091"/>
      <c r="UNE1091"/>
      <c r="UNF1091"/>
      <c r="UNI1091"/>
      <c r="UNJ1091"/>
      <c r="UNM1091"/>
      <c r="UNN1091"/>
      <c r="UNQ1091"/>
      <c r="UNR1091"/>
      <c r="UNU1091"/>
      <c r="UNV1091"/>
      <c r="UNY1091"/>
      <c r="UNZ1091"/>
      <c r="UOC1091"/>
      <c r="UOD1091"/>
      <c r="UOG1091"/>
      <c r="UOH1091"/>
      <c r="UOK1091"/>
      <c r="UOL1091"/>
      <c r="UOO1091"/>
      <c r="UOP1091"/>
      <c r="UOS1091"/>
      <c r="UOT1091"/>
      <c r="UOW1091"/>
      <c r="UOX1091"/>
      <c r="UPA1091"/>
      <c r="UPB1091"/>
      <c r="UPE1091"/>
      <c r="UPF1091"/>
      <c r="UPI1091"/>
      <c r="UPJ1091"/>
      <c r="UPM1091"/>
      <c r="UPN1091"/>
      <c r="UPQ1091"/>
      <c r="UPR1091"/>
      <c r="UPU1091"/>
      <c r="UPV1091"/>
      <c r="UPY1091"/>
      <c r="UPZ1091"/>
      <c r="UQC1091"/>
      <c r="UQD1091"/>
      <c r="UQG1091"/>
      <c r="UQH1091"/>
      <c r="UQK1091"/>
      <c r="UQL1091"/>
      <c r="UQO1091"/>
      <c r="UQP1091"/>
      <c r="UQS1091"/>
      <c r="UQT1091"/>
      <c r="UQW1091"/>
      <c r="UQX1091"/>
      <c r="URA1091"/>
      <c r="URB1091"/>
      <c r="URE1091"/>
      <c r="URF1091"/>
      <c r="URI1091"/>
      <c r="URJ1091"/>
      <c r="URM1091"/>
      <c r="URN1091"/>
      <c r="URQ1091"/>
      <c r="URR1091"/>
      <c r="URU1091"/>
      <c r="URV1091"/>
      <c r="URY1091"/>
      <c r="URZ1091"/>
      <c r="USC1091"/>
      <c r="USD1091"/>
      <c r="USG1091"/>
      <c r="USH1091"/>
      <c r="USK1091"/>
      <c r="USL1091"/>
      <c r="USO1091"/>
      <c r="USP1091"/>
      <c r="USS1091"/>
      <c r="UST1091"/>
      <c r="USW1091"/>
      <c r="USX1091"/>
      <c r="UTA1091"/>
      <c r="UTB1091"/>
      <c r="UTE1091"/>
      <c r="UTF1091"/>
      <c r="UTI1091"/>
      <c r="UTJ1091"/>
      <c r="UTM1091"/>
      <c r="UTN1091"/>
      <c r="UTQ1091"/>
      <c r="UTR1091"/>
      <c r="UTU1091"/>
      <c r="UTV1091"/>
      <c r="UTY1091"/>
      <c r="UTZ1091"/>
      <c r="UUC1091"/>
      <c r="UUD1091"/>
      <c r="UUG1091"/>
      <c r="UUH1091"/>
      <c r="UUK1091"/>
      <c r="UUL1091"/>
      <c r="UUO1091"/>
      <c r="UUP1091"/>
      <c r="UUS1091"/>
      <c r="UUT1091"/>
      <c r="UUW1091"/>
      <c r="UUX1091"/>
      <c r="UVA1091"/>
      <c r="UVB1091"/>
      <c r="UVE1091"/>
      <c r="UVF1091"/>
      <c r="UVI1091"/>
      <c r="UVJ1091"/>
      <c r="UVM1091"/>
      <c r="UVN1091"/>
      <c r="UVQ1091"/>
      <c r="UVR1091"/>
      <c r="UVU1091"/>
      <c r="UVV1091"/>
      <c r="UVY1091"/>
      <c r="UVZ1091"/>
      <c r="UWC1091"/>
      <c r="UWD1091"/>
      <c r="UWG1091"/>
      <c r="UWH1091"/>
      <c r="UWK1091"/>
      <c r="UWL1091"/>
      <c r="UWO1091"/>
      <c r="UWP1091"/>
      <c r="UWS1091"/>
      <c r="UWT1091"/>
      <c r="UWW1091"/>
      <c r="UWX1091"/>
      <c r="UXA1091"/>
      <c r="UXB1091"/>
      <c r="UXE1091"/>
      <c r="UXF1091"/>
      <c r="UXI1091"/>
      <c r="UXJ1091"/>
      <c r="UXM1091"/>
      <c r="UXN1091"/>
      <c r="UXQ1091"/>
      <c r="UXR1091"/>
      <c r="UXU1091"/>
      <c r="UXV1091"/>
      <c r="UXY1091"/>
      <c r="UXZ1091"/>
      <c r="UYC1091"/>
      <c r="UYD1091"/>
      <c r="UYG1091"/>
      <c r="UYH1091"/>
      <c r="UYK1091"/>
      <c r="UYL1091"/>
      <c r="UYO1091"/>
      <c r="UYP1091"/>
      <c r="UYS1091"/>
      <c r="UYT1091"/>
      <c r="UYW1091"/>
      <c r="UYX1091"/>
      <c r="UZA1091"/>
      <c r="UZB1091"/>
      <c r="UZE1091"/>
      <c r="UZF1091"/>
      <c r="UZI1091"/>
      <c r="UZJ1091"/>
      <c r="UZM1091"/>
      <c r="UZN1091"/>
      <c r="UZQ1091"/>
      <c r="UZR1091"/>
      <c r="UZU1091"/>
      <c r="UZV1091"/>
      <c r="UZY1091"/>
      <c r="UZZ1091"/>
      <c r="VAC1091"/>
      <c r="VAD1091"/>
      <c r="VAG1091"/>
      <c r="VAH1091"/>
      <c r="VAK1091"/>
      <c r="VAL1091"/>
      <c r="VAO1091"/>
      <c r="VAP1091"/>
      <c r="VAS1091"/>
      <c r="VAT1091"/>
      <c r="VAW1091"/>
      <c r="VAX1091"/>
      <c r="VBA1091"/>
      <c r="VBB1091"/>
      <c r="VBE1091"/>
      <c r="VBF1091"/>
      <c r="VBI1091"/>
      <c r="VBJ1091"/>
      <c r="VBM1091"/>
      <c r="VBN1091"/>
      <c r="VBQ1091"/>
      <c r="VBR1091"/>
      <c r="VBU1091"/>
      <c r="VBV1091"/>
      <c r="VBY1091"/>
      <c r="VBZ1091"/>
      <c r="VCC1091"/>
      <c r="VCD1091"/>
      <c r="VCG1091"/>
      <c r="VCH1091"/>
      <c r="VCK1091"/>
      <c r="VCL1091"/>
      <c r="VCO1091"/>
      <c r="VCP1091"/>
      <c r="VCS1091"/>
      <c r="VCT1091"/>
      <c r="VCW1091"/>
      <c r="VCX1091"/>
      <c r="VDA1091"/>
      <c r="VDB1091"/>
      <c r="VDE1091"/>
      <c r="VDF1091"/>
      <c r="VDI1091"/>
      <c r="VDJ1091"/>
      <c r="VDM1091"/>
      <c r="VDN1091"/>
      <c r="VDQ1091"/>
      <c r="VDR1091"/>
      <c r="VDU1091"/>
      <c r="VDV1091"/>
      <c r="VDY1091"/>
      <c r="VDZ1091"/>
      <c r="VEC1091"/>
      <c r="VED1091"/>
      <c r="VEG1091"/>
      <c r="VEH1091"/>
      <c r="VEK1091"/>
      <c r="VEL1091"/>
      <c r="VEO1091"/>
      <c r="VEP1091"/>
      <c r="VES1091"/>
      <c r="VET1091"/>
      <c r="VEW1091"/>
      <c r="VEX1091"/>
      <c r="VFA1091"/>
      <c r="VFB1091"/>
      <c r="VFE1091"/>
      <c r="VFF1091"/>
      <c r="VFI1091"/>
      <c r="VFJ1091"/>
      <c r="VFM1091"/>
      <c r="VFN1091"/>
      <c r="VFQ1091"/>
      <c r="VFR1091"/>
      <c r="VFU1091"/>
      <c r="VFV1091"/>
      <c r="VFY1091"/>
      <c r="VFZ1091"/>
      <c r="VGC1091"/>
      <c r="VGD1091"/>
      <c r="VGG1091"/>
      <c r="VGH1091"/>
      <c r="VGK1091"/>
      <c r="VGL1091"/>
      <c r="VGO1091"/>
      <c r="VGP1091"/>
      <c r="VGS1091"/>
      <c r="VGT1091"/>
      <c r="VGW1091"/>
      <c r="VGX1091"/>
      <c r="VHA1091"/>
      <c r="VHB1091"/>
      <c r="VHE1091"/>
      <c r="VHF1091"/>
      <c r="VHI1091"/>
      <c r="VHJ1091"/>
      <c r="VHM1091"/>
      <c r="VHN1091"/>
      <c r="VHQ1091"/>
      <c r="VHR1091"/>
      <c r="VHU1091"/>
      <c r="VHV1091"/>
      <c r="VHY1091"/>
      <c r="VHZ1091"/>
      <c r="VIC1091"/>
      <c r="VID1091"/>
      <c r="VIG1091"/>
      <c r="VIH1091"/>
      <c r="VIK1091"/>
      <c r="VIL1091"/>
      <c r="VIO1091"/>
      <c r="VIP1091"/>
      <c r="VIS1091"/>
      <c r="VIT1091"/>
      <c r="VIW1091"/>
      <c r="VIX1091"/>
      <c r="VJA1091"/>
      <c r="VJB1091"/>
      <c r="VJE1091"/>
      <c r="VJF1091"/>
      <c r="VJI1091"/>
      <c r="VJJ1091"/>
      <c r="VJM1091"/>
      <c r="VJN1091"/>
      <c r="VJQ1091"/>
      <c r="VJR1091"/>
      <c r="VJU1091"/>
      <c r="VJV1091"/>
      <c r="VJY1091"/>
      <c r="VJZ1091"/>
      <c r="VKC1091"/>
      <c r="VKD1091"/>
      <c r="VKG1091"/>
      <c r="VKH1091"/>
      <c r="VKK1091"/>
      <c r="VKL1091"/>
      <c r="VKO1091"/>
      <c r="VKP1091"/>
      <c r="VKS1091"/>
      <c r="VKT1091"/>
      <c r="VKW1091"/>
      <c r="VKX1091"/>
      <c r="VLA1091"/>
      <c r="VLB1091"/>
      <c r="VLE1091"/>
      <c r="VLF1091"/>
      <c r="VLI1091"/>
      <c r="VLJ1091"/>
      <c r="VLM1091"/>
      <c r="VLN1091"/>
      <c r="VLQ1091"/>
      <c r="VLR1091"/>
      <c r="VLU1091"/>
      <c r="VLV1091"/>
      <c r="VLY1091"/>
      <c r="VLZ1091"/>
      <c r="VMC1091"/>
      <c r="VMD1091"/>
      <c r="VMG1091"/>
      <c r="VMH1091"/>
      <c r="VMK1091"/>
      <c r="VML1091"/>
      <c r="VMO1091"/>
      <c r="VMP1091"/>
      <c r="VMS1091"/>
      <c r="VMT1091"/>
      <c r="VMW1091"/>
      <c r="VMX1091"/>
      <c r="VNA1091"/>
      <c r="VNB1091"/>
      <c r="VNE1091"/>
      <c r="VNF1091"/>
      <c r="VNI1091"/>
      <c r="VNJ1091"/>
      <c r="VNM1091"/>
      <c r="VNN1091"/>
      <c r="VNQ1091"/>
      <c r="VNR1091"/>
      <c r="VNU1091"/>
      <c r="VNV1091"/>
      <c r="VNY1091"/>
      <c r="VNZ1091"/>
      <c r="VOC1091"/>
      <c r="VOD1091"/>
      <c r="VOG1091"/>
      <c r="VOH1091"/>
      <c r="VOK1091"/>
      <c r="VOL1091"/>
      <c r="VOO1091"/>
      <c r="VOP1091"/>
      <c r="VOS1091"/>
      <c r="VOT1091"/>
      <c r="VOW1091"/>
      <c r="VOX1091"/>
      <c r="VPA1091"/>
      <c r="VPB1091"/>
      <c r="VPE1091"/>
      <c r="VPF1091"/>
      <c r="VPI1091"/>
      <c r="VPJ1091"/>
      <c r="VPM1091"/>
      <c r="VPN1091"/>
      <c r="VPQ1091"/>
      <c r="VPR1091"/>
      <c r="VPU1091"/>
      <c r="VPV1091"/>
      <c r="VPY1091"/>
      <c r="VPZ1091"/>
      <c r="VQC1091"/>
      <c r="VQD1091"/>
      <c r="VQG1091"/>
      <c r="VQH1091"/>
      <c r="VQK1091"/>
      <c r="VQL1091"/>
      <c r="VQO1091"/>
      <c r="VQP1091"/>
      <c r="VQS1091"/>
      <c r="VQT1091"/>
      <c r="VQW1091"/>
      <c r="VQX1091"/>
      <c r="VRA1091"/>
      <c r="VRB1091"/>
      <c r="VRE1091"/>
      <c r="VRF1091"/>
      <c r="VRI1091"/>
      <c r="VRJ1091"/>
      <c r="VRM1091"/>
      <c r="VRN1091"/>
      <c r="VRQ1091"/>
      <c r="VRR1091"/>
      <c r="VRU1091"/>
      <c r="VRV1091"/>
      <c r="VRY1091"/>
      <c r="VRZ1091"/>
      <c r="VSC1091"/>
      <c r="VSD1091"/>
      <c r="VSG1091"/>
      <c r="VSH1091"/>
      <c r="VSK1091"/>
      <c r="VSL1091"/>
      <c r="VSO1091"/>
      <c r="VSP1091"/>
      <c r="VSS1091"/>
      <c r="VST1091"/>
      <c r="VSW1091"/>
      <c r="VSX1091"/>
      <c r="VTA1091"/>
      <c r="VTB1091"/>
      <c r="VTE1091"/>
      <c r="VTF1091"/>
      <c r="VTI1091"/>
      <c r="VTJ1091"/>
      <c r="VTM1091"/>
      <c r="VTN1091"/>
      <c r="VTQ1091"/>
      <c r="VTR1091"/>
      <c r="VTU1091"/>
      <c r="VTV1091"/>
      <c r="VTY1091"/>
      <c r="VTZ1091"/>
      <c r="VUC1091"/>
      <c r="VUD1091"/>
      <c r="VUG1091"/>
      <c r="VUH1091"/>
      <c r="VUK1091"/>
      <c r="VUL1091"/>
      <c r="VUO1091"/>
      <c r="VUP1091"/>
      <c r="VUS1091"/>
      <c r="VUT1091"/>
      <c r="VUW1091"/>
      <c r="VUX1091"/>
      <c r="VVA1091"/>
      <c r="VVB1091"/>
      <c r="VVE1091"/>
      <c r="VVF1091"/>
      <c r="VVI1091"/>
      <c r="VVJ1091"/>
      <c r="VVM1091"/>
      <c r="VVN1091"/>
      <c r="VVQ1091"/>
      <c r="VVR1091"/>
      <c r="VVU1091"/>
      <c r="VVV1091"/>
      <c r="VVY1091"/>
      <c r="VVZ1091"/>
      <c r="VWC1091"/>
      <c r="VWD1091"/>
      <c r="VWG1091"/>
      <c r="VWH1091"/>
      <c r="VWK1091"/>
      <c r="VWL1091"/>
      <c r="VWO1091"/>
      <c r="VWP1091"/>
      <c r="VWS1091"/>
      <c r="VWT1091"/>
      <c r="VWW1091"/>
      <c r="VWX1091"/>
      <c r="VXA1091"/>
      <c r="VXB1091"/>
      <c r="VXE1091"/>
      <c r="VXF1091"/>
      <c r="VXI1091"/>
      <c r="VXJ1091"/>
      <c r="VXM1091"/>
      <c r="VXN1091"/>
      <c r="VXQ1091"/>
      <c r="VXR1091"/>
      <c r="VXU1091"/>
      <c r="VXV1091"/>
      <c r="VXY1091"/>
      <c r="VXZ1091"/>
      <c r="VYC1091"/>
      <c r="VYD1091"/>
      <c r="VYG1091"/>
      <c r="VYH1091"/>
      <c r="VYK1091"/>
      <c r="VYL1091"/>
      <c r="VYO1091"/>
      <c r="VYP1091"/>
      <c r="VYS1091"/>
      <c r="VYT1091"/>
      <c r="VYW1091"/>
      <c r="VYX1091"/>
      <c r="VZA1091"/>
      <c r="VZB1091"/>
      <c r="VZE1091"/>
      <c r="VZF1091"/>
      <c r="VZI1091"/>
      <c r="VZJ1091"/>
      <c r="VZM1091"/>
      <c r="VZN1091"/>
      <c r="VZQ1091"/>
      <c r="VZR1091"/>
      <c r="VZU1091"/>
      <c r="VZV1091"/>
      <c r="VZY1091"/>
      <c r="VZZ1091"/>
      <c r="WAC1091"/>
      <c r="WAD1091"/>
      <c r="WAG1091"/>
      <c r="WAH1091"/>
      <c r="WAK1091"/>
      <c r="WAL1091"/>
      <c r="WAO1091"/>
      <c r="WAP1091"/>
      <c r="WAS1091"/>
      <c r="WAT1091"/>
      <c r="WAW1091"/>
      <c r="WAX1091"/>
      <c r="WBA1091"/>
      <c r="WBB1091"/>
      <c r="WBE1091"/>
      <c r="WBF1091"/>
      <c r="WBI1091"/>
      <c r="WBJ1091"/>
      <c r="WBM1091"/>
      <c r="WBN1091"/>
      <c r="WBQ1091"/>
      <c r="WBR1091"/>
      <c r="WBU1091"/>
      <c r="WBV1091"/>
      <c r="WBY1091"/>
      <c r="WBZ1091"/>
      <c r="WCC1091"/>
      <c r="WCD1091"/>
      <c r="WCG1091"/>
      <c r="WCH1091"/>
      <c r="WCK1091"/>
      <c r="WCL1091"/>
      <c r="WCO1091"/>
      <c r="WCP1091"/>
      <c r="WCS1091"/>
      <c r="WCT1091"/>
      <c r="WCW1091"/>
      <c r="WCX1091"/>
      <c r="WDA1091"/>
      <c r="WDB1091"/>
      <c r="WDE1091"/>
      <c r="WDF1091"/>
      <c r="WDI1091"/>
      <c r="WDJ1091"/>
      <c r="WDM1091"/>
      <c r="WDN1091"/>
      <c r="WDQ1091"/>
      <c r="WDR1091"/>
      <c r="WDU1091"/>
      <c r="WDV1091"/>
      <c r="WDY1091"/>
      <c r="WDZ1091"/>
      <c r="WEC1091"/>
      <c r="WED1091"/>
      <c r="WEG1091"/>
      <c r="WEH1091"/>
      <c r="WEK1091"/>
      <c r="WEL1091"/>
      <c r="WEO1091"/>
      <c r="WEP1091"/>
      <c r="WES1091"/>
      <c r="WET1091"/>
      <c r="WEW1091"/>
      <c r="WEX1091"/>
      <c r="WFA1091"/>
      <c r="WFB1091"/>
      <c r="WFE1091"/>
      <c r="WFF1091"/>
      <c r="WFI1091"/>
      <c r="WFJ1091"/>
      <c r="WFM1091"/>
      <c r="WFN1091"/>
      <c r="WFQ1091"/>
      <c r="WFR1091"/>
      <c r="WFU1091"/>
      <c r="WFV1091"/>
      <c r="WFY1091"/>
      <c r="WFZ1091"/>
      <c r="WGC1091"/>
      <c r="WGD1091"/>
      <c r="WGG1091"/>
      <c r="WGH1091"/>
      <c r="WGK1091"/>
      <c r="WGL1091"/>
      <c r="WGO1091"/>
      <c r="WGP1091"/>
      <c r="WGS1091"/>
      <c r="WGT1091"/>
      <c r="WGW1091"/>
      <c r="WGX1091"/>
      <c r="WHA1091"/>
      <c r="WHB1091"/>
      <c r="WHE1091"/>
      <c r="WHF1091"/>
      <c r="WHI1091"/>
      <c r="WHJ1091"/>
      <c r="WHM1091"/>
      <c r="WHN1091"/>
      <c r="WHQ1091"/>
      <c r="WHR1091"/>
      <c r="WHU1091"/>
      <c r="WHV1091"/>
      <c r="WHY1091"/>
      <c r="WHZ1091"/>
      <c r="WIC1091"/>
      <c r="WID1091"/>
      <c r="WIG1091"/>
      <c r="WIH1091"/>
      <c r="WIK1091"/>
      <c r="WIL1091"/>
      <c r="WIO1091"/>
      <c r="WIP1091"/>
      <c r="WIS1091"/>
      <c r="WIT1091"/>
      <c r="WIW1091"/>
      <c r="WIX1091"/>
      <c r="WJA1091"/>
      <c r="WJB1091"/>
      <c r="WJE1091"/>
      <c r="WJF1091"/>
      <c r="WJI1091"/>
      <c r="WJJ1091"/>
      <c r="WJM1091"/>
      <c r="WJN1091"/>
      <c r="WJQ1091"/>
      <c r="WJR1091"/>
      <c r="WJU1091"/>
      <c r="WJV1091"/>
      <c r="WJY1091"/>
      <c r="WJZ1091"/>
      <c r="WKC1091"/>
      <c r="WKD1091"/>
      <c r="WKG1091"/>
      <c r="WKH1091"/>
      <c r="WKK1091"/>
      <c r="WKL1091"/>
      <c r="WKO1091"/>
      <c r="WKP1091"/>
      <c r="WKS1091"/>
      <c r="WKT1091"/>
      <c r="WKW1091"/>
      <c r="WKX1091"/>
      <c r="WLA1091"/>
      <c r="WLB1091"/>
      <c r="WLE1091"/>
      <c r="WLF1091"/>
      <c r="WLI1091"/>
      <c r="WLJ1091"/>
      <c r="WLM1091"/>
      <c r="WLN1091"/>
      <c r="WLQ1091"/>
      <c r="WLR1091"/>
      <c r="WLU1091"/>
      <c r="WLV1091"/>
      <c r="WLY1091"/>
      <c r="WLZ1091"/>
      <c r="WMC1091"/>
      <c r="WMD1091"/>
      <c r="WMG1091"/>
      <c r="WMH1091"/>
      <c r="WMK1091"/>
      <c r="WML1091"/>
      <c r="WMO1091"/>
      <c r="WMP1091"/>
      <c r="WMS1091"/>
      <c r="WMT1091"/>
      <c r="WMW1091"/>
      <c r="WMX1091"/>
      <c r="WNA1091"/>
      <c r="WNB1091"/>
      <c r="WNE1091"/>
      <c r="WNF1091"/>
      <c r="WNI1091"/>
      <c r="WNJ1091"/>
      <c r="WNM1091"/>
      <c r="WNN1091"/>
      <c r="WNQ1091"/>
      <c r="WNR1091"/>
      <c r="WNU1091"/>
      <c r="WNV1091"/>
      <c r="WNY1091"/>
      <c r="WNZ1091"/>
      <c r="WOC1091"/>
      <c r="WOD1091"/>
      <c r="WOG1091"/>
      <c r="WOH1091"/>
      <c r="WOK1091"/>
      <c r="WOL1091"/>
      <c r="WOO1091"/>
      <c r="WOP1091"/>
      <c r="WOS1091"/>
      <c r="WOT1091"/>
      <c r="WOW1091"/>
      <c r="WOX1091"/>
      <c r="WPA1091"/>
      <c r="WPB1091"/>
      <c r="WPE1091"/>
      <c r="WPF1091"/>
      <c r="WPI1091"/>
      <c r="WPJ1091"/>
      <c r="WPM1091"/>
      <c r="WPN1091"/>
      <c r="WPQ1091"/>
      <c r="WPR1091"/>
      <c r="WPU1091"/>
      <c r="WPV1091"/>
      <c r="WPY1091"/>
      <c r="WPZ1091"/>
      <c r="WQC1091"/>
      <c r="WQD1091"/>
      <c r="WQG1091"/>
      <c r="WQH1091"/>
      <c r="WQK1091"/>
      <c r="WQL1091"/>
      <c r="WQO1091"/>
      <c r="WQP1091"/>
      <c r="WQS1091"/>
      <c r="WQT1091"/>
      <c r="WQW1091"/>
      <c r="WQX1091"/>
      <c r="WRA1091"/>
      <c r="WRB1091"/>
      <c r="WRE1091"/>
      <c r="WRF1091"/>
      <c r="WRI1091"/>
      <c r="WRJ1091"/>
      <c r="WRM1091"/>
      <c r="WRN1091"/>
      <c r="WRQ1091"/>
      <c r="WRR1091"/>
      <c r="WRU1091"/>
      <c r="WRV1091"/>
      <c r="WRY1091"/>
      <c r="WRZ1091"/>
      <c r="WSC1091"/>
      <c r="WSD1091"/>
      <c r="WSG1091"/>
      <c r="WSH1091"/>
      <c r="WSK1091"/>
      <c r="WSL1091"/>
      <c r="WSO1091"/>
      <c r="WSP1091"/>
      <c r="WSS1091"/>
      <c r="WST1091"/>
      <c r="WSW1091"/>
      <c r="WSX1091"/>
      <c r="WTA1091"/>
      <c r="WTB1091"/>
      <c r="WTE1091"/>
      <c r="WTF1091"/>
      <c r="WTI1091"/>
      <c r="WTJ1091"/>
      <c r="WTM1091"/>
      <c r="WTN1091"/>
      <c r="WTQ1091"/>
      <c r="WTR1091"/>
      <c r="WTU1091"/>
      <c r="WTV1091"/>
      <c r="WTY1091"/>
      <c r="WTZ1091"/>
      <c r="WUC1091"/>
      <c r="WUD1091"/>
      <c r="WUG1091"/>
      <c r="WUH1091"/>
      <c r="WUK1091"/>
      <c r="WUL1091"/>
      <c r="WUO1091"/>
      <c r="WUP1091"/>
      <c r="WUS1091"/>
      <c r="WUT1091"/>
      <c r="WUW1091"/>
      <c r="WUX1091"/>
      <c r="WVA1091"/>
      <c r="WVB1091"/>
      <c r="WVE1091"/>
      <c r="WVF1091"/>
      <c r="WVI1091"/>
      <c r="WVJ1091"/>
      <c r="WVM1091"/>
      <c r="WVN1091"/>
      <c r="WVQ1091"/>
      <c r="WVR1091"/>
      <c r="WVU1091"/>
      <c r="WVV1091"/>
      <c r="WVY1091"/>
      <c r="WVZ1091"/>
      <c r="WWC1091"/>
      <c r="WWD1091"/>
      <c r="WWG1091"/>
      <c r="WWH1091"/>
      <c r="WWK1091"/>
      <c r="WWL1091"/>
      <c r="WWO1091"/>
      <c r="WWP1091"/>
      <c r="WWS1091"/>
      <c r="WWT1091"/>
      <c r="WWW1091"/>
      <c r="WWX1091"/>
      <c r="WXA1091"/>
      <c r="WXB1091"/>
      <c r="WXE1091"/>
      <c r="WXF1091"/>
      <c r="WXI1091"/>
      <c r="WXJ1091"/>
      <c r="WXM1091"/>
      <c r="WXN1091"/>
      <c r="WXQ1091"/>
      <c r="WXR1091"/>
      <c r="WXU1091"/>
      <c r="WXV1091"/>
      <c r="WXY1091"/>
      <c r="WXZ1091"/>
      <c r="WYC1091"/>
      <c r="WYD1091"/>
      <c r="WYG1091"/>
      <c r="WYH1091"/>
      <c r="WYK1091"/>
      <c r="WYL1091"/>
      <c r="WYO1091"/>
      <c r="WYP1091"/>
      <c r="WYS1091"/>
      <c r="WYT1091"/>
      <c r="WYW1091"/>
      <c r="WYX1091"/>
      <c r="WZA1091"/>
      <c r="WZB1091"/>
      <c r="WZE1091"/>
      <c r="WZF1091"/>
      <c r="WZI1091"/>
      <c r="WZJ1091"/>
      <c r="WZM1091"/>
      <c r="WZN1091"/>
      <c r="WZQ1091"/>
      <c r="WZR1091"/>
      <c r="WZU1091"/>
      <c r="WZV1091"/>
      <c r="WZY1091"/>
      <c r="WZZ1091"/>
      <c r="XAC1091"/>
      <c r="XAD1091"/>
      <c r="XAG1091"/>
      <c r="XAH1091"/>
      <c r="XAK1091"/>
      <c r="XAL1091"/>
      <c r="XAO1091"/>
      <c r="XAP1091"/>
      <c r="XAS1091"/>
      <c r="XAT1091"/>
      <c r="XAW1091"/>
      <c r="XAX1091"/>
      <c r="XBA1091"/>
      <c r="XBB1091"/>
      <c r="XBE1091"/>
      <c r="XBF1091"/>
      <c r="XBI1091"/>
      <c r="XBJ1091"/>
      <c r="XBM1091"/>
      <c r="XBN1091"/>
      <c r="XBQ1091"/>
      <c r="XBR1091"/>
      <c r="XBU1091"/>
      <c r="XBV1091"/>
      <c r="XBY1091"/>
      <c r="XBZ1091"/>
      <c r="XCC1091"/>
      <c r="XCD1091"/>
      <c r="XCG1091"/>
      <c r="XCH1091"/>
      <c r="XCK1091"/>
      <c r="XCL1091"/>
      <c r="XCO1091"/>
      <c r="XCP1091"/>
      <c r="XCS1091"/>
      <c r="XCT1091"/>
      <c r="XCW1091"/>
      <c r="XCX1091"/>
      <c r="XDA1091"/>
      <c r="XDB1091"/>
      <c r="XDE1091"/>
      <c r="XDF1091"/>
      <c r="XDI1091"/>
      <c r="XDJ1091"/>
      <c r="XDM1091"/>
      <c r="XDN1091"/>
      <c r="XDQ1091"/>
      <c r="XDR1091"/>
      <c r="XDU1091"/>
      <c r="XDV1091"/>
      <c r="XDY1091"/>
      <c r="XDZ1091"/>
      <c r="XEC1091"/>
      <c r="XED1091"/>
      <c r="XEG1091"/>
      <c r="XEH1091"/>
      <c r="XEK1091"/>
      <c r="XEL1091"/>
      <c r="XEO1091"/>
      <c r="XEP1091"/>
      <c r="XES1091"/>
      <c r="XET1091"/>
      <c r="XEW1091"/>
      <c r="XEX1091"/>
      <c r="XFA1091"/>
      <c r="XFB1091"/>
    </row>
    <row r="1092" spans="1:1022 1025:2046 2049:3070 3073:4094 4097:5118 5121:6142 6145:7166 7169:8190 8193:9214 9217:10238 10241:11262 11265:12286 12289:13310 13313:14334 14337:15358 15361:16382" s="15" customFormat="1" outlineLevel="1" x14ac:dyDescent="0.3">
      <c r="A1092" t="s">
        <v>1813</v>
      </c>
      <c r="B1092" t="s">
        <v>266</v>
      </c>
      <c r="C1092" s="15" t="s">
        <v>10</v>
      </c>
      <c r="D1092" s="15" t="s">
        <v>1814</v>
      </c>
      <c r="E1092" t="s">
        <v>8493</v>
      </c>
      <c r="F1092"/>
      <c r="I1092"/>
      <c r="J1092" t="inlineStr">
        <is>
          <t>Corridor east of Receving Area</t>
        </is>
      </c>
      <c r="K1092" t="inlineStr">
        <is>
          <t>QNL/BF.jpg</t>
        </is>
      </c>
      <c r="L1092" t="inlineStr">
        <is>
          <t>SAME - screen and column D name the same room</t>
        </is>
      </c>
      <c r="N1092"/>
      <c r="Q1092"/>
      <c r="R1092"/>
      <c r="U1092"/>
      <c r="V1092"/>
      <c r="Y1092"/>
      <c r="Z1092"/>
      <c r="AC1092"/>
      <c r="AD1092"/>
      <c r="AG1092"/>
      <c r="AH1092"/>
      <c r="AK1092"/>
      <c r="AL1092"/>
      <c r="AO1092"/>
      <c r="AP1092"/>
      <c r="AS1092"/>
      <c r="AT1092"/>
      <c r="AW1092"/>
      <c r="AX1092"/>
      <c r="BA1092"/>
      <c r="BB1092"/>
      <c r="BE1092"/>
      <c r="BF1092"/>
      <c r="BI1092"/>
      <c r="BJ1092"/>
      <c r="BM1092"/>
      <c r="BN1092"/>
      <c r="BQ1092"/>
      <c r="BR1092"/>
      <c r="BU1092"/>
      <c r="BV1092"/>
      <c r="BY1092"/>
      <c r="BZ1092"/>
      <c r="CC1092"/>
      <c r="CD1092"/>
      <c r="CG1092"/>
      <c r="CH1092"/>
      <c r="CK1092"/>
      <c r="CL1092"/>
      <c r="CO1092"/>
      <c r="CP1092"/>
      <c r="CS1092"/>
      <c r="CT1092"/>
      <c r="CW1092"/>
      <c r="CX1092"/>
      <c r="DA1092"/>
      <c r="DB1092"/>
      <c r="DE1092"/>
      <c r="DF1092"/>
      <c r="DI1092"/>
      <c r="DJ1092"/>
      <c r="DM1092"/>
      <c r="DN1092"/>
      <c r="DQ1092"/>
      <c r="DR1092"/>
      <c r="DU1092"/>
      <c r="DV1092"/>
      <c r="DY1092"/>
      <c r="DZ1092"/>
      <c r="EC1092"/>
      <c r="ED1092"/>
      <c r="EG1092"/>
      <c r="EH1092"/>
      <c r="EK1092"/>
      <c r="EL1092"/>
      <c r="EO1092"/>
      <c r="EP1092"/>
      <c r="ES1092"/>
      <c r="ET1092"/>
      <c r="EW1092"/>
      <c r="EX1092"/>
      <c r="FA1092"/>
      <c r="FB1092"/>
      <c r="FE1092"/>
      <c r="FF1092"/>
      <c r="FI1092"/>
      <c r="FJ1092"/>
      <c r="FM1092"/>
      <c r="FN1092"/>
      <c r="FQ1092"/>
      <c r="FR1092"/>
      <c r="FU1092"/>
      <c r="FV1092"/>
      <c r="FY1092"/>
      <c r="FZ1092"/>
      <c r="GC1092"/>
      <c r="GD1092"/>
      <c r="GG1092"/>
      <c r="GH1092"/>
      <c r="GK1092"/>
      <c r="GL1092"/>
      <c r="GO1092"/>
      <c r="GP1092"/>
      <c r="GS1092"/>
      <c r="GT1092"/>
      <c r="GW1092"/>
      <c r="GX1092"/>
      <c r="HA1092"/>
      <c r="HB1092"/>
      <c r="HE1092"/>
      <c r="HF1092"/>
      <c r="HI1092"/>
      <c r="HJ1092"/>
      <c r="HM1092"/>
      <c r="HN1092"/>
      <c r="HQ1092"/>
      <c r="HR1092"/>
      <c r="HU1092"/>
      <c r="HV1092"/>
      <c r="HY1092"/>
      <c r="HZ1092"/>
      <c r="IC1092"/>
      <c r="ID1092"/>
      <c r="IG1092"/>
      <c r="IH1092"/>
      <c r="IK1092"/>
      <c r="IL1092"/>
      <c r="IO1092"/>
      <c r="IP1092"/>
      <c r="IS1092"/>
      <c r="IT1092"/>
      <c r="IW1092"/>
      <c r="IX1092"/>
      <c r="JA1092"/>
      <c r="JB1092"/>
      <c r="JE1092"/>
      <c r="JF1092"/>
      <c r="JI1092"/>
      <c r="JJ1092"/>
      <c r="JM1092"/>
      <c r="JN1092"/>
      <c r="JQ1092"/>
      <c r="JR1092"/>
      <c r="JU1092"/>
      <c r="JV1092"/>
      <c r="JY1092"/>
      <c r="JZ1092"/>
      <c r="KC1092"/>
      <c r="KD1092"/>
      <c r="KG1092"/>
      <c r="KH1092"/>
      <c r="KK1092"/>
      <c r="KL1092"/>
      <c r="KO1092"/>
      <c r="KP1092"/>
      <c r="KS1092"/>
      <c r="KT1092"/>
      <c r="KW1092"/>
      <c r="KX1092"/>
      <c r="LA1092"/>
      <c r="LB1092"/>
      <c r="LE1092"/>
      <c r="LF1092"/>
      <c r="LI1092"/>
      <c r="LJ1092"/>
      <c r="LM1092"/>
      <c r="LN1092"/>
      <c r="LQ1092"/>
      <c r="LR1092"/>
      <c r="LU1092"/>
      <c r="LV1092"/>
      <c r="LY1092"/>
      <c r="LZ1092"/>
      <c r="MC1092"/>
      <c r="MD1092"/>
      <c r="MG1092"/>
      <c r="MH1092"/>
      <c r="MK1092"/>
      <c r="ML1092"/>
      <c r="MO1092"/>
      <c r="MP1092"/>
      <c r="MS1092"/>
      <c r="MT1092"/>
      <c r="MW1092"/>
      <c r="MX1092"/>
      <c r="NA1092"/>
      <c r="NB1092"/>
      <c r="NE1092"/>
      <c r="NF1092"/>
      <c r="NI1092"/>
      <c r="NJ1092"/>
      <c r="NM1092"/>
      <c r="NN1092"/>
      <c r="NQ1092"/>
      <c r="NR1092"/>
      <c r="NU1092"/>
      <c r="NV1092"/>
      <c r="NY1092"/>
      <c r="NZ1092"/>
      <c r="OC1092"/>
      <c r="OD1092"/>
      <c r="OG1092"/>
      <c r="OH1092"/>
      <c r="OK1092"/>
      <c r="OL1092"/>
      <c r="OO1092"/>
      <c r="OP1092"/>
      <c r="OS1092"/>
      <c r="OT1092"/>
      <c r="OW1092"/>
      <c r="OX1092"/>
      <c r="PA1092"/>
      <c r="PB1092"/>
      <c r="PE1092"/>
      <c r="PF1092"/>
      <c r="PI1092"/>
      <c r="PJ1092"/>
      <c r="PM1092"/>
      <c r="PN1092"/>
      <c r="PQ1092"/>
      <c r="PR1092"/>
      <c r="PU1092"/>
      <c r="PV1092"/>
      <c r="PY1092"/>
      <c r="PZ1092"/>
      <c r="QC1092"/>
      <c r="QD1092"/>
      <c r="QG1092"/>
      <c r="QH1092"/>
      <c r="QK1092"/>
      <c r="QL1092"/>
      <c r="QO1092"/>
      <c r="QP1092"/>
      <c r="QS1092"/>
      <c r="QT1092"/>
      <c r="QW1092"/>
      <c r="QX1092"/>
      <c r="RA1092"/>
      <c r="RB1092"/>
      <c r="RE1092"/>
      <c r="RF1092"/>
      <c r="RI1092"/>
      <c r="RJ1092"/>
      <c r="RM1092"/>
      <c r="RN1092"/>
      <c r="RQ1092"/>
      <c r="RR1092"/>
      <c r="RU1092"/>
      <c r="RV1092"/>
      <c r="RY1092"/>
      <c r="RZ1092"/>
      <c r="SC1092"/>
      <c r="SD1092"/>
      <c r="SG1092"/>
      <c r="SH1092"/>
      <c r="SK1092"/>
      <c r="SL1092"/>
      <c r="SO1092"/>
      <c r="SP1092"/>
      <c r="SS1092"/>
      <c r="ST1092"/>
      <c r="SW1092"/>
      <c r="SX1092"/>
      <c r="TA1092"/>
      <c r="TB1092"/>
      <c r="TE1092"/>
      <c r="TF1092"/>
      <c r="TI1092"/>
      <c r="TJ1092"/>
      <c r="TM1092"/>
      <c r="TN1092"/>
      <c r="TQ1092"/>
      <c r="TR1092"/>
      <c r="TU1092"/>
      <c r="TV1092"/>
      <c r="TY1092"/>
      <c r="TZ1092"/>
      <c r="UC1092"/>
      <c r="UD1092"/>
      <c r="UG1092"/>
      <c r="UH1092"/>
      <c r="UK1092"/>
      <c r="UL1092"/>
      <c r="UO1092"/>
      <c r="UP1092"/>
      <c r="US1092"/>
      <c r="UT1092"/>
      <c r="UW1092"/>
      <c r="UX1092"/>
      <c r="VA1092"/>
      <c r="VB1092"/>
      <c r="VE1092"/>
      <c r="VF1092"/>
      <c r="VI1092"/>
      <c r="VJ1092"/>
      <c r="VM1092"/>
      <c r="VN1092"/>
      <c r="VQ1092"/>
      <c r="VR1092"/>
      <c r="VU1092"/>
      <c r="VV1092"/>
      <c r="VY1092"/>
      <c r="VZ1092"/>
      <c r="WC1092"/>
      <c r="WD1092"/>
      <c r="WG1092"/>
      <c r="WH1092"/>
      <c r="WK1092"/>
      <c r="WL1092"/>
      <c r="WO1092"/>
      <c r="WP1092"/>
      <c r="WS1092"/>
      <c r="WT1092"/>
      <c r="WW1092"/>
      <c r="WX1092"/>
      <c r="XA1092"/>
      <c r="XB1092"/>
      <c r="XE1092"/>
      <c r="XF1092"/>
      <c r="XI1092"/>
      <c r="XJ1092"/>
      <c r="XM1092"/>
      <c r="XN1092"/>
      <c r="XQ1092"/>
      <c r="XR1092"/>
      <c r="XU1092"/>
      <c r="XV1092"/>
      <c r="XY1092"/>
      <c r="XZ1092"/>
      <c r="YC1092"/>
      <c r="YD1092"/>
      <c r="YG1092"/>
      <c r="YH1092"/>
      <c r="YK1092"/>
      <c r="YL1092"/>
      <c r="YO1092"/>
      <c r="YP1092"/>
      <c r="YS1092"/>
      <c r="YT1092"/>
      <c r="YW1092"/>
      <c r="YX1092"/>
      <c r="ZA1092"/>
      <c r="ZB1092"/>
      <c r="ZE1092"/>
      <c r="ZF1092"/>
      <c r="ZI1092"/>
      <c r="ZJ1092"/>
      <c r="ZM1092"/>
      <c r="ZN1092"/>
      <c r="ZQ1092"/>
      <c r="ZR1092"/>
      <c r="ZU1092"/>
      <c r="ZV1092"/>
      <c r="ZY1092"/>
      <c r="ZZ1092"/>
      <c r="AAC1092"/>
      <c r="AAD1092"/>
      <c r="AAG1092"/>
      <c r="AAH1092"/>
      <c r="AAK1092"/>
      <c r="AAL1092"/>
      <c r="AAO1092"/>
      <c r="AAP1092"/>
      <c r="AAS1092"/>
      <c r="AAT1092"/>
      <c r="AAW1092"/>
      <c r="AAX1092"/>
      <c r="ABA1092"/>
      <c r="ABB1092"/>
      <c r="ABE1092"/>
      <c r="ABF1092"/>
      <c r="ABI1092"/>
      <c r="ABJ1092"/>
      <c r="ABM1092"/>
      <c r="ABN1092"/>
      <c r="ABQ1092"/>
      <c r="ABR1092"/>
      <c r="ABU1092"/>
      <c r="ABV1092"/>
      <c r="ABY1092"/>
      <c r="ABZ1092"/>
      <c r="ACC1092"/>
      <c r="ACD1092"/>
      <c r="ACG1092"/>
      <c r="ACH1092"/>
      <c r="ACK1092"/>
      <c r="ACL1092"/>
      <c r="ACO1092"/>
      <c r="ACP1092"/>
      <c r="ACS1092"/>
      <c r="ACT1092"/>
      <c r="ACW1092"/>
      <c r="ACX1092"/>
      <c r="ADA1092"/>
      <c r="ADB1092"/>
      <c r="ADE1092"/>
      <c r="ADF1092"/>
      <c r="ADI1092"/>
      <c r="ADJ1092"/>
      <c r="ADM1092"/>
      <c r="ADN1092"/>
      <c r="ADQ1092"/>
      <c r="ADR1092"/>
      <c r="ADU1092"/>
      <c r="ADV1092"/>
      <c r="ADY1092"/>
      <c r="ADZ1092"/>
      <c r="AEC1092"/>
      <c r="AED1092"/>
      <c r="AEG1092"/>
      <c r="AEH1092"/>
      <c r="AEK1092"/>
      <c r="AEL1092"/>
      <c r="AEO1092"/>
      <c r="AEP1092"/>
      <c r="AES1092"/>
      <c r="AET1092"/>
      <c r="AEW1092"/>
      <c r="AEX1092"/>
      <c r="AFA1092"/>
      <c r="AFB1092"/>
      <c r="AFE1092"/>
      <c r="AFF1092"/>
      <c r="AFI1092"/>
      <c r="AFJ1092"/>
      <c r="AFM1092"/>
      <c r="AFN1092"/>
      <c r="AFQ1092"/>
      <c r="AFR1092"/>
      <c r="AFU1092"/>
      <c r="AFV1092"/>
      <c r="AFY1092"/>
      <c r="AFZ1092"/>
      <c r="AGC1092"/>
      <c r="AGD1092"/>
      <c r="AGG1092"/>
      <c r="AGH1092"/>
      <c r="AGK1092"/>
      <c r="AGL1092"/>
      <c r="AGO1092"/>
      <c r="AGP1092"/>
      <c r="AGS1092"/>
      <c r="AGT1092"/>
      <c r="AGW1092"/>
      <c r="AGX1092"/>
      <c r="AHA1092"/>
      <c r="AHB1092"/>
      <c r="AHE1092"/>
      <c r="AHF1092"/>
      <c r="AHI1092"/>
      <c r="AHJ1092"/>
      <c r="AHM1092"/>
      <c r="AHN1092"/>
      <c r="AHQ1092"/>
      <c r="AHR1092"/>
      <c r="AHU1092"/>
      <c r="AHV1092"/>
      <c r="AHY1092"/>
      <c r="AHZ1092"/>
      <c r="AIC1092"/>
      <c r="AID1092"/>
      <c r="AIG1092"/>
      <c r="AIH1092"/>
      <c r="AIK1092"/>
      <c r="AIL1092"/>
      <c r="AIO1092"/>
      <c r="AIP1092"/>
      <c r="AIS1092"/>
      <c r="AIT1092"/>
      <c r="AIW1092"/>
      <c r="AIX1092"/>
      <c r="AJA1092"/>
      <c r="AJB1092"/>
      <c r="AJE1092"/>
      <c r="AJF1092"/>
      <c r="AJI1092"/>
      <c r="AJJ1092"/>
      <c r="AJM1092"/>
      <c r="AJN1092"/>
      <c r="AJQ1092"/>
      <c r="AJR1092"/>
      <c r="AJU1092"/>
      <c r="AJV1092"/>
      <c r="AJY1092"/>
      <c r="AJZ1092"/>
      <c r="AKC1092"/>
      <c r="AKD1092"/>
      <c r="AKG1092"/>
      <c r="AKH1092"/>
      <c r="AKK1092"/>
      <c r="AKL1092"/>
      <c r="AKO1092"/>
      <c r="AKP1092"/>
      <c r="AKS1092"/>
      <c r="AKT1092"/>
      <c r="AKW1092"/>
      <c r="AKX1092"/>
      <c r="ALA1092"/>
      <c r="ALB1092"/>
      <c r="ALE1092"/>
      <c r="ALF1092"/>
      <c r="ALI1092"/>
      <c r="ALJ1092"/>
      <c r="ALM1092"/>
      <c r="ALN1092"/>
      <c r="ALQ1092"/>
      <c r="ALR1092"/>
      <c r="ALU1092"/>
      <c r="ALV1092"/>
      <c r="ALY1092"/>
      <c r="ALZ1092"/>
      <c r="AMC1092"/>
      <c r="AMD1092"/>
      <c r="AMG1092"/>
      <c r="AMH1092"/>
      <c r="AMK1092"/>
      <c r="AML1092"/>
      <c r="AMO1092"/>
      <c r="AMP1092"/>
      <c r="AMS1092"/>
      <c r="AMT1092"/>
      <c r="AMW1092"/>
      <c r="AMX1092"/>
      <c r="ANA1092"/>
      <c r="ANB1092"/>
      <c r="ANE1092"/>
      <c r="ANF1092"/>
      <c r="ANI1092"/>
      <c r="ANJ1092"/>
      <c r="ANM1092"/>
      <c r="ANN1092"/>
      <c r="ANQ1092"/>
      <c r="ANR1092"/>
      <c r="ANU1092"/>
      <c r="ANV1092"/>
      <c r="ANY1092"/>
      <c r="ANZ1092"/>
      <c r="AOC1092"/>
      <c r="AOD1092"/>
      <c r="AOG1092"/>
      <c r="AOH1092"/>
      <c r="AOK1092"/>
      <c r="AOL1092"/>
      <c r="AOO1092"/>
      <c r="AOP1092"/>
      <c r="AOS1092"/>
      <c r="AOT1092"/>
      <c r="AOW1092"/>
      <c r="AOX1092"/>
      <c r="APA1092"/>
      <c r="APB1092"/>
      <c r="APE1092"/>
      <c r="APF1092"/>
      <c r="API1092"/>
      <c r="APJ1092"/>
      <c r="APM1092"/>
      <c r="APN1092"/>
      <c r="APQ1092"/>
      <c r="APR1092"/>
      <c r="APU1092"/>
      <c r="APV1092"/>
      <c r="APY1092"/>
      <c r="APZ1092"/>
      <c r="AQC1092"/>
      <c r="AQD1092"/>
      <c r="AQG1092"/>
      <c r="AQH1092"/>
      <c r="AQK1092"/>
      <c r="AQL1092"/>
      <c r="AQO1092"/>
      <c r="AQP1092"/>
      <c r="AQS1092"/>
      <c r="AQT1092"/>
      <c r="AQW1092"/>
      <c r="AQX1092"/>
      <c r="ARA1092"/>
      <c r="ARB1092"/>
      <c r="ARE1092"/>
      <c r="ARF1092"/>
      <c r="ARI1092"/>
      <c r="ARJ1092"/>
      <c r="ARM1092"/>
      <c r="ARN1092"/>
      <c r="ARQ1092"/>
      <c r="ARR1092"/>
      <c r="ARU1092"/>
      <c r="ARV1092"/>
      <c r="ARY1092"/>
      <c r="ARZ1092"/>
      <c r="ASC1092"/>
      <c r="ASD1092"/>
      <c r="ASG1092"/>
      <c r="ASH1092"/>
      <c r="ASK1092"/>
      <c r="ASL1092"/>
      <c r="ASO1092"/>
      <c r="ASP1092"/>
      <c r="ASS1092"/>
      <c r="AST1092"/>
      <c r="ASW1092"/>
      <c r="ASX1092"/>
      <c r="ATA1092"/>
      <c r="ATB1092"/>
      <c r="ATE1092"/>
      <c r="ATF1092"/>
      <c r="ATI1092"/>
      <c r="ATJ1092"/>
      <c r="ATM1092"/>
      <c r="ATN1092"/>
      <c r="ATQ1092"/>
      <c r="ATR1092"/>
      <c r="ATU1092"/>
      <c r="ATV1092"/>
      <c r="ATY1092"/>
      <c r="ATZ1092"/>
      <c r="AUC1092"/>
      <c r="AUD1092"/>
      <c r="AUG1092"/>
      <c r="AUH1092"/>
      <c r="AUK1092"/>
      <c r="AUL1092"/>
      <c r="AUO1092"/>
      <c r="AUP1092"/>
      <c r="AUS1092"/>
      <c r="AUT1092"/>
      <c r="AUW1092"/>
      <c r="AUX1092"/>
      <c r="AVA1092"/>
      <c r="AVB1092"/>
      <c r="AVE1092"/>
      <c r="AVF1092"/>
      <c r="AVI1092"/>
      <c r="AVJ1092"/>
      <c r="AVM1092"/>
      <c r="AVN1092"/>
      <c r="AVQ1092"/>
      <c r="AVR1092"/>
      <c r="AVU1092"/>
      <c r="AVV1092"/>
      <c r="AVY1092"/>
      <c r="AVZ1092"/>
      <c r="AWC1092"/>
      <c r="AWD1092"/>
      <c r="AWG1092"/>
      <c r="AWH1092"/>
      <c r="AWK1092"/>
      <c r="AWL1092"/>
      <c r="AWO1092"/>
      <c r="AWP1092"/>
      <c r="AWS1092"/>
      <c r="AWT1092"/>
      <c r="AWW1092"/>
      <c r="AWX1092"/>
      <c r="AXA1092"/>
      <c r="AXB1092"/>
      <c r="AXE1092"/>
      <c r="AXF1092"/>
      <c r="AXI1092"/>
      <c r="AXJ1092"/>
      <c r="AXM1092"/>
      <c r="AXN1092"/>
      <c r="AXQ1092"/>
      <c r="AXR1092"/>
      <c r="AXU1092"/>
      <c r="AXV1092"/>
      <c r="AXY1092"/>
      <c r="AXZ1092"/>
      <c r="AYC1092"/>
      <c r="AYD1092"/>
      <c r="AYG1092"/>
      <c r="AYH1092"/>
      <c r="AYK1092"/>
      <c r="AYL1092"/>
      <c r="AYO1092"/>
      <c r="AYP1092"/>
      <c r="AYS1092"/>
      <c r="AYT1092"/>
      <c r="AYW1092"/>
      <c r="AYX1092"/>
      <c r="AZA1092"/>
      <c r="AZB1092"/>
      <c r="AZE1092"/>
      <c r="AZF1092"/>
      <c r="AZI1092"/>
      <c r="AZJ1092"/>
      <c r="AZM1092"/>
      <c r="AZN1092"/>
      <c r="AZQ1092"/>
      <c r="AZR1092"/>
      <c r="AZU1092"/>
      <c r="AZV1092"/>
      <c r="AZY1092"/>
      <c r="AZZ1092"/>
      <c r="BAC1092"/>
      <c r="BAD1092"/>
      <c r="BAG1092"/>
      <c r="BAH1092"/>
      <c r="BAK1092"/>
      <c r="BAL1092"/>
      <c r="BAO1092"/>
      <c r="BAP1092"/>
      <c r="BAS1092"/>
      <c r="BAT1092"/>
      <c r="BAW1092"/>
      <c r="BAX1092"/>
      <c r="BBA1092"/>
      <c r="BBB1092"/>
      <c r="BBE1092"/>
      <c r="BBF1092"/>
      <c r="BBI1092"/>
      <c r="BBJ1092"/>
      <c r="BBM1092"/>
      <c r="BBN1092"/>
      <c r="BBQ1092"/>
      <c r="BBR1092"/>
      <c r="BBU1092"/>
      <c r="BBV1092"/>
      <c r="BBY1092"/>
      <c r="BBZ1092"/>
      <c r="BCC1092"/>
      <c r="BCD1092"/>
      <c r="BCG1092"/>
      <c r="BCH1092"/>
      <c r="BCK1092"/>
      <c r="BCL1092"/>
      <c r="BCO1092"/>
      <c r="BCP1092"/>
      <c r="BCS1092"/>
      <c r="BCT1092"/>
      <c r="BCW1092"/>
      <c r="BCX1092"/>
      <c r="BDA1092"/>
      <c r="BDB1092"/>
      <c r="BDE1092"/>
      <c r="BDF1092"/>
      <c r="BDI1092"/>
      <c r="BDJ1092"/>
      <c r="BDM1092"/>
      <c r="BDN1092"/>
      <c r="BDQ1092"/>
      <c r="BDR1092"/>
      <c r="BDU1092"/>
      <c r="BDV1092"/>
      <c r="BDY1092"/>
      <c r="BDZ1092"/>
      <c r="BEC1092"/>
      <c r="BED1092"/>
      <c r="BEG1092"/>
      <c r="BEH1092"/>
      <c r="BEK1092"/>
      <c r="BEL1092"/>
      <c r="BEO1092"/>
      <c r="BEP1092"/>
      <c r="BES1092"/>
      <c r="BET1092"/>
      <c r="BEW1092"/>
      <c r="BEX1092"/>
      <c r="BFA1092"/>
      <c r="BFB1092"/>
      <c r="BFE1092"/>
      <c r="BFF1092"/>
      <c r="BFI1092"/>
      <c r="BFJ1092"/>
      <c r="BFM1092"/>
      <c r="BFN1092"/>
      <c r="BFQ1092"/>
      <c r="BFR1092"/>
      <c r="BFU1092"/>
      <c r="BFV1092"/>
      <c r="BFY1092"/>
      <c r="BFZ1092"/>
      <c r="BGC1092"/>
      <c r="BGD1092"/>
      <c r="BGG1092"/>
      <c r="BGH1092"/>
      <c r="BGK1092"/>
      <c r="BGL1092"/>
      <c r="BGO1092"/>
      <c r="BGP1092"/>
      <c r="BGS1092"/>
      <c r="BGT1092"/>
      <c r="BGW1092"/>
      <c r="BGX1092"/>
      <c r="BHA1092"/>
      <c r="BHB1092"/>
      <c r="BHE1092"/>
      <c r="BHF1092"/>
      <c r="BHI1092"/>
      <c r="BHJ1092"/>
      <c r="BHM1092"/>
      <c r="BHN1092"/>
      <c r="BHQ1092"/>
      <c r="BHR1092"/>
      <c r="BHU1092"/>
      <c r="BHV1092"/>
      <c r="BHY1092"/>
      <c r="BHZ1092"/>
      <c r="BIC1092"/>
      <c r="BID1092"/>
      <c r="BIG1092"/>
      <c r="BIH1092"/>
      <c r="BIK1092"/>
      <c r="BIL1092"/>
      <c r="BIO1092"/>
      <c r="BIP1092"/>
      <c r="BIS1092"/>
      <c r="BIT1092"/>
      <c r="BIW1092"/>
      <c r="BIX1092"/>
      <c r="BJA1092"/>
      <c r="BJB1092"/>
      <c r="BJE1092"/>
      <c r="BJF1092"/>
      <c r="BJI1092"/>
      <c r="BJJ1092"/>
      <c r="BJM1092"/>
      <c r="BJN1092"/>
      <c r="BJQ1092"/>
      <c r="BJR1092"/>
      <c r="BJU1092"/>
      <c r="BJV1092"/>
      <c r="BJY1092"/>
      <c r="BJZ1092"/>
      <c r="BKC1092"/>
      <c r="BKD1092"/>
      <c r="BKG1092"/>
      <c r="BKH1092"/>
      <c r="BKK1092"/>
      <c r="BKL1092"/>
      <c r="BKO1092"/>
      <c r="BKP1092"/>
      <c r="BKS1092"/>
      <c r="BKT1092"/>
      <c r="BKW1092"/>
      <c r="BKX1092"/>
      <c r="BLA1092"/>
      <c r="BLB1092"/>
      <c r="BLE1092"/>
      <c r="BLF1092"/>
      <c r="BLI1092"/>
      <c r="BLJ1092"/>
      <c r="BLM1092"/>
      <c r="BLN1092"/>
      <c r="BLQ1092"/>
      <c r="BLR1092"/>
      <c r="BLU1092"/>
      <c r="BLV1092"/>
      <c r="BLY1092"/>
      <c r="BLZ1092"/>
      <c r="BMC1092"/>
      <c r="BMD1092"/>
      <c r="BMG1092"/>
      <c r="BMH1092"/>
      <c r="BMK1092"/>
      <c r="BML1092"/>
      <c r="BMO1092"/>
      <c r="BMP1092"/>
      <c r="BMS1092"/>
      <c r="BMT1092"/>
      <c r="BMW1092"/>
      <c r="BMX1092"/>
      <c r="BNA1092"/>
      <c r="BNB1092"/>
      <c r="BNE1092"/>
      <c r="BNF1092"/>
      <c r="BNI1092"/>
      <c r="BNJ1092"/>
      <c r="BNM1092"/>
      <c r="BNN1092"/>
      <c r="BNQ1092"/>
      <c r="BNR1092"/>
      <c r="BNU1092"/>
      <c r="BNV1092"/>
      <c r="BNY1092"/>
      <c r="BNZ1092"/>
      <c r="BOC1092"/>
      <c r="BOD1092"/>
      <c r="BOG1092"/>
      <c r="BOH1092"/>
      <c r="BOK1092"/>
      <c r="BOL1092"/>
      <c r="BOO1092"/>
      <c r="BOP1092"/>
      <c r="BOS1092"/>
      <c r="BOT1092"/>
      <c r="BOW1092"/>
      <c r="BOX1092"/>
      <c r="BPA1092"/>
      <c r="BPB1092"/>
      <c r="BPE1092"/>
      <c r="BPF1092"/>
      <c r="BPI1092"/>
      <c r="BPJ1092"/>
      <c r="BPM1092"/>
      <c r="BPN1092"/>
      <c r="BPQ1092"/>
      <c r="BPR1092"/>
      <c r="BPU1092"/>
      <c r="BPV1092"/>
      <c r="BPY1092"/>
      <c r="BPZ1092"/>
      <c r="BQC1092"/>
      <c r="BQD1092"/>
      <c r="BQG1092"/>
      <c r="BQH1092"/>
      <c r="BQK1092"/>
      <c r="BQL1092"/>
      <c r="BQO1092"/>
      <c r="BQP1092"/>
      <c r="BQS1092"/>
      <c r="BQT1092"/>
      <c r="BQW1092"/>
      <c r="BQX1092"/>
      <c r="BRA1092"/>
      <c r="BRB1092"/>
      <c r="BRE1092"/>
      <c r="BRF1092"/>
      <c r="BRI1092"/>
      <c r="BRJ1092"/>
      <c r="BRM1092"/>
      <c r="BRN1092"/>
      <c r="BRQ1092"/>
      <c r="BRR1092"/>
      <c r="BRU1092"/>
      <c r="BRV1092"/>
      <c r="BRY1092"/>
      <c r="BRZ1092"/>
      <c r="BSC1092"/>
      <c r="BSD1092"/>
      <c r="BSG1092"/>
      <c r="BSH1092"/>
      <c r="BSK1092"/>
      <c r="BSL1092"/>
      <c r="BSO1092"/>
      <c r="BSP1092"/>
      <c r="BSS1092"/>
      <c r="BST1092"/>
      <c r="BSW1092"/>
      <c r="BSX1092"/>
      <c r="BTA1092"/>
      <c r="BTB1092"/>
      <c r="BTE1092"/>
      <c r="BTF1092"/>
      <c r="BTI1092"/>
      <c r="BTJ1092"/>
      <c r="BTM1092"/>
      <c r="BTN1092"/>
      <c r="BTQ1092"/>
      <c r="BTR1092"/>
      <c r="BTU1092"/>
      <c r="BTV1092"/>
      <c r="BTY1092"/>
      <c r="BTZ1092"/>
      <c r="BUC1092"/>
      <c r="BUD1092"/>
      <c r="BUG1092"/>
      <c r="BUH1092"/>
      <c r="BUK1092"/>
      <c r="BUL1092"/>
      <c r="BUO1092"/>
      <c r="BUP1092"/>
      <c r="BUS1092"/>
      <c r="BUT1092"/>
      <c r="BUW1092"/>
      <c r="BUX1092"/>
      <c r="BVA1092"/>
      <c r="BVB1092"/>
      <c r="BVE1092"/>
      <c r="BVF1092"/>
      <c r="BVI1092"/>
      <c r="BVJ1092"/>
      <c r="BVM1092"/>
      <c r="BVN1092"/>
      <c r="BVQ1092"/>
      <c r="BVR1092"/>
      <c r="BVU1092"/>
      <c r="BVV1092"/>
      <c r="BVY1092"/>
      <c r="BVZ1092"/>
      <c r="BWC1092"/>
      <c r="BWD1092"/>
      <c r="BWG1092"/>
      <c r="BWH1092"/>
      <c r="BWK1092"/>
      <c r="BWL1092"/>
      <c r="BWO1092"/>
      <c r="BWP1092"/>
      <c r="BWS1092"/>
      <c r="BWT1092"/>
      <c r="BWW1092"/>
      <c r="BWX1092"/>
      <c r="BXA1092"/>
      <c r="BXB1092"/>
      <c r="BXE1092"/>
      <c r="BXF1092"/>
      <c r="BXI1092"/>
      <c r="BXJ1092"/>
      <c r="BXM1092"/>
      <c r="BXN1092"/>
      <c r="BXQ1092"/>
      <c r="BXR1092"/>
      <c r="BXU1092"/>
      <c r="BXV1092"/>
      <c r="BXY1092"/>
      <c r="BXZ1092"/>
      <c r="BYC1092"/>
      <c r="BYD1092"/>
      <c r="BYG1092"/>
      <c r="BYH1092"/>
      <c r="BYK1092"/>
      <c r="BYL1092"/>
      <c r="BYO1092"/>
      <c r="BYP1092"/>
      <c r="BYS1092"/>
      <c r="BYT1092"/>
      <c r="BYW1092"/>
      <c r="BYX1092"/>
      <c r="BZA1092"/>
      <c r="BZB1092"/>
      <c r="BZE1092"/>
      <c r="BZF1092"/>
      <c r="BZI1092"/>
      <c r="BZJ1092"/>
      <c r="BZM1092"/>
      <c r="BZN1092"/>
      <c r="BZQ1092"/>
      <c r="BZR1092"/>
      <c r="BZU1092"/>
      <c r="BZV1092"/>
      <c r="BZY1092"/>
      <c r="BZZ1092"/>
      <c r="CAC1092"/>
      <c r="CAD1092"/>
      <c r="CAG1092"/>
      <c r="CAH1092"/>
      <c r="CAK1092"/>
      <c r="CAL1092"/>
      <c r="CAO1092"/>
      <c r="CAP1092"/>
      <c r="CAS1092"/>
      <c r="CAT1092"/>
      <c r="CAW1092"/>
      <c r="CAX1092"/>
      <c r="CBA1092"/>
      <c r="CBB1092"/>
      <c r="CBE1092"/>
      <c r="CBF1092"/>
      <c r="CBI1092"/>
      <c r="CBJ1092"/>
      <c r="CBM1092"/>
      <c r="CBN1092"/>
      <c r="CBQ1092"/>
      <c r="CBR1092"/>
      <c r="CBU1092"/>
      <c r="CBV1092"/>
      <c r="CBY1092"/>
      <c r="CBZ1092"/>
      <c r="CCC1092"/>
      <c r="CCD1092"/>
      <c r="CCG1092"/>
      <c r="CCH1092"/>
      <c r="CCK1092"/>
      <c r="CCL1092"/>
      <c r="CCO1092"/>
      <c r="CCP1092"/>
      <c r="CCS1092"/>
      <c r="CCT1092"/>
      <c r="CCW1092"/>
      <c r="CCX1092"/>
      <c r="CDA1092"/>
      <c r="CDB1092"/>
      <c r="CDE1092"/>
      <c r="CDF1092"/>
      <c r="CDI1092"/>
      <c r="CDJ1092"/>
      <c r="CDM1092"/>
      <c r="CDN1092"/>
      <c r="CDQ1092"/>
      <c r="CDR1092"/>
      <c r="CDU1092"/>
      <c r="CDV1092"/>
      <c r="CDY1092"/>
      <c r="CDZ1092"/>
      <c r="CEC1092"/>
      <c r="CED1092"/>
      <c r="CEG1092"/>
      <c r="CEH1092"/>
      <c r="CEK1092"/>
      <c r="CEL1092"/>
      <c r="CEO1092"/>
      <c r="CEP1092"/>
      <c r="CES1092"/>
      <c r="CET1092"/>
      <c r="CEW1092"/>
      <c r="CEX1092"/>
      <c r="CFA1092"/>
      <c r="CFB1092"/>
      <c r="CFE1092"/>
      <c r="CFF1092"/>
      <c r="CFI1092"/>
      <c r="CFJ1092"/>
      <c r="CFM1092"/>
      <c r="CFN1092"/>
      <c r="CFQ1092"/>
      <c r="CFR1092"/>
      <c r="CFU1092"/>
      <c r="CFV1092"/>
      <c r="CFY1092"/>
      <c r="CFZ1092"/>
      <c r="CGC1092"/>
      <c r="CGD1092"/>
      <c r="CGG1092"/>
      <c r="CGH1092"/>
      <c r="CGK1092"/>
      <c r="CGL1092"/>
      <c r="CGO1092"/>
      <c r="CGP1092"/>
      <c r="CGS1092"/>
      <c r="CGT1092"/>
      <c r="CGW1092"/>
      <c r="CGX1092"/>
      <c r="CHA1092"/>
      <c r="CHB1092"/>
      <c r="CHE1092"/>
      <c r="CHF1092"/>
      <c r="CHI1092"/>
      <c r="CHJ1092"/>
      <c r="CHM1092"/>
      <c r="CHN1092"/>
      <c r="CHQ1092"/>
      <c r="CHR1092"/>
      <c r="CHU1092"/>
      <c r="CHV1092"/>
      <c r="CHY1092"/>
      <c r="CHZ1092"/>
      <c r="CIC1092"/>
      <c r="CID1092"/>
      <c r="CIG1092"/>
      <c r="CIH1092"/>
      <c r="CIK1092"/>
      <c r="CIL1092"/>
      <c r="CIO1092"/>
      <c r="CIP1092"/>
      <c r="CIS1092"/>
      <c r="CIT1092"/>
      <c r="CIW1092"/>
      <c r="CIX1092"/>
      <c r="CJA1092"/>
      <c r="CJB1092"/>
      <c r="CJE1092"/>
      <c r="CJF1092"/>
      <c r="CJI1092"/>
      <c r="CJJ1092"/>
      <c r="CJM1092"/>
      <c r="CJN1092"/>
      <c r="CJQ1092"/>
      <c r="CJR1092"/>
      <c r="CJU1092"/>
      <c r="CJV1092"/>
      <c r="CJY1092"/>
      <c r="CJZ1092"/>
      <c r="CKC1092"/>
      <c r="CKD1092"/>
      <c r="CKG1092"/>
      <c r="CKH1092"/>
      <c r="CKK1092"/>
      <c r="CKL1092"/>
      <c r="CKO1092"/>
      <c r="CKP1092"/>
      <c r="CKS1092"/>
      <c r="CKT1092"/>
      <c r="CKW1092"/>
      <c r="CKX1092"/>
      <c r="CLA1092"/>
      <c r="CLB1092"/>
      <c r="CLE1092"/>
      <c r="CLF1092"/>
      <c r="CLI1092"/>
      <c r="CLJ1092"/>
      <c r="CLM1092"/>
      <c r="CLN1092"/>
      <c r="CLQ1092"/>
      <c r="CLR1092"/>
      <c r="CLU1092"/>
      <c r="CLV1092"/>
      <c r="CLY1092"/>
      <c r="CLZ1092"/>
      <c r="CMC1092"/>
      <c r="CMD1092"/>
      <c r="CMG1092"/>
      <c r="CMH1092"/>
      <c r="CMK1092"/>
      <c r="CML1092"/>
      <c r="CMO1092"/>
      <c r="CMP1092"/>
      <c r="CMS1092"/>
      <c r="CMT1092"/>
      <c r="CMW1092"/>
      <c r="CMX1092"/>
      <c r="CNA1092"/>
      <c r="CNB1092"/>
      <c r="CNE1092"/>
      <c r="CNF1092"/>
      <c r="CNI1092"/>
      <c r="CNJ1092"/>
      <c r="CNM1092"/>
      <c r="CNN1092"/>
      <c r="CNQ1092"/>
      <c r="CNR1092"/>
      <c r="CNU1092"/>
      <c r="CNV1092"/>
      <c r="CNY1092"/>
      <c r="CNZ1092"/>
      <c r="COC1092"/>
      <c r="COD1092"/>
      <c r="COG1092"/>
      <c r="COH1092"/>
      <c r="COK1092"/>
      <c r="COL1092"/>
      <c r="COO1092"/>
      <c r="COP1092"/>
      <c r="COS1092"/>
      <c r="COT1092"/>
      <c r="COW1092"/>
      <c r="COX1092"/>
      <c r="CPA1092"/>
      <c r="CPB1092"/>
      <c r="CPE1092"/>
      <c r="CPF1092"/>
      <c r="CPI1092"/>
      <c r="CPJ1092"/>
      <c r="CPM1092"/>
      <c r="CPN1092"/>
      <c r="CPQ1092"/>
      <c r="CPR1092"/>
      <c r="CPU1092"/>
      <c r="CPV1092"/>
      <c r="CPY1092"/>
      <c r="CPZ1092"/>
      <c r="CQC1092"/>
      <c r="CQD1092"/>
      <c r="CQG1092"/>
      <c r="CQH1092"/>
      <c r="CQK1092"/>
      <c r="CQL1092"/>
      <c r="CQO1092"/>
      <c r="CQP1092"/>
      <c r="CQS1092"/>
      <c r="CQT1092"/>
      <c r="CQW1092"/>
      <c r="CQX1092"/>
      <c r="CRA1092"/>
      <c r="CRB1092"/>
      <c r="CRE1092"/>
      <c r="CRF1092"/>
      <c r="CRI1092"/>
      <c r="CRJ1092"/>
      <c r="CRM1092"/>
      <c r="CRN1092"/>
      <c r="CRQ1092"/>
      <c r="CRR1092"/>
      <c r="CRU1092"/>
      <c r="CRV1092"/>
      <c r="CRY1092"/>
      <c r="CRZ1092"/>
      <c r="CSC1092"/>
      <c r="CSD1092"/>
      <c r="CSG1092"/>
      <c r="CSH1092"/>
      <c r="CSK1092"/>
      <c r="CSL1092"/>
      <c r="CSO1092"/>
      <c r="CSP1092"/>
      <c r="CSS1092"/>
      <c r="CST1092"/>
      <c r="CSW1092"/>
      <c r="CSX1092"/>
      <c r="CTA1092"/>
      <c r="CTB1092"/>
      <c r="CTE1092"/>
      <c r="CTF1092"/>
      <c r="CTI1092"/>
      <c r="CTJ1092"/>
      <c r="CTM1092"/>
      <c r="CTN1092"/>
      <c r="CTQ1092"/>
      <c r="CTR1092"/>
      <c r="CTU1092"/>
      <c r="CTV1092"/>
      <c r="CTY1092"/>
      <c r="CTZ1092"/>
      <c r="CUC1092"/>
      <c r="CUD1092"/>
      <c r="CUG1092"/>
      <c r="CUH1092"/>
      <c r="CUK1092"/>
      <c r="CUL1092"/>
      <c r="CUO1092"/>
      <c r="CUP1092"/>
      <c r="CUS1092"/>
      <c r="CUT1092"/>
      <c r="CUW1092"/>
      <c r="CUX1092"/>
      <c r="CVA1092"/>
      <c r="CVB1092"/>
      <c r="CVE1092"/>
      <c r="CVF1092"/>
      <c r="CVI1092"/>
      <c r="CVJ1092"/>
      <c r="CVM1092"/>
      <c r="CVN1092"/>
      <c r="CVQ1092"/>
      <c r="CVR1092"/>
      <c r="CVU1092"/>
      <c r="CVV1092"/>
      <c r="CVY1092"/>
      <c r="CVZ1092"/>
      <c r="CWC1092"/>
      <c r="CWD1092"/>
      <c r="CWG1092"/>
      <c r="CWH1092"/>
      <c r="CWK1092"/>
      <c r="CWL1092"/>
      <c r="CWO1092"/>
      <c r="CWP1092"/>
      <c r="CWS1092"/>
      <c r="CWT1092"/>
      <c r="CWW1092"/>
      <c r="CWX1092"/>
      <c r="CXA1092"/>
      <c r="CXB1092"/>
      <c r="CXE1092"/>
      <c r="CXF1092"/>
      <c r="CXI1092"/>
      <c r="CXJ1092"/>
      <c r="CXM1092"/>
      <c r="CXN1092"/>
      <c r="CXQ1092"/>
      <c r="CXR1092"/>
      <c r="CXU1092"/>
      <c r="CXV1092"/>
      <c r="CXY1092"/>
      <c r="CXZ1092"/>
      <c r="CYC1092"/>
      <c r="CYD1092"/>
      <c r="CYG1092"/>
      <c r="CYH1092"/>
      <c r="CYK1092"/>
      <c r="CYL1092"/>
      <c r="CYO1092"/>
      <c r="CYP1092"/>
      <c r="CYS1092"/>
      <c r="CYT1092"/>
      <c r="CYW1092"/>
      <c r="CYX1092"/>
      <c r="CZA1092"/>
      <c r="CZB1092"/>
      <c r="CZE1092"/>
      <c r="CZF1092"/>
      <c r="CZI1092"/>
      <c r="CZJ1092"/>
      <c r="CZM1092"/>
      <c r="CZN1092"/>
      <c r="CZQ1092"/>
      <c r="CZR1092"/>
      <c r="CZU1092"/>
      <c r="CZV1092"/>
      <c r="CZY1092"/>
      <c r="CZZ1092"/>
      <c r="DAC1092"/>
      <c r="DAD1092"/>
      <c r="DAG1092"/>
      <c r="DAH1092"/>
      <c r="DAK1092"/>
      <c r="DAL1092"/>
      <c r="DAO1092"/>
      <c r="DAP1092"/>
      <c r="DAS1092"/>
      <c r="DAT1092"/>
      <c r="DAW1092"/>
      <c r="DAX1092"/>
      <c r="DBA1092"/>
      <c r="DBB1092"/>
      <c r="DBE1092"/>
      <c r="DBF1092"/>
      <c r="DBI1092"/>
      <c r="DBJ1092"/>
      <c r="DBM1092"/>
      <c r="DBN1092"/>
      <c r="DBQ1092"/>
      <c r="DBR1092"/>
      <c r="DBU1092"/>
      <c r="DBV1092"/>
      <c r="DBY1092"/>
      <c r="DBZ1092"/>
      <c r="DCC1092"/>
      <c r="DCD1092"/>
      <c r="DCG1092"/>
      <c r="DCH1092"/>
      <c r="DCK1092"/>
      <c r="DCL1092"/>
      <c r="DCO1092"/>
      <c r="DCP1092"/>
      <c r="DCS1092"/>
      <c r="DCT1092"/>
      <c r="DCW1092"/>
      <c r="DCX1092"/>
      <c r="DDA1092"/>
      <c r="DDB1092"/>
      <c r="DDE1092"/>
      <c r="DDF1092"/>
      <c r="DDI1092"/>
      <c r="DDJ1092"/>
      <c r="DDM1092"/>
      <c r="DDN1092"/>
      <c r="DDQ1092"/>
      <c r="DDR1092"/>
      <c r="DDU1092"/>
      <c r="DDV1092"/>
      <c r="DDY1092"/>
      <c r="DDZ1092"/>
      <c r="DEC1092"/>
      <c r="DED1092"/>
      <c r="DEG1092"/>
      <c r="DEH1092"/>
      <c r="DEK1092"/>
      <c r="DEL1092"/>
      <c r="DEO1092"/>
      <c r="DEP1092"/>
      <c r="DES1092"/>
      <c r="DET1092"/>
      <c r="DEW1092"/>
      <c r="DEX1092"/>
      <c r="DFA1092"/>
      <c r="DFB1092"/>
      <c r="DFE1092"/>
      <c r="DFF1092"/>
      <c r="DFI1092"/>
      <c r="DFJ1092"/>
      <c r="DFM1092"/>
      <c r="DFN1092"/>
      <c r="DFQ1092"/>
      <c r="DFR1092"/>
      <c r="DFU1092"/>
      <c r="DFV1092"/>
      <c r="DFY1092"/>
      <c r="DFZ1092"/>
      <c r="DGC1092"/>
      <c r="DGD1092"/>
      <c r="DGG1092"/>
      <c r="DGH1092"/>
      <c r="DGK1092"/>
      <c r="DGL1092"/>
      <c r="DGO1092"/>
      <c r="DGP1092"/>
      <c r="DGS1092"/>
      <c r="DGT1092"/>
      <c r="DGW1092"/>
      <c r="DGX1092"/>
      <c r="DHA1092"/>
      <c r="DHB1092"/>
      <c r="DHE1092"/>
      <c r="DHF1092"/>
      <c r="DHI1092"/>
      <c r="DHJ1092"/>
      <c r="DHM1092"/>
      <c r="DHN1092"/>
      <c r="DHQ1092"/>
      <c r="DHR1092"/>
      <c r="DHU1092"/>
      <c r="DHV1092"/>
      <c r="DHY1092"/>
      <c r="DHZ1092"/>
      <c r="DIC1092"/>
      <c r="DID1092"/>
      <c r="DIG1092"/>
      <c r="DIH1092"/>
      <c r="DIK1092"/>
      <c r="DIL1092"/>
      <c r="DIO1092"/>
      <c r="DIP1092"/>
      <c r="DIS1092"/>
      <c r="DIT1092"/>
      <c r="DIW1092"/>
      <c r="DIX1092"/>
      <c r="DJA1092"/>
      <c r="DJB1092"/>
      <c r="DJE1092"/>
      <c r="DJF1092"/>
      <c r="DJI1092"/>
      <c r="DJJ1092"/>
      <c r="DJM1092"/>
      <c r="DJN1092"/>
      <c r="DJQ1092"/>
      <c r="DJR1092"/>
      <c r="DJU1092"/>
      <c r="DJV1092"/>
      <c r="DJY1092"/>
      <c r="DJZ1092"/>
      <c r="DKC1092"/>
      <c r="DKD1092"/>
      <c r="DKG1092"/>
      <c r="DKH1092"/>
      <c r="DKK1092"/>
      <c r="DKL1092"/>
      <c r="DKO1092"/>
      <c r="DKP1092"/>
      <c r="DKS1092"/>
      <c r="DKT1092"/>
      <c r="DKW1092"/>
      <c r="DKX1092"/>
      <c r="DLA1092"/>
      <c r="DLB1092"/>
      <c r="DLE1092"/>
      <c r="DLF1092"/>
      <c r="DLI1092"/>
      <c r="DLJ1092"/>
      <c r="DLM1092"/>
      <c r="DLN1092"/>
      <c r="DLQ1092"/>
      <c r="DLR1092"/>
      <c r="DLU1092"/>
      <c r="DLV1092"/>
      <c r="DLY1092"/>
      <c r="DLZ1092"/>
      <c r="DMC1092"/>
      <c r="DMD1092"/>
      <c r="DMG1092"/>
      <c r="DMH1092"/>
      <c r="DMK1092"/>
      <c r="DML1092"/>
      <c r="DMO1092"/>
      <c r="DMP1092"/>
      <c r="DMS1092"/>
      <c r="DMT1092"/>
      <c r="DMW1092"/>
      <c r="DMX1092"/>
      <c r="DNA1092"/>
      <c r="DNB1092"/>
      <c r="DNE1092"/>
      <c r="DNF1092"/>
      <c r="DNI1092"/>
      <c r="DNJ1092"/>
      <c r="DNM1092"/>
      <c r="DNN1092"/>
      <c r="DNQ1092"/>
      <c r="DNR1092"/>
      <c r="DNU1092"/>
      <c r="DNV1092"/>
      <c r="DNY1092"/>
      <c r="DNZ1092"/>
      <c r="DOC1092"/>
      <c r="DOD1092"/>
      <c r="DOG1092"/>
      <c r="DOH1092"/>
      <c r="DOK1092"/>
      <c r="DOL1092"/>
      <c r="DOO1092"/>
      <c r="DOP1092"/>
      <c r="DOS1092"/>
      <c r="DOT1092"/>
      <c r="DOW1092"/>
      <c r="DOX1092"/>
      <c r="DPA1092"/>
      <c r="DPB1092"/>
      <c r="DPE1092"/>
      <c r="DPF1092"/>
      <c r="DPI1092"/>
      <c r="DPJ1092"/>
      <c r="DPM1092"/>
      <c r="DPN1092"/>
      <c r="DPQ1092"/>
      <c r="DPR1092"/>
      <c r="DPU1092"/>
      <c r="DPV1092"/>
      <c r="DPY1092"/>
      <c r="DPZ1092"/>
      <c r="DQC1092"/>
      <c r="DQD1092"/>
      <c r="DQG1092"/>
      <c r="DQH1092"/>
      <c r="DQK1092"/>
      <c r="DQL1092"/>
      <c r="DQO1092"/>
      <c r="DQP1092"/>
      <c r="DQS1092"/>
      <c r="DQT1092"/>
      <c r="DQW1092"/>
      <c r="DQX1092"/>
      <c r="DRA1092"/>
      <c r="DRB1092"/>
      <c r="DRE1092"/>
      <c r="DRF1092"/>
      <c r="DRI1092"/>
      <c r="DRJ1092"/>
      <c r="DRM1092"/>
      <c r="DRN1092"/>
      <c r="DRQ1092"/>
      <c r="DRR1092"/>
      <c r="DRU1092"/>
      <c r="DRV1092"/>
      <c r="DRY1092"/>
      <c r="DRZ1092"/>
      <c r="DSC1092"/>
      <c r="DSD1092"/>
      <c r="DSG1092"/>
      <c r="DSH1092"/>
      <c r="DSK1092"/>
      <c r="DSL1092"/>
      <c r="DSO1092"/>
      <c r="DSP1092"/>
      <c r="DSS1092"/>
      <c r="DST1092"/>
      <c r="DSW1092"/>
      <c r="DSX1092"/>
      <c r="DTA1092"/>
      <c r="DTB1092"/>
      <c r="DTE1092"/>
      <c r="DTF1092"/>
      <c r="DTI1092"/>
      <c r="DTJ1092"/>
      <c r="DTM1092"/>
      <c r="DTN1092"/>
      <c r="DTQ1092"/>
      <c r="DTR1092"/>
      <c r="DTU1092"/>
      <c r="DTV1092"/>
      <c r="DTY1092"/>
      <c r="DTZ1092"/>
      <c r="DUC1092"/>
      <c r="DUD1092"/>
      <c r="DUG1092"/>
      <c r="DUH1092"/>
      <c r="DUK1092"/>
      <c r="DUL1092"/>
      <c r="DUO1092"/>
      <c r="DUP1092"/>
      <c r="DUS1092"/>
      <c r="DUT1092"/>
      <c r="DUW1092"/>
      <c r="DUX1092"/>
      <c r="DVA1092"/>
      <c r="DVB1092"/>
      <c r="DVE1092"/>
      <c r="DVF1092"/>
      <c r="DVI1092"/>
      <c r="DVJ1092"/>
      <c r="DVM1092"/>
      <c r="DVN1092"/>
      <c r="DVQ1092"/>
      <c r="DVR1092"/>
      <c r="DVU1092"/>
      <c r="DVV1092"/>
      <c r="DVY1092"/>
      <c r="DVZ1092"/>
      <c r="DWC1092"/>
      <c r="DWD1092"/>
      <c r="DWG1092"/>
      <c r="DWH1092"/>
      <c r="DWK1092"/>
      <c r="DWL1092"/>
      <c r="DWO1092"/>
      <c r="DWP1092"/>
      <c r="DWS1092"/>
      <c r="DWT1092"/>
      <c r="DWW1092"/>
      <c r="DWX1092"/>
      <c r="DXA1092"/>
      <c r="DXB1092"/>
      <c r="DXE1092"/>
      <c r="DXF1092"/>
      <c r="DXI1092"/>
      <c r="DXJ1092"/>
      <c r="DXM1092"/>
      <c r="DXN1092"/>
      <c r="DXQ1092"/>
      <c r="DXR1092"/>
      <c r="DXU1092"/>
      <c r="DXV1092"/>
      <c r="DXY1092"/>
      <c r="DXZ1092"/>
      <c r="DYC1092"/>
      <c r="DYD1092"/>
      <c r="DYG1092"/>
      <c r="DYH1092"/>
      <c r="DYK1092"/>
      <c r="DYL1092"/>
      <c r="DYO1092"/>
      <c r="DYP1092"/>
      <c r="DYS1092"/>
      <c r="DYT1092"/>
      <c r="DYW1092"/>
      <c r="DYX1092"/>
      <c r="DZA1092"/>
      <c r="DZB1092"/>
      <c r="DZE1092"/>
      <c r="DZF1092"/>
      <c r="DZI1092"/>
      <c r="DZJ1092"/>
      <c r="DZM1092"/>
      <c r="DZN1092"/>
      <c r="DZQ1092"/>
      <c r="DZR1092"/>
      <c r="DZU1092"/>
      <c r="DZV1092"/>
      <c r="DZY1092"/>
      <c r="DZZ1092"/>
      <c r="EAC1092"/>
      <c r="EAD1092"/>
      <c r="EAG1092"/>
      <c r="EAH1092"/>
      <c r="EAK1092"/>
      <c r="EAL1092"/>
      <c r="EAO1092"/>
      <c r="EAP1092"/>
      <c r="EAS1092"/>
      <c r="EAT1092"/>
      <c r="EAW1092"/>
      <c r="EAX1092"/>
      <c r="EBA1092"/>
      <c r="EBB1092"/>
      <c r="EBE1092"/>
      <c r="EBF1092"/>
      <c r="EBI1092"/>
      <c r="EBJ1092"/>
      <c r="EBM1092"/>
      <c r="EBN1092"/>
      <c r="EBQ1092"/>
      <c r="EBR1092"/>
      <c r="EBU1092"/>
      <c r="EBV1092"/>
      <c r="EBY1092"/>
      <c r="EBZ1092"/>
      <c r="ECC1092"/>
      <c r="ECD1092"/>
      <c r="ECG1092"/>
      <c r="ECH1092"/>
      <c r="ECK1092"/>
      <c r="ECL1092"/>
      <c r="ECO1092"/>
      <c r="ECP1092"/>
      <c r="ECS1092"/>
      <c r="ECT1092"/>
      <c r="ECW1092"/>
      <c r="ECX1092"/>
      <c r="EDA1092"/>
      <c r="EDB1092"/>
      <c r="EDE1092"/>
      <c r="EDF1092"/>
      <c r="EDI1092"/>
      <c r="EDJ1092"/>
      <c r="EDM1092"/>
      <c r="EDN1092"/>
      <c r="EDQ1092"/>
      <c r="EDR1092"/>
      <c r="EDU1092"/>
      <c r="EDV1092"/>
      <c r="EDY1092"/>
      <c r="EDZ1092"/>
      <c r="EEC1092"/>
      <c r="EED1092"/>
      <c r="EEG1092"/>
      <c r="EEH1092"/>
      <c r="EEK1092"/>
      <c r="EEL1092"/>
      <c r="EEO1092"/>
      <c r="EEP1092"/>
      <c r="EES1092"/>
      <c r="EET1092"/>
      <c r="EEW1092"/>
      <c r="EEX1092"/>
      <c r="EFA1092"/>
      <c r="EFB1092"/>
      <c r="EFE1092"/>
      <c r="EFF1092"/>
      <c r="EFI1092"/>
      <c r="EFJ1092"/>
      <c r="EFM1092"/>
      <c r="EFN1092"/>
      <c r="EFQ1092"/>
      <c r="EFR1092"/>
      <c r="EFU1092"/>
      <c r="EFV1092"/>
      <c r="EFY1092"/>
      <c r="EFZ1092"/>
      <c r="EGC1092"/>
      <c r="EGD1092"/>
      <c r="EGG1092"/>
      <c r="EGH1092"/>
      <c r="EGK1092"/>
      <c r="EGL1092"/>
      <c r="EGO1092"/>
      <c r="EGP1092"/>
      <c r="EGS1092"/>
      <c r="EGT1092"/>
      <c r="EGW1092"/>
      <c r="EGX1092"/>
      <c r="EHA1092"/>
      <c r="EHB1092"/>
      <c r="EHE1092"/>
      <c r="EHF1092"/>
      <c r="EHI1092"/>
      <c r="EHJ1092"/>
      <c r="EHM1092"/>
      <c r="EHN1092"/>
      <c r="EHQ1092"/>
      <c r="EHR1092"/>
      <c r="EHU1092"/>
      <c r="EHV1092"/>
      <c r="EHY1092"/>
      <c r="EHZ1092"/>
      <c r="EIC1092"/>
      <c r="EID1092"/>
      <c r="EIG1092"/>
      <c r="EIH1092"/>
      <c r="EIK1092"/>
      <c r="EIL1092"/>
      <c r="EIO1092"/>
      <c r="EIP1092"/>
      <c r="EIS1092"/>
      <c r="EIT1092"/>
      <c r="EIW1092"/>
      <c r="EIX1092"/>
      <c r="EJA1092"/>
      <c r="EJB1092"/>
      <c r="EJE1092"/>
      <c r="EJF1092"/>
      <c r="EJI1092"/>
      <c r="EJJ1092"/>
      <c r="EJM1092"/>
      <c r="EJN1092"/>
      <c r="EJQ1092"/>
      <c r="EJR1092"/>
      <c r="EJU1092"/>
      <c r="EJV1092"/>
      <c r="EJY1092"/>
      <c r="EJZ1092"/>
      <c r="EKC1092"/>
      <c r="EKD1092"/>
      <c r="EKG1092"/>
      <c r="EKH1092"/>
      <c r="EKK1092"/>
      <c r="EKL1092"/>
      <c r="EKO1092"/>
      <c r="EKP1092"/>
      <c r="EKS1092"/>
      <c r="EKT1092"/>
      <c r="EKW1092"/>
      <c r="EKX1092"/>
      <c r="ELA1092"/>
      <c r="ELB1092"/>
      <c r="ELE1092"/>
      <c r="ELF1092"/>
      <c r="ELI1092"/>
      <c r="ELJ1092"/>
      <c r="ELM1092"/>
      <c r="ELN1092"/>
      <c r="ELQ1092"/>
      <c r="ELR1092"/>
      <c r="ELU1092"/>
      <c r="ELV1092"/>
      <c r="ELY1092"/>
      <c r="ELZ1092"/>
      <c r="EMC1092"/>
      <c r="EMD1092"/>
      <c r="EMG1092"/>
      <c r="EMH1092"/>
      <c r="EMK1092"/>
      <c r="EML1092"/>
      <c r="EMO1092"/>
      <c r="EMP1092"/>
      <c r="EMS1092"/>
      <c r="EMT1092"/>
      <c r="EMW1092"/>
      <c r="EMX1092"/>
      <c r="ENA1092"/>
      <c r="ENB1092"/>
      <c r="ENE1092"/>
      <c r="ENF1092"/>
      <c r="ENI1092"/>
      <c r="ENJ1092"/>
      <c r="ENM1092"/>
      <c r="ENN1092"/>
      <c r="ENQ1092"/>
      <c r="ENR1092"/>
      <c r="ENU1092"/>
      <c r="ENV1092"/>
      <c r="ENY1092"/>
      <c r="ENZ1092"/>
      <c r="EOC1092"/>
      <c r="EOD1092"/>
      <c r="EOG1092"/>
      <c r="EOH1092"/>
      <c r="EOK1092"/>
      <c r="EOL1092"/>
      <c r="EOO1092"/>
      <c r="EOP1092"/>
      <c r="EOS1092"/>
      <c r="EOT1092"/>
      <c r="EOW1092"/>
      <c r="EOX1092"/>
      <c r="EPA1092"/>
      <c r="EPB1092"/>
      <c r="EPE1092"/>
      <c r="EPF1092"/>
      <c r="EPI1092"/>
      <c r="EPJ1092"/>
      <c r="EPM1092"/>
      <c r="EPN1092"/>
      <c r="EPQ1092"/>
      <c r="EPR1092"/>
      <c r="EPU1092"/>
      <c r="EPV1092"/>
      <c r="EPY1092"/>
      <c r="EPZ1092"/>
      <c r="EQC1092"/>
      <c r="EQD1092"/>
      <c r="EQG1092"/>
      <c r="EQH1092"/>
      <c r="EQK1092"/>
      <c r="EQL1092"/>
      <c r="EQO1092"/>
      <c r="EQP1092"/>
      <c r="EQS1092"/>
      <c r="EQT1092"/>
      <c r="EQW1092"/>
      <c r="EQX1092"/>
      <c r="ERA1092"/>
      <c r="ERB1092"/>
      <c r="ERE1092"/>
      <c r="ERF1092"/>
      <c r="ERI1092"/>
      <c r="ERJ1092"/>
      <c r="ERM1092"/>
      <c r="ERN1092"/>
      <c r="ERQ1092"/>
      <c r="ERR1092"/>
      <c r="ERU1092"/>
      <c r="ERV1092"/>
      <c r="ERY1092"/>
      <c r="ERZ1092"/>
      <c r="ESC1092"/>
      <c r="ESD1092"/>
      <c r="ESG1092"/>
      <c r="ESH1092"/>
      <c r="ESK1092"/>
      <c r="ESL1092"/>
      <c r="ESO1092"/>
      <c r="ESP1092"/>
      <c r="ESS1092"/>
      <c r="EST1092"/>
      <c r="ESW1092"/>
      <c r="ESX1092"/>
      <c r="ETA1092"/>
      <c r="ETB1092"/>
      <c r="ETE1092"/>
      <c r="ETF1092"/>
      <c r="ETI1092"/>
      <c r="ETJ1092"/>
      <c r="ETM1092"/>
      <c r="ETN1092"/>
      <c r="ETQ1092"/>
      <c r="ETR1092"/>
      <c r="ETU1092"/>
      <c r="ETV1092"/>
      <c r="ETY1092"/>
      <c r="ETZ1092"/>
      <c r="EUC1092"/>
      <c r="EUD1092"/>
      <c r="EUG1092"/>
      <c r="EUH1092"/>
      <c r="EUK1092"/>
      <c r="EUL1092"/>
      <c r="EUO1092"/>
      <c r="EUP1092"/>
      <c r="EUS1092"/>
      <c r="EUT1092"/>
      <c r="EUW1092"/>
      <c r="EUX1092"/>
      <c r="EVA1092"/>
      <c r="EVB1092"/>
      <c r="EVE1092"/>
      <c r="EVF1092"/>
      <c r="EVI1092"/>
      <c r="EVJ1092"/>
      <c r="EVM1092"/>
      <c r="EVN1092"/>
      <c r="EVQ1092"/>
      <c r="EVR1092"/>
      <c r="EVU1092"/>
      <c r="EVV1092"/>
      <c r="EVY1092"/>
      <c r="EVZ1092"/>
      <c r="EWC1092"/>
      <c r="EWD1092"/>
      <c r="EWG1092"/>
      <c r="EWH1092"/>
      <c r="EWK1092"/>
      <c r="EWL1092"/>
      <c r="EWO1092"/>
      <c r="EWP1092"/>
      <c r="EWS1092"/>
      <c r="EWT1092"/>
      <c r="EWW1092"/>
      <c r="EWX1092"/>
      <c r="EXA1092"/>
      <c r="EXB1092"/>
      <c r="EXE1092"/>
      <c r="EXF1092"/>
      <c r="EXI1092"/>
      <c r="EXJ1092"/>
      <c r="EXM1092"/>
      <c r="EXN1092"/>
      <c r="EXQ1092"/>
      <c r="EXR1092"/>
      <c r="EXU1092"/>
      <c r="EXV1092"/>
      <c r="EXY1092"/>
      <c r="EXZ1092"/>
      <c r="EYC1092"/>
      <c r="EYD1092"/>
      <c r="EYG1092"/>
      <c r="EYH1092"/>
      <c r="EYK1092"/>
      <c r="EYL1092"/>
      <c r="EYO1092"/>
      <c r="EYP1092"/>
      <c r="EYS1092"/>
      <c r="EYT1092"/>
      <c r="EYW1092"/>
      <c r="EYX1092"/>
      <c r="EZA1092"/>
      <c r="EZB1092"/>
      <c r="EZE1092"/>
      <c r="EZF1092"/>
      <c r="EZI1092"/>
      <c r="EZJ1092"/>
      <c r="EZM1092"/>
      <c r="EZN1092"/>
      <c r="EZQ1092"/>
      <c r="EZR1092"/>
      <c r="EZU1092"/>
      <c r="EZV1092"/>
      <c r="EZY1092"/>
      <c r="EZZ1092"/>
      <c r="FAC1092"/>
      <c r="FAD1092"/>
      <c r="FAG1092"/>
      <c r="FAH1092"/>
      <c r="FAK1092"/>
      <c r="FAL1092"/>
      <c r="FAO1092"/>
      <c r="FAP1092"/>
      <c r="FAS1092"/>
      <c r="FAT1092"/>
      <c r="FAW1092"/>
      <c r="FAX1092"/>
      <c r="FBA1092"/>
      <c r="FBB1092"/>
      <c r="FBE1092"/>
      <c r="FBF1092"/>
      <c r="FBI1092"/>
      <c r="FBJ1092"/>
      <c r="FBM1092"/>
      <c r="FBN1092"/>
      <c r="FBQ1092"/>
      <c r="FBR1092"/>
      <c r="FBU1092"/>
      <c r="FBV1092"/>
      <c r="FBY1092"/>
      <c r="FBZ1092"/>
      <c r="FCC1092"/>
      <c r="FCD1092"/>
      <c r="FCG1092"/>
      <c r="FCH1092"/>
      <c r="FCK1092"/>
      <c r="FCL1092"/>
      <c r="FCO1092"/>
      <c r="FCP1092"/>
      <c r="FCS1092"/>
      <c r="FCT1092"/>
      <c r="FCW1092"/>
      <c r="FCX1092"/>
      <c r="FDA1092"/>
      <c r="FDB1092"/>
      <c r="FDE1092"/>
      <c r="FDF1092"/>
      <c r="FDI1092"/>
      <c r="FDJ1092"/>
      <c r="FDM1092"/>
      <c r="FDN1092"/>
      <c r="FDQ1092"/>
      <c r="FDR1092"/>
      <c r="FDU1092"/>
      <c r="FDV1092"/>
      <c r="FDY1092"/>
      <c r="FDZ1092"/>
      <c r="FEC1092"/>
      <c r="FED1092"/>
      <c r="FEG1092"/>
      <c r="FEH1092"/>
      <c r="FEK1092"/>
      <c r="FEL1092"/>
      <c r="FEO1092"/>
      <c r="FEP1092"/>
      <c r="FES1092"/>
      <c r="FET1092"/>
      <c r="FEW1092"/>
      <c r="FEX1092"/>
      <c r="FFA1092"/>
      <c r="FFB1092"/>
      <c r="FFE1092"/>
      <c r="FFF1092"/>
      <c r="FFI1092"/>
      <c r="FFJ1092"/>
      <c r="FFM1092"/>
      <c r="FFN1092"/>
      <c r="FFQ1092"/>
      <c r="FFR1092"/>
      <c r="FFU1092"/>
      <c r="FFV1092"/>
      <c r="FFY1092"/>
      <c r="FFZ1092"/>
      <c r="FGC1092"/>
      <c r="FGD1092"/>
      <c r="FGG1092"/>
      <c r="FGH1092"/>
      <c r="FGK1092"/>
      <c r="FGL1092"/>
      <c r="FGO1092"/>
      <c r="FGP1092"/>
      <c r="FGS1092"/>
      <c r="FGT1092"/>
      <c r="FGW1092"/>
      <c r="FGX1092"/>
      <c r="FHA1092"/>
      <c r="FHB1092"/>
      <c r="FHE1092"/>
      <c r="FHF1092"/>
      <c r="FHI1092"/>
      <c r="FHJ1092"/>
      <c r="FHM1092"/>
      <c r="FHN1092"/>
      <c r="FHQ1092"/>
      <c r="FHR1092"/>
      <c r="FHU1092"/>
      <c r="FHV1092"/>
      <c r="FHY1092"/>
      <c r="FHZ1092"/>
      <c r="FIC1092"/>
      <c r="FID1092"/>
      <c r="FIG1092"/>
      <c r="FIH1092"/>
      <c r="FIK1092"/>
      <c r="FIL1092"/>
      <c r="FIO1092"/>
      <c r="FIP1092"/>
      <c r="FIS1092"/>
      <c r="FIT1092"/>
      <c r="FIW1092"/>
      <c r="FIX1092"/>
      <c r="FJA1092"/>
      <c r="FJB1092"/>
      <c r="FJE1092"/>
      <c r="FJF1092"/>
      <c r="FJI1092"/>
      <c r="FJJ1092"/>
      <c r="FJM1092"/>
      <c r="FJN1092"/>
      <c r="FJQ1092"/>
      <c r="FJR1092"/>
      <c r="FJU1092"/>
      <c r="FJV1092"/>
      <c r="FJY1092"/>
      <c r="FJZ1092"/>
      <c r="FKC1092"/>
      <c r="FKD1092"/>
      <c r="FKG1092"/>
      <c r="FKH1092"/>
      <c r="FKK1092"/>
      <c r="FKL1092"/>
      <c r="FKO1092"/>
      <c r="FKP1092"/>
      <c r="FKS1092"/>
      <c r="FKT1092"/>
      <c r="FKW1092"/>
      <c r="FKX1092"/>
      <c r="FLA1092"/>
      <c r="FLB1092"/>
      <c r="FLE1092"/>
      <c r="FLF1092"/>
      <c r="FLI1092"/>
      <c r="FLJ1092"/>
      <c r="FLM1092"/>
      <c r="FLN1092"/>
      <c r="FLQ1092"/>
      <c r="FLR1092"/>
      <c r="FLU1092"/>
      <c r="FLV1092"/>
      <c r="FLY1092"/>
      <c r="FLZ1092"/>
      <c r="FMC1092"/>
      <c r="FMD1092"/>
      <c r="FMG1092"/>
      <c r="FMH1092"/>
      <c r="FMK1092"/>
      <c r="FML1092"/>
      <c r="FMO1092"/>
      <c r="FMP1092"/>
      <c r="FMS1092"/>
      <c r="FMT1092"/>
      <c r="FMW1092"/>
      <c r="FMX1092"/>
      <c r="FNA1092"/>
      <c r="FNB1092"/>
      <c r="FNE1092"/>
      <c r="FNF1092"/>
      <c r="FNI1092"/>
      <c r="FNJ1092"/>
      <c r="FNM1092"/>
      <c r="FNN1092"/>
      <c r="FNQ1092"/>
      <c r="FNR1092"/>
      <c r="FNU1092"/>
      <c r="FNV1092"/>
      <c r="FNY1092"/>
      <c r="FNZ1092"/>
      <c r="FOC1092"/>
      <c r="FOD1092"/>
      <c r="FOG1092"/>
      <c r="FOH1092"/>
      <c r="FOK1092"/>
      <c r="FOL1092"/>
      <c r="FOO1092"/>
      <c r="FOP1092"/>
      <c r="FOS1092"/>
      <c r="FOT1092"/>
      <c r="FOW1092"/>
      <c r="FOX1092"/>
      <c r="FPA1092"/>
      <c r="FPB1092"/>
      <c r="FPE1092"/>
      <c r="FPF1092"/>
      <c r="FPI1092"/>
      <c r="FPJ1092"/>
      <c r="FPM1092"/>
      <c r="FPN1092"/>
      <c r="FPQ1092"/>
      <c r="FPR1092"/>
      <c r="FPU1092"/>
      <c r="FPV1092"/>
      <c r="FPY1092"/>
      <c r="FPZ1092"/>
      <c r="FQC1092"/>
      <c r="FQD1092"/>
      <c r="FQG1092"/>
      <c r="FQH1092"/>
      <c r="FQK1092"/>
      <c r="FQL1092"/>
      <c r="FQO1092"/>
      <c r="FQP1092"/>
      <c r="FQS1092"/>
      <c r="FQT1092"/>
      <c r="FQW1092"/>
      <c r="FQX1092"/>
      <c r="FRA1092"/>
      <c r="FRB1092"/>
      <c r="FRE1092"/>
      <c r="FRF1092"/>
      <c r="FRI1092"/>
      <c r="FRJ1092"/>
      <c r="FRM1092"/>
      <c r="FRN1092"/>
      <c r="FRQ1092"/>
      <c r="FRR1092"/>
      <c r="FRU1092"/>
      <c r="FRV1092"/>
      <c r="FRY1092"/>
      <c r="FRZ1092"/>
      <c r="FSC1092"/>
      <c r="FSD1092"/>
      <c r="FSG1092"/>
      <c r="FSH1092"/>
      <c r="FSK1092"/>
      <c r="FSL1092"/>
      <c r="FSO1092"/>
      <c r="FSP1092"/>
      <c r="FSS1092"/>
      <c r="FST1092"/>
      <c r="FSW1092"/>
      <c r="FSX1092"/>
      <c r="FTA1092"/>
      <c r="FTB1092"/>
      <c r="FTE1092"/>
      <c r="FTF1092"/>
      <c r="FTI1092"/>
      <c r="FTJ1092"/>
      <c r="FTM1092"/>
      <c r="FTN1092"/>
      <c r="FTQ1092"/>
      <c r="FTR1092"/>
      <c r="FTU1092"/>
      <c r="FTV1092"/>
      <c r="FTY1092"/>
      <c r="FTZ1092"/>
      <c r="FUC1092"/>
      <c r="FUD1092"/>
      <c r="FUG1092"/>
      <c r="FUH1092"/>
      <c r="FUK1092"/>
      <c r="FUL1092"/>
      <c r="FUO1092"/>
      <c r="FUP1092"/>
      <c r="FUS1092"/>
      <c r="FUT1092"/>
      <c r="FUW1092"/>
      <c r="FUX1092"/>
      <c r="FVA1092"/>
      <c r="FVB1092"/>
      <c r="FVE1092"/>
      <c r="FVF1092"/>
      <c r="FVI1092"/>
      <c r="FVJ1092"/>
      <c r="FVM1092"/>
      <c r="FVN1092"/>
      <c r="FVQ1092"/>
      <c r="FVR1092"/>
      <c r="FVU1092"/>
      <c r="FVV1092"/>
      <c r="FVY1092"/>
      <c r="FVZ1092"/>
      <c r="FWC1092"/>
      <c r="FWD1092"/>
      <c r="FWG1092"/>
      <c r="FWH1092"/>
      <c r="FWK1092"/>
      <c r="FWL1092"/>
      <c r="FWO1092"/>
      <c r="FWP1092"/>
      <c r="FWS1092"/>
      <c r="FWT1092"/>
      <c r="FWW1092"/>
      <c r="FWX1092"/>
      <c r="FXA1092"/>
      <c r="FXB1092"/>
      <c r="FXE1092"/>
      <c r="FXF1092"/>
      <c r="FXI1092"/>
      <c r="FXJ1092"/>
      <c r="FXM1092"/>
      <c r="FXN1092"/>
      <c r="FXQ1092"/>
      <c r="FXR1092"/>
      <c r="FXU1092"/>
      <c r="FXV1092"/>
      <c r="FXY1092"/>
      <c r="FXZ1092"/>
      <c r="FYC1092"/>
      <c r="FYD1092"/>
      <c r="FYG1092"/>
      <c r="FYH1092"/>
      <c r="FYK1092"/>
      <c r="FYL1092"/>
      <c r="FYO1092"/>
      <c r="FYP1092"/>
      <c r="FYS1092"/>
      <c r="FYT1092"/>
      <c r="FYW1092"/>
      <c r="FYX1092"/>
      <c r="FZA1092"/>
      <c r="FZB1092"/>
      <c r="FZE1092"/>
      <c r="FZF1092"/>
      <c r="FZI1092"/>
      <c r="FZJ1092"/>
      <c r="FZM1092"/>
      <c r="FZN1092"/>
      <c r="FZQ1092"/>
      <c r="FZR1092"/>
      <c r="FZU1092"/>
      <c r="FZV1092"/>
      <c r="FZY1092"/>
      <c r="FZZ1092"/>
      <c r="GAC1092"/>
      <c r="GAD1092"/>
      <c r="GAG1092"/>
      <c r="GAH1092"/>
      <c r="GAK1092"/>
      <c r="GAL1092"/>
      <c r="GAO1092"/>
      <c r="GAP1092"/>
      <c r="GAS1092"/>
      <c r="GAT1092"/>
      <c r="GAW1092"/>
      <c r="GAX1092"/>
      <c r="GBA1092"/>
      <c r="GBB1092"/>
      <c r="GBE1092"/>
      <c r="GBF1092"/>
      <c r="GBI1092"/>
      <c r="GBJ1092"/>
      <c r="GBM1092"/>
      <c r="GBN1092"/>
      <c r="GBQ1092"/>
      <c r="GBR1092"/>
      <c r="GBU1092"/>
      <c r="GBV1092"/>
      <c r="GBY1092"/>
      <c r="GBZ1092"/>
      <c r="GCC1092"/>
      <c r="GCD1092"/>
      <c r="GCG1092"/>
      <c r="GCH1092"/>
      <c r="GCK1092"/>
      <c r="GCL1092"/>
      <c r="GCO1092"/>
      <c r="GCP1092"/>
      <c r="GCS1092"/>
      <c r="GCT1092"/>
      <c r="GCW1092"/>
      <c r="GCX1092"/>
      <c r="GDA1092"/>
      <c r="GDB1092"/>
      <c r="GDE1092"/>
      <c r="GDF1092"/>
      <c r="GDI1092"/>
      <c r="GDJ1092"/>
      <c r="GDM1092"/>
      <c r="GDN1092"/>
      <c r="GDQ1092"/>
      <c r="GDR1092"/>
      <c r="GDU1092"/>
      <c r="GDV1092"/>
      <c r="GDY1092"/>
      <c r="GDZ1092"/>
      <c r="GEC1092"/>
      <c r="GED1092"/>
      <c r="GEG1092"/>
      <c r="GEH1092"/>
      <c r="GEK1092"/>
      <c r="GEL1092"/>
      <c r="GEO1092"/>
      <c r="GEP1092"/>
      <c r="GES1092"/>
      <c r="GET1092"/>
      <c r="GEW1092"/>
      <c r="GEX1092"/>
      <c r="GFA1092"/>
      <c r="GFB1092"/>
      <c r="GFE1092"/>
      <c r="GFF1092"/>
      <c r="GFI1092"/>
      <c r="GFJ1092"/>
      <c r="GFM1092"/>
      <c r="GFN1092"/>
      <c r="GFQ1092"/>
      <c r="GFR1092"/>
      <c r="GFU1092"/>
      <c r="GFV1092"/>
      <c r="GFY1092"/>
      <c r="GFZ1092"/>
      <c r="GGC1092"/>
      <c r="GGD1092"/>
      <c r="GGG1092"/>
      <c r="GGH1092"/>
      <c r="GGK1092"/>
      <c r="GGL1092"/>
      <c r="GGO1092"/>
      <c r="GGP1092"/>
      <c r="GGS1092"/>
      <c r="GGT1092"/>
      <c r="GGW1092"/>
      <c r="GGX1092"/>
      <c r="GHA1092"/>
      <c r="GHB1092"/>
      <c r="GHE1092"/>
      <c r="GHF1092"/>
      <c r="GHI1092"/>
      <c r="GHJ1092"/>
      <c r="GHM1092"/>
      <c r="GHN1092"/>
      <c r="GHQ1092"/>
      <c r="GHR1092"/>
      <c r="GHU1092"/>
      <c r="GHV1092"/>
      <c r="GHY1092"/>
      <c r="GHZ1092"/>
      <c r="GIC1092"/>
      <c r="GID1092"/>
      <c r="GIG1092"/>
      <c r="GIH1092"/>
      <c r="GIK1092"/>
      <c r="GIL1092"/>
      <c r="GIO1092"/>
      <c r="GIP1092"/>
      <c r="GIS1092"/>
      <c r="GIT1092"/>
      <c r="GIW1092"/>
      <c r="GIX1092"/>
      <c r="GJA1092"/>
      <c r="GJB1092"/>
      <c r="GJE1092"/>
      <c r="GJF1092"/>
      <c r="GJI1092"/>
      <c r="GJJ1092"/>
      <c r="GJM1092"/>
      <c r="GJN1092"/>
      <c r="GJQ1092"/>
      <c r="GJR1092"/>
      <c r="GJU1092"/>
      <c r="GJV1092"/>
      <c r="GJY1092"/>
      <c r="GJZ1092"/>
      <c r="GKC1092"/>
      <c r="GKD1092"/>
      <c r="GKG1092"/>
      <c r="GKH1092"/>
      <c r="GKK1092"/>
      <c r="GKL1092"/>
      <c r="GKO1092"/>
      <c r="GKP1092"/>
      <c r="GKS1092"/>
      <c r="GKT1092"/>
      <c r="GKW1092"/>
      <c r="GKX1092"/>
      <c r="GLA1092"/>
      <c r="GLB1092"/>
      <c r="GLE1092"/>
      <c r="GLF1092"/>
      <c r="GLI1092"/>
      <c r="GLJ1092"/>
      <c r="GLM1092"/>
      <c r="GLN1092"/>
      <c r="GLQ1092"/>
      <c r="GLR1092"/>
      <c r="GLU1092"/>
      <c r="GLV1092"/>
      <c r="GLY1092"/>
      <c r="GLZ1092"/>
      <c r="GMC1092"/>
      <c r="GMD1092"/>
      <c r="GMG1092"/>
      <c r="GMH1092"/>
      <c r="GMK1092"/>
      <c r="GML1092"/>
      <c r="GMO1092"/>
      <c r="GMP1092"/>
      <c r="GMS1092"/>
      <c r="GMT1092"/>
      <c r="GMW1092"/>
      <c r="GMX1092"/>
      <c r="GNA1092"/>
      <c r="GNB1092"/>
      <c r="GNE1092"/>
      <c r="GNF1092"/>
      <c r="GNI1092"/>
      <c r="GNJ1092"/>
      <c r="GNM1092"/>
      <c r="GNN1092"/>
      <c r="GNQ1092"/>
      <c r="GNR1092"/>
      <c r="GNU1092"/>
      <c r="GNV1092"/>
      <c r="GNY1092"/>
      <c r="GNZ1092"/>
      <c r="GOC1092"/>
      <c r="GOD1092"/>
      <c r="GOG1092"/>
      <c r="GOH1092"/>
      <c r="GOK1092"/>
      <c r="GOL1092"/>
      <c r="GOO1092"/>
      <c r="GOP1092"/>
      <c r="GOS1092"/>
      <c r="GOT1092"/>
      <c r="GOW1092"/>
      <c r="GOX1092"/>
      <c r="GPA1092"/>
      <c r="GPB1092"/>
      <c r="GPE1092"/>
      <c r="GPF1092"/>
      <c r="GPI1092"/>
      <c r="GPJ1092"/>
      <c r="GPM1092"/>
      <c r="GPN1092"/>
      <c r="GPQ1092"/>
      <c r="GPR1092"/>
      <c r="GPU1092"/>
      <c r="GPV1092"/>
      <c r="GPY1092"/>
      <c r="GPZ1092"/>
      <c r="GQC1092"/>
      <c r="GQD1092"/>
      <c r="GQG1092"/>
      <c r="GQH1092"/>
      <c r="GQK1092"/>
      <c r="GQL1092"/>
      <c r="GQO1092"/>
      <c r="GQP1092"/>
      <c r="GQS1092"/>
      <c r="GQT1092"/>
      <c r="GQW1092"/>
      <c r="GQX1092"/>
      <c r="GRA1092"/>
      <c r="GRB1092"/>
      <c r="GRE1092"/>
      <c r="GRF1092"/>
      <c r="GRI1092"/>
      <c r="GRJ1092"/>
      <c r="GRM1092"/>
      <c r="GRN1092"/>
      <c r="GRQ1092"/>
      <c r="GRR1092"/>
      <c r="GRU1092"/>
      <c r="GRV1092"/>
      <c r="GRY1092"/>
      <c r="GRZ1092"/>
      <c r="GSC1092"/>
      <c r="GSD1092"/>
      <c r="GSG1092"/>
      <c r="GSH1092"/>
      <c r="GSK1092"/>
      <c r="GSL1092"/>
      <c r="GSO1092"/>
      <c r="GSP1092"/>
      <c r="GSS1092"/>
      <c r="GST1092"/>
      <c r="GSW1092"/>
      <c r="GSX1092"/>
      <c r="GTA1092"/>
      <c r="GTB1092"/>
      <c r="GTE1092"/>
      <c r="GTF1092"/>
      <c r="GTI1092"/>
      <c r="GTJ1092"/>
      <c r="GTM1092"/>
      <c r="GTN1092"/>
      <c r="GTQ1092"/>
      <c r="GTR1092"/>
      <c r="GTU1092"/>
      <c r="GTV1092"/>
      <c r="GTY1092"/>
      <c r="GTZ1092"/>
      <c r="GUC1092"/>
      <c r="GUD1092"/>
      <c r="GUG1092"/>
      <c r="GUH1092"/>
      <c r="GUK1092"/>
      <c r="GUL1092"/>
      <c r="GUO1092"/>
      <c r="GUP1092"/>
      <c r="GUS1092"/>
      <c r="GUT1092"/>
      <c r="GUW1092"/>
      <c r="GUX1092"/>
      <c r="GVA1092"/>
      <c r="GVB1092"/>
      <c r="GVE1092"/>
      <c r="GVF1092"/>
      <c r="GVI1092"/>
      <c r="GVJ1092"/>
      <c r="GVM1092"/>
      <c r="GVN1092"/>
      <c r="GVQ1092"/>
      <c r="GVR1092"/>
      <c r="GVU1092"/>
      <c r="GVV1092"/>
      <c r="GVY1092"/>
      <c r="GVZ1092"/>
      <c r="GWC1092"/>
      <c r="GWD1092"/>
      <c r="GWG1092"/>
      <c r="GWH1092"/>
      <c r="GWK1092"/>
      <c r="GWL1092"/>
      <c r="GWO1092"/>
      <c r="GWP1092"/>
      <c r="GWS1092"/>
      <c r="GWT1092"/>
      <c r="GWW1092"/>
      <c r="GWX1092"/>
      <c r="GXA1092"/>
      <c r="GXB1092"/>
      <c r="GXE1092"/>
      <c r="GXF1092"/>
      <c r="GXI1092"/>
      <c r="GXJ1092"/>
      <c r="GXM1092"/>
      <c r="GXN1092"/>
      <c r="GXQ1092"/>
      <c r="GXR1092"/>
      <c r="GXU1092"/>
      <c r="GXV1092"/>
      <c r="GXY1092"/>
      <c r="GXZ1092"/>
      <c r="GYC1092"/>
      <c r="GYD1092"/>
      <c r="GYG1092"/>
      <c r="GYH1092"/>
      <c r="GYK1092"/>
      <c r="GYL1092"/>
      <c r="GYO1092"/>
      <c r="GYP1092"/>
      <c r="GYS1092"/>
      <c r="GYT1092"/>
      <c r="GYW1092"/>
      <c r="GYX1092"/>
      <c r="GZA1092"/>
      <c r="GZB1092"/>
      <c r="GZE1092"/>
      <c r="GZF1092"/>
      <c r="GZI1092"/>
      <c r="GZJ1092"/>
      <c r="GZM1092"/>
      <c r="GZN1092"/>
      <c r="GZQ1092"/>
      <c r="GZR1092"/>
      <c r="GZU1092"/>
      <c r="GZV1092"/>
      <c r="GZY1092"/>
      <c r="GZZ1092"/>
      <c r="HAC1092"/>
      <c r="HAD1092"/>
      <c r="HAG1092"/>
      <c r="HAH1092"/>
      <c r="HAK1092"/>
      <c r="HAL1092"/>
      <c r="HAO1092"/>
      <c r="HAP1092"/>
      <c r="HAS1092"/>
      <c r="HAT1092"/>
      <c r="HAW1092"/>
      <c r="HAX1092"/>
      <c r="HBA1092"/>
      <c r="HBB1092"/>
      <c r="HBE1092"/>
      <c r="HBF1092"/>
      <c r="HBI1092"/>
      <c r="HBJ1092"/>
      <c r="HBM1092"/>
      <c r="HBN1092"/>
      <c r="HBQ1092"/>
      <c r="HBR1092"/>
      <c r="HBU1092"/>
      <c r="HBV1092"/>
      <c r="HBY1092"/>
      <c r="HBZ1092"/>
      <c r="HCC1092"/>
      <c r="HCD1092"/>
      <c r="HCG1092"/>
      <c r="HCH1092"/>
      <c r="HCK1092"/>
      <c r="HCL1092"/>
      <c r="HCO1092"/>
      <c r="HCP1092"/>
      <c r="HCS1092"/>
      <c r="HCT1092"/>
      <c r="HCW1092"/>
      <c r="HCX1092"/>
      <c r="HDA1092"/>
      <c r="HDB1092"/>
      <c r="HDE1092"/>
      <c r="HDF1092"/>
      <c r="HDI1092"/>
      <c r="HDJ1092"/>
      <c r="HDM1092"/>
      <c r="HDN1092"/>
      <c r="HDQ1092"/>
      <c r="HDR1092"/>
      <c r="HDU1092"/>
      <c r="HDV1092"/>
      <c r="HDY1092"/>
      <c r="HDZ1092"/>
      <c r="HEC1092"/>
      <c r="HED1092"/>
      <c r="HEG1092"/>
      <c r="HEH1092"/>
      <c r="HEK1092"/>
      <c r="HEL1092"/>
      <c r="HEO1092"/>
      <c r="HEP1092"/>
      <c r="HES1092"/>
      <c r="HET1092"/>
      <c r="HEW1092"/>
      <c r="HEX1092"/>
      <c r="HFA1092"/>
      <c r="HFB1092"/>
      <c r="HFE1092"/>
      <c r="HFF1092"/>
      <c r="HFI1092"/>
      <c r="HFJ1092"/>
      <c r="HFM1092"/>
      <c r="HFN1092"/>
      <c r="HFQ1092"/>
      <c r="HFR1092"/>
      <c r="HFU1092"/>
      <c r="HFV1092"/>
      <c r="HFY1092"/>
      <c r="HFZ1092"/>
      <c r="HGC1092"/>
      <c r="HGD1092"/>
      <c r="HGG1092"/>
      <c r="HGH1092"/>
      <c r="HGK1092"/>
      <c r="HGL1092"/>
      <c r="HGO1092"/>
      <c r="HGP1092"/>
      <c r="HGS1092"/>
      <c r="HGT1092"/>
      <c r="HGW1092"/>
      <c r="HGX1092"/>
      <c r="HHA1092"/>
      <c r="HHB1092"/>
      <c r="HHE1092"/>
      <c r="HHF1092"/>
      <c r="HHI1092"/>
      <c r="HHJ1092"/>
      <c r="HHM1092"/>
      <c r="HHN1092"/>
      <c r="HHQ1092"/>
      <c r="HHR1092"/>
      <c r="HHU1092"/>
      <c r="HHV1092"/>
      <c r="HHY1092"/>
      <c r="HHZ1092"/>
      <c r="HIC1092"/>
      <c r="HID1092"/>
      <c r="HIG1092"/>
      <c r="HIH1092"/>
      <c r="HIK1092"/>
      <c r="HIL1092"/>
      <c r="HIO1092"/>
      <c r="HIP1092"/>
      <c r="HIS1092"/>
      <c r="HIT1092"/>
      <c r="HIW1092"/>
      <c r="HIX1092"/>
      <c r="HJA1092"/>
      <c r="HJB1092"/>
      <c r="HJE1092"/>
      <c r="HJF1092"/>
      <c r="HJI1092"/>
      <c r="HJJ1092"/>
      <c r="HJM1092"/>
      <c r="HJN1092"/>
      <c r="HJQ1092"/>
      <c r="HJR1092"/>
      <c r="HJU1092"/>
      <c r="HJV1092"/>
      <c r="HJY1092"/>
      <c r="HJZ1092"/>
      <c r="HKC1092"/>
      <c r="HKD1092"/>
      <c r="HKG1092"/>
      <c r="HKH1092"/>
      <c r="HKK1092"/>
      <c r="HKL1092"/>
      <c r="HKO1092"/>
      <c r="HKP1092"/>
      <c r="HKS1092"/>
      <c r="HKT1092"/>
      <c r="HKW1092"/>
      <c r="HKX1092"/>
      <c r="HLA1092"/>
      <c r="HLB1092"/>
      <c r="HLE1092"/>
      <c r="HLF1092"/>
      <c r="HLI1092"/>
      <c r="HLJ1092"/>
      <c r="HLM1092"/>
      <c r="HLN1092"/>
      <c r="HLQ1092"/>
      <c r="HLR1092"/>
      <c r="HLU1092"/>
      <c r="HLV1092"/>
      <c r="HLY1092"/>
      <c r="HLZ1092"/>
      <c r="HMC1092"/>
      <c r="HMD1092"/>
      <c r="HMG1092"/>
      <c r="HMH1092"/>
      <c r="HMK1092"/>
      <c r="HML1092"/>
      <c r="HMO1092"/>
      <c r="HMP1092"/>
      <c r="HMS1092"/>
      <c r="HMT1092"/>
      <c r="HMW1092"/>
      <c r="HMX1092"/>
      <c r="HNA1092"/>
      <c r="HNB1092"/>
      <c r="HNE1092"/>
      <c r="HNF1092"/>
      <c r="HNI1092"/>
      <c r="HNJ1092"/>
      <c r="HNM1092"/>
      <c r="HNN1092"/>
      <c r="HNQ1092"/>
      <c r="HNR1092"/>
      <c r="HNU1092"/>
      <c r="HNV1092"/>
      <c r="HNY1092"/>
      <c r="HNZ1092"/>
      <c r="HOC1092"/>
      <c r="HOD1092"/>
      <c r="HOG1092"/>
      <c r="HOH1092"/>
      <c r="HOK1092"/>
      <c r="HOL1092"/>
      <c r="HOO1092"/>
      <c r="HOP1092"/>
      <c r="HOS1092"/>
      <c r="HOT1092"/>
      <c r="HOW1092"/>
      <c r="HOX1092"/>
      <c r="HPA1092"/>
      <c r="HPB1092"/>
      <c r="HPE1092"/>
      <c r="HPF1092"/>
      <c r="HPI1092"/>
      <c r="HPJ1092"/>
      <c r="HPM1092"/>
      <c r="HPN1092"/>
      <c r="HPQ1092"/>
      <c r="HPR1092"/>
      <c r="HPU1092"/>
      <c r="HPV1092"/>
      <c r="HPY1092"/>
      <c r="HPZ1092"/>
      <c r="HQC1092"/>
      <c r="HQD1092"/>
      <c r="HQG1092"/>
      <c r="HQH1092"/>
      <c r="HQK1092"/>
      <c r="HQL1092"/>
      <c r="HQO1092"/>
      <c r="HQP1092"/>
      <c r="HQS1092"/>
      <c r="HQT1092"/>
      <c r="HQW1092"/>
      <c r="HQX1092"/>
      <c r="HRA1092"/>
      <c r="HRB1092"/>
      <c r="HRE1092"/>
      <c r="HRF1092"/>
      <c r="HRI1092"/>
      <c r="HRJ1092"/>
      <c r="HRM1092"/>
      <c r="HRN1092"/>
      <c r="HRQ1092"/>
      <c r="HRR1092"/>
      <c r="HRU1092"/>
      <c r="HRV1092"/>
      <c r="HRY1092"/>
      <c r="HRZ1092"/>
      <c r="HSC1092"/>
      <c r="HSD1092"/>
      <c r="HSG1092"/>
      <c r="HSH1092"/>
      <c r="HSK1092"/>
      <c r="HSL1092"/>
      <c r="HSO1092"/>
      <c r="HSP1092"/>
      <c r="HSS1092"/>
      <c r="HST1092"/>
      <c r="HSW1092"/>
      <c r="HSX1092"/>
      <c r="HTA1092"/>
      <c r="HTB1092"/>
      <c r="HTE1092"/>
      <c r="HTF1092"/>
      <c r="HTI1092"/>
      <c r="HTJ1092"/>
      <c r="HTM1092"/>
      <c r="HTN1092"/>
      <c r="HTQ1092"/>
      <c r="HTR1092"/>
      <c r="HTU1092"/>
      <c r="HTV1092"/>
      <c r="HTY1092"/>
      <c r="HTZ1092"/>
      <c r="HUC1092"/>
      <c r="HUD1092"/>
      <c r="HUG1092"/>
      <c r="HUH1092"/>
      <c r="HUK1092"/>
      <c r="HUL1092"/>
      <c r="HUO1092"/>
      <c r="HUP1092"/>
      <c r="HUS1092"/>
      <c r="HUT1092"/>
      <c r="HUW1092"/>
      <c r="HUX1092"/>
      <c r="HVA1092"/>
      <c r="HVB1092"/>
      <c r="HVE1092"/>
      <c r="HVF1092"/>
      <c r="HVI1092"/>
      <c r="HVJ1092"/>
      <c r="HVM1092"/>
      <c r="HVN1092"/>
      <c r="HVQ1092"/>
      <c r="HVR1092"/>
      <c r="HVU1092"/>
      <c r="HVV1092"/>
      <c r="HVY1092"/>
      <c r="HVZ1092"/>
      <c r="HWC1092"/>
      <c r="HWD1092"/>
      <c r="HWG1092"/>
      <c r="HWH1092"/>
      <c r="HWK1092"/>
      <c r="HWL1092"/>
      <c r="HWO1092"/>
      <c r="HWP1092"/>
      <c r="HWS1092"/>
      <c r="HWT1092"/>
      <c r="HWW1092"/>
      <c r="HWX1092"/>
      <c r="HXA1092"/>
      <c r="HXB1092"/>
      <c r="HXE1092"/>
      <c r="HXF1092"/>
      <c r="HXI1092"/>
      <c r="HXJ1092"/>
      <c r="HXM1092"/>
      <c r="HXN1092"/>
      <c r="HXQ1092"/>
      <c r="HXR1092"/>
      <c r="HXU1092"/>
      <c r="HXV1092"/>
      <c r="HXY1092"/>
      <c r="HXZ1092"/>
      <c r="HYC1092"/>
      <c r="HYD1092"/>
      <c r="HYG1092"/>
      <c r="HYH1092"/>
      <c r="HYK1092"/>
      <c r="HYL1092"/>
      <c r="HYO1092"/>
      <c r="HYP1092"/>
      <c r="HYS1092"/>
      <c r="HYT1092"/>
      <c r="HYW1092"/>
      <c r="HYX1092"/>
      <c r="HZA1092"/>
      <c r="HZB1092"/>
      <c r="HZE1092"/>
      <c r="HZF1092"/>
      <c r="HZI1092"/>
      <c r="HZJ1092"/>
      <c r="HZM1092"/>
      <c r="HZN1092"/>
      <c r="HZQ1092"/>
      <c r="HZR1092"/>
      <c r="HZU1092"/>
      <c r="HZV1092"/>
      <c r="HZY1092"/>
      <c r="HZZ1092"/>
      <c r="IAC1092"/>
      <c r="IAD1092"/>
      <c r="IAG1092"/>
      <c r="IAH1092"/>
      <c r="IAK1092"/>
      <c r="IAL1092"/>
      <c r="IAO1092"/>
      <c r="IAP1092"/>
      <c r="IAS1092"/>
      <c r="IAT1092"/>
      <c r="IAW1092"/>
      <c r="IAX1092"/>
      <c r="IBA1092"/>
      <c r="IBB1092"/>
      <c r="IBE1092"/>
      <c r="IBF1092"/>
      <c r="IBI1092"/>
      <c r="IBJ1092"/>
      <c r="IBM1092"/>
      <c r="IBN1092"/>
      <c r="IBQ1092"/>
      <c r="IBR1092"/>
      <c r="IBU1092"/>
      <c r="IBV1092"/>
      <c r="IBY1092"/>
      <c r="IBZ1092"/>
      <c r="ICC1092"/>
      <c r="ICD1092"/>
      <c r="ICG1092"/>
      <c r="ICH1092"/>
      <c r="ICK1092"/>
      <c r="ICL1092"/>
      <c r="ICO1092"/>
      <c r="ICP1092"/>
      <c r="ICS1092"/>
      <c r="ICT1092"/>
      <c r="ICW1092"/>
      <c r="ICX1092"/>
      <c r="IDA1092"/>
      <c r="IDB1092"/>
      <c r="IDE1092"/>
      <c r="IDF1092"/>
      <c r="IDI1092"/>
      <c r="IDJ1092"/>
      <c r="IDM1092"/>
      <c r="IDN1092"/>
      <c r="IDQ1092"/>
      <c r="IDR1092"/>
      <c r="IDU1092"/>
      <c r="IDV1092"/>
      <c r="IDY1092"/>
      <c r="IDZ1092"/>
      <c r="IEC1092"/>
      <c r="IED1092"/>
      <c r="IEG1092"/>
      <c r="IEH1092"/>
      <c r="IEK1092"/>
      <c r="IEL1092"/>
      <c r="IEO1092"/>
      <c r="IEP1092"/>
      <c r="IES1092"/>
      <c r="IET1092"/>
      <c r="IEW1092"/>
      <c r="IEX1092"/>
      <c r="IFA1092"/>
      <c r="IFB1092"/>
      <c r="IFE1092"/>
      <c r="IFF1092"/>
      <c r="IFI1092"/>
      <c r="IFJ1092"/>
      <c r="IFM1092"/>
      <c r="IFN1092"/>
      <c r="IFQ1092"/>
      <c r="IFR1092"/>
      <c r="IFU1092"/>
      <c r="IFV1092"/>
      <c r="IFY1092"/>
      <c r="IFZ1092"/>
      <c r="IGC1092"/>
      <c r="IGD1092"/>
      <c r="IGG1092"/>
      <c r="IGH1092"/>
      <c r="IGK1092"/>
      <c r="IGL1092"/>
      <c r="IGO1092"/>
      <c r="IGP1092"/>
      <c r="IGS1092"/>
      <c r="IGT1092"/>
      <c r="IGW1092"/>
      <c r="IGX1092"/>
      <c r="IHA1092"/>
      <c r="IHB1092"/>
      <c r="IHE1092"/>
      <c r="IHF1092"/>
      <c r="IHI1092"/>
      <c r="IHJ1092"/>
      <c r="IHM1092"/>
      <c r="IHN1092"/>
      <c r="IHQ1092"/>
      <c r="IHR1092"/>
      <c r="IHU1092"/>
      <c r="IHV1092"/>
      <c r="IHY1092"/>
      <c r="IHZ1092"/>
      <c r="IIC1092"/>
      <c r="IID1092"/>
      <c r="IIG1092"/>
      <c r="IIH1092"/>
      <c r="IIK1092"/>
      <c r="IIL1092"/>
      <c r="IIO1092"/>
      <c r="IIP1092"/>
      <c r="IIS1092"/>
      <c r="IIT1092"/>
      <c r="IIW1092"/>
      <c r="IIX1092"/>
      <c r="IJA1092"/>
      <c r="IJB1092"/>
      <c r="IJE1092"/>
      <c r="IJF1092"/>
      <c r="IJI1092"/>
      <c r="IJJ1092"/>
      <c r="IJM1092"/>
      <c r="IJN1092"/>
      <c r="IJQ1092"/>
      <c r="IJR1092"/>
      <c r="IJU1092"/>
      <c r="IJV1092"/>
      <c r="IJY1092"/>
      <c r="IJZ1092"/>
      <c r="IKC1092"/>
      <c r="IKD1092"/>
      <c r="IKG1092"/>
      <c r="IKH1092"/>
      <c r="IKK1092"/>
      <c r="IKL1092"/>
      <c r="IKO1092"/>
      <c r="IKP1092"/>
      <c r="IKS1092"/>
      <c r="IKT1092"/>
      <c r="IKW1092"/>
      <c r="IKX1092"/>
      <c r="ILA1092"/>
      <c r="ILB1092"/>
      <c r="ILE1092"/>
      <c r="ILF1092"/>
      <c r="ILI1092"/>
      <c r="ILJ1092"/>
      <c r="ILM1092"/>
      <c r="ILN1092"/>
      <c r="ILQ1092"/>
      <c r="ILR1092"/>
      <c r="ILU1092"/>
      <c r="ILV1092"/>
      <c r="ILY1092"/>
      <c r="ILZ1092"/>
      <c r="IMC1092"/>
      <c r="IMD1092"/>
      <c r="IMG1092"/>
      <c r="IMH1092"/>
      <c r="IMK1092"/>
      <c r="IML1092"/>
      <c r="IMO1092"/>
      <c r="IMP1092"/>
      <c r="IMS1092"/>
      <c r="IMT1092"/>
      <c r="IMW1092"/>
      <c r="IMX1092"/>
      <c r="INA1092"/>
      <c r="INB1092"/>
      <c r="INE1092"/>
      <c r="INF1092"/>
      <c r="INI1092"/>
      <c r="INJ1092"/>
      <c r="INM1092"/>
      <c r="INN1092"/>
      <c r="INQ1092"/>
      <c r="INR1092"/>
      <c r="INU1092"/>
      <c r="INV1092"/>
      <c r="INY1092"/>
      <c r="INZ1092"/>
      <c r="IOC1092"/>
      <c r="IOD1092"/>
      <c r="IOG1092"/>
      <c r="IOH1092"/>
      <c r="IOK1092"/>
      <c r="IOL1092"/>
      <c r="IOO1092"/>
      <c r="IOP1092"/>
      <c r="IOS1092"/>
      <c r="IOT1092"/>
      <c r="IOW1092"/>
      <c r="IOX1092"/>
      <c r="IPA1092"/>
      <c r="IPB1092"/>
      <c r="IPE1092"/>
      <c r="IPF1092"/>
      <c r="IPI1092"/>
      <c r="IPJ1092"/>
      <c r="IPM1092"/>
      <c r="IPN1092"/>
      <c r="IPQ1092"/>
      <c r="IPR1092"/>
      <c r="IPU1092"/>
      <c r="IPV1092"/>
      <c r="IPY1092"/>
      <c r="IPZ1092"/>
      <c r="IQC1092"/>
      <c r="IQD1092"/>
      <c r="IQG1092"/>
      <c r="IQH1092"/>
      <c r="IQK1092"/>
      <c r="IQL1092"/>
      <c r="IQO1092"/>
      <c r="IQP1092"/>
      <c r="IQS1092"/>
      <c r="IQT1092"/>
      <c r="IQW1092"/>
      <c r="IQX1092"/>
      <c r="IRA1092"/>
      <c r="IRB1092"/>
      <c r="IRE1092"/>
      <c r="IRF1092"/>
      <c r="IRI1092"/>
      <c r="IRJ1092"/>
      <c r="IRM1092"/>
      <c r="IRN1092"/>
      <c r="IRQ1092"/>
      <c r="IRR1092"/>
      <c r="IRU1092"/>
      <c r="IRV1092"/>
      <c r="IRY1092"/>
      <c r="IRZ1092"/>
      <c r="ISC1092"/>
      <c r="ISD1092"/>
      <c r="ISG1092"/>
      <c r="ISH1092"/>
      <c r="ISK1092"/>
      <c r="ISL1092"/>
      <c r="ISO1092"/>
      <c r="ISP1092"/>
      <c r="ISS1092"/>
      <c r="IST1092"/>
      <c r="ISW1092"/>
      <c r="ISX1092"/>
      <c r="ITA1092"/>
      <c r="ITB1092"/>
      <c r="ITE1092"/>
      <c r="ITF1092"/>
      <c r="ITI1092"/>
      <c r="ITJ1092"/>
      <c r="ITM1092"/>
      <c r="ITN1092"/>
      <c r="ITQ1092"/>
      <c r="ITR1092"/>
      <c r="ITU1092"/>
      <c r="ITV1092"/>
      <c r="ITY1092"/>
      <c r="ITZ1092"/>
      <c r="IUC1092"/>
      <c r="IUD1092"/>
      <c r="IUG1092"/>
      <c r="IUH1092"/>
      <c r="IUK1092"/>
      <c r="IUL1092"/>
      <c r="IUO1092"/>
      <c r="IUP1092"/>
      <c r="IUS1092"/>
      <c r="IUT1092"/>
      <c r="IUW1092"/>
      <c r="IUX1092"/>
      <c r="IVA1092"/>
      <c r="IVB1092"/>
      <c r="IVE1092"/>
      <c r="IVF1092"/>
      <c r="IVI1092"/>
      <c r="IVJ1092"/>
      <c r="IVM1092"/>
      <c r="IVN1092"/>
      <c r="IVQ1092"/>
      <c r="IVR1092"/>
      <c r="IVU1092"/>
      <c r="IVV1092"/>
      <c r="IVY1092"/>
      <c r="IVZ1092"/>
      <c r="IWC1092"/>
      <c r="IWD1092"/>
      <c r="IWG1092"/>
      <c r="IWH1092"/>
      <c r="IWK1092"/>
      <c r="IWL1092"/>
      <c r="IWO1092"/>
      <c r="IWP1092"/>
      <c r="IWS1092"/>
      <c r="IWT1092"/>
      <c r="IWW1092"/>
      <c r="IWX1092"/>
      <c r="IXA1092"/>
      <c r="IXB1092"/>
      <c r="IXE1092"/>
      <c r="IXF1092"/>
      <c r="IXI1092"/>
      <c r="IXJ1092"/>
      <c r="IXM1092"/>
      <c r="IXN1092"/>
      <c r="IXQ1092"/>
      <c r="IXR1092"/>
      <c r="IXU1092"/>
      <c r="IXV1092"/>
      <c r="IXY1092"/>
      <c r="IXZ1092"/>
      <c r="IYC1092"/>
      <c r="IYD1092"/>
      <c r="IYG1092"/>
      <c r="IYH1092"/>
      <c r="IYK1092"/>
      <c r="IYL1092"/>
      <c r="IYO1092"/>
      <c r="IYP1092"/>
      <c r="IYS1092"/>
      <c r="IYT1092"/>
      <c r="IYW1092"/>
      <c r="IYX1092"/>
      <c r="IZA1092"/>
      <c r="IZB1092"/>
      <c r="IZE1092"/>
      <c r="IZF1092"/>
      <c r="IZI1092"/>
      <c r="IZJ1092"/>
      <c r="IZM1092"/>
      <c r="IZN1092"/>
      <c r="IZQ1092"/>
      <c r="IZR1092"/>
      <c r="IZU1092"/>
      <c r="IZV1092"/>
      <c r="IZY1092"/>
      <c r="IZZ1092"/>
      <c r="JAC1092"/>
      <c r="JAD1092"/>
      <c r="JAG1092"/>
      <c r="JAH1092"/>
      <c r="JAK1092"/>
      <c r="JAL1092"/>
      <c r="JAO1092"/>
      <c r="JAP1092"/>
      <c r="JAS1092"/>
      <c r="JAT1092"/>
      <c r="JAW1092"/>
      <c r="JAX1092"/>
      <c r="JBA1092"/>
      <c r="JBB1092"/>
      <c r="JBE1092"/>
      <c r="JBF1092"/>
      <c r="JBI1092"/>
      <c r="JBJ1092"/>
      <c r="JBM1092"/>
      <c r="JBN1092"/>
      <c r="JBQ1092"/>
      <c r="JBR1092"/>
      <c r="JBU1092"/>
      <c r="JBV1092"/>
      <c r="JBY1092"/>
      <c r="JBZ1092"/>
      <c r="JCC1092"/>
      <c r="JCD1092"/>
      <c r="JCG1092"/>
      <c r="JCH1092"/>
      <c r="JCK1092"/>
      <c r="JCL1092"/>
      <c r="JCO1092"/>
      <c r="JCP1092"/>
      <c r="JCS1092"/>
      <c r="JCT1092"/>
      <c r="JCW1092"/>
      <c r="JCX1092"/>
      <c r="JDA1092"/>
      <c r="JDB1092"/>
      <c r="JDE1092"/>
      <c r="JDF1092"/>
      <c r="JDI1092"/>
      <c r="JDJ1092"/>
      <c r="JDM1092"/>
      <c r="JDN1092"/>
      <c r="JDQ1092"/>
      <c r="JDR1092"/>
      <c r="JDU1092"/>
      <c r="JDV1092"/>
      <c r="JDY1092"/>
      <c r="JDZ1092"/>
      <c r="JEC1092"/>
      <c r="JED1092"/>
      <c r="JEG1092"/>
      <c r="JEH1092"/>
      <c r="JEK1092"/>
      <c r="JEL1092"/>
      <c r="JEO1092"/>
      <c r="JEP1092"/>
      <c r="JES1092"/>
      <c r="JET1092"/>
      <c r="JEW1092"/>
      <c r="JEX1092"/>
      <c r="JFA1092"/>
      <c r="JFB1092"/>
      <c r="JFE1092"/>
      <c r="JFF1092"/>
      <c r="JFI1092"/>
      <c r="JFJ1092"/>
      <c r="JFM1092"/>
      <c r="JFN1092"/>
      <c r="JFQ1092"/>
      <c r="JFR1092"/>
      <c r="JFU1092"/>
      <c r="JFV1092"/>
      <c r="JFY1092"/>
      <c r="JFZ1092"/>
      <c r="JGC1092"/>
      <c r="JGD1092"/>
      <c r="JGG1092"/>
      <c r="JGH1092"/>
      <c r="JGK1092"/>
      <c r="JGL1092"/>
      <c r="JGO1092"/>
      <c r="JGP1092"/>
      <c r="JGS1092"/>
      <c r="JGT1092"/>
      <c r="JGW1092"/>
      <c r="JGX1092"/>
      <c r="JHA1092"/>
      <c r="JHB1092"/>
      <c r="JHE1092"/>
      <c r="JHF1092"/>
      <c r="JHI1092"/>
      <c r="JHJ1092"/>
      <c r="JHM1092"/>
      <c r="JHN1092"/>
      <c r="JHQ1092"/>
      <c r="JHR1092"/>
      <c r="JHU1092"/>
      <c r="JHV1092"/>
      <c r="JHY1092"/>
      <c r="JHZ1092"/>
      <c r="JIC1092"/>
      <c r="JID1092"/>
      <c r="JIG1092"/>
      <c r="JIH1092"/>
      <c r="JIK1092"/>
      <c r="JIL1092"/>
      <c r="JIO1092"/>
      <c r="JIP1092"/>
      <c r="JIS1092"/>
      <c r="JIT1092"/>
      <c r="JIW1092"/>
      <c r="JIX1092"/>
      <c r="JJA1092"/>
      <c r="JJB1092"/>
      <c r="JJE1092"/>
      <c r="JJF1092"/>
      <c r="JJI1092"/>
      <c r="JJJ1092"/>
      <c r="JJM1092"/>
      <c r="JJN1092"/>
      <c r="JJQ1092"/>
      <c r="JJR1092"/>
      <c r="JJU1092"/>
      <c r="JJV1092"/>
      <c r="JJY1092"/>
      <c r="JJZ1092"/>
      <c r="JKC1092"/>
      <c r="JKD1092"/>
      <c r="JKG1092"/>
      <c r="JKH1092"/>
      <c r="JKK1092"/>
      <c r="JKL1092"/>
      <c r="JKO1092"/>
      <c r="JKP1092"/>
      <c r="JKS1092"/>
      <c r="JKT1092"/>
      <c r="JKW1092"/>
      <c r="JKX1092"/>
      <c r="JLA1092"/>
      <c r="JLB1092"/>
      <c r="JLE1092"/>
      <c r="JLF1092"/>
      <c r="JLI1092"/>
      <c r="JLJ1092"/>
      <c r="JLM1092"/>
      <c r="JLN1092"/>
      <c r="JLQ1092"/>
      <c r="JLR1092"/>
      <c r="JLU1092"/>
      <c r="JLV1092"/>
      <c r="JLY1092"/>
      <c r="JLZ1092"/>
      <c r="JMC1092"/>
      <c r="JMD1092"/>
      <c r="JMG1092"/>
      <c r="JMH1092"/>
      <c r="JMK1092"/>
      <c r="JML1092"/>
      <c r="JMO1092"/>
      <c r="JMP1092"/>
      <c r="JMS1092"/>
      <c r="JMT1092"/>
      <c r="JMW1092"/>
      <c r="JMX1092"/>
      <c r="JNA1092"/>
      <c r="JNB1092"/>
      <c r="JNE1092"/>
      <c r="JNF1092"/>
      <c r="JNI1092"/>
      <c r="JNJ1092"/>
      <c r="JNM1092"/>
      <c r="JNN1092"/>
      <c r="JNQ1092"/>
      <c r="JNR1092"/>
      <c r="JNU1092"/>
      <c r="JNV1092"/>
      <c r="JNY1092"/>
      <c r="JNZ1092"/>
      <c r="JOC1092"/>
      <c r="JOD1092"/>
      <c r="JOG1092"/>
      <c r="JOH1092"/>
      <c r="JOK1092"/>
      <c r="JOL1092"/>
      <c r="JOO1092"/>
      <c r="JOP1092"/>
      <c r="JOS1092"/>
      <c r="JOT1092"/>
      <c r="JOW1092"/>
      <c r="JOX1092"/>
      <c r="JPA1092"/>
      <c r="JPB1092"/>
      <c r="JPE1092"/>
      <c r="JPF1092"/>
      <c r="JPI1092"/>
      <c r="JPJ1092"/>
      <c r="JPM1092"/>
      <c r="JPN1092"/>
      <c r="JPQ1092"/>
      <c r="JPR1092"/>
      <c r="JPU1092"/>
      <c r="JPV1092"/>
      <c r="JPY1092"/>
      <c r="JPZ1092"/>
      <c r="JQC1092"/>
      <c r="JQD1092"/>
      <c r="JQG1092"/>
      <c r="JQH1092"/>
      <c r="JQK1092"/>
      <c r="JQL1092"/>
      <c r="JQO1092"/>
      <c r="JQP1092"/>
      <c r="JQS1092"/>
      <c r="JQT1092"/>
      <c r="JQW1092"/>
      <c r="JQX1092"/>
      <c r="JRA1092"/>
      <c r="JRB1092"/>
      <c r="JRE1092"/>
      <c r="JRF1092"/>
      <c r="JRI1092"/>
      <c r="JRJ1092"/>
      <c r="JRM1092"/>
      <c r="JRN1092"/>
      <c r="JRQ1092"/>
      <c r="JRR1092"/>
      <c r="JRU1092"/>
      <c r="JRV1092"/>
      <c r="JRY1092"/>
      <c r="JRZ1092"/>
      <c r="JSC1092"/>
      <c r="JSD1092"/>
      <c r="JSG1092"/>
      <c r="JSH1092"/>
      <c r="JSK1092"/>
      <c r="JSL1092"/>
      <c r="JSO1092"/>
      <c r="JSP1092"/>
      <c r="JSS1092"/>
      <c r="JST1092"/>
      <c r="JSW1092"/>
      <c r="JSX1092"/>
      <c r="JTA1092"/>
      <c r="JTB1092"/>
      <c r="JTE1092"/>
      <c r="JTF1092"/>
      <c r="JTI1092"/>
      <c r="JTJ1092"/>
      <c r="JTM1092"/>
      <c r="JTN1092"/>
      <c r="JTQ1092"/>
      <c r="JTR1092"/>
      <c r="JTU1092"/>
      <c r="JTV1092"/>
      <c r="JTY1092"/>
      <c r="JTZ1092"/>
      <c r="JUC1092"/>
      <c r="JUD1092"/>
      <c r="JUG1092"/>
      <c r="JUH1092"/>
      <c r="JUK1092"/>
      <c r="JUL1092"/>
      <c r="JUO1092"/>
      <c r="JUP1092"/>
      <c r="JUS1092"/>
      <c r="JUT1092"/>
      <c r="JUW1092"/>
      <c r="JUX1092"/>
      <c r="JVA1092"/>
      <c r="JVB1092"/>
      <c r="JVE1092"/>
      <c r="JVF1092"/>
      <c r="JVI1092"/>
      <c r="JVJ1092"/>
      <c r="JVM1092"/>
      <c r="JVN1092"/>
      <c r="JVQ1092"/>
      <c r="JVR1092"/>
      <c r="JVU1092"/>
      <c r="JVV1092"/>
      <c r="JVY1092"/>
      <c r="JVZ1092"/>
      <c r="JWC1092"/>
      <c r="JWD1092"/>
      <c r="JWG1092"/>
      <c r="JWH1092"/>
      <c r="JWK1092"/>
      <c r="JWL1092"/>
      <c r="JWO1092"/>
      <c r="JWP1092"/>
      <c r="JWS1092"/>
      <c r="JWT1092"/>
      <c r="JWW1092"/>
      <c r="JWX1092"/>
      <c r="JXA1092"/>
      <c r="JXB1092"/>
      <c r="JXE1092"/>
      <c r="JXF1092"/>
      <c r="JXI1092"/>
      <c r="JXJ1092"/>
      <c r="JXM1092"/>
      <c r="JXN1092"/>
      <c r="JXQ1092"/>
      <c r="JXR1092"/>
      <c r="JXU1092"/>
      <c r="JXV1092"/>
      <c r="JXY1092"/>
      <c r="JXZ1092"/>
      <c r="JYC1092"/>
      <c r="JYD1092"/>
      <c r="JYG1092"/>
      <c r="JYH1092"/>
      <c r="JYK1092"/>
      <c r="JYL1092"/>
      <c r="JYO1092"/>
      <c r="JYP1092"/>
      <c r="JYS1092"/>
      <c r="JYT1092"/>
      <c r="JYW1092"/>
      <c r="JYX1092"/>
      <c r="JZA1092"/>
      <c r="JZB1092"/>
      <c r="JZE1092"/>
      <c r="JZF1092"/>
      <c r="JZI1092"/>
      <c r="JZJ1092"/>
      <c r="JZM1092"/>
      <c r="JZN1092"/>
      <c r="JZQ1092"/>
      <c r="JZR1092"/>
      <c r="JZU1092"/>
      <c r="JZV1092"/>
      <c r="JZY1092"/>
      <c r="JZZ1092"/>
      <c r="KAC1092"/>
      <c r="KAD1092"/>
      <c r="KAG1092"/>
      <c r="KAH1092"/>
      <c r="KAK1092"/>
      <c r="KAL1092"/>
      <c r="KAO1092"/>
      <c r="KAP1092"/>
      <c r="KAS1092"/>
      <c r="KAT1092"/>
      <c r="KAW1092"/>
      <c r="KAX1092"/>
      <c r="KBA1092"/>
      <c r="KBB1092"/>
      <c r="KBE1092"/>
      <c r="KBF1092"/>
      <c r="KBI1092"/>
      <c r="KBJ1092"/>
      <c r="KBM1092"/>
      <c r="KBN1092"/>
      <c r="KBQ1092"/>
      <c r="KBR1092"/>
      <c r="KBU1092"/>
      <c r="KBV1092"/>
      <c r="KBY1092"/>
      <c r="KBZ1092"/>
      <c r="KCC1092"/>
      <c r="KCD1092"/>
      <c r="KCG1092"/>
      <c r="KCH1092"/>
      <c r="KCK1092"/>
      <c r="KCL1092"/>
      <c r="KCO1092"/>
      <c r="KCP1092"/>
      <c r="KCS1092"/>
      <c r="KCT1092"/>
      <c r="KCW1092"/>
      <c r="KCX1092"/>
      <c r="KDA1092"/>
      <c r="KDB1092"/>
      <c r="KDE1092"/>
      <c r="KDF1092"/>
      <c r="KDI1092"/>
      <c r="KDJ1092"/>
      <c r="KDM1092"/>
      <c r="KDN1092"/>
      <c r="KDQ1092"/>
      <c r="KDR1092"/>
      <c r="KDU1092"/>
      <c r="KDV1092"/>
      <c r="KDY1092"/>
      <c r="KDZ1092"/>
      <c r="KEC1092"/>
      <c r="KED1092"/>
      <c r="KEG1092"/>
      <c r="KEH1092"/>
      <c r="KEK1092"/>
      <c r="KEL1092"/>
      <c r="KEO1092"/>
      <c r="KEP1092"/>
      <c r="KES1092"/>
      <c r="KET1092"/>
      <c r="KEW1092"/>
      <c r="KEX1092"/>
      <c r="KFA1092"/>
      <c r="KFB1092"/>
      <c r="KFE1092"/>
      <c r="KFF1092"/>
      <c r="KFI1092"/>
      <c r="KFJ1092"/>
      <c r="KFM1092"/>
      <c r="KFN1092"/>
      <c r="KFQ1092"/>
      <c r="KFR1092"/>
      <c r="KFU1092"/>
      <c r="KFV1092"/>
      <c r="KFY1092"/>
      <c r="KFZ1092"/>
      <c r="KGC1092"/>
      <c r="KGD1092"/>
      <c r="KGG1092"/>
      <c r="KGH1092"/>
      <c r="KGK1092"/>
      <c r="KGL1092"/>
      <c r="KGO1092"/>
      <c r="KGP1092"/>
      <c r="KGS1092"/>
      <c r="KGT1092"/>
      <c r="KGW1092"/>
      <c r="KGX1092"/>
      <c r="KHA1092"/>
      <c r="KHB1092"/>
      <c r="KHE1092"/>
      <c r="KHF1092"/>
      <c r="KHI1092"/>
      <c r="KHJ1092"/>
      <c r="KHM1092"/>
      <c r="KHN1092"/>
      <c r="KHQ1092"/>
      <c r="KHR1092"/>
      <c r="KHU1092"/>
      <c r="KHV1092"/>
      <c r="KHY1092"/>
      <c r="KHZ1092"/>
      <c r="KIC1092"/>
      <c r="KID1092"/>
      <c r="KIG1092"/>
      <c r="KIH1092"/>
      <c r="KIK1092"/>
      <c r="KIL1092"/>
      <c r="KIO1092"/>
      <c r="KIP1092"/>
      <c r="KIS1092"/>
      <c r="KIT1092"/>
      <c r="KIW1092"/>
      <c r="KIX1092"/>
      <c r="KJA1092"/>
      <c r="KJB1092"/>
      <c r="KJE1092"/>
      <c r="KJF1092"/>
      <c r="KJI1092"/>
      <c r="KJJ1092"/>
      <c r="KJM1092"/>
      <c r="KJN1092"/>
      <c r="KJQ1092"/>
      <c r="KJR1092"/>
      <c r="KJU1092"/>
      <c r="KJV1092"/>
      <c r="KJY1092"/>
      <c r="KJZ1092"/>
      <c r="KKC1092"/>
      <c r="KKD1092"/>
      <c r="KKG1092"/>
      <c r="KKH1092"/>
      <c r="KKK1092"/>
      <c r="KKL1092"/>
      <c r="KKO1092"/>
      <c r="KKP1092"/>
      <c r="KKS1092"/>
      <c r="KKT1092"/>
      <c r="KKW1092"/>
      <c r="KKX1092"/>
      <c r="KLA1092"/>
      <c r="KLB1092"/>
      <c r="KLE1092"/>
      <c r="KLF1092"/>
      <c r="KLI1092"/>
      <c r="KLJ1092"/>
      <c r="KLM1092"/>
      <c r="KLN1092"/>
      <c r="KLQ1092"/>
      <c r="KLR1092"/>
      <c r="KLU1092"/>
      <c r="KLV1092"/>
      <c r="KLY1092"/>
      <c r="KLZ1092"/>
      <c r="KMC1092"/>
      <c r="KMD1092"/>
      <c r="KMG1092"/>
      <c r="KMH1092"/>
      <c r="KMK1092"/>
      <c r="KML1092"/>
      <c r="KMO1092"/>
      <c r="KMP1092"/>
      <c r="KMS1092"/>
      <c r="KMT1092"/>
      <c r="KMW1092"/>
      <c r="KMX1092"/>
      <c r="KNA1092"/>
      <c r="KNB1092"/>
      <c r="KNE1092"/>
      <c r="KNF1092"/>
      <c r="KNI1092"/>
      <c r="KNJ1092"/>
      <c r="KNM1092"/>
      <c r="KNN1092"/>
      <c r="KNQ1092"/>
      <c r="KNR1092"/>
      <c r="KNU1092"/>
      <c r="KNV1092"/>
      <c r="KNY1092"/>
      <c r="KNZ1092"/>
      <c r="KOC1092"/>
      <c r="KOD1092"/>
      <c r="KOG1092"/>
      <c r="KOH1092"/>
      <c r="KOK1092"/>
      <c r="KOL1092"/>
      <c r="KOO1092"/>
      <c r="KOP1092"/>
      <c r="KOS1092"/>
      <c r="KOT1092"/>
      <c r="KOW1092"/>
      <c r="KOX1092"/>
      <c r="KPA1092"/>
      <c r="KPB1092"/>
      <c r="KPE1092"/>
      <c r="KPF1092"/>
      <c r="KPI1092"/>
      <c r="KPJ1092"/>
      <c r="KPM1092"/>
      <c r="KPN1092"/>
      <c r="KPQ1092"/>
      <c r="KPR1092"/>
      <c r="KPU1092"/>
      <c r="KPV1092"/>
      <c r="KPY1092"/>
      <c r="KPZ1092"/>
      <c r="KQC1092"/>
      <c r="KQD1092"/>
      <c r="KQG1092"/>
      <c r="KQH1092"/>
      <c r="KQK1092"/>
      <c r="KQL1092"/>
      <c r="KQO1092"/>
      <c r="KQP1092"/>
      <c r="KQS1092"/>
      <c r="KQT1092"/>
      <c r="KQW1092"/>
      <c r="KQX1092"/>
      <c r="KRA1092"/>
      <c r="KRB1092"/>
      <c r="KRE1092"/>
      <c r="KRF1092"/>
      <c r="KRI1092"/>
      <c r="KRJ1092"/>
      <c r="KRM1092"/>
      <c r="KRN1092"/>
      <c r="KRQ1092"/>
      <c r="KRR1092"/>
      <c r="KRU1092"/>
      <c r="KRV1092"/>
      <c r="KRY1092"/>
      <c r="KRZ1092"/>
      <c r="KSC1092"/>
      <c r="KSD1092"/>
      <c r="KSG1092"/>
      <c r="KSH1092"/>
      <c r="KSK1092"/>
      <c r="KSL1092"/>
      <c r="KSO1092"/>
      <c r="KSP1092"/>
      <c r="KSS1092"/>
      <c r="KST1092"/>
      <c r="KSW1092"/>
      <c r="KSX1092"/>
      <c r="KTA1092"/>
      <c r="KTB1092"/>
      <c r="KTE1092"/>
      <c r="KTF1092"/>
      <c r="KTI1092"/>
      <c r="KTJ1092"/>
      <c r="KTM1092"/>
      <c r="KTN1092"/>
      <c r="KTQ1092"/>
      <c r="KTR1092"/>
      <c r="KTU1092"/>
      <c r="KTV1092"/>
      <c r="KTY1092"/>
      <c r="KTZ1092"/>
      <c r="KUC1092"/>
      <c r="KUD1092"/>
      <c r="KUG1092"/>
      <c r="KUH1092"/>
      <c r="KUK1092"/>
      <c r="KUL1092"/>
      <c r="KUO1092"/>
      <c r="KUP1092"/>
      <c r="KUS1092"/>
      <c r="KUT1092"/>
      <c r="KUW1092"/>
      <c r="KUX1092"/>
      <c r="KVA1092"/>
      <c r="KVB1092"/>
      <c r="KVE1092"/>
      <c r="KVF1092"/>
      <c r="KVI1092"/>
      <c r="KVJ1092"/>
      <c r="KVM1092"/>
      <c r="KVN1092"/>
      <c r="KVQ1092"/>
      <c r="KVR1092"/>
      <c r="KVU1092"/>
      <c r="KVV1092"/>
      <c r="KVY1092"/>
      <c r="KVZ1092"/>
      <c r="KWC1092"/>
      <c r="KWD1092"/>
      <c r="KWG1092"/>
      <c r="KWH1092"/>
      <c r="KWK1092"/>
      <c r="KWL1092"/>
      <c r="KWO1092"/>
      <c r="KWP1092"/>
      <c r="KWS1092"/>
      <c r="KWT1092"/>
      <c r="KWW1092"/>
      <c r="KWX1092"/>
      <c r="KXA1092"/>
      <c r="KXB1092"/>
      <c r="KXE1092"/>
      <c r="KXF1092"/>
      <c r="KXI1092"/>
      <c r="KXJ1092"/>
      <c r="KXM1092"/>
      <c r="KXN1092"/>
      <c r="KXQ1092"/>
      <c r="KXR1092"/>
      <c r="KXU1092"/>
      <c r="KXV1092"/>
      <c r="KXY1092"/>
      <c r="KXZ1092"/>
      <c r="KYC1092"/>
      <c r="KYD1092"/>
      <c r="KYG1092"/>
      <c r="KYH1092"/>
      <c r="KYK1092"/>
      <c r="KYL1092"/>
      <c r="KYO1092"/>
      <c r="KYP1092"/>
      <c r="KYS1092"/>
      <c r="KYT1092"/>
      <c r="KYW1092"/>
      <c r="KYX1092"/>
      <c r="KZA1092"/>
      <c r="KZB1092"/>
      <c r="KZE1092"/>
      <c r="KZF1092"/>
      <c r="KZI1092"/>
      <c r="KZJ1092"/>
      <c r="KZM1092"/>
      <c r="KZN1092"/>
      <c r="KZQ1092"/>
      <c r="KZR1092"/>
      <c r="KZU1092"/>
      <c r="KZV1092"/>
      <c r="KZY1092"/>
      <c r="KZZ1092"/>
      <c r="LAC1092"/>
      <c r="LAD1092"/>
      <c r="LAG1092"/>
      <c r="LAH1092"/>
      <c r="LAK1092"/>
      <c r="LAL1092"/>
      <c r="LAO1092"/>
      <c r="LAP1092"/>
      <c r="LAS1092"/>
      <c r="LAT1092"/>
      <c r="LAW1092"/>
      <c r="LAX1092"/>
      <c r="LBA1092"/>
      <c r="LBB1092"/>
      <c r="LBE1092"/>
      <c r="LBF1092"/>
      <c r="LBI1092"/>
      <c r="LBJ1092"/>
      <c r="LBM1092"/>
      <c r="LBN1092"/>
      <c r="LBQ1092"/>
      <c r="LBR1092"/>
      <c r="LBU1092"/>
      <c r="LBV1092"/>
      <c r="LBY1092"/>
      <c r="LBZ1092"/>
      <c r="LCC1092"/>
      <c r="LCD1092"/>
      <c r="LCG1092"/>
      <c r="LCH1092"/>
      <c r="LCK1092"/>
      <c r="LCL1092"/>
      <c r="LCO1092"/>
      <c r="LCP1092"/>
      <c r="LCS1092"/>
      <c r="LCT1092"/>
      <c r="LCW1092"/>
      <c r="LCX1092"/>
      <c r="LDA1092"/>
      <c r="LDB1092"/>
      <c r="LDE1092"/>
      <c r="LDF1092"/>
      <c r="LDI1092"/>
      <c r="LDJ1092"/>
      <c r="LDM1092"/>
      <c r="LDN1092"/>
      <c r="LDQ1092"/>
      <c r="LDR1092"/>
      <c r="LDU1092"/>
      <c r="LDV1092"/>
      <c r="LDY1092"/>
      <c r="LDZ1092"/>
      <c r="LEC1092"/>
      <c r="LED1092"/>
      <c r="LEG1092"/>
      <c r="LEH1092"/>
      <c r="LEK1092"/>
      <c r="LEL1092"/>
      <c r="LEO1092"/>
      <c r="LEP1092"/>
      <c r="LES1092"/>
      <c r="LET1092"/>
      <c r="LEW1092"/>
      <c r="LEX1092"/>
      <c r="LFA1092"/>
      <c r="LFB1092"/>
      <c r="LFE1092"/>
      <c r="LFF1092"/>
      <c r="LFI1092"/>
      <c r="LFJ1092"/>
      <c r="LFM1092"/>
      <c r="LFN1092"/>
      <c r="LFQ1092"/>
      <c r="LFR1092"/>
      <c r="LFU1092"/>
      <c r="LFV1092"/>
      <c r="LFY1092"/>
      <c r="LFZ1092"/>
      <c r="LGC1092"/>
      <c r="LGD1092"/>
      <c r="LGG1092"/>
      <c r="LGH1092"/>
      <c r="LGK1092"/>
      <c r="LGL1092"/>
      <c r="LGO1092"/>
      <c r="LGP1092"/>
      <c r="LGS1092"/>
      <c r="LGT1092"/>
      <c r="LGW1092"/>
      <c r="LGX1092"/>
      <c r="LHA1092"/>
      <c r="LHB1092"/>
      <c r="LHE1092"/>
      <c r="LHF1092"/>
      <c r="LHI1092"/>
      <c r="LHJ1092"/>
      <c r="LHM1092"/>
      <c r="LHN1092"/>
      <c r="LHQ1092"/>
      <c r="LHR1092"/>
      <c r="LHU1092"/>
      <c r="LHV1092"/>
      <c r="LHY1092"/>
      <c r="LHZ1092"/>
      <c r="LIC1092"/>
      <c r="LID1092"/>
      <c r="LIG1092"/>
      <c r="LIH1092"/>
      <c r="LIK1092"/>
      <c r="LIL1092"/>
      <c r="LIO1092"/>
      <c r="LIP1092"/>
      <c r="LIS1092"/>
      <c r="LIT1092"/>
      <c r="LIW1092"/>
      <c r="LIX1092"/>
      <c r="LJA1092"/>
      <c r="LJB1092"/>
      <c r="LJE1092"/>
      <c r="LJF1092"/>
      <c r="LJI1092"/>
      <c r="LJJ1092"/>
      <c r="LJM1092"/>
      <c r="LJN1092"/>
      <c r="LJQ1092"/>
      <c r="LJR1092"/>
      <c r="LJU1092"/>
      <c r="LJV1092"/>
      <c r="LJY1092"/>
      <c r="LJZ1092"/>
      <c r="LKC1092"/>
      <c r="LKD1092"/>
      <c r="LKG1092"/>
      <c r="LKH1092"/>
      <c r="LKK1092"/>
      <c r="LKL1092"/>
      <c r="LKO1092"/>
      <c r="LKP1092"/>
      <c r="LKS1092"/>
      <c r="LKT1092"/>
      <c r="LKW1092"/>
      <c r="LKX1092"/>
      <c r="LLA1092"/>
      <c r="LLB1092"/>
      <c r="LLE1092"/>
      <c r="LLF1092"/>
      <c r="LLI1092"/>
      <c r="LLJ1092"/>
      <c r="LLM1092"/>
      <c r="LLN1092"/>
      <c r="LLQ1092"/>
      <c r="LLR1092"/>
      <c r="LLU1092"/>
      <c r="LLV1092"/>
      <c r="LLY1092"/>
      <c r="LLZ1092"/>
      <c r="LMC1092"/>
      <c r="LMD1092"/>
      <c r="LMG1092"/>
      <c r="LMH1092"/>
      <c r="LMK1092"/>
      <c r="LML1092"/>
      <c r="LMO1092"/>
      <c r="LMP1092"/>
      <c r="LMS1092"/>
      <c r="LMT1092"/>
      <c r="LMW1092"/>
      <c r="LMX1092"/>
      <c r="LNA1092"/>
      <c r="LNB1092"/>
      <c r="LNE1092"/>
      <c r="LNF1092"/>
      <c r="LNI1092"/>
      <c r="LNJ1092"/>
      <c r="LNM1092"/>
      <c r="LNN1092"/>
      <c r="LNQ1092"/>
      <c r="LNR1092"/>
      <c r="LNU1092"/>
      <c r="LNV1092"/>
      <c r="LNY1092"/>
      <c r="LNZ1092"/>
      <c r="LOC1092"/>
      <c r="LOD1092"/>
      <c r="LOG1092"/>
      <c r="LOH1092"/>
      <c r="LOK1092"/>
      <c r="LOL1092"/>
      <c r="LOO1092"/>
      <c r="LOP1092"/>
      <c r="LOS1092"/>
      <c r="LOT1092"/>
      <c r="LOW1092"/>
      <c r="LOX1092"/>
      <c r="LPA1092"/>
      <c r="LPB1092"/>
      <c r="LPE1092"/>
      <c r="LPF1092"/>
      <c r="LPI1092"/>
      <c r="LPJ1092"/>
      <c r="LPM1092"/>
      <c r="LPN1092"/>
      <c r="LPQ1092"/>
      <c r="LPR1092"/>
      <c r="LPU1092"/>
      <c r="LPV1092"/>
      <c r="LPY1092"/>
      <c r="LPZ1092"/>
      <c r="LQC1092"/>
      <c r="LQD1092"/>
      <c r="LQG1092"/>
      <c r="LQH1092"/>
      <c r="LQK1092"/>
      <c r="LQL1092"/>
      <c r="LQO1092"/>
      <c r="LQP1092"/>
      <c r="LQS1092"/>
      <c r="LQT1092"/>
      <c r="LQW1092"/>
      <c r="LQX1092"/>
      <c r="LRA1092"/>
      <c r="LRB1092"/>
      <c r="LRE1092"/>
      <c r="LRF1092"/>
      <c r="LRI1092"/>
      <c r="LRJ1092"/>
      <c r="LRM1092"/>
      <c r="LRN1092"/>
      <c r="LRQ1092"/>
      <c r="LRR1092"/>
      <c r="LRU1092"/>
      <c r="LRV1092"/>
      <c r="LRY1092"/>
      <c r="LRZ1092"/>
      <c r="LSC1092"/>
      <c r="LSD1092"/>
      <c r="LSG1092"/>
      <c r="LSH1092"/>
      <c r="LSK1092"/>
      <c r="LSL1092"/>
      <c r="LSO1092"/>
      <c r="LSP1092"/>
      <c r="LSS1092"/>
      <c r="LST1092"/>
      <c r="LSW1092"/>
      <c r="LSX1092"/>
      <c r="LTA1092"/>
      <c r="LTB1092"/>
      <c r="LTE1092"/>
      <c r="LTF1092"/>
      <c r="LTI1092"/>
      <c r="LTJ1092"/>
      <c r="LTM1092"/>
      <c r="LTN1092"/>
      <c r="LTQ1092"/>
      <c r="LTR1092"/>
      <c r="LTU1092"/>
      <c r="LTV1092"/>
      <c r="LTY1092"/>
      <c r="LTZ1092"/>
      <c r="LUC1092"/>
      <c r="LUD1092"/>
      <c r="LUG1092"/>
      <c r="LUH1092"/>
      <c r="LUK1092"/>
      <c r="LUL1092"/>
      <c r="LUO1092"/>
      <c r="LUP1092"/>
      <c r="LUS1092"/>
      <c r="LUT1092"/>
      <c r="LUW1092"/>
      <c r="LUX1092"/>
      <c r="LVA1092"/>
      <c r="LVB1092"/>
      <c r="LVE1092"/>
      <c r="LVF1092"/>
      <c r="LVI1092"/>
      <c r="LVJ1092"/>
      <c r="LVM1092"/>
      <c r="LVN1092"/>
      <c r="LVQ1092"/>
      <c r="LVR1092"/>
      <c r="LVU1092"/>
      <c r="LVV1092"/>
      <c r="LVY1092"/>
      <c r="LVZ1092"/>
      <c r="LWC1092"/>
      <c r="LWD1092"/>
      <c r="LWG1092"/>
      <c r="LWH1092"/>
      <c r="LWK1092"/>
      <c r="LWL1092"/>
      <c r="LWO1092"/>
      <c r="LWP1092"/>
      <c r="LWS1092"/>
      <c r="LWT1092"/>
      <c r="LWW1092"/>
      <c r="LWX1092"/>
      <c r="LXA1092"/>
      <c r="LXB1092"/>
      <c r="LXE1092"/>
      <c r="LXF1092"/>
      <c r="LXI1092"/>
      <c r="LXJ1092"/>
      <c r="LXM1092"/>
      <c r="LXN1092"/>
      <c r="LXQ1092"/>
      <c r="LXR1092"/>
      <c r="LXU1092"/>
      <c r="LXV1092"/>
      <c r="LXY1092"/>
      <c r="LXZ1092"/>
      <c r="LYC1092"/>
      <c r="LYD1092"/>
      <c r="LYG1092"/>
      <c r="LYH1092"/>
      <c r="LYK1092"/>
      <c r="LYL1092"/>
      <c r="LYO1092"/>
      <c r="LYP1092"/>
      <c r="LYS1092"/>
      <c r="LYT1092"/>
      <c r="LYW1092"/>
      <c r="LYX1092"/>
      <c r="LZA1092"/>
      <c r="LZB1092"/>
      <c r="LZE1092"/>
      <c r="LZF1092"/>
      <c r="LZI1092"/>
      <c r="LZJ1092"/>
      <c r="LZM1092"/>
      <c r="LZN1092"/>
      <c r="LZQ1092"/>
      <c r="LZR1092"/>
      <c r="LZU1092"/>
      <c r="LZV1092"/>
      <c r="LZY1092"/>
      <c r="LZZ1092"/>
      <c r="MAC1092"/>
      <c r="MAD1092"/>
      <c r="MAG1092"/>
      <c r="MAH1092"/>
      <c r="MAK1092"/>
      <c r="MAL1092"/>
      <c r="MAO1092"/>
      <c r="MAP1092"/>
      <c r="MAS1092"/>
      <c r="MAT1092"/>
      <c r="MAW1092"/>
      <c r="MAX1092"/>
      <c r="MBA1092"/>
      <c r="MBB1092"/>
      <c r="MBE1092"/>
      <c r="MBF1092"/>
      <c r="MBI1092"/>
      <c r="MBJ1092"/>
      <c r="MBM1092"/>
      <c r="MBN1092"/>
      <c r="MBQ1092"/>
      <c r="MBR1092"/>
      <c r="MBU1092"/>
      <c r="MBV1092"/>
      <c r="MBY1092"/>
      <c r="MBZ1092"/>
      <c r="MCC1092"/>
      <c r="MCD1092"/>
      <c r="MCG1092"/>
      <c r="MCH1092"/>
      <c r="MCK1092"/>
      <c r="MCL1092"/>
      <c r="MCO1092"/>
      <c r="MCP1092"/>
      <c r="MCS1092"/>
      <c r="MCT1092"/>
      <c r="MCW1092"/>
      <c r="MCX1092"/>
      <c r="MDA1092"/>
      <c r="MDB1092"/>
      <c r="MDE1092"/>
      <c r="MDF1092"/>
      <c r="MDI1092"/>
      <c r="MDJ1092"/>
      <c r="MDM1092"/>
      <c r="MDN1092"/>
      <c r="MDQ1092"/>
      <c r="MDR1092"/>
      <c r="MDU1092"/>
      <c r="MDV1092"/>
      <c r="MDY1092"/>
      <c r="MDZ1092"/>
      <c r="MEC1092"/>
      <c r="MED1092"/>
      <c r="MEG1092"/>
      <c r="MEH1092"/>
      <c r="MEK1092"/>
      <c r="MEL1092"/>
      <c r="MEO1092"/>
      <c r="MEP1092"/>
      <c r="MES1092"/>
      <c r="MET1092"/>
      <c r="MEW1092"/>
      <c r="MEX1092"/>
      <c r="MFA1092"/>
      <c r="MFB1092"/>
      <c r="MFE1092"/>
      <c r="MFF1092"/>
      <c r="MFI1092"/>
      <c r="MFJ1092"/>
      <c r="MFM1092"/>
      <c r="MFN1092"/>
      <c r="MFQ1092"/>
      <c r="MFR1092"/>
      <c r="MFU1092"/>
      <c r="MFV1092"/>
      <c r="MFY1092"/>
      <c r="MFZ1092"/>
      <c r="MGC1092"/>
      <c r="MGD1092"/>
      <c r="MGG1092"/>
      <c r="MGH1092"/>
      <c r="MGK1092"/>
      <c r="MGL1092"/>
      <c r="MGO1092"/>
      <c r="MGP1092"/>
      <c r="MGS1092"/>
      <c r="MGT1092"/>
      <c r="MGW1092"/>
      <c r="MGX1092"/>
      <c r="MHA1092"/>
      <c r="MHB1092"/>
      <c r="MHE1092"/>
      <c r="MHF1092"/>
      <c r="MHI1092"/>
      <c r="MHJ1092"/>
      <c r="MHM1092"/>
      <c r="MHN1092"/>
      <c r="MHQ1092"/>
      <c r="MHR1092"/>
      <c r="MHU1092"/>
      <c r="MHV1092"/>
      <c r="MHY1092"/>
      <c r="MHZ1092"/>
      <c r="MIC1092"/>
      <c r="MID1092"/>
      <c r="MIG1092"/>
      <c r="MIH1092"/>
      <c r="MIK1092"/>
      <c r="MIL1092"/>
      <c r="MIO1092"/>
      <c r="MIP1092"/>
      <c r="MIS1092"/>
      <c r="MIT1092"/>
      <c r="MIW1092"/>
      <c r="MIX1092"/>
      <c r="MJA1092"/>
      <c r="MJB1092"/>
      <c r="MJE1092"/>
      <c r="MJF1092"/>
      <c r="MJI1092"/>
      <c r="MJJ1092"/>
      <c r="MJM1092"/>
      <c r="MJN1092"/>
      <c r="MJQ1092"/>
      <c r="MJR1092"/>
      <c r="MJU1092"/>
      <c r="MJV1092"/>
      <c r="MJY1092"/>
      <c r="MJZ1092"/>
      <c r="MKC1092"/>
      <c r="MKD1092"/>
      <c r="MKG1092"/>
      <c r="MKH1092"/>
      <c r="MKK1092"/>
      <c r="MKL1092"/>
      <c r="MKO1092"/>
      <c r="MKP1092"/>
      <c r="MKS1092"/>
      <c r="MKT1092"/>
      <c r="MKW1092"/>
      <c r="MKX1092"/>
      <c r="MLA1092"/>
      <c r="MLB1092"/>
      <c r="MLE1092"/>
      <c r="MLF1092"/>
      <c r="MLI1092"/>
      <c r="MLJ1092"/>
      <c r="MLM1092"/>
      <c r="MLN1092"/>
      <c r="MLQ1092"/>
      <c r="MLR1092"/>
      <c r="MLU1092"/>
      <c r="MLV1092"/>
      <c r="MLY1092"/>
      <c r="MLZ1092"/>
      <c r="MMC1092"/>
      <c r="MMD1092"/>
      <c r="MMG1092"/>
      <c r="MMH1092"/>
      <c r="MMK1092"/>
      <c r="MML1092"/>
      <c r="MMO1092"/>
      <c r="MMP1092"/>
      <c r="MMS1092"/>
      <c r="MMT1092"/>
      <c r="MMW1092"/>
      <c r="MMX1092"/>
      <c r="MNA1092"/>
      <c r="MNB1092"/>
      <c r="MNE1092"/>
      <c r="MNF1092"/>
      <c r="MNI1092"/>
      <c r="MNJ1092"/>
      <c r="MNM1092"/>
      <c r="MNN1092"/>
      <c r="MNQ1092"/>
      <c r="MNR1092"/>
      <c r="MNU1092"/>
      <c r="MNV1092"/>
      <c r="MNY1092"/>
      <c r="MNZ1092"/>
      <c r="MOC1092"/>
      <c r="MOD1092"/>
      <c r="MOG1092"/>
      <c r="MOH1092"/>
      <c r="MOK1092"/>
      <c r="MOL1092"/>
      <c r="MOO1092"/>
      <c r="MOP1092"/>
      <c r="MOS1092"/>
      <c r="MOT1092"/>
      <c r="MOW1092"/>
      <c r="MOX1092"/>
      <c r="MPA1092"/>
      <c r="MPB1092"/>
      <c r="MPE1092"/>
      <c r="MPF1092"/>
      <c r="MPI1092"/>
      <c r="MPJ1092"/>
      <c r="MPM1092"/>
      <c r="MPN1092"/>
      <c r="MPQ1092"/>
      <c r="MPR1092"/>
      <c r="MPU1092"/>
      <c r="MPV1092"/>
      <c r="MPY1092"/>
      <c r="MPZ1092"/>
      <c r="MQC1092"/>
      <c r="MQD1092"/>
      <c r="MQG1092"/>
      <c r="MQH1092"/>
      <c r="MQK1092"/>
      <c r="MQL1092"/>
      <c r="MQO1092"/>
      <c r="MQP1092"/>
      <c r="MQS1092"/>
      <c r="MQT1092"/>
      <c r="MQW1092"/>
      <c r="MQX1092"/>
      <c r="MRA1092"/>
      <c r="MRB1092"/>
      <c r="MRE1092"/>
      <c r="MRF1092"/>
      <c r="MRI1092"/>
      <c r="MRJ1092"/>
      <c r="MRM1092"/>
      <c r="MRN1092"/>
      <c r="MRQ1092"/>
      <c r="MRR1092"/>
      <c r="MRU1092"/>
      <c r="MRV1092"/>
      <c r="MRY1092"/>
      <c r="MRZ1092"/>
      <c r="MSC1092"/>
      <c r="MSD1092"/>
      <c r="MSG1092"/>
      <c r="MSH1092"/>
      <c r="MSK1092"/>
      <c r="MSL1092"/>
      <c r="MSO1092"/>
      <c r="MSP1092"/>
      <c r="MSS1092"/>
      <c r="MST1092"/>
      <c r="MSW1092"/>
      <c r="MSX1092"/>
      <c r="MTA1092"/>
      <c r="MTB1092"/>
      <c r="MTE1092"/>
      <c r="MTF1092"/>
      <c r="MTI1092"/>
      <c r="MTJ1092"/>
      <c r="MTM1092"/>
      <c r="MTN1092"/>
      <c r="MTQ1092"/>
      <c r="MTR1092"/>
      <c r="MTU1092"/>
      <c r="MTV1092"/>
      <c r="MTY1092"/>
      <c r="MTZ1092"/>
      <c r="MUC1092"/>
      <c r="MUD1092"/>
      <c r="MUG1092"/>
      <c r="MUH1092"/>
      <c r="MUK1092"/>
      <c r="MUL1092"/>
      <c r="MUO1092"/>
      <c r="MUP1092"/>
      <c r="MUS1092"/>
      <c r="MUT1092"/>
      <c r="MUW1092"/>
      <c r="MUX1092"/>
      <c r="MVA1092"/>
      <c r="MVB1092"/>
      <c r="MVE1092"/>
      <c r="MVF1092"/>
      <c r="MVI1092"/>
      <c r="MVJ1092"/>
      <c r="MVM1092"/>
      <c r="MVN1092"/>
      <c r="MVQ1092"/>
      <c r="MVR1092"/>
      <c r="MVU1092"/>
      <c r="MVV1092"/>
      <c r="MVY1092"/>
      <c r="MVZ1092"/>
      <c r="MWC1092"/>
      <c r="MWD1092"/>
      <c r="MWG1092"/>
      <c r="MWH1092"/>
      <c r="MWK1092"/>
      <c r="MWL1092"/>
      <c r="MWO1092"/>
      <c r="MWP1092"/>
      <c r="MWS1092"/>
      <c r="MWT1092"/>
      <c r="MWW1092"/>
      <c r="MWX1092"/>
      <c r="MXA1092"/>
      <c r="MXB1092"/>
      <c r="MXE1092"/>
      <c r="MXF1092"/>
      <c r="MXI1092"/>
      <c r="MXJ1092"/>
      <c r="MXM1092"/>
      <c r="MXN1092"/>
      <c r="MXQ1092"/>
      <c r="MXR1092"/>
      <c r="MXU1092"/>
      <c r="MXV1092"/>
      <c r="MXY1092"/>
      <c r="MXZ1092"/>
      <c r="MYC1092"/>
      <c r="MYD1092"/>
      <c r="MYG1092"/>
      <c r="MYH1092"/>
      <c r="MYK1092"/>
      <c r="MYL1092"/>
      <c r="MYO1092"/>
      <c r="MYP1092"/>
      <c r="MYS1092"/>
      <c r="MYT1092"/>
      <c r="MYW1092"/>
      <c r="MYX1092"/>
      <c r="MZA1092"/>
      <c r="MZB1092"/>
      <c r="MZE1092"/>
      <c r="MZF1092"/>
      <c r="MZI1092"/>
      <c r="MZJ1092"/>
      <c r="MZM1092"/>
      <c r="MZN1092"/>
      <c r="MZQ1092"/>
      <c r="MZR1092"/>
      <c r="MZU1092"/>
      <c r="MZV1092"/>
      <c r="MZY1092"/>
      <c r="MZZ1092"/>
      <c r="NAC1092"/>
      <c r="NAD1092"/>
      <c r="NAG1092"/>
      <c r="NAH1092"/>
      <c r="NAK1092"/>
      <c r="NAL1092"/>
      <c r="NAO1092"/>
      <c r="NAP1092"/>
      <c r="NAS1092"/>
      <c r="NAT1092"/>
      <c r="NAW1092"/>
      <c r="NAX1092"/>
      <c r="NBA1092"/>
      <c r="NBB1092"/>
      <c r="NBE1092"/>
      <c r="NBF1092"/>
      <c r="NBI1092"/>
      <c r="NBJ1092"/>
      <c r="NBM1092"/>
      <c r="NBN1092"/>
      <c r="NBQ1092"/>
      <c r="NBR1092"/>
      <c r="NBU1092"/>
      <c r="NBV1092"/>
      <c r="NBY1092"/>
      <c r="NBZ1092"/>
      <c r="NCC1092"/>
      <c r="NCD1092"/>
      <c r="NCG1092"/>
      <c r="NCH1092"/>
      <c r="NCK1092"/>
      <c r="NCL1092"/>
      <c r="NCO1092"/>
      <c r="NCP1092"/>
      <c r="NCS1092"/>
      <c r="NCT1092"/>
      <c r="NCW1092"/>
      <c r="NCX1092"/>
      <c r="NDA1092"/>
      <c r="NDB1092"/>
      <c r="NDE1092"/>
      <c r="NDF1092"/>
      <c r="NDI1092"/>
      <c r="NDJ1092"/>
      <c r="NDM1092"/>
      <c r="NDN1092"/>
      <c r="NDQ1092"/>
      <c r="NDR1092"/>
      <c r="NDU1092"/>
      <c r="NDV1092"/>
      <c r="NDY1092"/>
      <c r="NDZ1092"/>
      <c r="NEC1092"/>
      <c r="NED1092"/>
      <c r="NEG1092"/>
      <c r="NEH1092"/>
      <c r="NEK1092"/>
      <c r="NEL1092"/>
      <c r="NEO1092"/>
      <c r="NEP1092"/>
      <c r="NES1092"/>
      <c r="NET1092"/>
      <c r="NEW1092"/>
      <c r="NEX1092"/>
      <c r="NFA1092"/>
      <c r="NFB1092"/>
      <c r="NFE1092"/>
      <c r="NFF1092"/>
      <c r="NFI1092"/>
      <c r="NFJ1092"/>
      <c r="NFM1092"/>
      <c r="NFN1092"/>
      <c r="NFQ1092"/>
      <c r="NFR1092"/>
      <c r="NFU1092"/>
      <c r="NFV1092"/>
      <c r="NFY1092"/>
      <c r="NFZ1092"/>
      <c r="NGC1092"/>
      <c r="NGD1092"/>
      <c r="NGG1092"/>
      <c r="NGH1092"/>
      <c r="NGK1092"/>
      <c r="NGL1092"/>
      <c r="NGO1092"/>
      <c r="NGP1092"/>
      <c r="NGS1092"/>
      <c r="NGT1092"/>
      <c r="NGW1092"/>
      <c r="NGX1092"/>
      <c r="NHA1092"/>
      <c r="NHB1092"/>
      <c r="NHE1092"/>
      <c r="NHF1092"/>
      <c r="NHI1092"/>
      <c r="NHJ1092"/>
      <c r="NHM1092"/>
      <c r="NHN1092"/>
      <c r="NHQ1092"/>
      <c r="NHR1092"/>
      <c r="NHU1092"/>
      <c r="NHV1092"/>
      <c r="NHY1092"/>
      <c r="NHZ1092"/>
      <c r="NIC1092"/>
      <c r="NID1092"/>
      <c r="NIG1092"/>
      <c r="NIH1092"/>
      <c r="NIK1092"/>
      <c r="NIL1092"/>
      <c r="NIO1092"/>
      <c r="NIP1092"/>
      <c r="NIS1092"/>
      <c r="NIT1092"/>
      <c r="NIW1092"/>
      <c r="NIX1092"/>
      <c r="NJA1092"/>
      <c r="NJB1092"/>
      <c r="NJE1092"/>
      <c r="NJF1092"/>
      <c r="NJI1092"/>
      <c r="NJJ1092"/>
      <c r="NJM1092"/>
      <c r="NJN1092"/>
      <c r="NJQ1092"/>
      <c r="NJR1092"/>
      <c r="NJU1092"/>
      <c r="NJV1092"/>
      <c r="NJY1092"/>
      <c r="NJZ1092"/>
      <c r="NKC1092"/>
      <c r="NKD1092"/>
      <c r="NKG1092"/>
      <c r="NKH1092"/>
      <c r="NKK1092"/>
      <c r="NKL1092"/>
      <c r="NKO1092"/>
      <c r="NKP1092"/>
      <c r="NKS1092"/>
      <c r="NKT1092"/>
      <c r="NKW1092"/>
      <c r="NKX1092"/>
      <c r="NLA1092"/>
      <c r="NLB1092"/>
      <c r="NLE1092"/>
      <c r="NLF1092"/>
      <c r="NLI1092"/>
      <c r="NLJ1092"/>
      <c r="NLM1092"/>
      <c r="NLN1092"/>
      <c r="NLQ1092"/>
      <c r="NLR1092"/>
      <c r="NLU1092"/>
      <c r="NLV1092"/>
      <c r="NLY1092"/>
      <c r="NLZ1092"/>
      <c r="NMC1092"/>
      <c r="NMD1092"/>
      <c r="NMG1092"/>
      <c r="NMH1092"/>
      <c r="NMK1092"/>
      <c r="NML1092"/>
      <c r="NMO1092"/>
      <c r="NMP1092"/>
      <c r="NMS1092"/>
      <c r="NMT1092"/>
      <c r="NMW1092"/>
      <c r="NMX1092"/>
      <c r="NNA1092"/>
      <c r="NNB1092"/>
      <c r="NNE1092"/>
      <c r="NNF1092"/>
      <c r="NNI1092"/>
      <c r="NNJ1092"/>
      <c r="NNM1092"/>
      <c r="NNN1092"/>
      <c r="NNQ1092"/>
      <c r="NNR1092"/>
      <c r="NNU1092"/>
      <c r="NNV1092"/>
      <c r="NNY1092"/>
      <c r="NNZ1092"/>
      <c r="NOC1092"/>
      <c r="NOD1092"/>
      <c r="NOG1092"/>
      <c r="NOH1092"/>
      <c r="NOK1092"/>
      <c r="NOL1092"/>
      <c r="NOO1092"/>
      <c r="NOP1092"/>
      <c r="NOS1092"/>
      <c r="NOT1092"/>
      <c r="NOW1092"/>
      <c r="NOX1092"/>
      <c r="NPA1092"/>
      <c r="NPB1092"/>
      <c r="NPE1092"/>
      <c r="NPF1092"/>
      <c r="NPI1092"/>
      <c r="NPJ1092"/>
      <c r="NPM1092"/>
      <c r="NPN1092"/>
      <c r="NPQ1092"/>
      <c r="NPR1092"/>
      <c r="NPU1092"/>
      <c r="NPV1092"/>
      <c r="NPY1092"/>
      <c r="NPZ1092"/>
      <c r="NQC1092"/>
      <c r="NQD1092"/>
      <c r="NQG1092"/>
      <c r="NQH1092"/>
      <c r="NQK1092"/>
      <c r="NQL1092"/>
      <c r="NQO1092"/>
      <c r="NQP1092"/>
      <c r="NQS1092"/>
      <c r="NQT1092"/>
      <c r="NQW1092"/>
      <c r="NQX1092"/>
      <c r="NRA1092"/>
      <c r="NRB1092"/>
      <c r="NRE1092"/>
      <c r="NRF1092"/>
      <c r="NRI1092"/>
      <c r="NRJ1092"/>
      <c r="NRM1092"/>
      <c r="NRN1092"/>
      <c r="NRQ1092"/>
      <c r="NRR1092"/>
      <c r="NRU1092"/>
      <c r="NRV1092"/>
      <c r="NRY1092"/>
      <c r="NRZ1092"/>
      <c r="NSC1092"/>
      <c r="NSD1092"/>
      <c r="NSG1092"/>
      <c r="NSH1092"/>
      <c r="NSK1092"/>
      <c r="NSL1092"/>
      <c r="NSO1092"/>
      <c r="NSP1092"/>
      <c r="NSS1092"/>
      <c r="NST1092"/>
      <c r="NSW1092"/>
      <c r="NSX1092"/>
      <c r="NTA1092"/>
      <c r="NTB1092"/>
      <c r="NTE1092"/>
      <c r="NTF1092"/>
      <c r="NTI1092"/>
      <c r="NTJ1092"/>
      <c r="NTM1092"/>
      <c r="NTN1092"/>
      <c r="NTQ1092"/>
      <c r="NTR1092"/>
      <c r="NTU1092"/>
      <c r="NTV1092"/>
      <c r="NTY1092"/>
      <c r="NTZ1092"/>
      <c r="NUC1092"/>
      <c r="NUD1092"/>
      <c r="NUG1092"/>
      <c r="NUH1092"/>
      <c r="NUK1092"/>
      <c r="NUL1092"/>
      <c r="NUO1092"/>
      <c r="NUP1092"/>
      <c r="NUS1092"/>
      <c r="NUT1092"/>
      <c r="NUW1092"/>
      <c r="NUX1092"/>
      <c r="NVA1092"/>
      <c r="NVB1092"/>
      <c r="NVE1092"/>
      <c r="NVF1092"/>
      <c r="NVI1092"/>
      <c r="NVJ1092"/>
      <c r="NVM1092"/>
      <c r="NVN1092"/>
      <c r="NVQ1092"/>
      <c r="NVR1092"/>
      <c r="NVU1092"/>
      <c r="NVV1092"/>
      <c r="NVY1092"/>
      <c r="NVZ1092"/>
      <c r="NWC1092"/>
      <c r="NWD1092"/>
      <c r="NWG1092"/>
      <c r="NWH1092"/>
      <c r="NWK1092"/>
      <c r="NWL1092"/>
      <c r="NWO1092"/>
      <c r="NWP1092"/>
      <c r="NWS1092"/>
      <c r="NWT1092"/>
      <c r="NWW1092"/>
      <c r="NWX1092"/>
      <c r="NXA1092"/>
      <c r="NXB1092"/>
      <c r="NXE1092"/>
      <c r="NXF1092"/>
      <c r="NXI1092"/>
      <c r="NXJ1092"/>
      <c r="NXM1092"/>
      <c r="NXN1092"/>
      <c r="NXQ1092"/>
      <c r="NXR1092"/>
      <c r="NXU1092"/>
      <c r="NXV1092"/>
      <c r="NXY1092"/>
      <c r="NXZ1092"/>
      <c r="NYC1092"/>
      <c r="NYD1092"/>
      <c r="NYG1092"/>
      <c r="NYH1092"/>
      <c r="NYK1092"/>
      <c r="NYL1092"/>
      <c r="NYO1092"/>
      <c r="NYP1092"/>
      <c r="NYS1092"/>
      <c r="NYT1092"/>
      <c r="NYW1092"/>
      <c r="NYX1092"/>
      <c r="NZA1092"/>
      <c r="NZB1092"/>
      <c r="NZE1092"/>
      <c r="NZF1092"/>
      <c r="NZI1092"/>
      <c r="NZJ1092"/>
      <c r="NZM1092"/>
      <c r="NZN1092"/>
      <c r="NZQ1092"/>
      <c r="NZR1092"/>
      <c r="NZU1092"/>
      <c r="NZV1092"/>
      <c r="NZY1092"/>
      <c r="NZZ1092"/>
      <c r="OAC1092"/>
      <c r="OAD1092"/>
      <c r="OAG1092"/>
      <c r="OAH1092"/>
      <c r="OAK1092"/>
      <c r="OAL1092"/>
      <c r="OAO1092"/>
      <c r="OAP1092"/>
      <c r="OAS1092"/>
      <c r="OAT1092"/>
      <c r="OAW1092"/>
      <c r="OAX1092"/>
      <c r="OBA1092"/>
      <c r="OBB1092"/>
      <c r="OBE1092"/>
      <c r="OBF1092"/>
      <c r="OBI1092"/>
      <c r="OBJ1092"/>
      <c r="OBM1092"/>
      <c r="OBN1092"/>
      <c r="OBQ1092"/>
      <c r="OBR1092"/>
      <c r="OBU1092"/>
      <c r="OBV1092"/>
      <c r="OBY1092"/>
      <c r="OBZ1092"/>
      <c r="OCC1092"/>
      <c r="OCD1092"/>
      <c r="OCG1092"/>
      <c r="OCH1092"/>
      <c r="OCK1092"/>
      <c r="OCL1092"/>
      <c r="OCO1092"/>
      <c r="OCP1092"/>
      <c r="OCS1092"/>
      <c r="OCT1092"/>
      <c r="OCW1092"/>
      <c r="OCX1092"/>
      <c r="ODA1092"/>
      <c r="ODB1092"/>
      <c r="ODE1092"/>
      <c r="ODF1092"/>
      <c r="ODI1092"/>
      <c r="ODJ1092"/>
      <c r="ODM1092"/>
      <c r="ODN1092"/>
      <c r="ODQ1092"/>
      <c r="ODR1092"/>
      <c r="ODU1092"/>
      <c r="ODV1092"/>
      <c r="ODY1092"/>
      <c r="ODZ1092"/>
      <c r="OEC1092"/>
      <c r="OED1092"/>
      <c r="OEG1092"/>
      <c r="OEH1092"/>
      <c r="OEK1092"/>
      <c r="OEL1092"/>
      <c r="OEO1092"/>
      <c r="OEP1092"/>
      <c r="OES1092"/>
      <c r="OET1092"/>
      <c r="OEW1092"/>
      <c r="OEX1092"/>
      <c r="OFA1092"/>
      <c r="OFB1092"/>
      <c r="OFE1092"/>
      <c r="OFF1092"/>
      <c r="OFI1092"/>
      <c r="OFJ1092"/>
      <c r="OFM1092"/>
      <c r="OFN1092"/>
      <c r="OFQ1092"/>
      <c r="OFR1092"/>
      <c r="OFU1092"/>
      <c r="OFV1092"/>
      <c r="OFY1092"/>
      <c r="OFZ1092"/>
      <c r="OGC1092"/>
      <c r="OGD1092"/>
      <c r="OGG1092"/>
      <c r="OGH1092"/>
      <c r="OGK1092"/>
      <c r="OGL1092"/>
      <c r="OGO1092"/>
      <c r="OGP1092"/>
      <c r="OGS1092"/>
      <c r="OGT1092"/>
      <c r="OGW1092"/>
      <c r="OGX1092"/>
      <c r="OHA1092"/>
      <c r="OHB1092"/>
      <c r="OHE1092"/>
      <c r="OHF1092"/>
      <c r="OHI1092"/>
      <c r="OHJ1092"/>
      <c r="OHM1092"/>
      <c r="OHN1092"/>
      <c r="OHQ1092"/>
      <c r="OHR1092"/>
      <c r="OHU1092"/>
      <c r="OHV1092"/>
      <c r="OHY1092"/>
      <c r="OHZ1092"/>
      <c r="OIC1092"/>
      <c r="OID1092"/>
      <c r="OIG1092"/>
      <c r="OIH1092"/>
      <c r="OIK1092"/>
      <c r="OIL1092"/>
      <c r="OIO1092"/>
      <c r="OIP1092"/>
      <c r="OIS1092"/>
      <c r="OIT1092"/>
      <c r="OIW1092"/>
      <c r="OIX1092"/>
      <c r="OJA1092"/>
      <c r="OJB1092"/>
      <c r="OJE1092"/>
      <c r="OJF1092"/>
      <c r="OJI1092"/>
      <c r="OJJ1092"/>
      <c r="OJM1092"/>
      <c r="OJN1092"/>
      <c r="OJQ1092"/>
      <c r="OJR1092"/>
      <c r="OJU1092"/>
      <c r="OJV1092"/>
      <c r="OJY1092"/>
      <c r="OJZ1092"/>
      <c r="OKC1092"/>
      <c r="OKD1092"/>
      <c r="OKG1092"/>
      <c r="OKH1092"/>
      <c r="OKK1092"/>
      <c r="OKL1092"/>
      <c r="OKO1092"/>
      <c r="OKP1092"/>
      <c r="OKS1092"/>
      <c r="OKT1092"/>
      <c r="OKW1092"/>
      <c r="OKX1092"/>
      <c r="OLA1092"/>
      <c r="OLB1092"/>
      <c r="OLE1092"/>
      <c r="OLF1092"/>
      <c r="OLI1092"/>
      <c r="OLJ1092"/>
      <c r="OLM1092"/>
      <c r="OLN1092"/>
      <c r="OLQ1092"/>
      <c r="OLR1092"/>
      <c r="OLU1092"/>
      <c r="OLV1092"/>
      <c r="OLY1092"/>
      <c r="OLZ1092"/>
      <c r="OMC1092"/>
      <c r="OMD1092"/>
      <c r="OMG1092"/>
      <c r="OMH1092"/>
      <c r="OMK1092"/>
      <c r="OML1092"/>
      <c r="OMO1092"/>
      <c r="OMP1092"/>
      <c r="OMS1092"/>
      <c r="OMT1092"/>
      <c r="OMW1092"/>
      <c r="OMX1092"/>
      <c r="ONA1092"/>
      <c r="ONB1092"/>
      <c r="ONE1092"/>
      <c r="ONF1092"/>
      <c r="ONI1092"/>
      <c r="ONJ1092"/>
      <c r="ONM1092"/>
      <c r="ONN1092"/>
      <c r="ONQ1092"/>
      <c r="ONR1092"/>
      <c r="ONU1092"/>
      <c r="ONV1092"/>
      <c r="ONY1092"/>
      <c r="ONZ1092"/>
      <c r="OOC1092"/>
      <c r="OOD1092"/>
      <c r="OOG1092"/>
      <c r="OOH1092"/>
      <c r="OOK1092"/>
      <c r="OOL1092"/>
      <c r="OOO1092"/>
      <c r="OOP1092"/>
      <c r="OOS1092"/>
      <c r="OOT1092"/>
      <c r="OOW1092"/>
      <c r="OOX1092"/>
      <c r="OPA1092"/>
      <c r="OPB1092"/>
      <c r="OPE1092"/>
      <c r="OPF1092"/>
      <c r="OPI1092"/>
      <c r="OPJ1092"/>
      <c r="OPM1092"/>
      <c r="OPN1092"/>
      <c r="OPQ1092"/>
      <c r="OPR1092"/>
      <c r="OPU1092"/>
      <c r="OPV1092"/>
      <c r="OPY1092"/>
      <c r="OPZ1092"/>
      <c r="OQC1092"/>
      <c r="OQD1092"/>
      <c r="OQG1092"/>
      <c r="OQH1092"/>
      <c r="OQK1092"/>
      <c r="OQL1092"/>
      <c r="OQO1092"/>
      <c r="OQP1092"/>
      <c r="OQS1092"/>
      <c r="OQT1092"/>
      <c r="OQW1092"/>
      <c r="OQX1092"/>
      <c r="ORA1092"/>
      <c r="ORB1092"/>
      <c r="ORE1092"/>
      <c r="ORF1092"/>
      <c r="ORI1092"/>
      <c r="ORJ1092"/>
      <c r="ORM1092"/>
      <c r="ORN1092"/>
      <c r="ORQ1092"/>
      <c r="ORR1092"/>
      <c r="ORU1092"/>
      <c r="ORV1092"/>
      <c r="ORY1092"/>
      <c r="ORZ1092"/>
      <c r="OSC1092"/>
      <c r="OSD1092"/>
      <c r="OSG1092"/>
      <c r="OSH1092"/>
      <c r="OSK1092"/>
      <c r="OSL1092"/>
      <c r="OSO1092"/>
      <c r="OSP1092"/>
      <c r="OSS1092"/>
      <c r="OST1092"/>
      <c r="OSW1092"/>
      <c r="OSX1092"/>
      <c r="OTA1092"/>
      <c r="OTB1092"/>
      <c r="OTE1092"/>
      <c r="OTF1092"/>
      <c r="OTI1092"/>
      <c r="OTJ1092"/>
      <c r="OTM1092"/>
      <c r="OTN1092"/>
      <c r="OTQ1092"/>
      <c r="OTR1092"/>
      <c r="OTU1092"/>
      <c r="OTV1092"/>
      <c r="OTY1092"/>
      <c r="OTZ1092"/>
      <c r="OUC1092"/>
      <c r="OUD1092"/>
      <c r="OUG1092"/>
      <c r="OUH1092"/>
      <c r="OUK1092"/>
      <c r="OUL1092"/>
      <c r="OUO1092"/>
      <c r="OUP1092"/>
      <c r="OUS1092"/>
      <c r="OUT1092"/>
      <c r="OUW1092"/>
      <c r="OUX1092"/>
      <c r="OVA1092"/>
      <c r="OVB1092"/>
      <c r="OVE1092"/>
      <c r="OVF1092"/>
      <c r="OVI1092"/>
      <c r="OVJ1092"/>
      <c r="OVM1092"/>
      <c r="OVN1092"/>
      <c r="OVQ1092"/>
      <c r="OVR1092"/>
      <c r="OVU1092"/>
      <c r="OVV1092"/>
      <c r="OVY1092"/>
      <c r="OVZ1092"/>
      <c r="OWC1092"/>
      <c r="OWD1092"/>
      <c r="OWG1092"/>
      <c r="OWH1092"/>
      <c r="OWK1092"/>
      <c r="OWL1092"/>
      <c r="OWO1092"/>
      <c r="OWP1092"/>
      <c r="OWS1092"/>
      <c r="OWT1092"/>
      <c r="OWW1092"/>
      <c r="OWX1092"/>
      <c r="OXA1092"/>
      <c r="OXB1092"/>
      <c r="OXE1092"/>
      <c r="OXF1092"/>
      <c r="OXI1092"/>
      <c r="OXJ1092"/>
      <c r="OXM1092"/>
      <c r="OXN1092"/>
      <c r="OXQ1092"/>
      <c r="OXR1092"/>
      <c r="OXU1092"/>
      <c r="OXV1092"/>
      <c r="OXY1092"/>
      <c r="OXZ1092"/>
      <c r="OYC1092"/>
      <c r="OYD1092"/>
      <c r="OYG1092"/>
      <c r="OYH1092"/>
      <c r="OYK1092"/>
      <c r="OYL1092"/>
      <c r="OYO1092"/>
      <c r="OYP1092"/>
      <c r="OYS1092"/>
      <c r="OYT1092"/>
      <c r="OYW1092"/>
      <c r="OYX1092"/>
      <c r="OZA1092"/>
      <c r="OZB1092"/>
      <c r="OZE1092"/>
      <c r="OZF1092"/>
      <c r="OZI1092"/>
      <c r="OZJ1092"/>
      <c r="OZM1092"/>
      <c r="OZN1092"/>
      <c r="OZQ1092"/>
      <c r="OZR1092"/>
      <c r="OZU1092"/>
      <c r="OZV1092"/>
      <c r="OZY1092"/>
      <c r="OZZ1092"/>
      <c r="PAC1092"/>
      <c r="PAD1092"/>
      <c r="PAG1092"/>
      <c r="PAH1092"/>
      <c r="PAK1092"/>
      <c r="PAL1092"/>
      <c r="PAO1092"/>
      <c r="PAP1092"/>
      <c r="PAS1092"/>
      <c r="PAT1092"/>
      <c r="PAW1092"/>
      <c r="PAX1092"/>
      <c r="PBA1092"/>
      <c r="PBB1092"/>
      <c r="PBE1092"/>
      <c r="PBF1092"/>
      <c r="PBI1092"/>
      <c r="PBJ1092"/>
      <c r="PBM1092"/>
      <c r="PBN1092"/>
      <c r="PBQ1092"/>
      <c r="PBR1092"/>
      <c r="PBU1092"/>
      <c r="PBV1092"/>
      <c r="PBY1092"/>
      <c r="PBZ1092"/>
      <c r="PCC1092"/>
      <c r="PCD1092"/>
      <c r="PCG1092"/>
      <c r="PCH1092"/>
      <c r="PCK1092"/>
      <c r="PCL1092"/>
      <c r="PCO1092"/>
      <c r="PCP1092"/>
      <c r="PCS1092"/>
      <c r="PCT1092"/>
      <c r="PCW1092"/>
      <c r="PCX1092"/>
      <c r="PDA1092"/>
      <c r="PDB1092"/>
      <c r="PDE1092"/>
      <c r="PDF1092"/>
      <c r="PDI1092"/>
      <c r="PDJ1092"/>
      <c r="PDM1092"/>
      <c r="PDN1092"/>
      <c r="PDQ1092"/>
      <c r="PDR1092"/>
      <c r="PDU1092"/>
      <c r="PDV1092"/>
      <c r="PDY1092"/>
      <c r="PDZ1092"/>
      <c r="PEC1092"/>
      <c r="PED1092"/>
      <c r="PEG1092"/>
      <c r="PEH1092"/>
      <c r="PEK1092"/>
      <c r="PEL1092"/>
      <c r="PEO1092"/>
      <c r="PEP1092"/>
      <c r="PES1092"/>
      <c r="PET1092"/>
      <c r="PEW1092"/>
      <c r="PEX1092"/>
      <c r="PFA1092"/>
      <c r="PFB1092"/>
      <c r="PFE1092"/>
      <c r="PFF1092"/>
      <c r="PFI1092"/>
      <c r="PFJ1092"/>
      <c r="PFM1092"/>
      <c r="PFN1092"/>
      <c r="PFQ1092"/>
      <c r="PFR1092"/>
      <c r="PFU1092"/>
      <c r="PFV1092"/>
      <c r="PFY1092"/>
      <c r="PFZ1092"/>
      <c r="PGC1092"/>
      <c r="PGD1092"/>
      <c r="PGG1092"/>
      <c r="PGH1092"/>
      <c r="PGK1092"/>
      <c r="PGL1092"/>
      <c r="PGO1092"/>
      <c r="PGP1092"/>
      <c r="PGS1092"/>
      <c r="PGT1092"/>
      <c r="PGW1092"/>
      <c r="PGX1092"/>
      <c r="PHA1092"/>
      <c r="PHB1092"/>
      <c r="PHE1092"/>
      <c r="PHF1092"/>
      <c r="PHI1092"/>
      <c r="PHJ1092"/>
      <c r="PHM1092"/>
      <c r="PHN1092"/>
      <c r="PHQ1092"/>
      <c r="PHR1092"/>
      <c r="PHU1092"/>
      <c r="PHV1092"/>
      <c r="PHY1092"/>
      <c r="PHZ1092"/>
      <c r="PIC1092"/>
      <c r="PID1092"/>
      <c r="PIG1092"/>
      <c r="PIH1092"/>
      <c r="PIK1092"/>
      <c r="PIL1092"/>
      <c r="PIO1092"/>
      <c r="PIP1092"/>
      <c r="PIS1092"/>
      <c r="PIT1092"/>
      <c r="PIW1092"/>
      <c r="PIX1092"/>
      <c r="PJA1092"/>
      <c r="PJB1092"/>
      <c r="PJE1092"/>
      <c r="PJF1092"/>
      <c r="PJI1092"/>
      <c r="PJJ1092"/>
      <c r="PJM1092"/>
      <c r="PJN1092"/>
      <c r="PJQ1092"/>
      <c r="PJR1092"/>
      <c r="PJU1092"/>
      <c r="PJV1092"/>
      <c r="PJY1092"/>
      <c r="PJZ1092"/>
      <c r="PKC1092"/>
      <c r="PKD1092"/>
      <c r="PKG1092"/>
      <c r="PKH1092"/>
      <c r="PKK1092"/>
      <c r="PKL1092"/>
      <c r="PKO1092"/>
      <c r="PKP1092"/>
      <c r="PKS1092"/>
      <c r="PKT1092"/>
      <c r="PKW1092"/>
      <c r="PKX1092"/>
      <c r="PLA1092"/>
      <c r="PLB1092"/>
      <c r="PLE1092"/>
      <c r="PLF1092"/>
      <c r="PLI1092"/>
      <c r="PLJ1092"/>
      <c r="PLM1092"/>
      <c r="PLN1092"/>
      <c r="PLQ1092"/>
      <c r="PLR1092"/>
      <c r="PLU1092"/>
      <c r="PLV1092"/>
      <c r="PLY1092"/>
      <c r="PLZ1092"/>
      <c r="PMC1092"/>
      <c r="PMD1092"/>
      <c r="PMG1092"/>
      <c r="PMH1092"/>
      <c r="PMK1092"/>
      <c r="PML1092"/>
      <c r="PMO1092"/>
      <c r="PMP1092"/>
      <c r="PMS1092"/>
      <c r="PMT1092"/>
      <c r="PMW1092"/>
      <c r="PMX1092"/>
      <c r="PNA1092"/>
      <c r="PNB1092"/>
      <c r="PNE1092"/>
      <c r="PNF1092"/>
      <c r="PNI1092"/>
      <c r="PNJ1092"/>
      <c r="PNM1092"/>
      <c r="PNN1092"/>
      <c r="PNQ1092"/>
      <c r="PNR1092"/>
      <c r="PNU1092"/>
      <c r="PNV1092"/>
      <c r="PNY1092"/>
      <c r="PNZ1092"/>
      <c r="POC1092"/>
      <c r="POD1092"/>
      <c r="POG1092"/>
      <c r="POH1092"/>
      <c r="POK1092"/>
      <c r="POL1092"/>
      <c r="POO1092"/>
      <c r="POP1092"/>
      <c r="POS1092"/>
      <c r="POT1092"/>
      <c r="POW1092"/>
      <c r="POX1092"/>
      <c r="PPA1092"/>
      <c r="PPB1092"/>
      <c r="PPE1092"/>
      <c r="PPF1092"/>
      <c r="PPI1092"/>
      <c r="PPJ1092"/>
      <c r="PPM1092"/>
      <c r="PPN1092"/>
      <c r="PPQ1092"/>
      <c r="PPR1092"/>
      <c r="PPU1092"/>
      <c r="PPV1092"/>
      <c r="PPY1092"/>
      <c r="PPZ1092"/>
      <c r="PQC1092"/>
      <c r="PQD1092"/>
      <c r="PQG1092"/>
      <c r="PQH1092"/>
      <c r="PQK1092"/>
      <c r="PQL1092"/>
      <c r="PQO1092"/>
      <c r="PQP1092"/>
      <c r="PQS1092"/>
      <c r="PQT1092"/>
      <c r="PQW1092"/>
      <c r="PQX1092"/>
      <c r="PRA1092"/>
      <c r="PRB1092"/>
      <c r="PRE1092"/>
      <c r="PRF1092"/>
      <c r="PRI1092"/>
      <c r="PRJ1092"/>
      <c r="PRM1092"/>
      <c r="PRN1092"/>
      <c r="PRQ1092"/>
      <c r="PRR1092"/>
      <c r="PRU1092"/>
      <c r="PRV1092"/>
      <c r="PRY1092"/>
      <c r="PRZ1092"/>
      <c r="PSC1092"/>
      <c r="PSD1092"/>
      <c r="PSG1092"/>
      <c r="PSH1092"/>
      <c r="PSK1092"/>
      <c r="PSL1092"/>
      <c r="PSO1092"/>
      <c r="PSP1092"/>
      <c r="PSS1092"/>
      <c r="PST1092"/>
      <c r="PSW1092"/>
      <c r="PSX1092"/>
      <c r="PTA1092"/>
      <c r="PTB1092"/>
      <c r="PTE1092"/>
      <c r="PTF1092"/>
      <c r="PTI1092"/>
      <c r="PTJ1092"/>
      <c r="PTM1092"/>
      <c r="PTN1092"/>
      <c r="PTQ1092"/>
      <c r="PTR1092"/>
      <c r="PTU1092"/>
      <c r="PTV1092"/>
      <c r="PTY1092"/>
      <c r="PTZ1092"/>
      <c r="PUC1092"/>
      <c r="PUD1092"/>
      <c r="PUG1092"/>
      <c r="PUH1092"/>
      <c r="PUK1092"/>
      <c r="PUL1092"/>
      <c r="PUO1092"/>
      <c r="PUP1092"/>
      <c r="PUS1092"/>
      <c r="PUT1092"/>
      <c r="PUW1092"/>
      <c r="PUX1092"/>
      <c r="PVA1092"/>
      <c r="PVB1092"/>
      <c r="PVE1092"/>
      <c r="PVF1092"/>
      <c r="PVI1092"/>
      <c r="PVJ1092"/>
      <c r="PVM1092"/>
      <c r="PVN1092"/>
      <c r="PVQ1092"/>
      <c r="PVR1092"/>
      <c r="PVU1092"/>
      <c r="PVV1092"/>
      <c r="PVY1092"/>
      <c r="PVZ1092"/>
      <c r="PWC1092"/>
      <c r="PWD1092"/>
      <c r="PWG1092"/>
      <c r="PWH1092"/>
      <c r="PWK1092"/>
      <c r="PWL1092"/>
      <c r="PWO1092"/>
      <c r="PWP1092"/>
      <c r="PWS1092"/>
      <c r="PWT1092"/>
      <c r="PWW1092"/>
      <c r="PWX1092"/>
      <c r="PXA1092"/>
      <c r="PXB1092"/>
      <c r="PXE1092"/>
      <c r="PXF1092"/>
      <c r="PXI1092"/>
      <c r="PXJ1092"/>
      <c r="PXM1092"/>
      <c r="PXN1092"/>
      <c r="PXQ1092"/>
      <c r="PXR1092"/>
      <c r="PXU1092"/>
      <c r="PXV1092"/>
      <c r="PXY1092"/>
      <c r="PXZ1092"/>
      <c r="PYC1092"/>
      <c r="PYD1092"/>
      <c r="PYG1092"/>
      <c r="PYH1092"/>
      <c r="PYK1092"/>
      <c r="PYL1092"/>
      <c r="PYO1092"/>
      <c r="PYP1092"/>
      <c r="PYS1092"/>
      <c r="PYT1092"/>
      <c r="PYW1092"/>
      <c r="PYX1092"/>
      <c r="PZA1092"/>
      <c r="PZB1092"/>
      <c r="PZE1092"/>
      <c r="PZF1092"/>
      <c r="PZI1092"/>
      <c r="PZJ1092"/>
      <c r="PZM1092"/>
      <c r="PZN1092"/>
      <c r="PZQ1092"/>
      <c r="PZR1092"/>
      <c r="PZU1092"/>
      <c r="PZV1092"/>
      <c r="PZY1092"/>
      <c r="PZZ1092"/>
      <c r="QAC1092"/>
      <c r="QAD1092"/>
      <c r="QAG1092"/>
      <c r="QAH1092"/>
      <c r="QAK1092"/>
      <c r="QAL1092"/>
      <c r="QAO1092"/>
      <c r="QAP1092"/>
      <c r="QAS1092"/>
      <c r="QAT1092"/>
      <c r="QAW1092"/>
      <c r="QAX1092"/>
      <c r="QBA1092"/>
      <c r="QBB1092"/>
      <c r="QBE1092"/>
      <c r="QBF1092"/>
      <c r="QBI1092"/>
      <c r="QBJ1092"/>
      <c r="QBM1092"/>
      <c r="QBN1092"/>
      <c r="QBQ1092"/>
      <c r="QBR1092"/>
      <c r="QBU1092"/>
      <c r="QBV1092"/>
      <c r="QBY1092"/>
      <c r="QBZ1092"/>
      <c r="QCC1092"/>
      <c r="QCD1092"/>
      <c r="QCG1092"/>
      <c r="QCH1092"/>
      <c r="QCK1092"/>
      <c r="QCL1092"/>
      <c r="QCO1092"/>
      <c r="QCP1092"/>
      <c r="QCS1092"/>
      <c r="QCT1092"/>
      <c r="QCW1092"/>
      <c r="QCX1092"/>
      <c r="QDA1092"/>
      <c r="QDB1092"/>
      <c r="QDE1092"/>
      <c r="QDF1092"/>
      <c r="QDI1092"/>
      <c r="QDJ1092"/>
      <c r="QDM1092"/>
      <c r="QDN1092"/>
      <c r="QDQ1092"/>
      <c r="QDR1092"/>
      <c r="QDU1092"/>
      <c r="QDV1092"/>
      <c r="QDY1092"/>
      <c r="QDZ1092"/>
      <c r="QEC1092"/>
      <c r="QED1092"/>
      <c r="QEG1092"/>
      <c r="QEH1092"/>
      <c r="QEK1092"/>
      <c r="QEL1092"/>
      <c r="QEO1092"/>
      <c r="QEP1092"/>
      <c r="QES1092"/>
      <c r="QET1092"/>
      <c r="QEW1092"/>
      <c r="QEX1092"/>
      <c r="QFA1092"/>
      <c r="QFB1092"/>
      <c r="QFE1092"/>
      <c r="QFF1092"/>
      <c r="QFI1092"/>
      <c r="QFJ1092"/>
      <c r="QFM1092"/>
      <c r="QFN1092"/>
      <c r="QFQ1092"/>
      <c r="QFR1092"/>
      <c r="QFU1092"/>
      <c r="QFV1092"/>
      <c r="QFY1092"/>
      <c r="QFZ1092"/>
      <c r="QGC1092"/>
      <c r="QGD1092"/>
      <c r="QGG1092"/>
      <c r="QGH1092"/>
      <c r="QGK1092"/>
      <c r="QGL1092"/>
      <c r="QGO1092"/>
      <c r="QGP1092"/>
      <c r="QGS1092"/>
      <c r="QGT1092"/>
      <c r="QGW1092"/>
      <c r="QGX1092"/>
      <c r="QHA1092"/>
      <c r="QHB1092"/>
      <c r="QHE1092"/>
      <c r="QHF1092"/>
      <c r="QHI1092"/>
      <c r="QHJ1092"/>
      <c r="QHM1092"/>
      <c r="QHN1092"/>
      <c r="QHQ1092"/>
      <c r="QHR1092"/>
      <c r="QHU1092"/>
      <c r="QHV1092"/>
      <c r="QHY1092"/>
      <c r="QHZ1092"/>
      <c r="QIC1092"/>
      <c r="QID1092"/>
      <c r="QIG1092"/>
      <c r="QIH1092"/>
      <c r="QIK1092"/>
      <c r="QIL1092"/>
      <c r="QIO1092"/>
      <c r="QIP1092"/>
      <c r="QIS1092"/>
      <c r="QIT1092"/>
      <c r="QIW1092"/>
      <c r="QIX1092"/>
      <c r="QJA1092"/>
      <c r="QJB1092"/>
      <c r="QJE1092"/>
      <c r="QJF1092"/>
      <c r="QJI1092"/>
      <c r="QJJ1092"/>
      <c r="QJM1092"/>
      <c r="QJN1092"/>
      <c r="QJQ1092"/>
      <c r="QJR1092"/>
      <c r="QJU1092"/>
      <c r="QJV1092"/>
      <c r="QJY1092"/>
      <c r="QJZ1092"/>
      <c r="QKC1092"/>
      <c r="QKD1092"/>
      <c r="QKG1092"/>
      <c r="QKH1092"/>
      <c r="QKK1092"/>
      <c r="QKL1092"/>
      <c r="QKO1092"/>
      <c r="QKP1092"/>
      <c r="QKS1092"/>
      <c r="QKT1092"/>
      <c r="QKW1092"/>
      <c r="QKX1092"/>
      <c r="QLA1092"/>
      <c r="QLB1092"/>
      <c r="QLE1092"/>
      <c r="QLF1092"/>
      <c r="QLI1092"/>
      <c r="QLJ1092"/>
      <c r="QLM1092"/>
      <c r="QLN1092"/>
      <c r="QLQ1092"/>
      <c r="QLR1092"/>
      <c r="QLU1092"/>
      <c r="QLV1092"/>
      <c r="QLY1092"/>
      <c r="QLZ1092"/>
      <c r="QMC1092"/>
      <c r="QMD1092"/>
      <c r="QMG1092"/>
      <c r="QMH1092"/>
      <c r="QMK1092"/>
      <c r="QML1092"/>
      <c r="QMO1092"/>
      <c r="QMP1092"/>
      <c r="QMS1092"/>
      <c r="QMT1092"/>
      <c r="QMW1092"/>
      <c r="QMX1092"/>
      <c r="QNA1092"/>
      <c r="QNB1092"/>
      <c r="QNE1092"/>
      <c r="QNF1092"/>
      <c r="QNI1092"/>
      <c r="QNJ1092"/>
      <c r="QNM1092"/>
      <c r="QNN1092"/>
      <c r="QNQ1092"/>
      <c r="QNR1092"/>
      <c r="QNU1092"/>
      <c r="QNV1092"/>
      <c r="QNY1092"/>
      <c r="QNZ1092"/>
      <c r="QOC1092"/>
      <c r="QOD1092"/>
      <c r="QOG1092"/>
      <c r="QOH1092"/>
      <c r="QOK1092"/>
      <c r="QOL1092"/>
      <c r="QOO1092"/>
      <c r="QOP1092"/>
      <c r="QOS1092"/>
      <c r="QOT1092"/>
      <c r="QOW1092"/>
      <c r="QOX1092"/>
      <c r="QPA1092"/>
      <c r="QPB1092"/>
      <c r="QPE1092"/>
      <c r="QPF1092"/>
      <c r="QPI1092"/>
      <c r="QPJ1092"/>
      <c r="QPM1092"/>
      <c r="QPN1092"/>
      <c r="QPQ1092"/>
      <c r="QPR1092"/>
      <c r="QPU1092"/>
      <c r="QPV1092"/>
      <c r="QPY1092"/>
      <c r="QPZ1092"/>
      <c r="QQC1092"/>
      <c r="QQD1092"/>
      <c r="QQG1092"/>
      <c r="QQH1092"/>
      <c r="QQK1092"/>
      <c r="QQL1092"/>
      <c r="QQO1092"/>
      <c r="QQP1092"/>
      <c r="QQS1092"/>
      <c r="QQT1092"/>
      <c r="QQW1092"/>
      <c r="QQX1092"/>
      <c r="QRA1092"/>
      <c r="QRB1092"/>
      <c r="QRE1092"/>
      <c r="QRF1092"/>
      <c r="QRI1092"/>
      <c r="QRJ1092"/>
      <c r="QRM1092"/>
      <c r="QRN1092"/>
      <c r="QRQ1092"/>
      <c r="QRR1092"/>
      <c r="QRU1092"/>
      <c r="QRV1092"/>
      <c r="QRY1092"/>
      <c r="QRZ1092"/>
      <c r="QSC1092"/>
      <c r="QSD1092"/>
      <c r="QSG1092"/>
      <c r="QSH1092"/>
      <c r="QSK1092"/>
      <c r="QSL1092"/>
      <c r="QSO1092"/>
      <c r="QSP1092"/>
      <c r="QSS1092"/>
      <c r="QST1092"/>
      <c r="QSW1092"/>
      <c r="QSX1092"/>
      <c r="QTA1092"/>
      <c r="QTB1092"/>
      <c r="QTE1092"/>
      <c r="QTF1092"/>
      <c r="QTI1092"/>
      <c r="QTJ1092"/>
      <c r="QTM1092"/>
      <c r="QTN1092"/>
      <c r="QTQ1092"/>
      <c r="QTR1092"/>
      <c r="QTU1092"/>
      <c r="QTV1092"/>
      <c r="QTY1092"/>
      <c r="QTZ1092"/>
      <c r="QUC1092"/>
      <c r="QUD1092"/>
      <c r="QUG1092"/>
      <c r="QUH1092"/>
      <c r="QUK1092"/>
      <c r="QUL1092"/>
      <c r="QUO1092"/>
      <c r="QUP1092"/>
      <c r="QUS1092"/>
      <c r="QUT1092"/>
      <c r="QUW1092"/>
      <c r="QUX1092"/>
      <c r="QVA1092"/>
      <c r="QVB1092"/>
      <c r="QVE1092"/>
      <c r="QVF1092"/>
      <c r="QVI1092"/>
      <c r="QVJ1092"/>
      <c r="QVM1092"/>
      <c r="QVN1092"/>
      <c r="QVQ1092"/>
      <c r="QVR1092"/>
      <c r="QVU1092"/>
      <c r="QVV1092"/>
      <c r="QVY1092"/>
      <c r="QVZ1092"/>
      <c r="QWC1092"/>
      <c r="QWD1092"/>
      <c r="QWG1092"/>
      <c r="QWH1092"/>
      <c r="QWK1092"/>
      <c r="QWL1092"/>
      <c r="QWO1092"/>
      <c r="QWP1092"/>
      <c r="QWS1092"/>
      <c r="QWT1092"/>
      <c r="QWW1092"/>
      <c r="QWX1092"/>
      <c r="QXA1092"/>
      <c r="QXB1092"/>
      <c r="QXE1092"/>
      <c r="QXF1092"/>
      <c r="QXI1092"/>
      <c r="QXJ1092"/>
      <c r="QXM1092"/>
      <c r="QXN1092"/>
      <c r="QXQ1092"/>
      <c r="QXR1092"/>
      <c r="QXU1092"/>
      <c r="QXV1092"/>
      <c r="QXY1092"/>
      <c r="QXZ1092"/>
      <c r="QYC1092"/>
      <c r="QYD1092"/>
      <c r="QYG1092"/>
      <c r="QYH1092"/>
      <c r="QYK1092"/>
      <c r="QYL1092"/>
      <c r="QYO1092"/>
      <c r="QYP1092"/>
      <c r="QYS1092"/>
      <c r="QYT1092"/>
      <c r="QYW1092"/>
      <c r="QYX1092"/>
      <c r="QZA1092"/>
      <c r="QZB1092"/>
      <c r="QZE1092"/>
      <c r="QZF1092"/>
      <c r="QZI1092"/>
      <c r="QZJ1092"/>
      <c r="QZM1092"/>
      <c r="QZN1092"/>
      <c r="QZQ1092"/>
      <c r="QZR1092"/>
      <c r="QZU1092"/>
      <c r="QZV1092"/>
      <c r="QZY1092"/>
      <c r="QZZ1092"/>
      <c r="RAC1092"/>
      <c r="RAD1092"/>
      <c r="RAG1092"/>
      <c r="RAH1092"/>
      <c r="RAK1092"/>
      <c r="RAL1092"/>
      <c r="RAO1092"/>
      <c r="RAP1092"/>
      <c r="RAS1092"/>
      <c r="RAT1092"/>
      <c r="RAW1092"/>
      <c r="RAX1092"/>
      <c r="RBA1092"/>
      <c r="RBB1092"/>
      <c r="RBE1092"/>
      <c r="RBF1092"/>
      <c r="RBI1092"/>
      <c r="RBJ1092"/>
      <c r="RBM1092"/>
      <c r="RBN1092"/>
      <c r="RBQ1092"/>
      <c r="RBR1092"/>
      <c r="RBU1092"/>
      <c r="RBV1092"/>
      <c r="RBY1092"/>
      <c r="RBZ1092"/>
      <c r="RCC1092"/>
      <c r="RCD1092"/>
      <c r="RCG1092"/>
      <c r="RCH1092"/>
      <c r="RCK1092"/>
      <c r="RCL1092"/>
      <c r="RCO1092"/>
      <c r="RCP1092"/>
      <c r="RCS1092"/>
      <c r="RCT1092"/>
      <c r="RCW1092"/>
      <c r="RCX1092"/>
      <c r="RDA1092"/>
      <c r="RDB1092"/>
      <c r="RDE1092"/>
      <c r="RDF1092"/>
      <c r="RDI1092"/>
      <c r="RDJ1092"/>
      <c r="RDM1092"/>
      <c r="RDN1092"/>
      <c r="RDQ1092"/>
      <c r="RDR1092"/>
      <c r="RDU1092"/>
      <c r="RDV1092"/>
      <c r="RDY1092"/>
      <c r="RDZ1092"/>
      <c r="REC1092"/>
      <c r="RED1092"/>
      <c r="REG1092"/>
      <c r="REH1092"/>
      <c r="REK1092"/>
      <c r="REL1092"/>
      <c r="REO1092"/>
      <c r="REP1092"/>
      <c r="RES1092"/>
      <c r="RET1092"/>
      <c r="REW1092"/>
      <c r="REX1092"/>
      <c r="RFA1092"/>
      <c r="RFB1092"/>
      <c r="RFE1092"/>
      <c r="RFF1092"/>
      <c r="RFI1092"/>
      <c r="RFJ1092"/>
      <c r="RFM1092"/>
      <c r="RFN1092"/>
      <c r="RFQ1092"/>
      <c r="RFR1092"/>
      <c r="RFU1092"/>
      <c r="RFV1092"/>
      <c r="RFY1092"/>
      <c r="RFZ1092"/>
      <c r="RGC1092"/>
      <c r="RGD1092"/>
      <c r="RGG1092"/>
      <c r="RGH1092"/>
      <c r="RGK1092"/>
      <c r="RGL1092"/>
      <c r="RGO1092"/>
      <c r="RGP1092"/>
      <c r="RGS1092"/>
      <c r="RGT1092"/>
      <c r="RGW1092"/>
      <c r="RGX1092"/>
      <c r="RHA1092"/>
      <c r="RHB1092"/>
      <c r="RHE1092"/>
      <c r="RHF1092"/>
      <c r="RHI1092"/>
      <c r="RHJ1092"/>
      <c r="RHM1092"/>
      <c r="RHN1092"/>
      <c r="RHQ1092"/>
      <c r="RHR1092"/>
      <c r="RHU1092"/>
      <c r="RHV1092"/>
      <c r="RHY1092"/>
      <c r="RHZ1092"/>
      <c r="RIC1092"/>
      <c r="RID1092"/>
      <c r="RIG1092"/>
      <c r="RIH1092"/>
      <c r="RIK1092"/>
      <c r="RIL1092"/>
      <c r="RIO1092"/>
      <c r="RIP1092"/>
      <c r="RIS1092"/>
      <c r="RIT1092"/>
      <c r="RIW1092"/>
      <c r="RIX1092"/>
      <c r="RJA1092"/>
      <c r="RJB1092"/>
      <c r="RJE1092"/>
      <c r="RJF1092"/>
      <c r="RJI1092"/>
      <c r="RJJ1092"/>
      <c r="RJM1092"/>
      <c r="RJN1092"/>
      <c r="RJQ1092"/>
      <c r="RJR1092"/>
      <c r="RJU1092"/>
      <c r="RJV1092"/>
      <c r="RJY1092"/>
      <c r="RJZ1092"/>
      <c r="RKC1092"/>
      <c r="RKD1092"/>
      <c r="RKG1092"/>
      <c r="RKH1092"/>
      <c r="RKK1092"/>
      <c r="RKL1092"/>
      <c r="RKO1092"/>
      <c r="RKP1092"/>
      <c r="RKS1092"/>
      <c r="RKT1092"/>
      <c r="RKW1092"/>
      <c r="RKX1092"/>
      <c r="RLA1092"/>
      <c r="RLB1092"/>
      <c r="RLE1092"/>
      <c r="RLF1092"/>
      <c r="RLI1092"/>
      <c r="RLJ1092"/>
      <c r="RLM1092"/>
      <c r="RLN1092"/>
      <c r="RLQ1092"/>
      <c r="RLR1092"/>
      <c r="RLU1092"/>
      <c r="RLV1092"/>
      <c r="RLY1092"/>
      <c r="RLZ1092"/>
      <c r="RMC1092"/>
      <c r="RMD1092"/>
      <c r="RMG1092"/>
      <c r="RMH1092"/>
      <c r="RMK1092"/>
      <c r="RML1092"/>
      <c r="RMO1092"/>
      <c r="RMP1092"/>
      <c r="RMS1092"/>
      <c r="RMT1092"/>
      <c r="RMW1092"/>
      <c r="RMX1092"/>
      <c r="RNA1092"/>
      <c r="RNB1092"/>
      <c r="RNE1092"/>
      <c r="RNF1092"/>
      <c r="RNI1092"/>
      <c r="RNJ1092"/>
      <c r="RNM1092"/>
      <c r="RNN1092"/>
      <c r="RNQ1092"/>
      <c r="RNR1092"/>
      <c r="RNU1092"/>
      <c r="RNV1092"/>
      <c r="RNY1092"/>
      <c r="RNZ1092"/>
      <c r="ROC1092"/>
      <c r="ROD1092"/>
      <c r="ROG1092"/>
      <c r="ROH1092"/>
      <c r="ROK1092"/>
      <c r="ROL1092"/>
      <c r="ROO1092"/>
      <c r="ROP1092"/>
      <c r="ROS1092"/>
      <c r="ROT1092"/>
      <c r="ROW1092"/>
      <c r="ROX1092"/>
      <c r="RPA1092"/>
      <c r="RPB1092"/>
      <c r="RPE1092"/>
      <c r="RPF1092"/>
      <c r="RPI1092"/>
      <c r="RPJ1092"/>
      <c r="RPM1092"/>
      <c r="RPN1092"/>
      <c r="RPQ1092"/>
      <c r="RPR1092"/>
      <c r="RPU1092"/>
      <c r="RPV1092"/>
      <c r="RPY1092"/>
      <c r="RPZ1092"/>
      <c r="RQC1092"/>
      <c r="RQD1092"/>
      <c r="RQG1092"/>
      <c r="RQH1092"/>
      <c r="RQK1092"/>
      <c r="RQL1092"/>
      <c r="RQO1092"/>
      <c r="RQP1092"/>
      <c r="RQS1092"/>
      <c r="RQT1092"/>
      <c r="RQW1092"/>
      <c r="RQX1092"/>
      <c r="RRA1092"/>
      <c r="RRB1092"/>
      <c r="RRE1092"/>
      <c r="RRF1092"/>
      <c r="RRI1092"/>
      <c r="RRJ1092"/>
      <c r="RRM1092"/>
      <c r="RRN1092"/>
      <c r="RRQ1092"/>
      <c r="RRR1092"/>
      <c r="RRU1092"/>
      <c r="RRV1092"/>
      <c r="RRY1092"/>
      <c r="RRZ1092"/>
      <c r="RSC1092"/>
      <c r="RSD1092"/>
      <c r="RSG1092"/>
      <c r="RSH1092"/>
      <c r="RSK1092"/>
      <c r="RSL1092"/>
      <c r="RSO1092"/>
      <c r="RSP1092"/>
      <c r="RSS1092"/>
      <c r="RST1092"/>
      <c r="RSW1092"/>
      <c r="RSX1092"/>
      <c r="RTA1092"/>
      <c r="RTB1092"/>
      <c r="RTE1092"/>
      <c r="RTF1092"/>
      <c r="RTI1092"/>
      <c r="RTJ1092"/>
      <c r="RTM1092"/>
      <c r="RTN1092"/>
      <c r="RTQ1092"/>
      <c r="RTR1092"/>
      <c r="RTU1092"/>
      <c r="RTV1092"/>
      <c r="RTY1092"/>
      <c r="RTZ1092"/>
      <c r="RUC1092"/>
      <c r="RUD1092"/>
      <c r="RUG1092"/>
      <c r="RUH1092"/>
      <c r="RUK1092"/>
      <c r="RUL1092"/>
      <c r="RUO1092"/>
      <c r="RUP1092"/>
      <c r="RUS1092"/>
      <c r="RUT1092"/>
      <c r="RUW1092"/>
      <c r="RUX1092"/>
      <c r="RVA1092"/>
      <c r="RVB1092"/>
      <c r="RVE1092"/>
      <c r="RVF1092"/>
      <c r="RVI1092"/>
      <c r="RVJ1092"/>
      <c r="RVM1092"/>
      <c r="RVN1092"/>
      <c r="RVQ1092"/>
      <c r="RVR1092"/>
      <c r="RVU1092"/>
      <c r="RVV1092"/>
      <c r="RVY1092"/>
      <c r="RVZ1092"/>
      <c r="RWC1092"/>
      <c r="RWD1092"/>
      <c r="RWG1092"/>
      <c r="RWH1092"/>
      <c r="RWK1092"/>
      <c r="RWL1092"/>
      <c r="RWO1092"/>
      <c r="RWP1092"/>
      <c r="RWS1092"/>
      <c r="RWT1092"/>
      <c r="RWW1092"/>
      <c r="RWX1092"/>
      <c r="RXA1092"/>
      <c r="RXB1092"/>
      <c r="RXE1092"/>
      <c r="RXF1092"/>
      <c r="RXI1092"/>
      <c r="RXJ1092"/>
      <c r="RXM1092"/>
      <c r="RXN1092"/>
      <c r="RXQ1092"/>
      <c r="RXR1092"/>
      <c r="RXU1092"/>
      <c r="RXV1092"/>
      <c r="RXY1092"/>
      <c r="RXZ1092"/>
      <c r="RYC1092"/>
      <c r="RYD1092"/>
      <c r="RYG1092"/>
      <c r="RYH1092"/>
      <c r="RYK1092"/>
      <c r="RYL1092"/>
      <c r="RYO1092"/>
      <c r="RYP1092"/>
      <c r="RYS1092"/>
      <c r="RYT1092"/>
      <c r="RYW1092"/>
      <c r="RYX1092"/>
      <c r="RZA1092"/>
      <c r="RZB1092"/>
      <c r="RZE1092"/>
      <c r="RZF1092"/>
      <c r="RZI1092"/>
      <c r="RZJ1092"/>
      <c r="RZM1092"/>
      <c r="RZN1092"/>
      <c r="RZQ1092"/>
      <c r="RZR1092"/>
      <c r="RZU1092"/>
      <c r="RZV1092"/>
      <c r="RZY1092"/>
      <c r="RZZ1092"/>
      <c r="SAC1092"/>
      <c r="SAD1092"/>
      <c r="SAG1092"/>
      <c r="SAH1092"/>
      <c r="SAK1092"/>
      <c r="SAL1092"/>
      <c r="SAO1092"/>
      <c r="SAP1092"/>
      <c r="SAS1092"/>
      <c r="SAT1092"/>
      <c r="SAW1092"/>
      <c r="SAX1092"/>
      <c r="SBA1092"/>
      <c r="SBB1092"/>
      <c r="SBE1092"/>
      <c r="SBF1092"/>
      <c r="SBI1092"/>
      <c r="SBJ1092"/>
      <c r="SBM1092"/>
      <c r="SBN1092"/>
      <c r="SBQ1092"/>
      <c r="SBR1092"/>
      <c r="SBU1092"/>
      <c r="SBV1092"/>
      <c r="SBY1092"/>
      <c r="SBZ1092"/>
      <c r="SCC1092"/>
      <c r="SCD1092"/>
      <c r="SCG1092"/>
      <c r="SCH1092"/>
      <c r="SCK1092"/>
      <c r="SCL1092"/>
      <c r="SCO1092"/>
      <c r="SCP1092"/>
      <c r="SCS1092"/>
      <c r="SCT1092"/>
      <c r="SCW1092"/>
      <c r="SCX1092"/>
      <c r="SDA1092"/>
      <c r="SDB1092"/>
      <c r="SDE1092"/>
      <c r="SDF1092"/>
      <c r="SDI1092"/>
      <c r="SDJ1092"/>
      <c r="SDM1092"/>
      <c r="SDN1092"/>
      <c r="SDQ1092"/>
      <c r="SDR1092"/>
      <c r="SDU1092"/>
      <c r="SDV1092"/>
      <c r="SDY1092"/>
      <c r="SDZ1092"/>
      <c r="SEC1092"/>
      <c r="SED1092"/>
      <c r="SEG1092"/>
      <c r="SEH1092"/>
      <c r="SEK1092"/>
      <c r="SEL1092"/>
      <c r="SEO1092"/>
      <c r="SEP1092"/>
      <c r="SES1092"/>
      <c r="SET1092"/>
      <c r="SEW1092"/>
      <c r="SEX1092"/>
      <c r="SFA1092"/>
      <c r="SFB1092"/>
      <c r="SFE1092"/>
      <c r="SFF1092"/>
      <c r="SFI1092"/>
      <c r="SFJ1092"/>
      <c r="SFM1092"/>
      <c r="SFN1092"/>
      <c r="SFQ1092"/>
      <c r="SFR1092"/>
      <c r="SFU1092"/>
      <c r="SFV1092"/>
      <c r="SFY1092"/>
      <c r="SFZ1092"/>
      <c r="SGC1092"/>
      <c r="SGD1092"/>
      <c r="SGG1092"/>
      <c r="SGH1092"/>
      <c r="SGK1092"/>
      <c r="SGL1092"/>
      <c r="SGO1092"/>
      <c r="SGP1092"/>
      <c r="SGS1092"/>
      <c r="SGT1092"/>
      <c r="SGW1092"/>
      <c r="SGX1092"/>
      <c r="SHA1092"/>
      <c r="SHB1092"/>
      <c r="SHE1092"/>
      <c r="SHF1092"/>
      <c r="SHI1092"/>
      <c r="SHJ1092"/>
      <c r="SHM1092"/>
      <c r="SHN1092"/>
      <c r="SHQ1092"/>
      <c r="SHR1092"/>
      <c r="SHU1092"/>
      <c r="SHV1092"/>
      <c r="SHY1092"/>
      <c r="SHZ1092"/>
      <c r="SIC1092"/>
      <c r="SID1092"/>
      <c r="SIG1092"/>
      <c r="SIH1092"/>
      <c r="SIK1092"/>
      <c r="SIL1092"/>
      <c r="SIO1092"/>
      <c r="SIP1092"/>
      <c r="SIS1092"/>
      <c r="SIT1092"/>
      <c r="SIW1092"/>
      <c r="SIX1092"/>
      <c r="SJA1092"/>
      <c r="SJB1092"/>
      <c r="SJE1092"/>
      <c r="SJF1092"/>
      <c r="SJI1092"/>
      <c r="SJJ1092"/>
      <c r="SJM1092"/>
      <c r="SJN1092"/>
      <c r="SJQ1092"/>
      <c r="SJR1092"/>
      <c r="SJU1092"/>
      <c r="SJV1092"/>
      <c r="SJY1092"/>
      <c r="SJZ1092"/>
      <c r="SKC1092"/>
      <c r="SKD1092"/>
      <c r="SKG1092"/>
      <c r="SKH1092"/>
      <c r="SKK1092"/>
      <c r="SKL1092"/>
      <c r="SKO1092"/>
      <c r="SKP1092"/>
      <c r="SKS1092"/>
      <c r="SKT1092"/>
      <c r="SKW1092"/>
      <c r="SKX1092"/>
      <c r="SLA1092"/>
      <c r="SLB1092"/>
      <c r="SLE1092"/>
      <c r="SLF1092"/>
      <c r="SLI1092"/>
      <c r="SLJ1092"/>
      <c r="SLM1092"/>
      <c r="SLN1092"/>
      <c r="SLQ1092"/>
      <c r="SLR1092"/>
      <c r="SLU1092"/>
      <c r="SLV1092"/>
      <c r="SLY1092"/>
      <c r="SLZ1092"/>
      <c r="SMC1092"/>
      <c r="SMD1092"/>
      <c r="SMG1092"/>
      <c r="SMH1092"/>
      <c r="SMK1092"/>
      <c r="SML1092"/>
      <c r="SMO1092"/>
      <c r="SMP1092"/>
      <c r="SMS1092"/>
      <c r="SMT1092"/>
      <c r="SMW1092"/>
      <c r="SMX1092"/>
      <c r="SNA1092"/>
      <c r="SNB1092"/>
      <c r="SNE1092"/>
      <c r="SNF1092"/>
      <c r="SNI1092"/>
      <c r="SNJ1092"/>
      <c r="SNM1092"/>
      <c r="SNN1092"/>
      <c r="SNQ1092"/>
      <c r="SNR1092"/>
      <c r="SNU1092"/>
      <c r="SNV1092"/>
      <c r="SNY1092"/>
      <c r="SNZ1092"/>
      <c r="SOC1092"/>
      <c r="SOD1092"/>
      <c r="SOG1092"/>
      <c r="SOH1092"/>
      <c r="SOK1092"/>
      <c r="SOL1092"/>
      <c r="SOO1092"/>
      <c r="SOP1092"/>
      <c r="SOS1092"/>
      <c r="SOT1092"/>
      <c r="SOW1092"/>
      <c r="SOX1092"/>
      <c r="SPA1092"/>
      <c r="SPB1092"/>
      <c r="SPE1092"/>
      <c r="SPF1092"/>
      <c r="SPI1092"/>
      <c r="SPJ1092"/>
      <c r="SPM1092"/>
      <c r="SPN1092"/>
      <c r="SPQ1092"/>
      <c r="SPR1092"/>
      <c r="SPU1092"/>
      <c r="SPV1092"/>
      <c r="SPY1092"/>
      <c r="SPZ1092"/>
      <c r="SQC1092"/>
      <c r="SQD1092"/>
      <c r="SQG1092"/>
      <c r="SQH1092"/>
      <c r="SQK1092"/>
      <c r="SQL1092"/>
      <c r="SQO1092"/>
      <c r="SQP1092"/>
      <c r="SQS1092"/>
      <c r="SQT1092"/>
      <c r="SQW1092"/>
      <c r="SQX1092"/>
      <c r="SRA1092"/>
      <c r="SRB1092"/>
      <c r="SRE1092"/>
      <c r="SRF1092"/>
      <c r="SRI1092"/>
      <c r="SRJ1092"/>
      <c r="SRM1092"/>
      <c r="SRN1092"/>
      <c r="SRQ1092"/>
      <c r="SRR1092"/>
      <c r="SRU1092"/>
      <c r="SRV1092"/>
      <c r="SRY1092"/>
      <c r="SRZ1092"/>
      <c r="SSC1092"/>
      <c r="SSD1092"/>
      <c r="SSG1092"/>
      <c r="SSH1092"/>
      <c r="SSK1092"/>
      <c r="SSL1092"/>
      <c r="SSO1092"/>
      <c r="SSP1092"/>
      <c r="SSS1092"/>
      <c r="SST1092"/>
      <c r="SSW1092"/>
      <c r="SSX1092"/>
      <c r="STA1092"/>
      <c r="STB1092"/>
      <c r="STE1092"/>
      <c r="STF1092"/>
      <c r="STI1092"/>
      <c r="STJ1092"/>
      <c r="STM1092"/>
      <c r="STN1092"/>
      <c r="STQ1092"/>
      <c r="STR1092"/>
      <c r="STU1092"/>
      <c r="STV1092"/>
      <c r="STY1092"/>
      <c r="STZ1092"/>
      <c r="SUC1092"/>
      <c r="SUD1092"/>
      <c r="SUG1092"/>
      <c r="SUH1092"/>
      <c r="SUK1092"/>
      <c r="SUL1092"/>
      <c r="SUO1092"/>
      <c r="SUP1092"/>
      <c r="SUS1092"/>
      <c r="SUT1092"/>
      <c r="SUW1092"/>
      <c r="SUX1092"/>
      <c r="SVA1092"/>
      <c r="SVB1092"/>
      <c r="SVE1092"/>
      <c r="SVF1092"/>
      <c r="SVI1092"/>
      <c r="SVJ1092"/>
      <c r="SVM1092"/>
      <c r="SVN1092"/>
      <c r="SVQ1092"/>
      <c r="SVR1092"/>
      <c r="SVU1092"/>
      <c r="SVV1092"/>
      <c r="SVY1092"/>
      <c r="SVZ1092"/>
      <c r="SWC1092"/>
      <c r="SWD1092"/>
      <c r="SWG1092"/>
      <c r="SWH1092"/>
      <c r="SWK1092"/>
      <c r="SWL1092"/>
      <c r="SWO1092"/>
      <c r="SWP1092"/>
      <c r="SWS1092"/>
      <c r="SWT1092"/>
      <c r="SWW1092"/>
      <c r="SWX1092"/>
      <c r="SXA1092"/>
      <c r="SXB1092"/>
      <c r="SXE1092"/>
      <c r="SXF1092"/>
      <c r="SXI1092"/>
      <c r="SXJ1092"/>
      <c r="SXM1092"/>
      <c r="SXN1092"/>
      <c r="SXQ1092"/>
      <c r="SXR1092"/>
      <c r="SXU1092"/>
      <c r="SXV1092"/>
      <c r="SXY1092"/>
      <c r="SXZ1092"/>
      <c r="SYC1092"/>
      <c r="SYD1092"/>
      <c r="SYG1092"/>
      <c r="SYH1092"/>
      <c r="SYK1092"/>
      <c r="SYL1092"/>
      <c r="SYO1092"/>
      <c r="SYP1092"/>
      <c r="SYS1092"/>
      <c r="SYT1092"/>
      <c r="SYW1092"/>
      <c r="SYX1092"/>
      <c r="SZA1092"/>
      <c r="SZB1092"/>
      <c r="SZE1092"/>
      <c r="SZF1092"/>
      <c r="SZI1092"/>
      <c r="SZJ1092"/>
      <c r="SZM1092"/>
      <c r="SZN1092"/>
      <c r="SZQ1092"/>
      <c r="SZR1092"/>
      <c r="SZU1092"/>
      <c r="SZV1092"/>
      <c r="SZY1092"/>
      <c r="SZZ1092"/>
      <c r="TAC1092"/>
      <c r="TAD1092"/>
      <c r="TAG1092"/>
      <c r="TAH1092"/>
      <c r="TAK1092"/>
      <c r="TAL1092"/>
      <c r="TAO1092"/>
      <c r="TAP1092"/>
      <c r="TAS1092"/>
      <c r="TAT1092"/>
      <c r="TAW1092"/>
      <c r="TAX1092"/>
      <c r="TBA1092"/>
      <c r="TBB1092"/>
      <c r="TBE1092"/>
      <c r="TBF1092"/>
      <c r="TBI1092"/>
      <c r="TBJ1092"/>
      <c r="TBM1092"/>
      <c r="TBN1092"/>
      <c r="TBQ1092"/>
      <c r="TBR1092"/>
      <c r="TBU1092"/>
      <c r="TBV1092"/>
      <c r="TBY1092"/>
      <c r="TBZ1092"/>
      <c r="TCC1092"/>
      <c r="TCD1092"/>
      <c r="TCG1092"/>
      <c r="TCH1092"/>
      <c r="TCK1092"/>
      <c r="TCL1092"/>
      <c r="TCO1092"/>
      <c r="TCP1092"/>
      <c r="TCS1092"/>
      <c r="TCT1092"/>
      <c r="TCW1092"/>
      <c r="TCX1092"/>
      <c r="TDA1092"/>
      <c r="TDB1092"/>
      <c r="TDE1092"/>
      <c r="TDF1092"/>
      <c r="TDI1092"/>
      <c r="TDJ1092"/>
      <c r="TDM1092"/>
      <c r="TDN1092"/>
      <c r="TDQ1092"/>
      <c r="TDR1092"/>
      <c r="TDU1092"/>
      <c r="TDV1092"/>
      <c r="TDY1092"/>
      <c r="TDZ1092"/>
      <c r="TEC1092"/>
      <c r="TED1092"/>
      <c r="TEG1092"/>
      <c r="TEH1092"/>
      <c r="TEK1092"/>
      <c r="TEL1092"/>
      <c r="TEO1092"/>
      <c r="TEP1092"/>
      <c r="TES1092"/>
      <c r="TET1092"/>
      <c r="TEW1092"/>
      <c r="TEX1092"/>
      <c r="TFA1092"/>
      <c r="TFB1092"/>
      <c r="TFE1092"/>
      <c r="TFF1092"/>
      <c r="TFI1092"/>
      <c r="TFJ1092"/>
      <c r="TFM1092"/>
      <c r="TFN1092"/>
      <c r="TFQ1092"/>
      <c r="TFR1092"/>
      <c r="TFU1092"/>
      <c r="TFV1092"/>
      <c r="TFY1092"/>
      <c r="TFZ1092"/>
      <c r="TGC1092"/>
      <c r="TGD1092"/>
      <c r="TGG1092"/>
      <c r="TGH1092"/>
      <c r="TGK1092"/>
      <c r="TGL1092"/>
      <c r="TGO1092"/>
      <c r="TGP1092"/>
      <c r="TGS1092"/>
      <c r="TGT1092"/>
      <c r="TGW1092"/>
      <c r="TGX1092"/>
      <c r="THA1092"/>
      <c r="THB1092"/>
      <c r="THE1092"/>
      <c r="THF1092"/>
      <c r="THI1092"/>
      <c r="THJ1092"/>
      <c r="THM1092"/>
      <c r="THN1092"/>
      <c r="THQ1092"/>
      <c r="THR1092"/>
      <c r="THU1092"/>
      <c r="THV1092"/>
      <c r="THY1092"/>
      <c r="THZ1092"/>
      <c r="TIC1092"/>
      <c r="TID1092"/>
      <c r="TIG1092"/>
      <c r="TIH1092"/>
      <c r="TIK1092"/>
      <c r="TIL1092"/>
      <c r="TIO1092"/>
      <c r="TIP1092"/>
      <c r="TIS1092"/>
      <c r="TIT1092"/>
      <c r="TIW1092"/>
      <c r="TIX1092"/>
      <c r="TJA1092"/>
      <c r="TJB1092"/>
      <c r="TJE1092"/>
      <c r="TJF1092"/>
      <c r="TJI1092"/>
      <c r="TJJ1092"/>
      <c r="TJM1092"/>
      <c r="TJN1092"/>
      <c r="TJQ1092"/>
      <c r="TJR1092"/>
      <c r="TJU1092"/>
      <c r="TJV1092"/>
      <c r="TJY1092"/>
      <c r="TJZ1092"/>
      <c r="TKC1092"/>
      <c r="TKD1092"/>
      <c r="TKG1092"/>
      <c r="TKH1092"/>
      <c r="TKK1092"/>
      <c r="TKL1092"/>
      <c r="TKO1092"/>
      <c r="TKP1092"/>
      <c r="TKS1092"/>
      <c r="TKT1092"/>
      <c r="TKW1092"/>
      <c r="TKX1092"/>
      <c r="TLA1092"/>
      <c r="TLB1092"/>
      <c r="TLE1092"/>
      <c r="TLF1092"/>
      <c r="TLI1092"/>
      <c r="TLJ1092"/>
      <c r="TLM1092"/>
      <c r="TLN1092"/>
      <c r="TLQ1092"/>
      <c r="TLR1092"/>
      <c r="TLU1092"/>
      <c r="TLV1092"/>
      <c r="TLY1092"/>
      <c r="TLZ1092"/>
      <c r="TMC1092"/>
      <c r="TMD1092"/>
      <c r="TMG1092"/>
      <c r="TMH1092"/>
      <c r="TMK1092"/>
      <c r="TML1092"/>
      <c r="TMO1092"/>
      <c r="TMP1092"/>
      <c r="TMS1092"/>
      <c r="TMT1092"/>
      <c r="TMW1092"/>
      <c r="TMX1092"/>
      <c r="TNA1092"/>
      <c r="TNB1092"/>
      <c r="TNE1092"/>
      <c r="TNF1092"/>
      <c r="TNI1092"/>
      <c r="TNJ1092"/>
      <c r="TNM1092"/>
      <c r="TNN1092"/>
      <c r="TNQ1092"/>
      <c r="TNR1092"/>
      <c r="TNU1092"/>
      <c r="TNV1092"/>
      <c r="TNY1092"/>
      <c r="TNZ1092"/>
      <c r="TOC1092"/>
      <c r="TOD1092"/>
      <c r="TOG1092"/>
      <c r="TOH1092"/>
      <c r="TOK1092"/>
      <c r="TOL1092"/>
      <c r="TOO1092"/>
      <c r="TOP1092"/>
      <c r="TOS1092"/>
      <c r="TOT1092"/>
      <c r="TOW1092"/>
      <c r="TOX1092"/>
      <c r="TPA1092"/>
      <c r="TPB1092"/>
      <c r="TPE1092"/>
      <c r="TPF1092"/>
      <c r="TPI1092"/>
      <c r="TPJ1092"/>
      <c r="TPM1092"/>
      <c r="TPN1092"/>
      <c r="TPQ1092"/>
      <c r="TPR1092"/>
      <c r="TPU1092"/>
      <c r="TPV1092"/>
      <c r="TPY1092"/>
      <c r="TPZ1092"/>
      <c r="TQC1092"/>
      <c r="TQD1092"/>
      <c r="TQG1092"/>
      <c r="TQH1092"/>
      <c r="TQK1092"/>
      <c r="TQL1092"/>
      <c r="TQO1092"/>
      <c r="TQP1092"/>
      <c r="TQS1092"/>
      <c r="TQT1092"/>
      <c r="TQW1092"/>
      <c r="TQX1092"/>
      <c r="TRA1092"/>
      <c r="TRB1092"/>
      <c r="TRE1092"/>
      <c r="TRF1092"/>
      <c r="TRI1092"/>
      <c r="TRJ1092"/>
      <c r="TRM1092"/>
      <c r="TRN1092"/>
      <c r="TRQ1092"/>
      <c r="TRR1092"/>
      <c r="TRU1092"/>
      <c r="TRV1092"/>
      <c r="TRY1092"/>
      <c r="TRZ1092"/>
      <c r="TSC1092"/>
      <c r="TSD1092"/>
      <c r="TSG1092"/>
      <c r="TSH1092"/>
      <c r="TSK1092"/>
      <c r="TSL1092"/>
      <c r="TSO1092"/>
      <c r="TSP1092"/>
      <c r="TSS1092"/>
      <c r="TST1092"/>
      <c r="TSW1092"/>
      <c r="TSX1092"/>
      <c r="TTA1092"/>
      <c r="TTB1092"/>
      <c r="TTE1092"/>
      <c r="TTF1092"/>
      <c r="TTI1092"/>
      <c r="TTJ1092"/>
      <c r="TTM1092"/>
      <c r="TTN1092"/>
      <c r="TTQ1092"/>
      <c r="TTR1092"/>
      <c r="TTU1092"/>
      <c r="TTV1092"/>
      <c r="TTY1092"/>
      <c r="TTZ1092"/>
      <c r="TUC1092"/>
      <c r="TUD1092"/>
      <c r="TUG1092"/>
      <c r="TUH1092"/>
      <c r="TUK1092"/>
      <c r="TUL1092"/>
      <c r="TUO1092"/>
      <c r="TUP1092"/>
      <c r="TUS1092"/>
      <c r="TUT1092"/>
      <c r="TUW1092"/>
      <c r="TUX1092"/>
      <c r="TVA1092"/>
      <c r="TVB1092"/>
      <c r="TVE1092"/>
      <c r="TVF1092"/>
      <c r="TVI1092"/>
      <c r="TVJ1092"/>
      <c r="TVM1092"/>
      <c r="TVN1092"/>
      <c r="TVQ1092"/>
      <c r="TVR1092"/>
      <c r="TVU1092"/>
      <c r="TVV1092"/>
      <c r="TVY1092"/>
      <c r="TVZ1092"/>
      <c r="TWC1092"/>
      <c r="TWD1092"/>
      <c r="TWG1092"/>
      <c r="TWH1092"/>
      <c r="TWK1092"/>
      <c r="TWL1092"/>
      <c r="TWO1092"/>
      <c r="TWP1092"/>
      <c r="TWS1092"/>
      <c r="TWT1092"/>
      <c r="TWW1092"/>
      <c r="TWX1092"/>
      <c r="TXA1092"/>
      <c r="TXB1092"/>
      <c r="TXE1092"/>
      <c r="TXF1092"/>
      <c r="TXI1092"/>
      <c r="TXJ1092"/>
      <c r="TXM1092"/>
      <c r="TXN1092"/>
      <c r="TXQ1092"/>
      <c r="TXR1092"/>
      <c r="TXU1092"/>
      <c r="TXV1092"/>
      <c r="TXY1092"/>
      <c r="TXZ1092"/>
      <c r="TYC1092"/>
      <c r="TYD1092"/>
      <c r="TYG1092"/>
      <c r="TYH1092"/>
      <c r="TYK1092"/>
      <c r="TYL1092"/>
      <c r="TYO1092"/>
      <c r="TYP1092"/>
      <c r="TYS1092"/>
      <c r="TYT1092"/>
      <c r="TYW1092"/>
      <c r="TYX1092"/>
      <c r="TZA1092"/>
      <c r="TZB1092"/>
      <c r="TZE1092"/>
      <c r="TZF1092"/>
      <c r="TZI1092"/>
      <c r="TZJ1092"/>
      <c r="TZM1092"/>
      <c r="TZN1092"/>
      <c r="TZQ1092"/>
      <c r="TZR1092"/>
      <c r="TZU1092"/>
      <c r="TZV1092"/>
      <c r="TZY1092"/>
      <c r="TZZ1092"/>
      <c r="UAC1092"/>
      <c r="UAD1092"/>
      <c r="UAG1092"/>
      <c r="UAH1092"/>
      <c r="UAK1092"/>
      <c r="UAL1092"/>
      <c r="UAO1092"/>
      <c r="UAP1092"/>
      <c r="UAS1092"/>
      <c r="UAT1092"/>
      <c r="UAW1092"/>
      <c r="UAX1092"/>
      <c r="UBA1092"/>
      <c r="UBB1092"/>
      <c r="UBE1092"/>
      <c r="UBF1092"/>
      <c r="UBI1092"/>
      <c r="UBJ1092"/>
      <c r="UBM1092"/>
      <c r="UBN1092"/>
      <c r="UBQ1092"/>
      <c r="UBR1092"/>
      <c r="UBU1092"/>
      <c r="UBV1092"/>
      <c r="UBY1092"/>
      <c r="UBZ1092"/>
      <c r="UCC1092"/>
      <c r="UCD1092"/>
      <c r="UCG1092"/>
      <c r="UCH1092"/>
      <c r="UCK1092"/>
      <c r="UCL1092"/>
      <c r="UCO1092"/>
      <c r="UCP1092"/>
      <c r="UCS1092"/>
      <c r="UCT1092"/>
      <c r="UCW1092"/>
      <c r="UCX1092"/>
      <c r="UDA1092"/>
      <c r="UDB1092"/>
      <c r="UDE1092"/>
      <c r="UDF1092"/>
      <c r="UDI1092"/>
      <c r="UDJ1092"/>
      <c r="UDM1092"/>
      <c r="UDN1092"/>
      <c r="UDQ1092"/>
      <c r="UDR1092"/>
      <c r="UDU1092"/>
      <c r="UDV1092"/>
      <c r="UDY1092"/>
      <c r="UDZ1092"/>
      <c r="UEC1092"/>
      <c r="UED1092"/>
      <c r="UEG1092"/>
      <c r="UEH1092"/>
      <c r="UEK1092"/>
      <c r="UEL1092"/>
      <c r="UEO1092"/>
      <c r="UEP1092"/>
      <c r="UES1092"/>
      <c r="UET1092"/>
      <c r="UEW1092"/>
      <c r="UEX1092"/>
      <c r="UFA1092"/>
      <c r="UFB1092"/>
      <c r="UFE1092"/>
      <c r="UFF1092"/>
      <c r="UFI1092"/>
      <c r="UFJ1092"/>
      <c r="UFM1092"/>
      <c r="UFN1092"/>
      <c r="UFQ1092"/>
      <c r="UFR1092"/>
      <c r="UFU1092"/>
      <c r="UFV1092"/>
      <c r="UFY1092"/>
      <c r="UFZ1092"/>
      <c r="UGC1092"/>
      <c r="UGD1092"/>
      <c r="UGG1092"/>
      <c r="UGH1092"/>
      <c r="UGK1092"/>
      <c r="UGL1092"/>
      <c r="UGO1092"/>
      <c r="UGP1092"/>
      <c r="UGS1092"/>
      <c r="UGT1092"/>
      <c r="UGW1092"/>
      <c r="UGX1092"/>
      <c r="UHA1092"/>
      <c r="UHB1092"/>
      <c r="UHE1092"/>
      <c r="UHF1092"/>
      <c r="UHI1092"/>
      <c r="UHJ1092"/>
      <c r="UHM1092"/>
      <c r="UHN1092"/>
      <c r="UHQ1092"/>
      <c r="UHR1092"/>
      <c r="UHU1092"/>
      <c r="UHV1092"/>
      <c r="UHY1092"/>
      <c r="UHZ1092"/>
      <c r="UIC1092"/>
      <c r="UID1092"/>
      <c r="UIG1092"/>
      <c r="UIH1092"/>
      <c r="UIK1092"/>
      <c r="UIL1092"/>
      <c r="UIO1092"/>
      <c r="UIP1092"/>
      <c r="UIS1092"/>
      <c r="UIT1092"/>
      <c r="UIW1092"/>
      <c r="UIX1092"/>
      <c r="UJA1092"/>
      <c r="UJB1092"/>
      <c r="UJE1092"/>
      <c r="UJF1092"/>
      <c r="UJI1092"/>
      <c r="UJJ1092"/>
      <c r="UJM1092"/>
      <c r="UJN1092"/>
      <c r="UJQ1092"/>
      <c r="UJR1092"/>
      <c r="UJU1092"/>
      <c r="UJV1092"/>
      <c r="UJY1092"/>
      <c r="UJZ1092"/>
      <c r="UKC1092"/>
      <c r="UKD1092"/>
      <c r="UKG1092"/>
      <c r="UKH1092"/>
      <c r="UKK1092"/>
      <c r="UKL1092"/>
      <c r="UKO1092"/>
      <c r="UKP1092"/>
      <c r="UKS1092"/>
      <c r="UKT1092"/>
      <c r="UKW1092"/>
      <c r="UKX1092"/>
      <c r="ULA1092"/>
      <c r="ULB1092"/>
      <c r="ULE1092"/>
      <c r="ULF1092"/>
      <c r="ULI1092"/>
      <c r="ULJ1092"/>
      <c r="ULM1092"/>
      <c r="ULN1092"/>
      <c r="ULQ1092"/>
      <c r="ULR1092"/>
      <c r="ULU1092"/>
      <c r="ULV1092"/>
      <c r="ULY1092"/>
      <c r="ULZ1092"/>
      <c r="UMC1092"/>
      <c r="UMD1092"/>
      <c r="UMG1092"/>
      <c r="UMH1092"/>
      <c r="UMK1092"/>
      <c r="UML1092"/>
      <c r="UMO1092"/>
      <c r="UMP1092"/>
      <c r="UMS1092"/>
      <c r="UMT1092"/>
      <c r="UMW1092"/>
      <c r="UMX1092"/>
      <c r="UNA1092"/>
      <c r="UNB1092"/>
      <c r="UNE1092"/>
      <c r="UNF1092"/>
      <c r="UNI1092"/>
      <c r="UNJ1092"/>
      <c r="UNM1092"/>
      <c r="UNN1092"/>
      <c r="UNQ1092"/>
      <c r="UNR1092"/>
      <c r="UNU1092"/>
      <c r="UNV1092"/>
      <c r="UNY1092"/>
      <c r="UNZ1092"/>
      <c r="UOC1092"/>
      <c r="UOD1092"/>
      <c r="UOG1092"/>
      <c r="UOH1092"/>
      <c r="UOK1092"/>
      <c r="UOL1092"/>
      <c r="UOO1092"/>
      <c r="UOP1092"/>
      <c r="UOS1092"/>
      <c r="UOT1092"/>
      <c r="UOW1092"/>
      <c r="UOX1092"/>
      <c r="UPA1092"/>
      <c r="UPB1092"/>
      <c r="UPE1092"/>
      <c r="UPF1092"/>
      <c r="UPI1092"/>
      <c r="UPJ1092"/>
      <c r="UPM1092"/>
      <c r="UPN1092"/>
      <c r="UPQ1092"/>
      <c r="UPR1092"/>
      <c r="UPU1092"/>
      <c r="UPV1092"/>
      <c r="UPY1092"/>
      <c r="UPZ1092"/>
      <c r="UQC1092"/>
      <c r="UQD1092"/>
      <c r="UQG1092"/>
      <c r="UQH1092"/>
      <c r="UQK1092"/>
      <c r="UQL1092"/>
      <c r="UQO1092"/>
      <c r="UQP1092"/>
      <c r="UQS1092"/>
      <c r="UQT1092"/>
      <c r="UQW1092"/>
      <c r="UQX1092"/>
      <c r="URA1092"/>
      <c r="URB1092"/>
      <c r="URE1092"/>
      <c r="URF1092"/>
      <c r="URI1092"/>
      <c r="URJ1092"/>
      <c r="URM1092"/>
      <c r="URN1092"/>
      <c r="URQ1092"/>
      <c r="URR1092"/>
      <c r="URU1092"/>
      <c r="URV1092"/>
      <c r="URY1092"/>
      <c r="URZ1092"/>
      <c r="USC1092"/>
      <c r="USD1092"/>
      <c r="USG1092"/>
      <c r="USH1092"/>
      <c r="USK1092"/>
      <c r="USL1092"/>
      <c r="USO1092"/>
      <c r="USP1092"/>
      <c r="USS1092"/>
      <c r="UST1092"/>
      <c r="USW1092"/>
      <c r="USX1092"/>
      <c r="UTA1092"/>
      <c r="UTB1092"/>
      <c r="UTE1092"/>
      <c r="UTF1092"/>
      <c r="UTI1092"/>
      <c r="UTJ1092"/>
      <c r="UTM1092"/>
      <c r="UTN1092"/>
      <c r="UTQ1092"/>
      <c r="UTR1092"/>
      <c r="UTU1092"/>
      <c r="UTV1092"/>
      <c r="UTY1092"/>
      <c r="UTZ1092"/>
      <c r="UUC1092"/>
      <c r="UUD1092"/>
      <c r="UUG1092"/>
      <c r="UUH1092"/>
      <c r="UUK1092"/>
      <c r="UUL1092"/>
      <c r="UUO1092"/>
      <c r="UUP1092"/>
      <c r="UUS1092"/>
      <c r="UUT1092"/>
      <c r="UUW1092"/>
      <c r="UUX1092"/>
      <c r="UVA1092"/>
      <c r="UVB1092"/>
      <c r="UVE1092"/>
      <c r="UVF1092"/>
      <c r="UVI1092"/>
      <c r="UVJ1092"/>
      <c r="UVM1092"/>
      <c r="UVN1092"/>
      <c r="UVQ1092"/>
      <c r="UVR1092"/>
      <c r="UVU1092"/>
      <c r="UVV1092"/>
      <c r="UVY1092"/>
      <c r="UVZ1092"/>
      <c r="UWC1092"/>
      <c r="UWD1092"/>
      <c r="UWG1092"/>
      <c r="UWH1092"/>
      <c r="UWK1092"/>
      <c r="UWL1092"/>
      <c r="UWO1092"/>
      <c r="UWP1092"/>
      <c r="UWS1092"/>
      <c r="UWT1092"/>
      <c r="UWW1092"/>
      <c r="UWX1092"/>
      <c r="UXA1092"/>
      <c r="UXB1092"/>
      <c r="UXE1092"/>
      <c r="UXF1092"/>
      <c r="UXI1092"/>
      <c r="UXJ1092"/>
      <c r="UXM1092"/>
      <c r="UXN1092"/>
      <c r="UXQ1092"/>
      <c r="UXR1092"/>
      <c r="UXU1092"/>
      <c r="UXV1092"/>
      <c r="UXY1092"/>
      <c r="UXZ1092"/>
      <c r="UYC1092"/>
      <c r="UYD1092"/>
      <c r="UYG1092"/>
      <c r="UYH1092"/>
      <c r="UYK1092"/>
      <c r="UYL1092"/>
      <c r="UYO1092"/>
      <c r="UYP1092"/>
      <c r="UYS1092"/>
      <c r="UYT1092"/>
      <c r="UYW1092"/>
      <c r="UYX1092"/>
      <c r="UZA1092"/>
      <c r="UZB1092"/>
      <c r="UZE1092"/>
      <c r="UZF1092"/>
      <c r="UZI1092"/>
      <c r="UZJ1092"/>
      <c r="UZM1092"/>
      <c r="UZN1092"/>
      <c r="UZQ1092"/>
      <c r="UZR1092"/>
      <c r="UZU1092"/>
      <c r="UZV1092"/>
      <c r="UZY1092"/>
      <c r="UZZ1092"/>
      <c r="VAC1092"/>
      <c r="VAD1092"/>
      <c r="VAG1092"/>
      <c r="VAH1092"/>
      <c r="VAK1092"/>
      <c r="VAL1092"/>
      <c r="VAO1092"/>
      <c r="VAP1092"/>
      <c r="VAS1092"/>
      <c r="VAT1092"/>
      <c r="VAW1092"/>
      <c r="VAX1092"/>
      <c r="VBA1092"/>
      <c r="VBB1092"/>
      <c r="VBE1092"/>
      <c r="VBF1092"/>
      <c r="VBI1092"/>
      <c r="VBJ1092"/>
      <c r="VBM1092"/>
      <c r="VBN1092"/>
      <c r="VBQ1092"/>
      <c r="VBR1092"/>
      <c r="VBU1092"/>
      <c r="VBV1092"/>
      <c r="VBY1092"/>
      <c r="VBZ1092"/>
      <c r="VCC1092"/>
      <c r="VCD1092"/>
      <c r="VCG1092"/>
      <c r="VCH1092"/>
      <c r="VCK1092"/>
      <c r="VCL1092"/>
      <c r="VCO1092"/>
      <c r="VCP1092"/>
      <c r="VCS1092"/>
      <c r="VCT1092"/>
      <c r="VCW1092"/>
      <c r="VCX1092"/>
      <c r="VDA1092"/>
      <c r="VDB1092"/>
      <c r="VDE1092"/>
      <c r="VDF1092"/>
      <c r="VDI1092"/>
      <c r="VDJ1092"/>
      <c r="VDM1092"/>
      <c r="VDN1092"/>
      <c r="VDQ1092"/>
      <c r="VDR1092"/>
      <c r="VDU1092"/>
      <c r="VDV1092"/>
      <c r="VDY1092"/>
      <c r="VDZ1092"/>
      <c r="VEC1092"/>
      <c r="VED1092"/>
      <c r="VEG1092"/>
      <c r="VEH1092"/>
      <c r="VEK1092"/>
      <c r="VEL1092"/>
      <c r="VEO1092"/>
      <c r="VEP1092"/>
      <c r="VES1092"/>
      <c r="VET1092"/>
      <c r="VEW1092"/>
      <c r="VEX1092"/>
      <c r="VFA1092"/>
      <c r="VFB1092"/>
      <c r="VFE1092"/>
      <c r="VFF1092"/>
      <c r="VFI1092"/>
      <c r="VFJ1092"/>
      <c r="VFM1092"/>
      <c r="VFN1092"/>
      <c r="VFQ1092"/>
      <c r="VFR1092"/>
      <c r="VFU1092"/>
      <c r="VFV1092"/>
      <c r="VFY1092"/>
      <c r="VFZ1092"/>
      <c r="VGC1092"/>
      <c r="VGD1092"/>
      <c r="VGG1092"/>
      <c r="VGH1092"/>
      <c r="VGK1092"/>
      <c r="VGL1092"/>
      <c r="VGO1092"/>
      <c r="VGP1092"/>
      <c r="VGS1092"/>
      <c r="VGT1092"/>
      <c r="VGW1092"/>
      <c r="VGX1092"/>
      <c r="VHA1092"/>
      <c r="VHB1092"/>
      <c r="VHE1092"/>
      <c r="VHF1092"/>
      <c r="VHI1092"/>
      <c r="VHJ1092"/>
      <c r="VHM1092"/>
      <c r="VHN1092"/>
      <c r="VHQ1092"/>
      <c r="VHR1092"/>
      <c r="VHU1092"/>
      <c r="VHV1092"/>
      <c r="VHY1092"/>
      <c r="VHZ1092"/>
      <c r="VIC1092"/>
      <c r="VID1092"/>
      <c r="VIG1092"/>
      <c r="VIH1092"/>
      <c r="VIK1092"/>
      <c r="VIL1092"/>
      <c r="VIO1092"/>
      <c r="VIP1092"/>
      <c r="VIS1092"/>
      <c r="VIT1092"/>
      <c r="VIW1092"/>
      <c r="VIX1092"/>
      <c r="VJA1092"/>
      <c r="VJB1092"/>
      <c r="VJE1092"/>
      <c r="VJF1092"/>
      <c r="VJI1092"/>
      <c r="VJJ1092"/>
      <c r="VJM1092"/>
      <c r="VJN1092"/>
      <c r="VJQ1092"/>
      <c r="VJR1092"/>
      <c r="VJU1092"/>
      <c r="VJV1092"/>
      <c r="VJY1092"/>
      <c r="VJZ1092"/>
      <c r="VKC1092"/>
      <c r="VKD1092"/>
      <c r="VKG1092"/>
      <c r="VKH1092"/>
      <c r="VKK1092"/>
      <c r="VKL1092"/>
      <c r="VKO1092"/>
      <c r="VKP1092"/>
      <c r="VKS1092"/>
      <c r="VKT1092"/>
      <c r="VKW1092"/>
      <c r="VKX1092"/>
      <c r="VLA1092"/>
      <c r="VLB1092"/>
      <c r="VLE1092"/>
      <c r="VLF1092"/>
      <c r="VLI1092"/>
      <c r="VLJ1092"/>
      <c r="VLM1092"/>
      <c r="VLN1092"/>
      <c r="VLQ1092"/>
      <c r="VLR1092"/>
      <c r="VLU1092"/>
      <c r="VLV1092"/>
      <c r="VLY1092"/>
      <c r="VLZ1092"/>
      <c r="VMC1092"/>
      <c r="VMD1092"/>
      <c r="VMG1092"/>
      <c r="VMH1092"/>
      <c r="VMK1092"/>
      <c r="VML1092"/>
      <c r="VMO1092"/>
      <c r="VMP1092"/>
      <c r="VMS1092"/>
      <c r="VMT1092"/>
      <c r="VMW1092"/>
      <c r="VMX1092"/>
      <c r="VNA1092"/>
      <c r="VNB1092"/>
      <c r="VNE1092"/>
      <c r="VNF1092"/>
      <c r="VNI1092"/>
      <c r="VNJ1092"/>
      <c r="VNM1092"/>
      <c r="VNN1092"/>
      <c r="VNQ1092"/>
      <c r="VNR1092"/>
      <c r="VNU1092"/>
      <c r="VNV1092"/>
      <c r="VNY1092"/>
      <c r="VNZ1092"/>
      <c r="VOC1092"/>
      <c r="VOD1092"/>
      <c r="VOG1092"/>
      <c r="VOH1092"/>
      <c r="VOK1092"/>
      <c r="VOL1092"/>
      <c r="VOO1092"/>
      <c r="VOP1092"/>
      <c r="VOS1092"/>
      <c r="VOT1092"/>
      <c r="VOW1092"/>
      <c r="VOX1092"/>
      <c r="VPA1092"/>
      <c r="VPB1092"/>
      <c r="VPE1092"/>
      <c r="VPF1092"/>
      <c r="VPI1092"/>
      <c r="VPJ1092"/>
      <c r="VPM1092"/>
      <c r="VPN1092"/>
      <c r="VPQ1092"/>
      <c r="VPR1092"/>
      <c r="VPU1092"/>
      <c r="VPV1092"/>
      <c r="VPY1092"/>
      <c r="VPZ1092"/>
      <c r="VQC1092"/>
      <c r="VQD1092"/>
      <c r="VQG1092"/>
      <c r="VQH1092"/>
      <c r="VQK1092"/>
      <c r="VQL1092"/>
      <c r="VQO1092"/>
      <c r="VQP1092"/>
      <c r="VQS1092"/>
      <c r="VQT1092"/>
      <c r="VQW1092"/>
      <c r="VQX1092"/>
      <c r="VRA1092"/>
      <c r="VRB1092"/>
      <c r="VRE1092"/>
      <c r="VRF1092"/>
      <c r="VRI1092"/>
      <c r="VRJ1092"/>
      <c r="VRM1092"/>
      <c r="VRN1092"/>
      <c r="VRQ1092"/>
      <c r="VRR1092"/>
      <c r="VRU1092"/>
      <c r="VRV1092"/>
      <c r="VRY1092"/>
      <c r="VRZ1092"/>
      <c r="VSC1092"/>
      <c r="VSD1092"/>
      <c r="VSG1092"/>
      <c r="VSH1092"/>
      <c r="VSK1092"/>
      <c r="VSL1092"/>
      <c r="VSO1092"/>
      <c r="VSP1092"/>
      <c r="VSS1092"/>
      <c r="VST1092"/>
      <c r="VSW1092"/>
      <c r="VSX1092"/>
      <c r="VTA1092"/>
      <c r="VTB1092"/>
      <c r="VTE1092"/>
      <c r="VTF1092"/>
      <c r="VTI1092"/>
      <c r="VTJ1092"/>
      <c r="VTM1092"/>
      <c r="VTN1092"/>
      <c r="VTQ1092"/>
      <c r="VTR1092"/>
      <c r="VTU1092"/>
      <c r="VTV1092"/>
      <c r="VTY1092"/>
      <c r="VTZ1092"/>
      <c r="VUC1092"/>
      <c r="VUD1092"/>
      <c r="VUG1092"/>
      <c r="VUH1092"/>
      <c r="VUK1092"/>
      <c r="VUL1092"/>
      <c r="VUO1092"/>
      <c r="VUP1092"/>
      <c r="VUS1092"/>
      <c r="VUT1092"/>
      <c r="VUW1092"/>
      <c r="VUX1092"/>
      <c r="VVA1092"/>
      <c r="VVB1092"/>
      <c r="VVE1092"/>
      <c r="VVF1092"/>
      <c r="VVI1092"/>
      <c r="VVJ1092"/>
      <c r="VVM1092"/>
      <c r="VVN1092"/>
      <c r="VVQ1092"/>
      <c r="VVR1092"/>
      <c r="VVU1092"/>
      <c r="VVV1092"/>
      <c r="VVY1092"/>
      <c r="VVZ1092"/>
      <c r="VWC1092"/>
      <c r="VWD1092"/>
      <c r="VWG1092"/>
      <c r="VWH1092"/>
      <c r="VWK1092"/>
      <c r="VWL1092"/>
      <c r="VWO1092"/>
      <c r="VWP1092"/>
      <c r="VWS1092"/>
      <c r="VWT1092"/>
      <c r="VWW1092"/>
      <c r="VWX1092"/>
      <c r="VXA1092"/>
      <c r="VXB1092"/>
      <c r="VXE1092"/>
      <c r="VXF1092"/>
      <c r="VXI1092"/>
      <c r="VXJ1092"/>
      <c r="VXM1092"/>
      <c r="VXN1092"/>
      <c r="VXQ1092"/>
      <c r="VXR1092"/>
      <c r="VXU1092"/>
      <c r="VXV1092"/>
      <c r="VXY1092"/>
      <c r="VXZ1092"/>
      <c r="VYC1092"/>
      <c r="VYD1092"/>
      <c r="VYG1092"/>
      <c r="VYH1092"/>
      <c r="VYK1092"/>
      <c r="VYL1092"/>
      <c r="VYO1092"/>
      <c r="VYP1092"/>
      <c r="VYS1092"/>
      <c r="VYT1092"/>
      <c r="VYW1092"/>
      <c r="VYX1092"/>
      <c r="VZA1092"/>
      <c r="VZB1092"/>
      <c r="VZE1092"/>
      <c r="VZF1092"/>
      <c r="VZI1092"/>
      <c r="VZJ1092"/>
      <c r="VZM1092"/>
      <c r="VZN1092"/>
      <c r="VZQ1092"/>
      <c r="VZR1092"/>
      <c r="VZU1092"/>
      <c r="VZV1092"/>
      <c r="VZY1092"/>
      <c r="VZZ1092"/>
      <c r="WAC1092"/>
      <c r="WAD1092"/>
      <c r="WAG1092"/>
      <c r="WAH1092"/>
      <c r="WAK1092"/>
      <c r="WAL1092"/>
      <c r="WAO1092"/>
      <c r="WAP1092"/>
      <c r="WAS1092"/>
      <c r="WAT1092"/>
      <c r="WAW1092"/>
      <c r="WAX1092"/>
      <c r="WBA1092"/>
      <c r="WBB1092"/>
      <c r="WBE1092"/>
      <c r="WBF1092"/>
      <c r="WBI1092"/>
      <c r="WBJ1092"/>
      <c r="WBM1092"/>
      <c r="WBN1092"/>
      <c r="WBQ1092"/>
      <c r="WBR1092"/>
      <c r="WBU1092"/>
      <c r="WBV1092"/>
      <c r="WBY1092"/>
      <c r="WBZ1092"/>
      <c r="WCC1092"/>
      <c r="WCD1092"/>
      <c r="WCG1092"/>
      <c r="WCH1092"/>
      <c r="WCK1092"/>
      <c r="WCL1092"/>
      <c r="WCO1092"/>
      <c r="WCP1092"/>
      <c r="WCS1092"/>
      <c r="WCT1092"/>
      <c r="WCW1092"/>
      <c r="WCX1092"/>
      <c r="WDA1092"/>
      <c r="WDB1092"/>
      <c r="WDE1092"/>
      <c r="WDF1092"/>
      <c r="WDI1092"/>
      <c r="WDJ1092"/>
      <c r="WDM1092"/>
      <c r="WDN1092"/>
      <c r="WDQ1092"/>
      <c r="WDR1092"/>
      <c r="WDU1092"/>
      <c r="WDV1092"/>
      <c r="WDY1092"/>
      <c r="WDZ1092"/>
      <c r="WEC1092"/>
      <c r="WED1092"/>
      <c r="WEG1092"/>
      <c r="WEH1092"/>
      <c r="WEK1092"/>
      <c r="WEL1092"/>
      <c r="WEO1092"/>
      <c r="WEP1092"/>
      <c r="WES1092"/>
      <c r="WET1092"/>
      <c r="WEW1092"/>
      <c r="WEX1092"/>
      <c r="WFA1092"/>
      <c r="WFB1092"/>
      <c r="WFE1092"/>
      <c r="WFF1092"/>
      <c r="WFI1092"/>
      <c r="WFJ1092"/>
      <c r="WFM1092"/>
      <c r="WFN1092"/>
      <c r="WFQ1092"/>
      <c r="WFR1092"/>
      <c r="WFU1092"/>
      <c r="WFV1092"/>
      <c r="WFY1092"/>
      <c r="WFZ1092"/>
      <c r="WGC1092"/>
      <c r="WGD1092"/>
      <c r="WGG1092"/>
      <c r="WGH1092"/>
      <c r="WGK1092"/>
      <c r="WGL1092"/>
      <c r="WGO1092"/>
      <c r="WGP1092"/>
      <c r="WGS1092"/>
      <c r="WGT1092"/>
      <c r="WGW1092"/>
      <c r="WGX1092"/>
      <c r="WHA1092"/>
      <c r="WHB1092"/>
      <c r="WHE1092"/>
      <c r="WHF1092"/>
      <c r="WHI1092"/>
      <c r="WHJ1092"/>
      <c r="WHM1092"/>
      <c r="WHN1092"/>
      <c r="WHQ1092"/>
      <c r="WHR1092"/>
      <c r="WHU1092"/>
      <c r="WHV1092"/>
      <c r="WHY1092"/>
      <c r="WHZ1092"/>
      <c r="WIC1092"/>
      <c r="WID1092"/>
      <c r="WIG1092"/>
      <c r="WIH1092"/>
      <c r="WIK1092"/>
      <c r="WIL1092"/>
      <c r="WIO1092"/>
      <c r="WIP1092"/>
      <c r="WIS1092"/>
      <c r="WIT1092"/>
      <c r="WIW1092"/>
      <c r="WIX1092"/>
      <c r="WJA1092"/>
      <c r="WJB1092"/>
      <c r="WJE1092"/>
      <c r="WJF1092"/>
      <c r="WJI1092"/>
      <c r="WJJ1092"/>
      <c r="WJM1092"/>
      <c r="WJN1092"/>
      <c r="WJQ1092"/>
      <c r="WJR1092"/>
      <c r="WJU1092"/>
      <c r="WJV1092"/>
      <c r="WJY1092"/>
      <c r="WJZ1092"/>
      <c r="WKC1092"/>
      <c r="WKD1092"/>
      <c r="WKG1092"/>
      <c r="WKH1092"/>
      <c r="WKK1092"/>
      <c r="WKL1092"/>
      <c r="WKO1092"/>
      <c r="WKP1092"/>
      <c r="WKS1092"/>
      <c r="WKT1092"/>
      <c r="WKW1092"/>
      <c r="WKX1092"/>
      <c r="WLA1092"/>
      <c r="WLB1092"/>
      <c r="WLE1092"/>
      <c r="WLF1092"/>
      <c r="WLI1092"/>
      <c r="WLJ1092"/>
      <c r="WLM1092"/>
      <c r="WLN1092"/>
      <c r="WLQ1092"/>
      <c r="WLR1092"/>
      <c r="WLU1092"/>
      <c r="WLV1092"/>
      <c r="WLY1092"/>
      <c r="WLZ1092"/>
      <c r="WMC1092"/>
      <c r="WMD1092"/>
      <c r="WMG1092"/>
      <c r="WMH1092"/>
      <c r="WMK1092"/>
      <c r="WML1092"/>
      <c r="WMO1092"/>
      <c r="WMP1092"/>
      <c r="WMS1092"/>
      <c r="WMT1092"/>
      <c r="WMW1092"/>
      <c r="WMX1092"/>
      <c r="WNA1092"/>
      <c r="WNB1092"/>
      <c r="WNE1092"/>
      <c r="WNF1092"/>
      <c r="WNI1092"/>
      <c r="WNJ1092"/>
      <c r="WNM1092"/>
      <c r="WNN1092"/>
      <c r="WNQ1092"/>
      <c r="WNR1092"/>
      <c r="WNU1092"/>
      <c r="WNV1092"/>
      <c r="WNY1092"/>
      <c r="WNZ1092"/>
      <c r="WOC1092"/>
      <c r="WOD1092"/>
      <c r="WOG1092"/>
      <c r="WOH1092"/>
      <c r="WOK1092"/>
      <c r="WOL1092"/>
      <c r="WOO1092"/>
      <c r="WOP1092"/>
      <c r="WOS1092"/>
      <c r="WOT1092"/>
      <c r="WOW1092"/>
      <c r="WOX1092"/>
      <c r="WPA1092"/>
      <c r="WPB1092"/>
      <c r="WPE1092"/>
      <c r="WPF1092"/>
      <c r="WPI1092"/>
      <c r="WPJ1092"/>
      <c r="WPM1092"/>
      <c r="WPN1092"/>
      <c r="WPQ1092"/>
      <c r="WPR1092"/>
      <c r="WPU1092"/>
      <c r="WPV1092"/>
      <c r="WPY1092"/>
      <c r="WPZ1092"/>
      <c r="WQC1092"/>
      <c r="WQD1092"/>
      <c r="WQG1092"/>
      <c r="WQH1092"/>
      <c r="WQK1092"/>
      <c r="WQL1092"/>
      <c r="WQO1092"/>
      <c r="WQP1092"/>
      <c r="WQS1092"/>
      <c r="WQT1092"/>
      <c r="WQW1092"/>
      <c r="WQX1092"/>
      <c r="WRA1092"/>
      <c r="WRB1092"/>
      <c r="WRE1092"/>
      <c r="WRF1092"/>
      <c r="WRI1092"/>
      <c r="WRJ1092"/>
      <c r="WRM1092"/>
      <c r="WRN1092"/>
      <c r="WRQ1092"/>
      <c r="WRR1092"/>
      <c r="WRU1092"/>
      <c r="WRV1092"/>
      <c r="WRY1092"/>
      <c r="WRZ1092"/>
      <c r="WSC1092"/>
      <c r="WSD1092"/>
      <c r="WSG1092"/>
      <c r="WSH1092"/>
      <c r="WSK1092"/>
      <c r="WSL1092"/>
      <c r="WSO1092"/>
      <c r="WSP1092"/>
      <c r="WSS1092"/>
      <c r="WST1092"/>
      <c r="WSW1092"/>
      <c r="WSX1092"/>
      <c r="WTA1092"/>
      <c r="WTB1092"/>
      <c r="WTE1092"/>
      <c r="WTF1092"/>
      <c r="WTI1092"/>
      <c r="WTJ1092"/>
      <c r="WTM1092"/>
      <c r="WTN1092"/>
      <c r="WTQ1092"/>
      <c r="WTR1092"/>
      <c r="WTU1092"/>
      <c r="WTV1092"/>
      <c r="WTY1092"/>
      <c r="WTZ1092"/>
      <c r="WUC1092"/>
      <c r="WUD1092"/>
      <c r="WUG1092"/>
      <c r="WUH1092"/>
      <c r="WUK1092"/>
      <c r="WUL1092"/>
      <c r="WUO1092"/>
      <c r="WUP1092"/>
      <c r="WUS1092"/>
      <c r="WUT1092"/>
      <c r="WUW1092"/>
      <c r="WUX1092"/>
      <c r="WVA1092"/>
      <c r="WVB1092"/>
      <c r="WVE1092"/>
      <c r="WVF1092"/>
      <c r="WVI1092"/>
      <c r="WVJ1092"/>
      <c r="WVM1092"/>
      <c r="WVN1092"/>
      <c r="WVQ1092"/>
      <c r="WVR1092"/>
      <c r="WVU1092"/>
      <c r="WVV1092"/>
      <c r="WVY1092"/>
      <c r="WVZ1092"/>
      <c r="WWC1092"/>
      <c r="WWD1092"/>
      <c r="WWG1092"/>
      <c r="WWH1092"/>
      <c r="WWK1092"/>
      <c r="WWL1092"/>
      <c r="WWO1092"/>
      <c r="WWP1092"/>
      <c r="WWS1092"/>
      <c r="WWT1092"/>
      <c r="WWW1092"/>
      <c r="WWX1092"/>
      <c r="WXA1092"/>
      <c r="WXB1092"/>
      <c r="WXE1092"/>
      <c r="WXF1092"/>
      <c r="WXI1092"/>
      <c r="WXJ1092"/>
      <c r="WXM1092"/>
      <c r="WXN1092"/>
      <c r="WXQ1092"/>
      <c r="WXR1092"/>
      <c r="WXU1092"/>
      <c r="WXV1092"/>
      <c r="WXY1092"/>
      <c r="WXZ1092"/>
      <c r="WYC1092"/>
      <c r="WYD1092"/>
      <c r="WYG1092"/>
      <c r="WYH1092"/>
      <c r="WYK1092"/>
      <c r="WYL1092"/>
      <c r="WYO1092"/>
      <c r="WYP1092"/>
      <c r="WYS1092"/>
      <c r="WYT1092"/>
      <c r="WYW1092"/>
      <c r="WYX1092"/>
      <c r="WZA1092"/>
      <c r="WZB1092"/>
      <c r="WZE1092"/>
      <c r="WZF1092"/>
      <c r="WZI1092"/>
      <c r="WZJ1092"/>
      <c r="WZM1092"/>
      <c r="WZN1092"/>
      <c r="WZQ1092"/>
      <c r="WZR1092"/>
      <c r="WZU1092"/>
      <c r="WZV1092"/>
      <c r="WZY1092"/>
      <c r="WZZ1092"/>
      <c r="XAC1092"/>
      <c r="XAD1092"/>
      <c r="XAG1092"/>
      <c r="XAH1092"/>
      <c r="XAK1092"/>
      <c r="XAL1092"/>
      <c r="XAO1092"/>
      <c r="XAP1092"/>
      <c r="XAS1092"/>
      <c r="XAT1092"/>
      <c r="XAW1092"/>
      <c r="XAX1092"/>
      <c r="XBA1092"/>
      <c r="XBB1092"/>
      <c r="XBE1092"/>
      <c r="XBF1092"/>
      <c r="XBI1092"/>
      <c r="XBJ1092"/>
      <c r="XBM1092"/>
      <c r="XBN1092"/>
      <c r="XBQ1092"/>
      <c r="XBR1092"/>
      <c r="XBU1092"/>
      <c r="XBV1092"/>
      <c r="XBY1092"/>
      <c r="XBZ1092"/>
      <c r="XCC1092"/>
      <c r="XCD1092"/>
      <c r="XCG1092"/>
      <c r="XCH1092"/>
      <c r="XCK1092"/>
      <c r="XCL1092"/>
      <c r="XCO1092"/>
      <c r="XCP1092"/>
      <c r="XCS1092"/>
      <c r="XCT1092"/>
      <c r="XCW1092"/>
      <c r="XCX1092"/>
      <c r="XDA1092"/>
      <c r="XDB1092"/>
      <c r="XDE1092"/>
      <c r="XDF1092"/>
      <c r="XDI1092"/>
      <c r="XDJ1092"/>
      <c r="XDM1092"/>
      <c r="XDN1092"/>
      <c r="XDQ1092"/>
      <c r="XDR1092"/>
      <c r="XDU1092"/>
      <c r="XDV1092"/>
      <c r="XDY1092"/>
      <c r="XDZ1092"/>
      <c r="XEC1092"/>
      <c r="XED1092"/>
      <c r="XEG1092"/>
      <c r="XEH1092"/>
      <c r="XEK1092"/>
      <c r="XEL1092"/>
      <c r="XEO1092"/>
      <c r="XEP1092"/>
      <c r="XES1092"/>
      <c r="XET1092"/>
      <c r="XEW1092"/>
      <c r="XEX1092"/>
      <c r="XFA1092"/>
      <c r="XFB1092"/>
    </row>
    <row r="1093" spans="1:1022 1025:2046 2049:3070 3073:4094 4097:5118 5121:6142 6145:7166 7169:8190 8193:9214 9217:10238 10241:11262 11265:12286 12289:13310 13313:14334 14337:15358 15361:16382" s="15" customFormat="1" outlineLevel="1" x14ac:dyDescent="0.3">
      <c s="45" r="A1093" t="s">
        <v>1815</v>
      </c>
      <c s="45" r="B1093" t="s">
        <v>266</v>
      </c>
      <c r="C1093" s="46" t="s">
        <v>10</v>
      </c>
      <c r="D1093" s="46" t="s">
        <v>1814</v>
      </c>
      <c s="45" r="E1093" t="s">
        <v>8493</v>
      </c>
      <c s="45" r="F1093"/>
      <c r="G1093" s="45"/>
      <c r="H1093" s="45"/>
      <c s="45" r="I1093"/>
      <c s="45" r="J1093" t="inlineStr">
        <is>
          <t>Unlabelled strip between Plant Rm 1 and Plant Rm 2</t>
        </is>
      </c>
      <c s="45" r="K1093" t="inlineStr">
        <is>
          <t>QNL/BF-2.jpg</t>
        </is>
      </c>
      <c r="L1093" t="inlineStr">
        <is>
          <t>CHECK - read, but with a caveat; see the reason</t>
        </is>
      </c>
      <c r="M1093" t="inlineStr">
        <is>
          <t>the strip carries no label on this screen, so it cannot be matched against column D either way</t>
        </is>
      </c>
      <c r="N1093"/>
      <c r="Q1093"/>
      <c r="R1093"/>
      <c r="U1093"/>
      <c r="V1093"/>
      <c r="Y1093"/>
      <c r="Z1093"/>
      <c r="AC1093"/>
      <c r="AD1093"/>
      <c r="AG1093"/>
      <c r="AH1093"/>
      <c r="AK1093"/>
      <c r="AL1093"/>
      <c r="AO1093"/>
      <c r="AP1093"/>
      <c r="AS1093"/>
      <c r="AT1093"/>
      <c r="AW1093"/>
      <c r="AX1093"/>
      <c r="BA1093"/>
      <c r="BB1093"/>
      <c r="BE1093"/>
      <c r="BF1093"/>
      <c r="BI1093"/>
      <c r="BJ1093"/>
      <c r="BM1093"/>
      <c r="BN1093"/>
      <c r="BQ1093"/>
      <c r="BR1093"/>
      <c r="BU1093"/>
      <c r="BV1093"/>
      <c r="BY1093"/>
      <c r="BZ1093"/>
      <c r="CC1093"/>
      <c s="45" r="CD1093"/>
      <c r="CG1093"/>
      <c r="CH1093"/>
      <c r="CK1093"/>
      <c r="CL1093"/>
      <c r="CO1093"/>
      <c r="CP1093"/>
      <c r="CS1093"/>
      <c r="CT1093"/>
      <c r="CW1093"/>
      <c r="CX1093"/>
      <c r="DA1093"/>
      <c r="DB1093"/>
      <c s="45" r="DE1093"/>
      <c r="DF1093"/>
      <c r="DI1093"/>
      <c r="DJ1093"/>
      <c r="DM1093"/>
      <c r="DN1093"/>
      <c r="DQ1093"/>
      <c r="DR1093"/>
      <c r="DU1093"/>
      <c r="DV1093"/>
      <c r="DY1093"/>
      <c r="DZ1093"/>
      <c r="EC1093"/>
      <c r="ED1093"/>
      <c r="EG1093"/>
      <c r="EH1093"/>
      <c r="EK1093"/>
      <c r="EL1093"/>
      <c r="EO1093"/>
      <c r="EP1093"/>
      <c r="ES1093"/>
      <c r="ET1093"/>
      <c r="EW1093"/>
      <c r="EX1093"/>
      <c r="FA1093"/>
      <c r="FB1093"/>
      <c r="FE1093"/>
      <c r="FF1093"/>
      <c r="FI1093"/>
      <c r="FJ1093"/>
      <c r="FM1093"/>
      <c r="FN1093"/>
      <c r="FQ1093"/>
      <c r="FR1093"/>
      <c r="FU1093"/>
      <c r="FV1093"/>
      <c r="FY1093"/>
      <c r="FZ1093"/>
      <c r="GC1093"/>
      <c r="GD1093"/>
      <c r="GG1093"/>
      <c s="45" r="GH1093"/>
      <c r="GK1093"/>
      <c r="GL1093"/>
      <c r="GO1093"/>
      <c r="GP1093"/>
      <c r="GS1093"/>
      <c r="GT1093"/>
      <c r="GW1093"/>
      <c r="GX1093"/>
      <c r="HA1093"/>
      <c r="HB1093"/>
      <c r="HE1093"/>
      <c r="HF1093"/>
      <c s="45" r="HI1093"/>
      <c r="HJ1093"/>
      <c r="HM1093"/>
      <c r="HN1093"/>
      <c r="HQ1093"/>
      <c r="HR1093"/>
      <c r="HU1093"/>
      <c r="HV1093"/>
      <c r="HY1093"/>
      <c r="HZ1093"/>
      <c r="IC1093"/>
      <c r="ID1093"/>
      <c r="IG1093"/>
      <c r="IH1093"/>
      <c r="IK1093"/>
      <c r="IL1093"/>
      <c r="IO1093"/>
      <c r="IP1093"/>
      <c r="IS1093"/>
      <c r="IT1093"/>
      <c r="IW1093"/>
      <c r="IX1093"/>
      <c r="JA1093"/>
      <c r="JB1093"/>
      <c r="JE1093"/>
      <c r="JF1093"/>
      <c r="JI1093"/>
      <c r="JJ1093"/>
      <c r="JM1093"/>
      <c r="JN1093"/>
      <c r="JQ1093"/>
      <c r="JR1093"/>
      <c r="JU1093"/>
      <c r="JV1093"/>
      <c r="JY1093"/>
      <c r="JZ1093"/>
      <c r="KC1093"/>
      <c r="KD1093"/>
      <c r="KG1093"/>
      <c r="KH1093"/>
      <c r="KK1093"/>
      <c r="KL1093"/>
      <c r="KO1093"/>
      <c r="KP1093"/>
      <c r="KS1093"/>
      <c r="KT1093"/>
      <c r="KW1093"/>
      <c r="KX1093"/>
      <c r="LA1093"/>
      <c r="LB1093"/>
      <c r="LE1093"/>
      <c r="LF1093"/>
      <c r="LI1093"/>
      <c r="LJ1093"/>
      <c r="LM1093"/>
      <c r="LN1093"/>
      <c r="LQ1093"/>
      <c r="LR1093"/>
      <c r="LU1093"/>
      <c r="LV1093"/>
      <c r="LY1093"/>
      <c r="LZ1093"/>
      <c r="MC1093"/>
      <c r="MD1093"/>
      <c r="MG1093"/>
      <c r="MH1093"/>
      <c r="MK1093"/>
      <c r="ML1093"/>
      <c r="MO1093"/>
      <c r="MP1093"/>
      <c r="MS1093"/>
      <c r="MT1093"/>
      <c r="MW1093"/>
      <c r="MX1093"/>
      <c r="NA1093"/>
      <c r="NB1093"/>
      <c r="NE1093"/>
      <c r="NF1093"/>
      <c r="NI1093"/>
      <c r="NJ1093"/>
      <c r="NM1093"/>
      <c r="NN1093"/>
      <c r="NQ1093"/>
      <c r="NR1093"/>
      <c r="NU1093"/>
      <c r="NV1093"/>
      <c r="NY1093"/>
      <c r="NZ1093"/>
      <c r="OC1093"/>
      <c r="OD1093"/>
      <c r="OG1093"/>
      <c r="OH1093"/>
      <c r="OK1093"/>
      <c r="OL1093"/>
      <c r="OO1093"/>
      <c r="OP1093"/>
      <c r="OS1093"/>
      <c r="OT1093"/>
      <c r="OW1093"/>
      <c r="OX1093"/>
      <c r="PA1093"/>
      <c r="PB1093"/>
      <c r="PE1093"/>
      <c r="PF1093"/>
      <c r="PI1093"/>
      <c r="PJ1093"/>
      <c r="PM1093"/>
      <c r="PN1093"/>
      <c r="PQ1093"/>
      <c r="PR1093"/>
      <c r="PU1093"/>
      <c r="PV1093"/>
      <c r="PY1093"/>
      <c r="PZ1093"/>
      <c r="QC1093"/>
      <c r="QD1093"/>
      <c r="QG1093"/>
      <c r="QH1093"/>
      <c r="QK1093"/>
      <c r="QL1093"/>
      <c r="QO1093"/>
      <c r="QP1093"/>
      <c r="QS1093"/>
      <c r="QT1093"/>
      <c r="QW1093"/>
      <c r="QX1093"/>
      <c r="RA1093"/>
      <c r="RB1093"/>
      <c r="RE1093"/>
      <c r="RF1093"/>
      <c r="RI1093"/>
      <c r="RJ1093"/>
      <c r="RM1093"/>
      <c r="RN1093"/>
      <c r="RQ1093"/>
      <c r="RR1093"/>
      <c r="RU1093"/>
      <c r="RV1093"/>
      <c r="RY1093"/>
      <c r="RZ1093"/>
      <c r="SC1093"/>
      <c r="SD1093"/>
      <c r="SG1093"/>
      <c r="SH1093"/>
      <c r="SK1093"/>
      <c r="SL1093"/>
      <c r="SO1093"/>
      <c r="SP1093"/>
      <c r="SS1093"/>
      <c r="ST1093"/>
      <c r="SW1093"/>
      <c r="SX1093"/>
      <c r="TA1093"/>
      <c r="TB1093"/>
      <c r="TE1093"/>
      <c r="TF1093"/>
      <c r="TI1093"/>
      <c r="TJ1093"/>
      <c r="TM1093"/>
      <c r="TN1093"/>
      <c r="TQ1093"/>
      <c r="TR1093"/>
      <c r="TU1093"/>
      <c r="TV1093"/>
      <c r="TY1093"/>
      <c r="TZ1093"/>
      <c r="UC1093"/>
      <c r="UD1093"/>
      <c r="UG1093"/>
      <c r="UH1093"/>
      <c r="UK1093"/>
      <c r="UL1093"/>
      <c r="UO1093"/>
      <c r="UP1093"/>
      <c r="US1093"/>
      <c r="UT1093"/>
      <c r="UW1093"/>
      <c r="UX1093"/>
      <c r="VA1093"/>
      <c r="VB1093"/>
      <c r="VE1093"/>
      <c r="VF1093"/>
      <c r="VI1093"/>
      <c r="VJ1093"/>
      <c r="VM1093"/>
      <c r="VN1093"/>
      <c r="VQ1093"/>
      <c r="VR1093"/>
      <c r="VU1093"/>
      <c r="VV1093"/>
      <c r="VY1093"/>
      <c r="VZ1093"/>
      <c r="WC1093"/>
      <c r="WD1093"/>
      <c r="WG1093"/>
      <c r="WH1093"/>
      <c r="WK1093"/>
      <c r="WL1093"/>
      <c r="WO1093"/>
      <c r="WP1093"/>
      <c r="WS1093"/>
      <c r="WT1093"/>
      <c r="WW1093"/>
      <c r="WX1093"/>
      <c r="XA1093"/>
      <c r="XB1093"/>
      <c r="XE1093"/>
      <c r="XF1093"/>
      <c r="XI1093"/>
      <c r="XJ1093"/>
      <c r="XM1093"/>
      <c r="XN1093"/>
      <c r="XQ1093"/>
      <c r="XR1093"/>
      <c r="XU1093"/>
      <c r="XV1093"/>
      <c r="XY1093"/>
      <c r="XZ1093"/>
      <c r="YC1093"/>
      <c r="YD1093"/>
      <c r="YG1093"/>
      <c r="YH1093"/>
      <c r="YK1093"/>
      <c r="YL1093"/>
      <c r="YO1093"/>
      <c r="YP1093"/>
      <c r="YS1093"/>
      <c r="YT1093"/>
      <c r="YW1093"/>
      <c r="YX1093"/>
      <c r="ZA1093"/>
      <c r="ZB1093"/>
      <c r="ZE1093"/>
      <c r="ZF1093"/>
      <c r="ZI1093"/>
      <c r="ZJ1093"/>
      <c r="ZM1093"/>
      <c r="ZN1093"/>
      <c r="ZQ1093"/>
      <c r="ZR1093"/>
      <c r="ZU1093"/>
      <c r="ZV1093"/>
      <c r="ZY1093"/>
      <c r="ZZ1093"/>
      <c r="AAC1093"/>
      <c r="AAD1093"/>
      <c r="AAG1093"/>
      <c r="AAH1093"/>
      <c r="AAK1093"/>
      <c r="AAL1093"/>
      <c r="AAO1093"/>
      <c r="AAP1093"/>
      <c r="AAS1093"/>
      <c r="AAT1093"/>
      <c r="AAW1093"/>
      <c r="AAX1093"/>
      <c r="ABA1093"/>
      <c r="ABB1093"/>
      <c r="ABE1093"/>
      <c r="ABF1093"/>
      <c r="ABI1093"/>
      <c r="ABJ1093"/>
      <c r="ABM1093"/>
      <c r="ABN1093"/>
      <c r="ABQ1093"/>
      <c r="ABR1093"/>
      <c r="ABU1093"/>
      <c r="ABV1093"/>
      <c r="ABY1093"/>
      <c r="ABZ1093"/>
      <c r="ACC1093"/>
      <c r="ACD1093"/>
      <c r="ACG1093"/>
      <c r="ACH1093"/>
      <c r="ACK1093"/>
      <c r="ACL1093"/>
      <c r="ACO1093"/>
      <c r="ACP1093"/>
      <c r="ACS1093"/>
      <c r="ACT1093"/>
      <c r="ACW1093"/>
      <c r="ACX1093"/>
      <c r="ADA1093"/>
      <c r="ADB1093"/>
      <c r="ADE1093"/>
      <c r="ADF1093"/>
      <c r="ADI1093"/>
      <c r="ADJ1093"/>
      <c r="ADM1093"/>
      <c r="ADN1093"/>
      <c r="ADQ1093"/>
      <c r="ADR1093"/>
      <c r="ADU1093"/>
      <c r="ADV1093"/>
      <c r="ADY1093"/>
      <c r="ADZ1093"/>
      <c r="AEC1093"/>
      <c r="AED1093"/>
      <c r="AEG1093"/>
      <c r="AEH1093"/>
      <c r="AEK1093"/>
      <c r="AEL1093"/>
      <c r="AEO1093"/>
      <c r="AEP1093"/>
      <c r="AES1093"/>
      <c r="AET1093"/>
      <c r="AEW1093"/>
      <c r="AEX1093"/>
      <c r="AFA1093"/>
      <c r="AFB1093"/>
      <c r="AFE1093"/>
      <c r="AFF1093"/>
      <c r="AFI1093"/>
      <c r="AFJ1093"/>
      <c r="AFM1093"/>
      <c r="AFN1093"/>
      <c r="AFQ1093"/>
      <c r="AFR1093"/>
      <c r="AFU1093"/>
      <c r="AFV1093"/>
      <c r="AFY1093"/>
      <c r="AFZ1093"/>
      <c r="AGC1093"/>
      <c r="AGD1093"/>
      <c r="AGG1093"/>
      <c r="AGH1093"/>
      <c r="AGK1093"/>
      <c r="AGL1093"/>
      <c r="AGO1093"/>
      <c r="AGP1093"/>
      <c r="AGS1093"/>
      <c r="AGT1093"/>
      <c r="AGW1093"/>
      <c r="AGX1093"/>
      <c r="AHA1093"/>
      <c r="AHB1093"/>
      <c r="AHE1093"/>
      <c r="AHF1093"/>
      <c r="AHI1093"/>
      <c r="AHJ1093"/>
      <c r="AHM1093"/>
      <c r="AHN1093"/>
      <c r="AHQ1093"/>
      <c r="AHR1093"/>
      <c r="AHU1093"/>
      <c r="AHV1093"/>
      <c r="AHY1093"/>
      <c r="AHZ1093"/>
      <c r="AIC1093"/>
      <c r="AID1093"/>
      <c r="AIG1093"/>
      <c r="AIH1093"/>
      <c r="AIK1093"/>
      <c r="AIL1093"/>
      <c r="AIO1093"/>
      <c r="AIP1093"/>
      <c r="AIS1093"/>
      <c r="AIT1093"/>
      <c r="AIW1093"/>
      <c r="AIX1093"/>
      <c r="AJA1093"/>
      <c r="AJB1093"/>
      <c r="AJE1093"/>
      <c r="AJF1093"/>
      <c r="AJI1093"/>
      <c r="AJJ1093"/>
      <c r="AJM1093"/>
      <c r="AJN1093"/>
      <c r="AJQ1093"/>
      <c r="AJR1093"/>
      <c r="AJU1093"/>
      <c r="AJV1093"/>
      <c r="AJY1093"/>
      <c r="AJZ1093"/>
      <c r="AKC1093"/>
      <c r="AKD1093"/>
      <c r="AKG1093"/>
      <c r="AKH1093"/>
      <c r="AKK1093"/>
      <c r="AKL1093"/>
      <c r="AKO1093"/>
      <c r="AKP1093"/>
      <c r="AKS1093"/>
      <c r="AKT1093"/>
      <c r="AKW1093"/>
      <c r="AKX1093"/>
      <c r="ALA1093"/>
      <c r="ALB1093"/>
      <c r="ALE1093"/>
      <c r="ALF1093"/>
      <c r="ALI1093"/>
      <c r="ALJ1093"/>
      <c r="ALM1093"/>
      <c r="ALN1093"/>
      <c r="ALQ1093"/>
      <c r="ALR1093"/>
      <c r="ALU1093"/>
      <c r="ALV1093"/>
      <c r="ALY1093"/>
      <c r="ALZ1093"/>
      <c r="AMC1093"/>
      <c r="AMD1093"/>
      <c r="AMG1093"/>
      <c r="AMH1093"/>
      <c r="AMK1093"/>
      <c r="AML1093"/>
      <c r="AMO1093"/>
      <c r="AMP1093"/>
      <c r="AMS1093"/>
      <c r="AMT1093"/>
      <c r="AMW1093"/>
      <c r="AMX1093"/>
      <c r="ANA1093"/>
      <c r="ANB1093"/>
      <c r="ANE1093"/>
      <c r="ANF1093"/>
      <c r="ANI1093"/>
      <c r="ANJ1093"/>
      <c r="ANM1093"/>
      <c r="ANN1093"/>
      <c r="ANQ1093"/>
      <c r="ANR1093"/>
      <c r="ANU1093"/>
      <c r="ANV1093"/>
      <c r="ANY1093"/>
      <c r="ANZ1093"/>
      <c r="AOC1093"/>
      <c r="AOD1093"/>
      <c r="AOG1093"/>
      <c r="AOH1093"/>
      <c r="AOK1093"/>
      <c r="AOL1093"/>
      <c r="AOO1093"/>
      <c r="AOP1093"/>
      <c r="AOS1093"/>
      <c r="AOT1093"/>
      <c r="AOW1093"/>
      <c r="AOX1093"/>
      <c r="APA1093"/>
      <c r="APB1093"/>
      <c r="APE1093"/>
      <c r="APF1093"/>
      <c r="API1093"/>
      <c r="APJ1093"/>
      <c r="APM1093"/>
      <c r="APN1093"/>
      <c r="APQ1093"/>
      <c r="APR1093"/>
      <c r="APU1093"/>
      <c r="APV1093"/>
      <c r="APY1093"/>
      <c r="APZ1093"/>
      <c r="AQC1093"/>
      <c r="AQD1093"/>
      <c r="AQG1093"/>
      <c r="AQH1093"/>
      <c r="AQK1093"/>
      <c r="AQL1093"/>
      <c r="AQO1093"/>
      <c r="AQP1093"/>
      <c r="AQS1093"/>
      <c r="AQT1093"/>
      <c r="AQW1093"/>
      <c r="AQX1093"/>
      <c r="ARA1093"/>
      <c r="ARB1093"/>
      <c r="ARE1093"/>
      <c r="ARF1093"/>
      <c r="ARI1093"/>
      <c r="ARJ1093"/>
      <c r="ARM1093"/>
      <c r="ARN1093"/>
      <c r="ARQ1093"/>
      <c r="ARR1093"/>
      <c r="ARU1093"/>
      <c r="ARV1093"/>
      <c r="ARY1093"/>
      <c r="ARZ1093"/>
      <c r="ASC1093"/>
      <c r="ASD1093"/>
      <c r="ASG1093"/>
      <c r="ASH1093"/>
      <c r="ASK1093"/>
      <c r="ASL1093"/>
      <c r="ASO1093"/>
      <c r="ASP1093"/>
      <c r="ASS1093"/>
      <c r="AST1093"/>
      <c r="ASW1093"/>
      <c r="ASX1093"/>
      <c r="ATA1093"/>
      <c r="ATB1093"/>
      <c r="ATE1093"/>
      <c r="ATF1093"/>
      <c r="ATI1093"/>
      <c r="ATJ1093"/>
      <c r="ATM1093"/>
      <c r="ATN1093"/>
      <c r="ATQ1093"/>
      <c r="ATR1093"/>
      <c r="ATU1093"/>
      <c r="ATV1093"/>
      <c r="ATY1093"/>
      <c r="ATZ1093"/>
      <c r="AUC1093"/>
      <c r="AUD1093"/>
      <c r="AUG1093"/>
      <c r="AUH1093"/>
      <c r="AUK1093"/>
      <c r="AUL1093"/>
      <c r="AUO1093"/>
      <c r="AUP1093"/>
      <c r="AUS1093"/>
      <c r="AUT1093"/>
      <c r="AUW1093"/>
      <c r="AUX1093"/>
      <c r="AVA1093"/>
      <c r="AVB1093"/>
      <c r="AVE1093"/>
      <c r="AVF1093"/>
      <c r="AVI1093"/>
      <c r="AVJ1093"/>
      <c r="AVM1093"/>
      <c r="AVN1093"/>
      <c r="AVQ1093"/>
      <c r="AVR1093"/>
      <c r="AVU1093"/>
      <c r="AVV1093"/>
      <c r="AVY1093"/>
      <c r="AVZ1093"/>
      <c r="AWC1093"/>
      <c r="AWD1093"/>
      <c r="AWG1093"/>
      <c r="AWH1093"/>
      <c r="AWK1093"/>
      <c r="AWL1093"/>
      <c r="AWO1093"/>
      <c r="AWP1093"/>
      <c r="AWS1093"/>
      <c r="AWT1093"/>
      <c r="AWW1093"/>
      <c r="AWX1093"/>
      <c r="AXA1093"/>
      <c r="AXB1093"/>
      <c r="AXE1093"/>
      <c r="AXF1093"/>
      <c r="AXI1093"/>
      <c r="AXJ1093"/>
      <c r="AXM1093"/>
      <c r="AXN1093"/>
      <c r="AXQ1093"/>
      <c r="AXR1093"/>
      <c r="AXU1093"/>
      <c r="AXV1093"/>
      <c r="AXY1093"/>
      <c r="AXZ1093"/>
      <c r="AYC1093"/>
      <c r="AYD1093"/>
      <c r="AYG1093"/>
      <c r="AYH1093"/>
      <c r="AYK1093"/>
      <c r="AYL1093"/>
      <c r="AYO1093"/>
      <c r="AYP1093"/>
      <c r="AYS1093"/>
      <c r="AYT1093"/>
      <c r="AYW1093"/>
      <c r="AYX1093"/>
      <c r="AZA1093"/>
      <c r="AZB1093"/>
      <c r="AZE1093"/>
      <c r="AZF1093"/>
      <c r="AZI1093"/>
      <c r="AZJ1093"/>
      <c r="AZM1093"/>
      <c r="AZN1093"/>
      <c r="AZQ1093"/>
      <c r="AZR1093"/>
      <c r="AZU1093"/>
      <c r="AZV1093"/>
      <c r="AZY1093"/>
      <c r="AZZ1093"/>
      <c r="BAC1093"/>
      <c r="BAD1093"/>
      <c r="BAG1093"/>
      <c r="BAH1093"/>
      <c r="BAK1093"/>
      <c r="BAL1093"/>
      <c r="BAO1093"/>
      <c r="BAP1093"/>
      <c r="BAS1093"/>
      <c r="BAT1093"/>
      <c r="BAW1093"/>
      <c r="BAX1093"/>
      <c r="BBA1093"/>
      <c r="BBB1093"/>
      <c r="BBE1093"/>
      <c r="BBF1093"/>
      <c r="BBI1093"/>
      <c r="BBJ1093"/>
      <c r="BBM1093"/>
      <c r="BBN1093"/>
      <c r="BBQ1093"/>
      <c r="BBR1093"/>
      <c r="BBU1093"/>
      <c r="BBV1093"/>
      <c r="BBY1093"/>
      <c r="BBZ1093"/>
      <c r="BCC1093"/>
      <c s="45" r="BCD1093"/>
      <c r="BCG1093"/>
      <c r="BCH1093"/>
      <c r="BCK1093"/>
      <c r="BCL1093"/>
      <c r="BCO1093"/>
      <c r="BCP1093"/>
      <c r="BCS1093"/>
      <c r="BCT1093"/>
      <c r="BCW1093"/>
      <c r="BCX1093"/>
      <c r="BDA1093"/>
      <c r="BDB1093"/>
      <c r="BDE1093"/>
      <c r="BDF1093"/>
      <c r="BDI1093"/>
      <c r="BDJ1093"/>
      <c r="BDM1093"/>
      <c r="BDN1093"/>
      <c r="BDQ1093"/>
      <c r="BDR1093"/>
      <c r="BDU1093"/>
      <c r="BDV1093"/>
      <c r="BDY1093"/>
      <c r="BDZ1093"/>
      <c r="BEC1093"/>
      <c r="BED1093"/>
      <c r="BEG1093"/>
      <c r="BEH1093"/>
      <c r="BEK1093"/>
      <c r="BEL1093"/>
      <c r="BEO1093"/>
      <c r="BEP1093"/>
      <c r="BES1093"/>
      <c r="BET1093"/>
      <c r="BEW1093"/>
      <c r="BEX1093"/>
      <c r="BFA1093"/>
      <c r="BFB1093"/>
      <c r="BFE1093"/>
      <c r="BFF1093"/>
      <c r="BFI1093"/>
      <c r="BFJ1093"/>
      <c r="BFM1093"/>
      <c r="BFN1093"/>
      <c r="BFQ1093"/>
      <c r="BFR1093"/>
      <c r="BFU1093"/>
      <c r="BFV1093"/>
      <c r="BFY1093"/>
      <c r="BFZ1093"/>
      <c r="BGC1093"/>
      <c r="BGD1093"/>
      <c r="BGG1093"/>
      <c r="BGH1093"/>
      <c r="BGK1093"/>
      <c r="BGL1093"/>
      <c r="BGO1093"/>
      <c r="BGP1093"/>
      <c r="BGS1093"/>
      <c r="BGT1093"/>
      <c r="BGW1093"/>
      <c r="BGX1093"/>
      <c r="BHA1093"/>
      <c r="BHB1093"/>
      <c r="BHE1093"/>
      <c r="BHF1093"/>
      <c r="BHI1093"/>
      <c r="BHJ1093"/>
      <c r="BHM1093"/>
      <c r="BHN1093"/>
      <c r="BHQ1093"/>
      <c r="BHR1093"/>
      <c r="BHU1093"/>
      <c r="BHV1093"/>
      <c r="BHY1093"/>
      <c r="BHZ1093"/>
      <c r="BIC1093"/>
      <c r="BID1093"/>
      <c r="BIG1093"/>
      <c r="BIH1093"/>
      <c r="BIK1093"/>
      <c r="BIL1093"/>
      <c r="BIO1093"/>
      <c r="BIP1093"/>
      <c r="BIS1093"/>
      <c r="BIT1093"/>
      <c r="BIW1093"/>
      <c r="BIX1093"/>
      <c r="BJA1093"/>
      <c r="BJB1093"/>
      <c r="BJE1093"/>
      <c r="BJF1093"/>
      <c r="BJI1093"/>
      <c r="BJJ1093"/>
      <c r="BJM1093"/>
      <c r="BJN1093"/>
      <c r="BJQ1093"/>
      <c r="BJR1093"/>
      <c r="BJU1093"/>
      <c r="BJV1093"/>
      <c r="BJY1093"/>
      <c r="BJZ1093"/>
      <c r="BKC1093"/>
      <c r="BKD1093"/>
      <c r="BKG1093"/>
      <c r="BKH1093"/>
      <c r="BKK1093"/>
      <c r="BKL1093"/>
      <c r="BKO1093"/>
      <c r="BKP1093"/>
      <c r="BKS1093"/>
      <c r="BKT1093"/>
      <c r="BKW1093"/>
      <c r="BKX1093"/>
      <c r="BLA1093"/>
      <c r="BLB1093"/>
      <c r="BLE1093"/>
      <c r="BLF1093"/>
      <c r="BLI1093"/>
      <c r="BLJ1093"/>
      <c r="BLM1093"/>
      <c r="BLN1093"/>
      <c r="BLQ1093"/>
      <c r="BLR1093"/>
      <c r="BLU1093"/>
      <c r="BLV1093"/>
      <c r="BLY1093"/>
      <c r="BLZ1093"/>
      <c r="BMC1093"/>
      <c r="BMD1093"/>
      <c r="BMG1093"/>
      <c r="BMH1093"/>
      <c r="BMK1093"/>
      <c r="BML1093"/>
      <c r="BMO1093"/>
      <c r="BMP1093"/>
      <c r="BMS1093"/>
      <c r="BMT1093"/>
      <c r="BMW1093"/>
      <c r="BMX1093"/>
      <c r="BNA1093"/>
      <c r="BNB1093"/>
      <c r="BNE1093"/>
      <c r="BNF1093"/>
      <c r="BNI1093"/>
      <c r="BNJ1093"/>
      <c r="BNM1093"/>
      <c r="BNN1093"/>
      <c r="BNQ1093"/>
      <c r="BNR1093"/>
      <c r="BNU1093"/>
      <c r="BNV1093"/>
      <c r="BNY1093"/>
      <c r="BNZ1093"/>
      <c r="BOC1093"/>
      <c r="BOD1093"/>
      <c r="BOG1093"/>
      <c r="BOH1093"/>
      <c r="BOK1093"/>
      <c r="BOL1093"/>
      <c r="BOO1093"/>
      <c r="BOP1093"/>
      <c r="BOS1093"/>
      <c r="BOT1093"/>
      <c r="BOW1093"/>
      <c r="BOX1093"/>
      <c r="BPA1093"/>
      <c r="BPB1093"/>
      <c r="BPE1093"/>
      <c r="BPF1093"/>
      <c r="BPI1093"/>
      <c r="BPJ1093"/>
      <c r="BPM1093"/>
      <c r="BPN1093"/>
      <c r="BPQ1093"/>
      <c r="BPR1093"/>
      <c r="BPU1093"/>
      <c r="BPV1093"/>
      <c r="BPY1093"/>
      <c r="BPZ1093"/>
      <c r="BQC1093"/>
      <c r="BQD1093"/>
      <c r="BQG1093"/>
      <c r="BQH1093"/>
      <c r="BQK1093"/>
      <c r="BQL1093"/>
      <c r="BQO1093"/>
      <c r="BQP1093"/>
      <c r="BQS1093"/>
      <c r="BQT1093"/>
      <c r="BQW1093"/>
      <c r="BQX1093"/>
      <c r="BRA1093"/>
      <c r="BRB1093"/>
      <c r="BRE1093"/>
      <c r="BRF1093"/>
      <c r="BRI1093"/>
      <c r="BRJ1093"/>
      <c r="BRM1093"/>
      <c r="BRN1093"/>
      <c r="BRQ1093"/>
      <c r="BRR1093"/>
      <c r="BRU1093"/>
      <c r="BRV1093"/>
      <c r="BRY1093"/>
      <c r="BRZ1093"/>
      <c r="BSC1093"/>
      <c r="BSD1093"/>
      <c r="BSG1093"/>
      <c r="BSH1093"/>
      <c r="BSK1093"/>
      <c r="BSL1093"/>
      <c r="BSO1093"/>
      <c r="BSP1093"/>
      <c r="BSS1093"/>
      <c r="BST1093"/>
      <c r="BSW1093"/>
      <c r="BSX1093"/>
      <c r="BTA1093"/>
      <c r="BTB1093"/>
      <c r="BTE1093"/>
      <c r="BTF1093"/>
      <c r="BTI1093"/>
      <c r="BTJ1093"/>
      <c r="BTM1093"/>
      <c r="BTN1093"/>
      <c r="BTQ1093"/>
      <c r="BTR1093"/>
      <c r="BTU1093"/>
      <c r="BTV1093"/>
      <c r="BTY1093"/>
      <c r="BTZ1093"/>
      <c r="BUC1093"/>
      <c r="BUD1093"/>
      <c r="BUG1093"/>
      <c r="BUH1093"/>
      <c r="BUK1093"/>
      <c r="BUL1093"/>
      <c r="BUO1093"/>
      <c r="BUP1093"/>
      <c r="BUS1093"/>
      <c r="BUT1093"/>
      <c r="BUW1093"/>
      <c r="BUX1093"/>
      <c r="BVA1093"/>
      <c r="BVB1093"/>
      <c r="BVE1093"/>
      <c r="BVF1093"/>
      <c r="BVI1093"/>
      <c r="BVJ1093"/>
      <c r="BVM1093"/>
      <c r="BVN1093"/>
      <c r="BVQ1093"/>
      <c r="BVR1093"/>
      <c r="BVU1093"/>
      <c r="BVV1093"/>
      <c r="BVY1093"/>
      <c r="BVZ1093"/>
      <c r="BWC1093"/>
      <c r="BWD1093"/>
      <c r="BWG1093"/>
      <c r="BWH1093"/>
      <c r="BWK1093"/>
      <c r="BWL1093"/>
      <c r="BWO1093"/>
      <c r="BWP1093"/>
      <c r="BWS1093"/>
      <c r="BWT1093"/>
      <c r="BWW1093"/>
      <c r="BWX1093"/>
      <c r="BXA1093"/>
      <c r="BXB1093"/>
      <c r="BXE1093"/>
      <c r="BXF1093"/>
      <c r="BXI1093"/>
      <c r="BXJ1093"/>
      <c r="BXM1093"/>
      <c r="BXN1093"/>
      <c r="BXQ1093"/>
      <c r="BXR1093"/>
      <c r="BXU1093"/>
      <c r="BXV1093"/>
      <c r="BXY1093"/>
      <c r="BXZ1093"/>
      <c r="BYC1093"/>
      <c r="BYD1093"/>
      <c r="BYG1093"/>
      <c r="BYH1093"/>
      <c r="BYK1093"/>
      <c r="BYL1093"/>
      <c r="BYO1093"/>
      <c r="BYP1093"/>
      <c r="BYS1093"/>
      <c r="BYT1093"/>
      <c r="BYW1093"/>
      <c r="BYX1093"/>
      <c r="BZA1093"/>
      <c r="BZB1093"/>
      <c r="BZE1093"/>
      <c r="BZF1093"/>
      <c r="BZI1093"/>
      <c r="BZJ1093"/>
      <c r="BZM1093"/>
      <c r="BZN1093"/>
      <c r="BZQ1093"/>
      <c r="BZR1093"/>
      <c r="BZU1093"/>
      <c r="BZV1093"/>
      <c r="BZY1093"/>
      <c r="BZZ1093"/>
      <c r="CAC1093"/>
      <c r="CAD1093"/>
      <c r="CAG1093"/>
      <c r="CAH1093"/>
      <c r="CAK1093"/>
      <c r="CAL1093"/>
      <c r="CAO1093"/>
      <c r="CAP1093"/>
      <c r="CAS1093"/>
      <c r="CAT1093"/>
      <c r="CAW1093"/>
      <c r="CAX1093"/>
      <c r="CBA1093"/>
      <c r="CBB1093"/>
      <c r="CBE1093"/>
      <c r="CBF1093"/>
      <c r="CBI1093"/>
      <c r="CBJ1093"/>
      <c r="CBM1093"/>
      <c r="CBN1093"/>
      <c r="CBQ1093"/>
      <c r="CBR1093"/>
      <c r="CBU1093"/>
      <c r="CBV1093"/>
      <c r="CBY1093"/>
      <c r="CBZ1093"/>
      <c r="CCC1093"/>
      <c r="CCD1093"/>
      <c r="CCG1093"/>
      <c r="CCH1093"/>
      <c r="CCK1093"/>
      <c r="CCL1093"/>
      <c r="CCO1093"/>
      <c r="CCP1093"/>
      <c r="CCS1093"/>
      <c r="CCT1093"/>
      <c r="CCW1093"/>
      <c r="CCX1093"/>
      <c r="CDA1093"/>
      <c r="CDB1093"/>
      <c s="45" r="CDE1093"/>
      <c r="CDF1093"/>
      <c r="CDI1093"/>
      <c r="CDJ1093"/>
      <c r="CDM1093"/>
      <c r="CDN1093"/>
      <c r="CDQ1093"/>
      <c r="CDR1093"/>
      <c r="CDU1093"/>
      <c r="CDV1093"/>
      <c r="CDY1093"/>
      <c r="CDZ1093"/>
      <c r="CEC1093"/>
      <c r="CED1093"/>
      <c r="CEG1093"/>
      <c r="CEH1093"/>
      <c r="CEK1093"/>
      <c r="CEL1093"/>
      <c r="CEO1093"/>
      <c r="CEP1093"/>
      <c r="CES1093"/>
      <c r="CET1093"/>
      <c r="CEW1093"/>
      <c r="CEX1093"/>
      <c r="CFA1093"/>
      <c r="CFB1093"/>
      <c r="CFE1093"/>
      <c r="CFF1093"/>
      <c r="CFI1093"/>
      <c r="CFJ1093"/>
      <c r="CFM1093"/>
      <c r="CFN1093"/>
      <c r="CFQ1093"/>
      <c r="CFR1093"/>
      <c r="CFU1093"/>
      <c r="CFV1093"/>
      <c r="CFY1093"/>
      <c r="CFZ1093"/>
      <c r="CGC1093"/>
      <c r="CGD1093"/>
      <c r="CGG1093"/>
      <c r="CGH1093"/>
      <c r="CGK1093"/>
      <c r="CGL1093"/>
      <c r="CGO1093"/>
      <c r="CGP1093"/>
      <c r="CGS1093"/>
      <c r="CGT1093"/>
      <c r="CGW1093"/>
      <c r="CGX1093"/>
      <c r="CHA1093"/>
      <c r="CHB1093"/>
      <c r="CHE1093"/>
      <c r="CHF1093"/>
      <c r="CHI1093"/>
      <c r="CHJ1093"/>
      <c r="CHM1093"/>
      <c r="CHN1093"/>
      <c r="CHQ1093"/>
      <c r="CHR1093"/>
      <c r="CHU1093"/>
      <c r="CHV1093"/>
      <c r="CHY1093"/>
      <c r="CHZ1093"/>
      <c r="CIC1093"/>
      <c r="CID1093"/>
      <c r="CIG1093"/>
      <c r="CIH1093"/>
      <c r="CIK1093"/>
      <c r="CIL1093"/>
      <c r="CIO1093"/>
      <c r="CIP1093"/>
      <c r="CIS1093"/>
      <c r="CIT1093"/>
      <c r="CIW1093"/>
      <c r="CIX1093"/>
      <c r="CJA1093"/>
      <c r="CJB1093"/>
      <c r="CJE1093"/>
      <c r="CJF1093"/>
      <c r="CJI1093"/>
      <c r="CJJ1093"/>
      <c r="CJM1093"/>
      <c r="CJN1093"/>
      <c r="CJQ1093"/>
      <c r="CJR1093"/>
      <c r="CJU1093"/>
      <c r="CJV1093"/>
      <c r="CJY1093"/>
      <c r="CJZ1093"/>
      <c r="CKC1093"/>
      <c r="CKD1093"/>
      <c r="CKG1093"/>
      <c r="CKH1093"/>
      <c r="CKK1093"/>
      <c r="CKL1093"/>
      <c r="CKO1093"/>
      <c r="CKP1093"/>
      <c r="CKS1093"/>
      <c r="CKT1093"/>
      <c r="CKW1093"/>
      <c r="CKX1093"/>
      <c r="CLA1093"/>
      <c r="CLB1093"/>
      <c r="CLE1093"/>
      <c r="CLF1093"/>
      <c r="CLI1093"/>
      <c r="CLJ1093"/>
      <c r="CLM1093"/>
      <c r="CLN1093"/>
      <c r="CLQ1093"/>
      <c r="CLR1093"/>
      <c r="CLU1093"/>
      <c r="CLV1093"/>
      <c r="CLY1093"/>
      <c r="CLZ1093"/>
      <c r="CMC1093"/>
      <c r="CMD1093"/>
      <c r="CMG1093"/>
      <c r="CMH1093"/>
      <c r="CMK1093"/>
      <c r="CML1093"/>
      <c r="CMO1093"/>
      <c r="CMP1093"/>
      <c r="CMS1093"/>
      <c r="CMT1093"/>
      <c r="CMW1093"/>
      <c r="CMX1093"/>
      <c r="CNA1093"/>
      <c r="CNB1093"/>
      <c r="CNE1093"/>
      <c r="CNF1093"/>
      <c r="CNI1093"/>
      <c r="CNJ1093"/>
      <c r="CNM1093"/>
      <c r="CNN1093"/>
      <c r="CNQ1093"/>
      <c r="CNR1093"/>
      <c r="CNU1093"/>
      <c r="CNV1093"/>
      <c r="CNY1093"/>
      <c r="CNZ1093"/>
      <c r="COC1093"/>
      <c r="COD1093"/>
      <c r="COG1093"/>
      <c r="COH1093"/>
      <c r="COK1093"/>
      <c r="COL1093"/>
      <c r="COO1093"/>
      <c r="COP1093"/>
      <c r="COS1093"/>
      <c r="COT1093"/>
      <c r="COW1093"/>
      <c r="COX1093"/>
      <c r="CPA1093"/>
      <c r="CPB1093"/>
      <c r="CPE1093"/>
      <c r="CPF1093"/>
      <c r="CPI1093"/>
      <c r="CPJ1093"/>
      <c r="CPM1093"/>
      <c r="CPN1093"/>
      <c r="CPQ1093"/>
      <c r="CPR1093"/>
      <c r="CPU1093"/>
      <c r="CPV1093"/>
      <c r="CPY1093"/>
      <c r="CPZ1093"/>
      <c r="CQC1093"/>
      <c r="CQD1093"/>
      <c r="CQG1093"/>
      <c r="CQH1093"/>
      <c r="CQK1093"/>
      <c r="CQL1093"/>
      <c r="CQO1093"/>
      <c r="CQP1093"/>
      <c r="CQS1093"/>
      <c r="CQT1093"/>
      <c r="CQW1093"/>
      <c r="CQX1093"/>
      <c r="CRA1093"/>
      <c r="CRB1093"/>
      <c r="CRE1093"/>
      <c r="CRF1093"/>
      <c r="CRI1093"/>
      <c r="CRJ1093"/>
      <c r="CRM1093"/>
      <c r="CRN1093"/>
      <c r="CRQ1093"/>
      <c r="CRR1093"/>
      <c r="CRU1093"/>
      <c r="CRV1093"/>
      <c r="CRY1093"/>
      <c r="CRZ1093"/>
      <c r="CSC1093"/>
      <c r="CSD1093"/>
      <c r="CSG1093"/>
      <c r="CSH1093"/>
      <c r="CSK1093"/>
      <c r="CSL1093"/>
      <c r="CSO1093"/>
      <c r="CSP1093"/>
      <c r="CSS1093"/>
      <c r="CST1093"/>
      <c r="CSW1093"/>
      <c r="CSX1093"/>
      <c r="CTA1093"/>
      <c r="CTB1093"/>
      <c r="CTE1093"/>
      <c r="CTF1093"/>
      <c r="CTI1093"/>
      <c r="CTJ1093"/>
      <c r="CTM1093"/>
      <c r="CTN1093"/>
      <c r="CTQ1093"/>
      <c r="CTR1093"/>
      <c r="CTU1093"/>
      <c r="CTV1093"/>
      <c r="CTY1093"/>
      <c r="CTZ1093"/>
      <c r="CUC1093"/>
      <c r="CUD1093"/>
      <c r="CUG1093"/>
      <c r="CUH1093"/>
      <c r="CUK1093"/>
      <c r="CUL1093"/>
      <c r="CUO1093"/>
      <c r="CUP1093"/>
      <c r="CUS1093"/>
      <c r="CUT1093"/>
      <c r="CUW1093"/>
      <c r="CUX1093"/>
      <c r="CVA1093"/>
      <c r="CVB1093"/>
      <c r="CVE1093"/>
      <c r="CVF1093"/>
      <c r="CVI1093"/>
      <c r="CVJ1093"/>
      <c r="CVM1093"/>
      <c r="CVN1093"/>
      <c r="CVQ1093"/>
      <c r="CVR1093"/>
      <c r="CVU1093"/>
      <c r="CVV1093"/>
      <c r="CVY1093"/>
      <c r="CVZ1093"/>
      <c r="CWC1093"/>
      <c r="CWD1093"/>
      <c r="CWG1093"/>
      <c r="CWH1093"/>
      <c r="CWK1093"/>
      <c r="CWL1093"/>
      <c r="CWO1093"/>
      <c r="CWP1093"/>
      <c r="CWS1093"/>
      <c r="CWT1093"/>
      <c r="CWW1093"/>
      <c r="CWX1093"/>
      <c r="CXA1093"/>
      <c r="CXB1093"/>
      <c r="CXE1093"/>
      <c r="CXF1093"/>
      <c r="CXI1093"/>
      <c r="CXJ1093"/>
      <c r="CXM1093"/>
      <c r="CXN1093"/>
      <c r="CXQ1093"/>
      <c r="CXR1093"/>
      <c r="CXU1093"/>
      <c r="CXV1093"/>
      <c r="CXY1093"/>
      <c r="CXZ1093"/>
      <c r="CYC1093"/>
      <c r="CYD1093"/>
      <c r="CYG1093"/>
      <c r="CYH1093"/>
      <c r="CYK1093"/>
      <c r="CYL1093"/>
      <c r="CYO1093"/>
      <c r="CYP1093"/>
      <c r="CYS1093"/>
      <c r="CYT1093"/>
      <c r="CYW1093"/>
      <c r="CYX1093"/>
      <c r="CZA1093"/>
      <c r="CZB1093"/>
      <c r="CZE1093"/>
      <c r="CZF1093"/>
      <c r="CZI1093"/>
      <c r="CZJ1093"/>
      <c r="CZM1093"/>
      <c r="CZN1093"/>
      <c r="CZQ1093"/>
      <c r="CZR1093"/>
      <c r="CZU1093"/>
      <c r="CZV1093"/>
      <c r="CZY1093"/>
      <c r="CZZ1093"/>
      <c r="DAC1093"/>
      <c r="DAD1093"/>
      <c r="DAG1093"/>
      <c r="DAH1093"/>
      <c r="DAK1093"/>
      <c r="DAL1093"/>
      <c r="DAO1093"/>
      <c r="DAP1093"/>
      <c r="DAS1093"/>
      <c r="DAT1093"/>
      <c r="DAW1093"/>
      <c r="DAX1093"/>
      <c r="DBA1093"/>
      <c r="DBB1093"/>
      <c r="DBE1093"/>
      <c r="DBF1093"/>
      <c r="DBI1093"/>
      <c r="DBJ1093"/>
      <c r="DBM1093"/>
      <c r="DBN1093"/>
      <c r="DBQ1093"/>
      <c r="DBR1093"/>
      <c r="DBU1093"/>
      <c r="DBV1093"/>
      <c r="DBY1093"/>
      <c r="DBZ1093"/>
      <c r="DCC1093"/>
      <c r="DCD1093"/>
      <c r="DCG1093"/>
      <c r="DCH1093"/>
      <c r="DCK1093"/>
      <c r="DCL1093"/>
      <c r="DCO1093"/>
      <c r="DCP1093"/>
      <c r="DCS1093"/>
      <c r="DCT1093"/>
      <c r="DCW1093"/>
      <c r="DCX1093"/>
      <c r="DDA1093"/>
      <c r="DDB1093"/>
      <c r="DDE1093"/>
      <c r="DDF1093"/>
      <c r="DDI1093"/>
      <c r="DDJ1093"/>
      <c r="DDM1093"/>
      <c r="DDN1093"/>
      <c r="DDQ1093"/>
      <c r="DDR1093"/>
      <c r="DDU1093"/>
      <c r="DDV1093"/>
      <c r="DDY1093"/>
      <c r="DDZ1093"/>
      <c r="DEC1093"/>
      <c r="DED1093"/>
      <c r="DEG1093"/>
      <c r="DEH1093"/>
      <c r="DEK1093"/>
      <c r="DEL1093"/>
      <c r="DEO1093"/>
      <c r="DEP1093"/>
      <c r="DES1093"/>
      <c r="DET1093"/>
      <c r="DEW1093"/>
      <c r="DEX1093"/>
      <c r="DFA1093"/>
      <c r="DFB1093"/>
      <c r="DFE1093"/>
      <c r="DFF1093"/>
      <c r="DFI1093"/>
      <c r="DFJ1093"/>
      <c r="DFM1093"/>
      <c r="DFN1093"/>
      <c r="DFQ1093"/>
      <c r="DFR1093"/>
      <c r="DFU1093"/>
      <c r="DFV1093"/>
      <c r="DFY1093"/>
      <c r="DFZ1093"/>
      <c r="DGC1093"/>
      <c r="DGD1093"/>
      <c r="DGG1093"/>
      <c r="DGH1093"/>
      <c r="DGK1093"/>
      <c r="DGL1093"/>
      <c r="DGO1093"/>
      <c r="DGP1093"/>
      <c r="DGS1093"/>
      <c r="DGT1093"/>
      <c r="DGW1093"/>
      <c r="DGX1093"/>
      <c r="DHA1093"/>
      <c r="DHB1093"/>
      <c r="DHE1093"/>
      <c r="DHF1093"/>
      <c r="DHI1093"/>
      <c r="DHJ1093"/>
      <c r="DHM1093"/>
      <c r="DHN1093"/>
      <c r="DHQ1093"/>
      <c r="DHR1093"/>
      <c r="DHU1093"/>
      <c r="DHV1093"/>
      <c r="DHY1093"/>
      <c r="DHZ1093"/>
      <c r="DIC1093"/>
      <c r="DID1093"/>
      <c r="DIG1093"/>
      <c r="DIH1093"/>
      <c r="DIK1093"/>
      <c r="DIL1093"/>
      <c r="DIO1093"/>
      <c r="DIP1093"/>
      <c r="DIS1093"/>
      <c r="DIT1093"/>
      <c r="DIW1093"/>
      <c r="DIX1093"/>
      <c r="DJA1093"/>
      <c r="DJB1093"/>
      <c r="DJE1093"/>
      <c r="DJF1093"/>
      <c r="DJI1093"/>
      <c r="DJJ1093"/>
      <c r="DJM1093"/>
      <c r="DJN1093"/>
      <c r="DJQ1093"/>
      <c r="DJR1093"/>
      <c r="DJU1093"/>
      <c r="DJV1093"/>
      <c r="DJY1093"/>
      <c r="DJZ1093"/>
      <c r="DKC1093"/>
      <c r="DKD1093"/>
      <c r="DKG1093"/>
      <c r="DKH1093"/>
      <c r="DKK1093"/>
      <c r="DKL1093"/>
      <c r="DKO1093"/>
      <c r="DKP1093"/>
      <c r="DKS1093"/>
      <c r="DKT1093"/>
      <c r="DKW1093"/>
      <c r="DKX1093"/>
      <c r="DLA1093"/>
      <c r="DLB1093"/>
      <c r="DLE1093"/>
      <c r="DLF1093"/>
      <c r="DLI1093"/>
      <c r="DLJ1093"/>
      <c r="DLM1093"/>
      <c r="DLN1093"/>
      <c r="DLQ1093"/>
      <c r="DLR1093"/>
      <c r="DLU1093"/>
      <c r="DLV1093"/>
      <c r="DLY1093"/>
      <c r="DLZ1093"/>
      <c r="DMC1093"/>
      <c r="DMD1093"/>
      <c r="DMG1093"/>
      <c r="DMH1093"/>
      <c r="DMK1093"/>
      <c r="DML1093"/>
      <c r="DMO1093"/>
      <c r="DMP1093"/>
      <c r="DMS1093"/>
      <c r="DMT1093"/>
      <c r="DMW1093"/>
      <c r="DMX1093"/>
      <c r="DNA1093"/>
      <c r="DNB1093"/>
      <c r="DNE1093"/>
      <c r="DNF1093"/>
      <c r="DNI1093"/>
      <c r="DNJ1093"/>
      <c r="DNM1093"/>
      <c r="DNN1093"/>
      <c r="DNQ1093"/>
      <c r="DNR1093"/>
      <c r="DNU1093"/>
      <c r="DNV1093"/>
      <c r="DNY1093"/>
      <c r="DNZ1093"/>
      <c r="DOC1093"/>
      <c r="DOD1093"/>
      <c r="DOG1093"/>
      <c r="DOH1093"/>
      <c r="DOK1093"/>
      <c r="DOL1093"/>
      <c r="DOO1093"/>
      <c r="DOP1093"/>
      <c r="DOS1093"/>
      <c r="DOT1093"/>
      <c r="DOW1093"/>
      <c r="DOX1093"/>
      <c r="DPA1093"/>
      <c r="DPB1093"/>
      <c r="DPE1093"/>
      <c r="DPF1093"/>
      <c r="DPI1093"/>
      <c r="DPJ1093"/>
      <c r="DPM1093"/>
      <c r="DPN1093"/>
      <c r="DPQ1093"/>
      <c r="DPR1093"/>
      <c r="DPU1093"/>
      <c r="DPV1093"/>
      <c r="DPY1093"/>
      <c r="DPZ1093"/>
      <c r="DQC1093"/>
      <c r="DQD1093"/>
      <c r="DQG1093"/>
      <c r="DQH1093"/>
      <c r="DQK1093"/>
      <c r="DQL1093"/>
      <c r="DQO1093"/>
      <c r="DQP1093"/>
      <c r="DQS1093"/>
      <c r="DQT1093"/>
      <c r="DQW1093"/>
      <c r="DQX1093"/>
      <c r="DRA1093"/>
      <c r="DRB1093"/>
      <c r="DRE1093"/>
      <c r="DRF1093"/>
      <c r="DRI1093"/>
      <c r="DRJ1093"/>
      <c r="DRM1093"/>
      <c r="DRN1093"/>
      <c r="DRQ1093"/>
      <c r="DRR1093"/>
      <c r="DRU1093"/>
      <c r="DRV1093"/>
      <c r="DRY1093"/>
      <c r="DRZ1093"/>
      <c r="DSC1093"/>
      <c r="DSD1093"/>
      <c r="DSG1093"/>
      <c r="DSH1093"/>
      <c r="DSK1093"/>
      <c r="DSL1093"/>
      <c r="DSO1093"/>
      <c r="DSP1093"/>
      <c r="DSS1093"/>
      <c r="DST1093"/>
      <c r="DSW1093"/>
      <c r="DSX1093"/>
      <c r="DTA1093"/>
      <c r="DTB1093"/>
      <c r="DTE1093"/>
      <c r="DTF1093"/>
      <c r="DTI1093"/>
      <c r="DTJ1093"/>
      <c r="DTM1093"/>
      <c r="DTN1093"/>
      <c r="DTQ1093"/>
      <c r="DTR1093"/>
      <c r="DTU1093"/>
      <c r="DTV1093"/>
      <c r="DTY1093"/>
      <c r="DTZ1093"/>
      <c r="DUC1093"/>
      <c r="DUD1093"/>
      <c r="DUG1093"/>
      <c r="DUH1093"/>
      <c r="DUK1093"/>
      <c r="DUL1093"/>
      <c r="DUO1093"/>
      <c r="DUP1093"/>
      <c r="DUS1093"/>
      <c r="DUT1093"/>
      <c r="DUW1093"/>
      <c r="DUX1093"/>
      <c r="DVA1093"/>
      <c r="DVB1093"/>
      <c r="DVE1093"/>
      <c r="DVF1093"/>
      <c r="DVI1093"/>
      <c r="DVJ1093"/>
      <c r="DVM1093"/>
      <c r="DVN1093"/>
      <c r="DVQ1093"/>
      <c r="DVR1093"/>
      <c r="DVU1093"/>
      <c r="DVV1093"/>
      <c r="DVY1093"/>
      <c r="DVZ1093"/>
      <c r="DWC1093"/>
      <c r="DWD1093"/>
      <c r="DWG1093"/>
      <c r="DWH1093"/>
      <c r="DWK1093"/>
      <c r="DWL1093"/>
      <c r="DWO1093"/>
      <c r="DWP1093"/>
      <c r="DWS1093"/>
      <c r="DWT1093"/>
      <c r="DWW1093"/>
      <c r="DWX1093"/>
      <c r="DXA1093"/>
      <c r="DXB1093"/>
      <c r="DXE1093"/>
      <c r="DXF1093"/>
      <c r="DXI1093"/>
      <c r="DXJ1093"/>
      <c r="DXM1093"/>
      <c r="DXN1093"/>
      <c r="DXQ1093"/>
      <c r="DXR1093"/>
      <c r="DXU1093"/>
      <c r="DXV1093"/>
      <c r="DXY1093"/>
      <c r="DXZ1093"/>
      <c r="DYC1093"/>
      <c r="DYD1093"/>
      <c r="DYG1093"/>
      <c r="DYH1093"/>
      <c r="DYK1093"/>
      <c r="DYL1093"/>
      <c r="DYO1093"/>
      <c r="DYP1093"/>
      <c r="DYS1093"/>
      <c r="DYT1093"/>
      <c r="DYW1093"/>
      <c r="DYX1093"/>
      <c r="DZA1093"/>
      <c r="DZB1093"/>
      <c r="DZE1093"/>
      <c r="DZF1093"/>
      <c r="DZI1093"/>
      <c r="DZJ1093"/>
      <c r="DZM1093"/>
      <c r="DZN1093"/>
      <c r="DZQ1093"/>
      <c r="DZR1093"/>
      <c r="DZU1093"/>
      <c r="DZV1093"/>
      <c r="DZY1093"/>
      <c r="DZZ1093"/>
      <c r="EAC1093"/>
      <c r="EAD1093"/>
      <c r="EAG1093"/>
      <c r="EAH1093"/>
      <c r="EAK1093"/>
      <c r="EAL1093"/>
      <c r="EAO1093"/>
      <c r="EAP1093"/>
      <c r="EAS1093"/>
      <c r="EAT1093"/>
      <c r="EAW1093"/>
      <c r="EAX1093"/>
      <c r="EBA1093"/>
      <c r="EBB1093"/>
      <c r="EBE1093"/>
      <c r="EBF1093"/>
      <c r="EBI1093"/>
      <c r="EBJ1093"/>
      <c r="EBM1093"/>
      <c r="EBN1093"/>
      <c r="EBQ1093"/>
      <c r="EBR1093"/>
      <c r="EBU1093"/>
      <c r="EBV1093"/>
      <c r="EBY1093"/>
      <c r="EBZ1093"/>
      <c r="ECC1093"/>
      <c r="ECD1093"/>
      <c r="ECG1093"/>
      <c r="ECH1093"/>
      <c r="ECK1093"/>
      <c r="ECL1093"/>
      <c r="ECO1093"/>
      <c r="ECP1093"/>
      <c r="ECS1093"/>
      <c r="ECT1093"/>
      <c r="ECW1093"/>
      <c r="ECX1093"/>
      <c r="EDA1093"/>
      <c r="EDB1093"/>
      <c r="EDE1093"/>
      <c r="EDF1093"/>
      <c r="EDI1093"/>
      <c r="EDJ1093"/>
      <c r="EDM1093"/>
      <c r="EDN1093"/>
      <c r="EDQ1093"/>
      <c r="EDR1093"/>
      <c r="EDU1093"/>
      <c r="EDV1093"/>
      <c r="EDY1093"/>
      <c r="EDZ1093"/>
      <c r="EEC1093"/>
      <c r="EED1093"/>
      <c r="EEG1093"/>
      <c r="EEH1093"/>
      <c r="EEK1093"/>
      <c r="EEL1093"/>
      <c r="EEO1093"/>
      <c r="EEP1093"/>
      <c r="EES1093"/>
      <c r="EET1093"/>
      <c r="EEW1093"/>
      <c r="EEX1093"/>
      <c r="EFA1093"/>
      <c r="EFB1093"/>
      <c r="EFE1093"/>
      <c r="EFF1093"/>
      <c r="EFI1093"/>
      <c r="EFJ1093"/>
      <c r="EFM1093"/>
      <c r="EFN1093"/>
      <c r="EFQ1093"/>
      <c r="EFR1093"/>
      <c r="EFU1093"/>
      <c r="EFV1093"/>
      <c r="EFY1093"/>
      <c r="EFZ1093"/>
      <c r="EGC1093"/>
      <c r="EGD1093"/>
      <c r="EGG1093"/>
      <c r="EGH1093"/>
      <c r="EGK1093"/>
      <c r="EGL1093"/>
      <c r="EGO1093"/>
      <c r="EGP1093"/>
      <c r="EGS1093"/>
      <c r="EGT1093"/>
      <c r="EGW1093"/>
      <c r="EGX1093"/>
      <c r="EHA1093"/>
      <c r="EHB1093"/>
      <c r="EHE1093"/>
      <c r="EHF1093"/>
      <c r="EHI1093"/>
      <c r="EHJ1093"/>
      <c r="EHM1093"/>
      <c r="EHN1093"/>
      <c r="EHQ1093"/>
      <c r="EHR1093"/>
      <c r="EHU1093"/>
      <c r="EHV1093"/>
      <c r="EHY1093"/>
      <c r="EHZ1093"/>
      <c r="EIC1093"/>
      <c r="EID1093"/>
      <c r="EIG1093"/>
      <c r="EIH1093"/>
      <c r="EIK1093"/>
      <c r="EIL1093"/>
      <c r="EIO1093"/>
      <c r="EIP1093"/>
      <c r="EIS1093"/>
      <c r="EIT1093"/>
      <c r="EIW1093"/>
      <c r="EIX1093"/>
      <c r="EJA1093"/>
      <c r="EJB1093"/>
      <c r="EJE1093"/>
      <c r="EJF1093"/>
      <c r="EJI1093"/>
      <c r="EJJ1093"/>
      <c r="EJM1093"/>
      <c r="EJN1093"/>
      <c r="EJQ1093"/>
      <c r="EJR1093"/>
      <c r="EJU1093"/>
      <c r="EJV1093"/>
      <c r="EJY1093"/>
      <c r="EJZ1093"/>
      <c r="EKC1093"/>
      <c r="EKD1093"/>
      <c r="EKG1093"/>
      <c r="EKH1093"/>
      <c r="EKK1093"/>
      <c r="EKL1093"/>
      <c r="EKO1093"/>
      <c r="EKP1093"/>
      <c r="EKS1093"/>
      <c r="EKT1093"/>
      <c r="EKW1093"/>
      <c r="EKX1093"/>
      <c r="ELA1093"/>
      <c r="ELB1093"/>
      <c r="ELE1093"/>
      <c r="ELF1093"/>
      <c r="ELI1093"/>
      <c r="ELJ1093"/>
      <c r="ELM1093"/>
      <c r="ELN1093"/>
      <c r="ELQ1093"/>
      <c r="ELR1093"/>
      <c r="ELU1093"/>
      <c r="ELV1093"/>
      <c r="ELY1093"/>
      <c r="ELZ1093"/>
      <c r="EMC1093"/>
      <c r="EMD1093"/>
      <c r="EMG1093"/>
      <c r="EMH1093"/>
      <c r="EMK1093"/>
      <c r="EML1093"/>
      <c r="EMO1093"/>
      <c r="EMP1093"/>
      <c r="EMS1093"/>
      <c r="EMT1093"/>
      <c r="EMW1093"/>
      <c r="EMX1093"/>
      <c r="ENA1093"/>
      <c r="ENB1093"/>
      <c r="ENE1093"/>
      <c r="ENF1093"/>
      <c r="ENI1093"/>
      <c r="ENJ1093"/>
      <c r="ENM1093"/>
      <c r="ENN1093"/>
      <c r="ENQ1093"/>
      <c r="ENR1093"/>
      <c r="ENU1093"/>
      <c r="ENV1093"/>
      <c r="ENY1093"/>
      <c r="ENZ1093"/>
      <c r="EOC1093"/>
      <c r="EOD1093"/>
      <c r="EOG1093"/>
      <c r="EOH1093"/>
      <c r="EOK1093"/>
      <c r="EOL1093"/>
      <c r="EOO1093"/>
      <c r="EOP1093"/>
      <c r="EOS1093"/>
      <c r="EOT1093"/>
      <c r="EOW1093"/>
      <c r="EOX1093"/>
      <c r="EPA1093"/>
      <c r="EPB1093"/>
      <c r="EPE1093"/>
      <c r="EPF1093"/>
      <c r="EPI1093"/>
      <c r="EPJ1093"/>
      <c r="EPM1093"/>
      <c r="EPN1093"/>
      <c r="EPQ1093"/>
      <c r="EPR1093"/>
      <c r="EPU1093"/>
      <c r="EPV1093"/>
      <c r="EPY1093"/>
      <c r="EPZ1093"/>
      <c r="EQC1093"/>
      <c r="EQD1093"/>
      <c r="EQG1093"/>
      <c r="EQH1093"/>
      <c r="EQK1093"/>
      <c r="EQL1093"/>
      <c r="EQO1093"/>
      <c r="EQP1093"/>
      <c r="EQS1093"/>
      <c r="EQT1093"/>
      <c r="EQW1093"/>
      <c r="EQX1093"/>
      <c r="ERA1093"/>
      <c r="ERB1093"/>
      <c r="ERE1093"/>
      <c r="ERF1093"/>
      <c r="ERI1093"/>
      <c r="ERJ1093"/>
      <c r="ERM1093"/>
      <c r="ERN1093"/>
      <c r="ERQ1093"/>
      <c r="ERR1093"/>
      <c r="ERU1093"/>
      <c r="ERV1093"/>
      <c r="ERY1093"/>
      <c r="ERZ1093"/>
      <c r="ESC1093"/>
      <c r="ESD1093"/>
      <c r="ESG1093"/>
      <c r="ESH1093"/>
      <c r="ESK1093"/>
      <c r="ESL1093"/>
      <c r="ESO1093"/>
      <c r="ESP1093"/>
      <c r="ESS1093"/>
      <c r="EST1093"/>
      <c r="ESW1093"/>
      <c r="ESX1093"/>
      <c r="ETA1093"/>
      <c r="ETB1093"/>
      <c r="ETE1093"/>
      <c r="ETF1093"/>
      <c r="ETI1093"/>
      <c r="ETJ1093"/>
      <c r="ETM1093"/>
      <c r="ETN1093"/>
      <c r="ETQ1093"/>
      <c r="ETR1093"/>
      <c r="ETU1093"/>
      <c r="ETV1093"/>
      <c r="ETY1093"/>
      <c r="ETZ1093"/>
      <c r="EUC1093"/>
      <c r="EUD1093"/>
      <c r="EUG1093"/>
      <c r="EUH1093"/>
      <c r="EUK1093"/>
      <c r="EUL1093"/>
      <c r="EUO1093"/>
      <c r="EUP1093"/>
      <c r="EUS1093"/>
      <c r="EUT1093"/>
      <c r="EUW1093"/>
      <c r="EUX1093"/>
      <c r="EVA1093"/>
      <c r="EVB1093"/>
      <c r="EVE1093"/>
      <c r="EVF1093"/>
      <c r="EVI1093"/>
      <c r="EVJ1093"/>
      <c r="EVM1093"/>
      <c r="EVN1093"/>
      <c r="EVQ1093"/>
      <c r="EVR1093"/>
      <c r="EVU1093"/>
      <c r="EVV1093"/>
      <c r="EVY1093"/>
      <c r="EVZ1093"/>
      <c r="EWC1093"/>
      <c r="EWD1093"/>
      <c r="EWG1093"/>
      <c r="EWH1093"/>
      <c r="EWK1093"/>
      <c r="EWL1093"/>
      <c r="EWO1093"/>
      <c r="EWP1093"/>
      <c r="EWS1093"/>
      <c r="EWT1093"/>
      <c r="EWW1093"/>
      <c r="EWX1093"/>
      <c r="EXA1093"/>
      <c r="EXB1093"/>
      <c r="EXE1093"/>
      <c r="EXF1093"/>
      <c r="EXI1093"/>
      <c r="EXJ1093"/>
      <c r="EXM1093"/>
      <c r="EXN1093"/>
      <c r="EXQ1093"/>
      <c r="EXR1093"/>
      <c r="EXU1093"/>
      <c r="EXV1093"/>
      <c r="EXY1093"/>
      <c r="EXZ1093"/>
      <c r="EYC1093"/>
      <c r="EYD1093"/>
      <c r="EYG1093"/>
      <c r="EYH1093"/>
      <c r="EYK1093"/>
      <c r="EYL1093"/>
      <c r="EYO1093"/>
      <c r="EYP1093"/>
      <c r="EYS1093"/>
      <c r="EYT1093"/>
      <c r="EYW1093"/>
      <c r="EYX1093"/>
      <c r="EZA1093"/>
      <c r="EZB1093"/>
      <c r="EZE1093"/>
      <c r="EZF1093"/>
      <c r="EZI1093"/>
      <c r="EZJ1093"/>
      <c r="EZM1093"/>
      <c r="EZN1093"/>
      <c r="EZQ1093"/>
      <c r="EZR1093"/>
      <c r="EZU1093"/>
      <c r="EZV1093"/>
      <c r="EZY1093"/>
      <c r="EZZ1093"/>
      <c r="FAC1093"/>
      <c r="FAD1093"/>
      <c r="FAG1093"/>
      <c r="FAH1093"/>
      <c r="FAK1093"/>
      <c r="FAL1093"/>
      <c r="FAO1093"/>
      <c r="FAP1093"/>
      <c r="FAS1093"/>
      <c r="FAT1093"/>
      <c r="FAW1093"/>
      <c r="FAX1093"/>
      <c r="FBA1093"/>
      <c r="FBB1093"/>
      <c r="FBE1093"/>
      <c r="FBF1093"/>
      <c r="FBI1093"/>
      <c r="FBJ1093"/>
      <c r="FBM1093"/>
      <c r="FBN1093"/>
      <c r="FBQ1093"/>
      <c r="FBR1093"/>
      <c r="FBU1093"/>
      <c r="FBV1093"/>
      <c r="FBY1093"/>
      <c r="FBZ1093"/>
      <c r="FCC1093"/>
      <c r="FCD1093"/>
      <c r="FCG1093"/>
      <c r="FCH1093"/>
      <c r="FCK1093"/>
      <c r="FCL1093"/>
      <c r="FCO1093"/>
      <c r="FCP1093"/>
      <c r="FCS1093"/>
      <c r="FCT1093"/>
      <c r="FCW1093"/>
      <c r="FCX1093"/>
      <c r="FDA1093"/>
      <c r="FDB1093"/>
      <c r="FDE1093"/>
      <c r="FDF1093"/>
      <c r="FDI1093"/>
      <c r="FDJ1093"/>
      <c r="FDM1093"/>
      <c r="FDN1093"/>
      <c r="FDQ1093"/>
      <c r="FDR1093"/>
      <c r="FDU1093"/>
      <c r="FDV1093"/>
      <c r="FDY1093"/>
      <c r="FDZ1093"/>
      <c r="FEC1093"/>
      <c r="FED1093"/>
      <c r="FEG1093"/>
      <c r="FEH1093"/>
      <c r="FEK1093"/>
      <c r="FEL1093"/>
      <c r="FEO1093"/>
      <c r="FEP1093"/>
      <c r="FES1093"/>
      <c r="FET1093"/>
      <c r="FEW1093"/>
      <c r="FEX1093"/>
      <c r="FFA1093"/>
      <c r="FFB1093"/>
      <c r="FFE1093"/>
      <c r="FFF1093"/>
      <c r="FFI1093"/>
      <c r="FFJ1093"/>
      <c r="FFM1093"/>
      <c r="FFN1093"/>
      <c r="FFQ1093"/>
      <c r="FFR1093"/>
      <c r="FFU1093"/>
      <c r="FFV1093"/>
      <c r="FFY1093"/>
      <c r="FFZ1093"/>
      <c r="FGC1093"/>
      <c r="FGD1093"/>
      <c r="FGG1093"/>
      <c s="45" r="FGH1093"/>
      <c r="FGK1093"/>
      <c r="FGL1093"/>
      <c r="FGO1093"/>
      <c r="FGP1093"/>
      <c r="FGS1093"/>
      <c r="FGT1093"/>
      <c r="FGW1093"/>
      <c r="FGX1093"/>
      <c r="FHA1093"/>
      <c r="FHB1093"/>
      <c r="FHE1093"/>
      <c r="FHF1093"/>
      <c r="FHI1093"/>
      <c r="FHJ1093"/>
      <c r="FHM1093"/>
      <c r="FHN1093"/>
      <c r="FHQ1093"/>
      <c r="FHR1093"/>
      <c r="FHU1093"/>
      <c r="FHV1093"/>
      <c r="FHY1093"/>
      <c r="FHZ1093"/>
      <c r="FIC1093"/>
      <c r="FID1093"/>
      <c r="FIG1093"/>
      <c r="FIH1093"/>
      <c r="FIK1093"/>
      <c r="FIL1093"/>
      <c r="FIO1093"/>
      <c r="FIP1093"/>
      <c r="FIS1093"/>
      <c r="FIT1093"/>
      <c r="FIW1093"/>
      <c r="FIX1093"/>
      <c r="FJA1093"/>
      <c r="FJB1093"/>
      <c r="FJE1093"/>
      <c r="FJF1093"/>
      <c r="FJI1093"/>
      <c r="FJJ1093"/>
      <c r="FJM1093"/>
      <c r="FJN1093"/>
      <c r="FJQ1093"/>
      <c r="FJR1093"/>
      <c r="FJU1093"/>
      <c r="FJV1093"/>
      <c r="FJY1093"/>
      <c r="FJZ1093"/>
      <c r="FKC1093"/>
      <c r="FKD1093"/>
      <c r="FKG1093"/>
      <c r="FKH1093"/>
      <c r="FKK1093"/>
      <c r="FKL1093"/>
      <c r="FKO1093"/>
      <c r="FKP1093"/>
      <c r="FKS1093"/>
      <c r="FKT1093"/>
      <c r="FKW1093"/>
      <c r="FKX1093"/>
      <c r="FLA1093"/>
      <c r="FLB1093"/>
      <c r="FLE1093"/>
      <c r="FLF1093"/>
      <c r="FLI1093"/>
      <c r="FLJ1093"/>
      <c r="FLM1093"/>
      <c r="FLN1093"/>
      <c r="FLQ1093"/>
      <c r="FLR1093"/>
      <c r="FLU1093"/>
      <c r="FLV1093"/>
      <c r="FLY1093"/>
      <c r="FLZ1093"/>
      <c r="FMC1093"/>
      <c r="FMD1093"/>
      <c r="FMG1093"/>
      <c r="FMH1093"/>
      <c r="FMK1093"/>
      <c r="FML1093"/>
      <c r="FMO1093"/>
      <c r="FMP1093"/>
      <c r="FMS1093"/>
      <c r="FMT1093"/>
      <c r="FMW1093"/>
      <c r="FMX1093"/>
      <c r="FNA1093"/>
      <c r="FNB1093"/>
      <c r="FNE1093"/>
      <c r="FNF1093"/>
      <c r="FNI1093"/>
      <c r="FNJ1093"/>
      <c r="FNM1093"/>
      <c r="FNN1093"/>
      <c r="FNQ1093"/>
      <c r="FNR1093"/>
      <c r="FNU1093"/>
      <c r="FNV1093"/>
      <c r="FNY1093"/>
      <c r="FNZ1093"/>
      <c r="FOC1093"/>
      <c r="FOD1093"/>
      <c r="FOG1093"/>
      <c r="FOH1093"/>
      <c r="FOK1093"/>
      <c r="FOL1093"/>
      <c r="FOO1093"/>
      <c r="FOP1093"/>
      <c r="FOS1093"/>
      <c r="FOT1093"/>
      <c r="FOW1093"/>
      <c r="FOX1093"/>
      <c r="FPA1093"/>
      <c r="FPB1093"/>
      <c r="FPE1093"/>
      <c r="FPF1093"/>
      <c r="FPI1093"/>
      <c r="FPJ1093"/>
      <c r="FPM1093"/>
      <c r="FPN1093"/>
      <c r="FPQ1093"/>
      <c r="FPR1093"/>
      <c r="FPU1093"/>
      <c r="FPV1093"/>
      <c r="FPY1093"/>
      <c r="FPZ1093"/>
      <c r="FQC1093"/>
      <c r="FQD1093"/>
      <c r="FQG1093"/>
      <c r="FQH1093"/>
      <c r="FQK1093"/>
      <c r="FQL1093"/>
      <c r="FQO1093"/>
      <c r="FQP1093"/>
      <c r="FQS1093"/>
      <c r="FQT1093"/>
      <c r="FQW1093"/>
      <c r="FQX1093"/>
      <c r="FRA1093"/>
      <c r="FRB1093"/>
      <c r="FRE1093"/>
      <c r="FRF1093"/>
      <c r="FRI1093"/>
      <c r="FRJ1093"/>
      <c r="FRM1093"/>
      <c r="FRN1093"/>
      <c r="FRQ1093"/>
      <c r="FRR1093"/>
      <c r="FRU1093"/>
      <c r="FRV1093"/>
      <c r="FRY1093"/>
      <c r="FRZ1093"/>
      <c r="FSC1093"/>
      <c r="FSD1093"/>
      <c r="FSG1093"/>
      <c r="FSH1093"/>
      <c r="FSK1093"/>
      <c r="FSL1093"/>
      <c r="FSO1093"/>
      <c r="FSP1093"/>
      <c r="FSS1093"/>
      <c r="FST1093"/>
      <c r="FSW1093"/>
      <c r="FSX1093"/>
      <c r="FTA1093"/>
      <c r="FTB1093"/>
      <c r="FTE1093"/>
      <c r="FTF1093"/>
      <c r="FTI1093"/>
      <c r="FTJ1093"/>
      <c r="FTM1093"/>
      <c r="FTN1093"/>
      <c r="FTQ1093"/>
      <c r="FTR1093"/>
      <c r="FTU1093"/>
      <c r="FTV1093"/>
      <c r="FTY1093"/>
      <c r="FTZ1093"/>
      <c r="FUC1093"/>
      <c r="FUD1093"/>
      <c r="FUG1093"/>
      <c r="FUH1093"/>
      <c r="FUK1093"/>
      <c r="FUL1093"/>
      <c r="FUO1093"/>
      <c r="FUP1093"/>
      <c r="FUS1093"/>
      <c r="FUT1093"/>
      <c r="FUW1093"/>
      <c r="FUX1093"/>
      <c r="FVA1093"/>
      <c r="FVB1093"/>
      <c r="FVE1093"/>
      <c r="FVF1093"/>
      <c r="FVI1093"/>
      <c r="FVJ1093"/>
      <c r="FVM1093"/>
      <c r="FVN1093"/>
      <c r="FVQ1093"/>
      <c r="FVR1093"/>
      <c r="FVU1093"/>
      <c r="FVV1093"/>
      <c r="FVY1093"/>
      <c r="FVZ1093"/>
      <c r="FWC1093"/>
      <c r="FWD1093"/>
      <c r="FWG1093"/>
      <c r="FWH1093"/>
      <c r="FWK1093"/>
      <c r="FWL1093"/>
      <c r="FWO1093"/>
      <c r="FWP1093"/>
      <c r="FWS1093"/>
      <c r="FWT1093"/>
      <c r="FWW1093"/>
      <c r="FWX1093"/>
      <c r="FXA1093"/>
      <c r="FXB1093"/>
      <c r="FXE1093"/>
      <c r="FXF1093"/>
      <c r="FXI1093"/>
      <c r="FXJ1093"/>
      <c r="FXM1093"/>
      <c r="FXN1093"/>
      <c r="FXQ1093"/>
      <c r="FXR1093"/>
      <c r="FXU1093"/>
      <c r="FXV1093"/>
      <c r="FXY1093"/>
      <c r="FXZ1093"/>
      <c r="FYC1093"/>
      <c r="FYD1093"/>
      <c r="FYG1093"/>
      <c r="FYH1093"/>
      <c r="FYK1093"/>
      <c r="FYL1093"/>
      <c r="FYO1093"/>
      <c r="FYP1093"/>
      <c r="FYS1093"/>
      <c r="FYT1093"/>
      <c r="FYW1093"/>
      <c r="FYX1093"/>
      <c r="FZA1093"/>
      <c r="FZB1093"/>
      <c r="FZE1093"/>
      <c r="FZF1093"/>
      <c r="FZI1093"/>
      <c r="FZJ1093"/>
      <c r="FZM1093"/>
      <c r="FZN1093"/>
      <c r="FZQ1093"/>
      <c r="FZR1093"/>
      <c r="FZU1093"/>
      <c r="FZV1093"/>
      <c r="FZY1093"/>
      <c r="FZZ1093"/>
      <c r="GAC1093"/>
      <c r="GAD1093"/>
      <c r="GAG1093"/>
      <c r="GAH1093"/>
      <c r="GAK1093"/>
      <c r="GAL1093"/>
      <c r="GAO1093"/>
      <c r="GAP1093"/>
      <c r="GAS1093"/>
      <c r="GAT1093"/>
      <c r="GAW1093"/>
      <c r="GAX1093"/>
      <c r="GBA1093"/>
      <c r="GBB1093"/>
      <c r="GBE1093"/>
      <c r="GBF1093"/>
      <c r="GBI1093"/>
      <c r="GBJ1093"/>
      <c r="GBM1093"/>
      <c r="GBN1093"/>
      <c r="GBQ1093"/>
      <c r="GBR1093"/>
      <c r="GBU1093"/>
      <c r="GBV1093"/>
      <c r="GBY1093"/>
      <c r="GBZ1093"/>
      <c r="GCC1093"/>
      <c r="GCD1093"/>
      <c r="GCG1093"/>
      <c r="GCH1093"/>
      <c r="GCK1093"/>
      <c r="GCL1093"/>
      <c r="GCO1093"/>
      <c r="GCP1093"/>
      <c r="GCS1093"/>
      <c r="GCT1093"/>
      <c r="GCW1093"/>
      <c r="GCX1093"/>
      <c r="GDA1093"/>
      <c r="GDB1093"/>
      <c r="GDE1093"/>
      <c r="GDF1093"/>
      <c r="GDI1093"/>
      <c r="GDJ1093"/>
      <c r="GDM1093"/>
      <c r="GDN1093"/>
      <c r="GDQ1093"/>
      <c r="GDR1093"/>
      <c r="GDU1093"/>
      <c r="GDV1093"/>
      <c r="GDY1093"/>
      <c r="GDZ1093"/>
      <c r="GEC1093"/>
      <c r="GED1093"/>
      <c r="GEG1093"/>
      <c r="GEH1093"/>
      <c r="GEK1093"/>
      <c r="GEL1093"/>
      <c r="GEO1093"/>
      <c r="GEP1093"/>
      <c r="GES1093"/>
      <c r="GET1093"/>
      <c r="GEW1093"/>
      <c r="GEX1093"/>
      <c r="GFA1093"/>
      <c r="GFB1093"/>
      <c r="GFE1093"/>
      <c r="GFF1093"/>
      <c r="GFI1093"/>
      <c r="GFJ1093"/>
      <c r="GFM1093"/>
      <c r="GFN1093"/>
      <c r="GFQ1093"/>
      <c r="GFR1093"/>
      <c r="GFU1093"/>
      <c r="GFV1093"/>
      <c r="GFY1093"/>
      <c r="GFZ1093"/>
      <c r="GGC1093"/>
      <c r="GGD1093"/>
      <c r="GGG1093"/>
      <c r="GGH1093"/>
      <c r="GGK1093"/>
      <c r="GGL1093"/>
      <c r="GGO1093"/>
      <c r="GGP1093"/>
      <c r="GGS1093"/>
      <c r="GGT1093"/>
      <c r="GGW1093"/>
      <c r="GGX1093"/>
      <c r="GHA1093"/>
      <c r="GHB1093"/>
      <c r="GHE1093"/>
      <c r="GHF1093"/>
      <c s="45" r="GHI1093"/>
      <c r="GHJ1093"/>
      <c r="GHM1093"/>
      <c r="GHN1093"/>
      <c r="GHQ1093"/>
      <c r="GHR1093"/>
      <c r="GHU1093"/>
      <c r="GHV1093"/>
      <c r="GHY1093"/>
      <c r="GHZ1093"/>
      <c r="GIC1093"/>
      <c r="GID1093"/>
      <c r="GIG1093"/>
      <c r="GIH1093"/>
      <c r="GIK1093"/>
      <c r="GIL1093"/>
      <c r="GIO1093"/>
      <c r="GIP1093"/>
      <c r="GIS1093"/>
      <c r="GIT1093"/>
      <c r="GIW1093"/>
      <c r="GIX1093"/>
      <c r="GJA1093"/>
      <c r="GJB1093"/>
      <c r="GJE1093"/>
      <c r="GJF1093"/>
      <c r="GJI1093"/>
      <c r="GJJ1093"/>
      <c r="GJM1093"/>
      <c r="GJN1093"/>
      <c r="GJQ1093"/>
      <c r="GJR1093"/>
      <c r="GJU1093"/>
      <c r="GJV1093"/>
      <c r="GJY1093"/>
      <c r="GJZ1093"/>
      <c r="GKC1093"/>
      <c r="GKD1093"/>
      <c r="GKG1093"/>
      <c r="GKH1093"/>
      <c r="GKK1093"/>
      <c r="GKL1093"/>
      <c r="GKO1093"/>
      <c r="GKP1093"/>
      <c r="GKS1093"/>
      <c r="GKT1093"/>
      <c r="GKW1093"/>
      <c r="GKX1093"/>
      <c r="GLA1093"/>
      <c r="GLB1093"/>
      <c r="GLE1093"/>
      <c r="GLF1093"/>
      <c r="GLI1093"/>
      <c r="GLJ1093"/>
      <c r="GLM1093"/>
      <c r="GLN1093"/>
      <c r="GLQ1093"/>
      <c r="GLR1093"/>
      <c r="GLU1093"/>
      <c r="GLV1093"/>
      <c r="GLY1093"/>
      <c r="GLZ1093"/>
      <c r="GMC1093"/>
      <c r="GMD1093"/>
      <c r="GMG1093"/>
      <c r="GMH1093"/>
      <c r="GMK1093"/>
      <c r="GML1093"/>
      <c r="GMO1093"/>
      <c r="GMP1093"/>
      <c r="GMS1093"/>
      <c r="GMT1093"/>
      <c r="GMW1093"/>
      <c r="GMX1093"/>
      <c r="GNA1093"/>
      <c r="GNB1093"/>
      <c r="GNE1093"/>
      <c r="GNF1093"/>
      <c r="GNI1093"/>
      <c r="GNJ1093"/>
      <c r="GNM1093"/>
      <c r="GNN1093"/>
      <c r="GNQ1093"/>
      <c r="GNR1093"/>
      <c r="GNU1093"/>
      <c r="GNV1093"/>
      <c r="GNY1093"/>
      <c r="GNZ1093"/>
      <c r="GOC1093"/>
      <c r="GOD1093"/>
      <c r="GOG1093"/>
      <c r="GOH1093"/>
      <c r="GOK1093"/>
      <c r="GOL1093"/>
      <c r="GOO1093"/>
      <c r="GOP1093"/>
      <c r="GOS1093"/>
      <c r="GOT1093"/>
      <c r="GOW1093"/>
      <c r="GOX1093"/>
      <c r="GPA1093"/>
      <c r="GPB1093"/>
      <c r="GPE1093"/>
      <c r="GPF1093"/>
      <c r="GPI1093"/>
      <c r="GPJ1093"/>
      <c r="GPM1093"/>
      <c r="GPN1093"/>
      <c r="GPQ1093"/>
      <c r="GPR1093"/>
      <c r="GPU1093"/>
      <c r="GPV1093"/>
      <c r="GPY1093"/>
      <c r="GPZ1093"/>
      <c r="GQC1093"/>
      <c r="GQD1093"/>
      <c r="GQG1093"/>
      <c r="GQH1093"/>
      <c r="GQK1093"/>
      <c r="GQL1093"/>
      <c r="GQO1093"/>
      <c r="GQP1093"/>
      <c r="GQS1093"/>
      <c r="GQT1093"/>
      <c r="GQW1093"/>
      <c r="GQX1093"/>
      <c r="GRA1093"/>
      <c r="GRB1093"/>
      <c r="GRE1093"/>
      <c r="GRF1093"/>
      <c r="GRI1093"/>
      <c r="GRJ1093"/>
      <c r="GRM1093"/>
      <c r="GRN1093"/>
      <c r="GRQ1093"/>
      <c r="GRR1093"/>
      <c r="GRU1093"/>
      <c r="GRV1093"/>
      <c r="GRY1093"/>
      <c r="GRZ1093"/>
      <c r="GSC1093"/>
      <c r="GSD1093"/>
      <c r="GSG1093"/>
      <c r="GSH1093"/>
      <c r="GSK1093"/>
      <c r="GSL1093"/>
      <c r="GSO1093"/>
      <c r="GSP1093"/>
      <c r="GSS1093"/>
      <c r="GST1093"/>
      <c r="GSW1093"/>
      <c r="GSX1093"/>
      <c r="GTA1093"/>
      <c r="GTB1093"/>
      <c r="GTE1093"/>
      <c r="GTF1093"/>
      <c r="GTI1093"/>
      <c r="GTJ1093"/>
      <c r="GTM1093"/>
      <c r="GTN1093"/>
      <c r="GTQ1093"/>
      <c r="GTR1093"/>
      <c r="GTU1093"/>
      <c r="GTV1093"/>
      <c r="GTY1093"/>
      <c r="GTZ1093"/>
      <c r="GUC1093"/>
      <c r="GUD1093"/>
      <c r="GUG1093"/>
      <c r="GUH1093"/>
      <c r="GUK1093"/>
      <c r="GUL1093"/>
      <c r="GUO1093"/>
      <c r="GUP1093"/>
      <c r="GUS1093"/>
      <c r="GUT1093"/>
      <c r="GUW1093"/>
      <c r="GUX1093"/>
      <c r="GVA1093"/>
      <c r="GVB1093"/>
      <c r="GVE1093"/>
      <c r="GVF1093"/>
      <c r="GVI1093"/>
      <c r="GVJ1093"/>
      <c r="GVM1093"/>
      <c r="GVN1093"/>
      <c r="GVQ1093"/>
      <c r="GVR1093"/>
      <c r="GVU1093"/>
      <c r="GVV1093"/>
      <c r="GVY1093"/>
      <c r="GVZ1093"/>
      <c r="GWC1093"/>
      <c r="GWD1093"/>
      <c r="GWG1093"/>
      <c r="GWH1093"/>
      <c r="GWK1093"/>
      <c r="GWL1093"/>
      <c r="GWO1093"/>
      <c r="GWP1093"/>
      <c r="GWS1093"/>
      <c r="GWT1093"/>
      <c r="GWW1093"/>
      <c r="GWX1093"/>
      <c r="GXA1093"/>
      <c r="GXB1093"/>
      <c r="GXE1093"/>
      <c r="GXF1093"/>
      <c r="GXI1093"/>
      <c r="GXJ1093"/>
      <c r="GXM1093"/>
      <c r="GXN1093"/>
      <c r="GXQ1093"/>
      <c r="GXR1093"/>
      <c r="GXU1093"/>
      <c r="GXV1093"/>
      <c r="GXY1093"/>
      <c r="GXZ1093"/>
      <c r="GYC1093"/>
      <c r="GYD1093"/>
      <c r="GYG1093"/>
      <c r="GYH1093"/>
      <c r="GYK1093"/>
      <c r="GYL1093"/>
      <c r="GYO1093"/>
      <c r="GYP1093"/>
      <c r="GYS1093"/>
      <c r="GYT1093"/>
      <c r="GYW1093"/>
      <c r="GYX1093"/>
      <c r="GZA1093"/>
      <c r="GZB1093"/>
      <c r="GZE1093"/>
      <c r="GZF1093"/>
      <c r="GZI1093"/>
      <c r="GZJ1093"/>
      <c r="GZM1093"/>
      <c r="GZN1093"/>
      <c r="GZQ1093"/>
      <c r="GZR1093"/>
      <c r="GZU1093"/>
      <c r="GZV1093"/>
      <c r="GZY1093"/>
      <c r="GZZ1093"/>
      <c r="HAC1093"/>
      <c r="HAD1093"/>
      <c r="HAG1093"/>
      <c r="HAH1093"/>
      <c r="HAK1093"/>
      <c r="HAL1093"/>
      <c r="HAO1093"/>
      <c r="HAP1093"/>
      <c r="HAS1093"/>
      <c r="HAT1093"/>
      <c r="HAW1093"/>
      <c r="HAX1093"/>
      <c r="HBA1093"/>
      <c r="HBB1093"/>
      <c r="HBE1093"/>
      <c r="HBF1093"/>
      <c r="HBI1093"/>
      <c r="HBJ1093"/>
      <c r="HBM1093"/>
      <c r="HBN1093"/>
      <c r="HBQ1093"/>
      <c r="HBR1093"/>
      <c r="HBU1093"/>
      <c r="HBV1093"/>
      <c r="HBY1093"/>
      <c r="HBZ1093"/>
      <c r="HCC1093"/>
      <c r="HCD1093"/>
      <c r="HCG1093"/>
      <c r="HCH1093"/>
      <c r="HCK1093"/>
      <c r="HCL1093"/>
      <c r="HCO1093"/>
      <c r="HCP1093"/>
      <c r="HCS1093"/>
      <c r="HCT1093"/>
      <c r="HCW1093"/>
      <c r="HCX1093"/>
      <c r="HDA1093"/>
      <c r="HDB1093"/>
      <c r="HDE1093"/>
      <c r="HDF1093"/>
      <c r="HDI1093"/>
      <c r="HDJ1093"/>
      <c r="HDM1093"/>
      <c r="HDN1093"/>
      <c r="HDQ1093"/>
      <c r="HDR1093"/>
      <c r="HDU1093"/>
      <c r="HDV1093"/>
      <c r="HDY1093"/>
      <c r="HDZ1093"/>
      <c r="HEC1093"/>
      <c r="HED1093"/>
      <c r="HEG1093"/>
      <c r="HEH1093"/>
      <c r="HEK1093"/>
      <c r="HEL1093"/>
      <c r="HEO1093"/>
      <c r="HEP1093"/>
      <c r="HES1093"/>
      <c r="HET1093"/>
      <c r="HEW1093"/>
      <c r="HEX1093"/>
      <c r="HFA1093"/>
      <c r="HFB1093"/>
      <c r="HFE1093"/>
      <c r="HFF1093"/>
      <c r="HFI1093"/>
      <c r="HFJ1093"/>
      <c r="HFM1093"/>
      <c r="HFN1093"/>
      <c r="HFQ1093"/>
      <c r="HFR1093"/>
      <c r="HFU1093"/>
      <c r="HFV1093"/>
      <c r="HFY1093"/>
      <c r="HFZ1093"/>
      <c r="HGC1093"/>
      <c r="HGD1093"/>
      <c r="HGG1093"/>
      <c r="HGH1093"/>
      <c r="HGK1093"/>
      <c r="HGL1093"/>
      <c r="HGO1093"/>
      <c r="HGP1093"/>
      <c r="HGS1093"/>
      <c r="HGT1093"/>
      <c r="HGW1093"/>
      <c r="HGX1093"/>
      <c r="HHA1093"/>
      <c r="HHB1093"/>
      <c r="HHE1093"/>
      <c r="HHF1093"/>
      <c r="HHI1093"/>
      <c r="HHJ1093"/>
      <c r="HHM1093"/>
      <c r="HHN1093"/>
      <c r="HHQ1093"/>
      <c r="HHR1093"/>
      <c r="HHU1093"/>
      <c r="HHV1093"/>
      <c r="HHY1093"/>
      <c r="HHZ1093"/>
      <c r="HIC1093"/>
      <c r="HID1093"/>
      <c r="HIG1093"/>
      <c r="HIH1093"/>
      <c r="HIK1093"/>
      <c r="HIL1093"/>
      <c r="HIO1093"/>
      <c r="HIP1093"/>
      <c r="HIS1093"/>
      <c r="HIT1093"/>
      <c r="HIW1093"/>
      <c r="HIX1093"/>
      <c r="HJA1093"/>
      <c r="HJB1093"/>
      <c r="HJE1093"/>
      <c r="HJF1093"/>
      <c r="HJI1093"/>
      <c r="HJJ1093"/>
      <c r="HJM1093"/>
      <c r="HJN1093"/>
      <c r="HJQ1093"/>
      <c r="HJR1093"/>
      <c r="HJU1093"/>
      <c r="HJV1093"/>
      <c r="HJY1093"/>
      <c r="HJZ1093"/>
      <c r="HKC1093"/>
      <c r="HKD1093"/>
      <c r="HKG1093"/>
      <c r="HKH1093"/>
      <c r="HKK1093"/>
      <c r="HKL1093"/>
      <c r="HKO1093"/>
      <c r="HKP1093"/>
      <c r="HKS1093"/>
      <c r="HKT1093"/>
      <c r="HKW1093"/>
      <c r="HKX1093"/>
      <c r="HLA1093"/>
      <c r="HLB1093"/>
      <c r="HLE1093"/>
      <c r="HLF1093"/>
      <c r="HLI1093"/>
      <c r="HLJ1093"/>
      <c r="HLM1093"/>
      <c r="HLN1093"/>
      <c r="HLQ1093"/>
      <c r="HLR1093"/>
      <c r="HLU1093"/>
      <c r="HLV1093"/>
      <c r="HLY1093"/>
      <c r="HLZ1093"/>
      <c r="HMC1093"/>
      <c r="HMD1093"/>
      <c r="HMG1093"/>
      <c r="HMH1093"/>
      <c r="HMK1093"/>
      <c r="HML1093"/>
      <c r="HMO1093"/>
      <c r="HMP1093"/>
      <c r="HMS1093"/>
      <c r="HMT1093"/>
      <c r="HMW1093"/>
      <c r="HMX1093"/>
      <c r="HNA1093"/>
      <c r="HNB1093"/>
      <c r="HNE1093"/>
      <c r="HNF1093"/>
      <c r="HNI1093"/>
      <c r="HNJ1093"/>
      <c r="HNM1093"/>
      <c r="HNN1093"/>
      <c r="HNQ1093"/>
      <c r="HNR1093"/>
      <c r="HNU1093"/>
      <c r="HNV1093"/>
      <c r="HNY1093"/>
      <c r="HNZ1093"/>
      <c r="HOC1093"/>
      <c r="HOD1093"/>
      <c r="HOG1093"/>
      <c r="HOH1093"/>
      <c r="HOK1093"/>
      <c r="HOL1093"/>
      <c r="HOO1093"/>
      <c r="HOP1093"/>
      <c r="HOS1093"/>
      <c r="HOT1093"/>
      <c r="HOW1093"/>
      <c r="HOX1093"/>
      <c r="HPA1093"/>
      <c r="HPB1093"/>
      <c r="HPE1093"/>
      <c r="HPF1093"/>
      <c r="HPI1093"/>
      <c r="HPJ1093"/>
      <c r="HPM1093"/>
      <c r="HPN1093"/>
      <c r="HPQ1093"/>
      <c r="HPR1093"/>
      <c r="HPU1093"/>
      <c r="HPV1093"/>
      <c r="HPY1093"/>
      <c r="HPZ1093"/>
      <c r="HQC1093"/>
      <c r="HQD1093"/>
      <c r="HQG1093"/>
      <c r="HQH1093"/>
      <c r="HQK1093"/>
      <c r="HQL1093"/>
      <c r="HQO1093"/>
      <c r="HQP1093"/>
      <c r="HQS1093"/>
      <c r="HQT1093"/>
      <c r="HQW1093"/>
      <c r="HQX1093"/>
      <c r="HRA1093"/>
      <c r="HRB1093"/>
      <c r="HRE1093"/>
      <c r="HRF1093"/>
      <c r="HRI1093"/>
      <c r="HRJ1093"/>
      <c r="HRM1093"/>
      <c r="HRN1093"/>
      <c r="HRQ1093"/>
      <c r="HRR1093"/>
      <c r="HRU1093"/>
      <c r="HRV1093"/>
      <c r="HRY1093"/>
      <c r="HRZ1093"/>
      <c r="HSC1093"/>
      <c r="HSD1093"/>
      <c r="HSG1093"/>
      <c r="HSH1093"/>
      <c r="HSK1093"/>
      <c r="HSL1093"/>
      <c r="HSO1093"/>
      <c r="HSP1093"/>
      <c r="HSS1093"/>
      <c r="HST1093"/>
      <c r="HSW1093"/>
      <c r="HSX1093"/>
      <c r="HTA1093"/>
      <c r="HTB1093"/>
      <c r="HTE1093"/>
      <c r="HTF1093"/>
      <c r="HTI1093"/>
      <c r="HTJ1093"/>
      <c r="HTM1093"/>
      <c r="HTN1093"/>
      <c r="HTQ1093"/>
      <c r="HTR1093"/>
      <c r="HTU1093"/>
      <c r="HTV1093"/>
      <c r="HTY1093"/>
      <c r="HTZ1093"/>
      <c r="HUC1093"/>
      <c r="HUD1093"/>
      <c r="HUG1093"/>
      <c r="HUH1093"/>
      <c r="HUK1093"/>
      <c r="HUL1093"/>
      <c r="HUO1093"/>
      <c r="HUP1093"/>
      <c r="HUS1093"/>
      <c r="HUT1093"/>
      <c r="HUW1093"/>
      <c r="HUX1093"/>
      <c r="HVA1093"/>
      <c r="HVB1093"/>
      <c r="HVE1093"/>
      <c r="HVF1093"/>
      <c r="HVI1093"/>
      <c r="HVJ1093"/>
      <c r="HVM1093"/>
      <c r="HVN1093"/>
      <c r="HVQ1093"/>
      <c r="HVR1093"/>
      <c r="HVU1093"/>
      <c r="HVV1093"/>
      <c r="HVY1093"/>
      <c r="HVZ1093"/>
      <c r="HWC1093"/>
      <c r="HWD1093"/>
      <c r="HWG1093"/>
      <c r="HWH1093"/>
      <c r="HWK1093"/>
      <c r="HWL1093"/>
      <c r="HWO1093"/>
      <c r="HWP1093"/>
      <c r="HWS1093"/>
      <c r="HWT1093"/>
      <c r="HWW1093"/>
      <c r="HWX1093"/>
      <c r="HXA1093"/>
      <c r="HXB1093"/>
      <c r="HXE1093"/>
      <c r="HXF1093"/>
      <c r="HXI1093"/>
      <c r="HXJ1093"/>
      <c r="HXM1093"/>
      <c r="HXN1093"/>
      <c r="HXQ1093"/>
      <c r="HXR1093"/>
      <c r="HXU1093"/>
      <c r="HXV1093"/>
      <c r="HXY1093"/>
      <c r="HXZ1093"/>
      <c r="HYC1093"/>
      <c r="HYD1093"/>
      <c r="HYG1093"/>
      <c r="HYH1093"/>
      <c r="HYK1093"/>
      <c r="HYL1093"/>
      <c r="HYO1093"/>
      <c r="HYP1093"/>
      <c r="HYS1093"/>
      <c r="HYT1093"/>
      <c r="HYW1093"/>
      <c r="HYX1093"/>
      <c r="HZA1093"/>
      <c r="HZB1093"/>
      <c r="HZE1093"/>
      <c r="HZF1093"/>
      <c r="HZI1093"/>
      <c r="HZJ1093"/>
      <c r="HZM1093"/>
      <c r="HZN1093"/>
      <c r="HZQ1093"/>
      <c r="HZR1093"/>
      <c r="HZU1093"/>
      <c r="HZV1093"/>
      <c r="HZY1093"/>
      <c r="HZZ1093"/>
      <c r="IAC1093"/>
      <c r="IAD1093"/>
      <c r="IAG1093"/>
      <c r="IAH1093"/>
      <c r="IAK1093"/>
      <c r="IAL1093"/>
      <c r="IAO1093"/>
      <c r="IAP1093"/>
      <c r="IAS1093"/>
      <c r="IAT1093"/>
      <c r="IAW1093"/>
      <c r="IAX1093"/>
      <c r="IBA1093"/>
      <c r="IBB1093"/>
      <c r="IBE1093"/>
      <c r="IBF1093"/>
      <c r="IBI1093"/>
      <c r="IBJ1093"/>
      <c r="IBM1093"/>
      <c r="IBN1093"/>
      <c r="IBQ1093"/>
      <c r="IBR1093"/>
      <c r="IBU1093"/>
      <c r="IBV1093"/>
      <c r="IBY1093"/>
      <c r="IBZ1093"/>
      <c r="ICC1093"/>
      <c r="ICD1093"/>
      <c r="ICG1093"/>
      <c r="ICH1093"/>
      <c r="ICK1093"/>
      <c r="ICL1093"/>
      <c r="ICO1093"/>
      <c r="ICP1093"/>
      <c r="ICS1093"/>
      <c r="ICT1093"/>
      <c r="ICW1093"/>
      <c r="ICX1093"/>
      <c r="IDA1093"/>
      <c r="IDB1093"/>
      <c r="IDE1093"/>
      <c r="IDF1093"/>
      <c r="IDI1093"/>
      <c r="IDJ1093"/>
      <c r="IDM1093"/>
      <c r="IDN1093"/>
      <c r="IDQ1093"/>
      <c r="IDR1093"/>
      <c r="IDU1093"/>
      <c r="IDV1093"/>
      <c r="IDY1093"/>
      <c r="IDZ1093"/>
      <c r="IEC1093"/>
      <c r="IED1093"/>
      <c r="IEG1093"/>
      <c r="IEH1093"/>
      <c r="IEK1093"/>
      <c r="IEL1093"/>
      <c r="IEO1093"/>
      <c r="IEP1093"/>
      <c r="IES1093"/>
      <c r="IET1093"/>
      <c r="IEW1093"/>
      <c r="IEX1093"/>
      <c r="IFA1093"/>
      <c r="IFB1093"/>
      <c r="IFE1093"/>
      <c r="IFF1093"/>
      <c r="IFI1093"/>
      <c r="IFJ1093"/>
      <c r="IFM1093"/>
      <c r="IFN1093"/>
      <c r="IFQ1093"/>
      <c r="IFR1093"/>
      <c r="IFU1093"/>
      <c r="IFV1093"/>
      <c r="IFY1093"/>
      <c r="IFZ1093"/>
      <c r="IGC1093"/>
      <c r="IGD1093"/>
      <c r="IGG1093"/>
      <c r="IGH1093"/>
      <c r="IGK1093"/>
      <c r="IGL1093"/>
      <c r="IGO1093"/>
      <c r="IGP1093"/>
      <c r="IGS1093"/>
      <c r="IGT1093"/>
      <c r="IGW1093"/>
      <c r="IGX1093"/>
      <c r="IHA1093"/>
      <c r="IHB1093"/>
      <c r="IHE1093"/>
      <c r="IHF1093"/>
      <c r="IHI1093"/>
      <c r="IHJ1093"/>
      <c r="IHM1093"/>
      <c r="IHN1093"/>
      <c r="IHQ1093"/>
      <c r="IHR1093"/>
      <c r="IHU1093"/>
      <c r="IHV1093"/>
      <c r="IHY1093"/>
      <c r="IHZ1093"/>
      <c r="IIC1093"/>
      <c r="IID1093"/>
      <c r="IIG1093"/>
      <c r="IIH1093"/>
      <c r="IIK1093"/>
      <c r="IIL1093"/>
      <c r="IIO1093"/>
      <c r="IIP1093"/>
      <c r="IIS1093"/>
      <c r="IIT1093"/>
      <c r="IIW1093"/>
      <c r="IIX1093"/>
      <c r="IJA1093"/>
      <c r="IJB1093"/>
      <c r="IJE1093"/>
      <c r="IJF1093"/>
      <c r="IJI1093"/>
      <c r="IJJ1093"/>
      <c r="IJM1093"/>
      <c r="IJN1093"/>
      <c r="IJQ1093"/>
      <c r="IJR1093"/>
      <c r="IJU1093"/>
      <c r="IJV1093"/>
      <c r="IJY1093"/>
      <c r="IJZ1093"/>
      <c r="IKC1093"/>
      <c r="IKD1093"/>
      <c r="IKG1093"/>
      <c r="IKH1093"/>
      <c r="IKK1093"/>
      <c r="IKL1093"/>
      <c r="IKO1093"/>
      <c r="IKP1093"/>
      <c r="IKS1093"/>
      <c r="IKT1093"/>
      <c r="IKW1093"/>
      <c r="IKX1093"/>
      <c r="ILA1093"/>
      <c r="ILB1093"/>
      <c r="ILE1093"/>
      <c r="ILF1093"/>
      <c r="ILI1093"/>
      <c r="ILJ1093"/>
      <c r="ILM1093"/>
      <c r="ILN1093"/>
      <c r="ILQ1093"/>
      <c r="ILR1093"/>
      <c r="ILU1093"/>
      <c r="ILV1093"/>
      <c r="ILY1093"/>
      <c r="ILZ1093"/>
      <c r="IMC1093"/>
      <c r="IMD1093"/>
      <c r="IMG1093"/>
      <c r="IMH1093"/>
      <c r="IMK1093"/>
      <c r="IML1093"/>
      <c r="IMO1093"/>
      <c r="IMP1093"/>
      <c r="IMS1093"/>
      <c r="IMT1093"/>
      <c r="IMW1093"/>
      <c r="IMX1093"/>
      <c r="INA1093"/>
      <c r="INB1093"/>
      <c r="INE1093"/>
      <c r="INF1093"/>
      <c r="INI1093"/>
      <c r="INJ1093"/>
      <c r="INM1093"/>
      <c r="INN1093"/>
      <c r="INQ1093"/>
      <c r="INR1093"/>
      <c r="INU1093"/>
      <c r="INV1093"/>
      <c r="INY1093"/>
      <c r="INZ1093"/>
      <c r="IOC1093"/>
      <c r="IOD1093"/>
      <c r="IOG1093"/>
      <c r="IOH1093"/>
      <c r="IOK1093"/>
      <c r="IOL1093"/>
      <c r="IOO1093"/>
      <c r="IOP1093"/>
      <c r="IOS1093"/>
      <c r="IOT1093"/>
      <c r="IOW1093"/>
      <c r="IOX1093"/>
      <c r="IPA1093"/>
      <c r="IPB1093"/>
      <c r="IPE1093"/>
      <c r="IPF1093"/>
      <c r="IPI1093"/>
      <c r="IPJ1093"/>
      <c r="IPM1093"/>
      <c r="IPN1093"/>
      <c r="IPQ1093"/>
      <c r="IPR1093"/>
      <c r="IPU1093"/>
      <c r="IPV1093"/>
      <c r="IPY1093"/>
      <c r="IPZ1093"/>
      <c r="IQC1093"/>
      <c r="IQD1093"/>
      <c r="IQG1093"/>
      <c r="IQH1093"/>
      <c r="IQK1093"/>
      <c r="IQL1093"/>
      <c r="IQO1093"/>
      <c r="IQP1093"/>
      <c r="IQS1093"/>
      <c r="IQT1093"/>
      <c r="IQW1093"/>
      <c r="IQX1093"/>
      <c r="IRA1093"/>
      <c r="IRB1093"/>
      <c r="IRE1093"/>
      <c r="IRF1093"/>
      <c r="IRI1093"/>
      <c r="IRJ1093"/>
      <c r="IRM1093"/>
      <c r="IRN1093"/>
      <c r="IRQ1093"/>
      <c r="IRR1093"/>
      <c r="IRU1093"/>
      <c r="IRV1093"/>
      <c r="IRY1093"/>
      <c r="IRZ1093"/>
      <c r="ISC1093"/>
      <c r="ISD1093"/>
      <c r="ISG1093"/>
      <c r="ISH1093"/>
      <c r="ISK1093"/>
      <c r="ISL1093"/>
      <c r="ISO1093"/>
      <c r="ISP1093"/>
      <c r="ISS1093"/>
      <c r="IST1093"/>
      <c r="ISW1093"/>
      <c r="ISX1093"/>
      <c r="ITA1093"/>
      <c r="ITB1093"/>
      <c r="ITE1093"/>
      <c r="ITF1093"/>
      <c r="ITI1093"/>
      <c r="ITJ1093"/>
      <c r="ITM1093"/>
      <c r="ITN1093"/>
      <c r="ITQ1093"/>
      <c r="ITR1093"/>
      <c r="ITU1093"/>
      <c r="ITV1093"/>
      <c r="ITY1093"/>
      <c r="ITZ1093"/>
      <c r="IUC1093"/>
      <c r="IUD1093"/>
      <c r="IUG1093"/>
      <c r="IUH1093"/>
      <c r="IUK1093"/>
      <c r="IUL1093"/>
      <c r="IUO1093"/>
      <c r="IUP1093"/>
      <c r="IUS1093"/>
      <c r="IUT1093"/>
      <c r="IUW1093"/>
      <c r="IUX1093"/>
      <c r="IVA1093"/>
      <c r="IVB1093"/>
      <c r="IVE1093"/>
      <c r="IVF1093"/>
      <c r="IVI1093"/>
      <c r="IVJ1093"/>
      <c r="IVM1093"/>
      <c r="IVN1093"/>
      <c r="IVQ1093"/>
      <c r="IVR1093"/>
      <c r="IVU1093"/>
      <c r="IVV1093"/>
      <c r="IVY1093"/>
      <c r="IVZ1093"/>
      <c r="IWC1093"/>
      <c r="IWD1093"/>
      <c r="IWG1093"/>
      <c r="IWH1093"/>
      <c r="IWK1093"/>
      <c r="IWL1093"/>
      <c r="IWO1093"/>
      <c r="IWP1093"/>
      <c r="IWS1093"/>
      <c r="IWT1093"/>
      <c r="IWW1093"/>
      <c r="IWX1093"/>
      <c r="IXA1093"/>
      <c r="IXB1093"/>
      <c r="IXE1093"/>
      <c r="IXF1093"/>
      <c r="IXI1093"/>
      <c r="IXJ1093"/>
      <c r="IXM1093"/>
      <c r="IXN1093"/>
      <c r="IXQ1093"/>
      <c r="IXR1093"/>
      <c r="IXU1093"/>
      <c r="IXV1093"/>
      <c r="IXY1093"/>
      <c r="IXZ1093"/>
      <c r="IYC1093"/>
      <c r="IYD1093"/>
      <c r="IYG1093"/>
      <c r="IYH1093"/>
      <c r="IYK1093"/>
      <c r="IYL1093"/>
      <c r="IYO1093"/>
      <c r="IYP1093"/>
      <c r="IYS1093"/>
      <c r="IYT1093"/>
      <c r="IYW1093"/>
      <c r="IYX1093"/>
      <c r="IZA1093"/>
      <c r="IZB1093"/>
      <c r="IZE1093"/>
      <c r="IZF1093"/>
      <c r="IZI1093"/>
      <c r="IZJ1093"/>
      <c r="IZM1093"/>
      <c r="IZN1093"/>
      <c r="IZQ1093"/>
      <c r="IZR1093"/>
      <c r="IZU1093"/>
      <c r="IZV1093"/>
      <c r="IZY1093"/>
      <c r="IZZ1093"/>
      <c r="JAC1093"/>
      <c r="JAD1093"/>
      <c r="JAG1093"/>
      <c r="JAH1093"/>
      <c r="JAK1093"/>
      <c r="JAL1093"/>
      <c r="JAO1093"/>
      <c r="JAP1093"/>
      <c r="JAS1093"/>
      <c r="JAT1093"/>
      <c r="JAW1093"/>
      <c r="JAX1093"/>
      <c r="JBA1093"/>
      <c r="JBB1093"/>
      <c r="JBE1093"/>
      <c r="JBF1093"/>
      <c r="JBI1093"/>
      <c r="JBJ1093"/>
      <c r="JBM1093"/>
      <c r="JBN1093"/>
      <c r="JBQ1093"/>
      <c r="JBR1093"/>
      <c r="JBU1093"/>
      <c r="JBV1093"/>
      <c r="JBY1093"/>
      <c r="JBZ1093"/>
      <c r="JCC1093"/>
      <c r="JCD1093"/>
      <c r="JCG1093"/>
      <c r="JCH1093"/>
      <c r="JCK1093"/>
      <c r="JCL1093"/>
      <c r="JCO1093"/>
      <c r="JCP1093"/>
      <c r="JCS1093"/>
      <c r="JCT1093"/>
      <c r="JCW1093"/>
      <c r="JCX1093"/>
      <c r="JDA1093"/>
      <c r="JDB1093"/>
      <c r="JDE1093"/>
      <c r="JDF1093"/>
      <c r="JDI1093"/>
      <c r="JDJ1093"/>
      <c r="JDM1093"/>
      <c r="JDN1093"/>
      <c r="JDQ1093"/>
      <c r="JDR1093"/>
      <c r="JDU1093"/>
      <c r="JDV1093"/>
      <c r="JDY1093"/>
      <c r="JDZ1093"/>
      <c r="JEC1093"/>
      <c r="JED1093"/>
      <c r="JEG1093"/>
      <c r="JEH1093"/>
      <c r="JEK1093"/>
      <c r="JEL1093"/>
      <c r="JEO1093"/>
      <c r="JEP1093"/>
      <c r="JES1093"/>
      <c r="JET1093"/>
      <c r="JEW1093"/>
      <c r="JEX1093"/>
      <c r="JFA1093"/>
      <c r="JFB1093"/>
      <c r="JFE1093"/>
      <c r="JFF1093"/>
      <c r="JFI1093"/>
      <c r="JFJ1093"/>
      <c r="JFM1093"/>
      <c r="JFN1093"/>
      <c r="JFQ1093"/>
      <c r="JFR1093"/>
      <c r="JFU1093"/>
      <c r="JFV1093"/>
      <c r="JFY1093"/>
      <c r="JFZ1093"/>
      <c r="JGC1093"/>
      <c r="JGD1093"/>
      <c r="JGG1093"/>
      <c r="JGH1093"/>
      <c r="JGK1093"/>
      <c r="JGL1093"/>
      <c r="JGO1093"/>
      <c r="JGP1093"/>
      <c r="JGS1093"/>
      <c r="JGT1093"/>
      <c r="JGW1093"/>
      <c r="JGX1093"/>
      <c r="JHA1093"/>
      <c r="JHB1093"/>
      <c r="JHE1093"/>
      <c r="JHF1093"/>
      <c r="JHI1093"/>
      <c r="JHJ1093"/>
      <c r="JHM1093"/>
      <c r="JHN1093"/>
      <c r="JHQ1093"/>
      <c r="JHR1093"/>
      <c r="JHU1093"/>
      <c r="JHV1093"/>
      <c r="JHY1093"/>
      <c r="JHZ1093"/>
      <c r="JIC1093"/>
      <c r="JID1093"/>
      <c r="JIG1093"/>
      <c r="JIH1093"/>
      <c r="JIK1093"/>
      <c r="JIL1093"/>
      <c r="JIO1093"/>
      <c r="JIP1093"/>
      <c r="JIS1093"/>
      <c r="JIT1093"/>
      <c r="JIW1093"/>
      <c r="JIX1093"/>
      <c r="JJA1093"/>
      <c r="JJB1093"/>
      <c r="JJE1093"/>
      <c r="JJF1093"/>
      <c r="JJI1093"/>
      <c r="JJJ1093"/>
      <c r="JJM1093"/>
      <c r="JJN1093"/>
      <c r="JJQ1093"/>
      <c r="JJR1093"/>
      <c r="JJU1093"/>
      <c r="JJV1093"/>
      <c r="JJY1093"/>
      <c r="JJZ1093"/>
      <c r="JKC1093"/>
      <c r="JKD1093"/>
      <c r="JKG1093"/>
      <c r="JKH1093"/>
      <c r="JKK1093"/>
      <c r="JKL1093"/>
      <c r="JKO1093"/>
      <c r="JKP1093"/>
      <c r="JKS1093"/>
      <c r="JKT1093"/>
      <c r="JKW1093"/>
      <c r="JKX1093"/>
      <c r="JLA1093"/>
      <c r="JLB1093"/>
      <c r="JLE1093"/>
      <c r="JLF1093"/>
      <c r="JLI1093"/>
      <c r="JLJ1093"/>
      <c r="JLM1093"/>
      <c r="JLN1093"/>
      <c r="JLQ1093"/>
      <c r="JLR1093"/>
      <c r="JLU1093"/>
      <c r="JLV1093"/>
      <c r="JLY1093"/>
      <c r="JLZ1093"/>
      <c r="JMC1093"/>
      <c r="JMD1093"/>
      <c r="JMG1093"/>
      <c r="JMH1093"/>
      <c r="JMK1093"/>
      <c r="JML1093"/>
      <c r="JMO1093"/>
      <c r="JMP1093"/>
      <c r="JMS1093"/>
      <c r="JMT1093"/>
      <c r="JMW1093"/>
      <c r="JMX1093"/>
      <c r="JNA1093"/>
      <c r="JNB1093"/>
      <c r="JNE1093"/>
      <c r="JNF1093"/>
      <c r="JNI1093"/>
      <c r="JNJ1093"/>
      <c r="JNM1093"/>
      <c r="JNN1093"/>
      <c r="JNQ1093"/>
      <c r="JNR1093"/>
      <c r="JNU1093"/>
      <c r="JNV1093"/>
      <c r="JNY1093"/>
      <c r="JNZ1093"/>
      <c r="JOC1093"/>
      <c r="JOD1093"/>
      <c r="JOG1093"/>
      <c r="JOH1093"/>
      <c r="JOK1093"/>
      <c r="JOL1093"/>
      <c r="JOO1093"/>
      <c r="JOP1093"/>
      <c r="JOS1093"/>
      <c r="JOT1093"/>
      <c r="JOW1093"/>
      <c r="JOX1093"/>
      <c r="JPA1093"/>
      <c r="JPB1093"/>
      <c r="JPE1093"/>
      <c r="JPF1093"/>
      <c r="JPI1093"/>
      <c r="JPJ1093"/>
      <c r="JPM1093"/>
      <c r="JPN1093"/>
      <c r="JPQ1093"/>
      <c r="JPR1093"/>
      <c r="JPU1093"/>
      <c r="JPV1093"/>
      <c r="JPY1093"/>
      <c r="JPZ1093"/>
      <c r="JQC1093"/>
      <c r="JQD1093"/>
      <c r="JQG1093"/>
      <c r="JQH1093"/>
      <c r="JQK1093"/>
      <c r="JQL1093"/>
      <c r="JQO1093"/>
      <c r="JQP1093"/>
      <c r="JQS1093"/>
      <c r="JQT1093"/>
      <c r="JQW1093"/>
      <c r="JQX1093"/>
      <c r="JRA1093"/>
      <c r="JRB1093"/>
      <c r="JRE1093"/>
      <c r="JRF1093"/>
      <c r="JRI1093"/>
      <c r="JRJ1093"/>
      <c r="JRM1093"/>
      <c r="JRN1093"/>
      <c r="JRQ1093"/>
      <c r="JRR1093"/>
      <c r="JRU1093"/>
      <c r="JRV1093"/>
      <c r="JRY1093"/>
      <c r="JRZ1093"/>
      <c r="JSC1093"/>
      <c r="JSD1093"/>
      <c r="JSG1093"/>
      <c r="JSH1093"/>
      <c r="JSK1093"/>
      <c r="JSL1093"/>
      <c r="JSO1093"/>
      <c r="JSP1093"/>
      <c r="JSS1093"/>
      <c r="JST1093"/>
      <c r="JSW1093"/>
      <c r="JSX1093"/>
      <c r="JTA1093"/>
      <c r="JTB1093"/>
      <c r="JTE1093"/>
      <c r="JTF1093"/>
      <c r="JTI1093"/>
      <c r="JTJ1093"/>
      <c r="JTM1093"/>
      <c r="JTN1093"/>
      <c r="JTQ1093"/>
      <c r="JTR1093"/>
      <c r="JTU1093"/>
      <c r="JTV1093"/>
      <c r="JTY1093"/>
      <c r="JTZ1093"/>
      <c r="JUC1093"/>
      <c r="JUD1093"/>
      <c r="JUG1093"/>
      <c r="JUH1093"/>
      <c r="JUK1093"/>
      <c r="JUL1093"/>
      <c r="JUO1093"/>
      <c r="JUP1093"/>
      <c r="JUS1093"/>
      <c r="JUT1093"/>
      <c r="JUW1093"/>
      <c r="JUX1093"/>
      <c r="JVA1093"/>
      <c r="JVB1093"/>
      <c r="JVE1093"/>
      <c r="JVF1093"/>
      <c r="JVI1093"/>
      <c r="JVJ1093"/>
      <c r="JVM1093"/>
      <c r="JVN1093"/>
      <c r="JVQ1093"/>
      <c r="JVR1093"/>
      <c r="JVU1093"/>
      <c r="JVV1093"/>
      <c r="JVY1093"/>
      <c r="JVZ1093"/>
      <c r="JWC1093"/>
      <c r="JWD1093"/>
      <c r="JWG1093"/>
      <c r="JWH1093"/>
      <c r="JWK1093"/>
      <c r="JWL1093"/>
      <c r="JWO1093"/>
      <c r="JWP1093"/>
      <c r="JWS1093"/>
      <c r="JWT1093"/>
      <c r="JWW1093"/>
      <c r="JWX1093"/>
      <c r="JXA1093"/>
      <c r="JXB1093"/>
      <c r="JXE1093"/>
      <c r="JXF1093"/>
      <c r="JXI1093"/>
      <c r="JXJ1093"/>
      <c r="JXM1093"/>
      <c r="JXN1093"/>
      <c r="JXQ1093"/>
      <c r="JXR1093"/>
      <c r="JXU1093"/>
      <c r="JXV1093"/>
      <c r="JXY1093"/>
      <c r="JXZ1093"/>
      <c r="JYC1093"/>
      <c r="JYD1093"/>
      <c r="JYG1093"/>
      <c r="JYH1093"/>
      <c r="JYK1093"/>
      <c r="JYL1093"/>
      <c r="JYO1093"/>
      <c r="JYP1093"/>
      <c r="JYS1093"/>
      <c r="JYT1093"/>
      <c r="JYW1093"/>
      <c r="JYX1093"/>
      <c r="JZA1093"/>
      <c r="JZB1093"/>
      <c r="JZE1093"/>
      <c r="JZF1093"/>
      <c r="JZI1093"/>
      <c r="JZJ1093"/>
      <c r="JZM1093"/>
      <c r="JZN1093"/>
      <c r="JZQ1093"/>
      <c r="JZR1093"/>
      <c r="JZU1093"/>
      <c r="JZV1093"/>
      <c r="JZY1093"/>
      <c r="JZZ1093"/>
      <c r="KAC1093"/>
      <c r="KAD1093"/>
      <c r="KAG1093"/>
      <c r="KAH1093"/>
      <c r="KAK1093"/>
      <c r="KAL1093"/>
      <c r="KAO1093"/>
      <c r="KAP1093"/>
      <c r="KAS1093"/>
      <c r="KAT1093"/>
      <c r="KAW1093"/>
      <c r="KAX1093"/>
      <c r="KBA1093"/>
      <c r="KBB1093"/>
      <c r="KBE1093"/>
      <c r="KBF1093"/>
      <c r="KBI1093"/>
      <c r="KBJ1093"/>
      <c r="KBM1093"/>
      <c r="KBN1093"/>
      <c r="KBQ1093"/>
      <c r="KBR1093"/>
      <c r="KBU1093"/>
      <c r="KBV1093"/>
      <c r="KBY1093"/>
      <c r="KBZ1093"/>
      <c r="KCC1093"/>
      <c r="KCD1093"/>
      <c r="KCG1093"/>
      <c r="KCH1093"/>
      <c r="KCK1093"/>
      <c r="KCL1093"/>
      <c r="KCO1093"/>
      <c r="KCP1093"/>
      <c r="KCS1093"/>
      <c r="KCT1093"/>
      <c r="KCW1093"/>
      <c r="KCX1093"/>
      <c r="KDA1093"/>
      <c r="KDB1093"/>
      <c r="KDE1093"/>
      <c r="KDF1093"/>
      <c r="KDI1093"/>
      <c r="KDJ1093"/>
      <c r="KDM1093"/>
      <c r="KDN1093"/>
      <c r="KDQ1093"/>
      <c r="KDR1093"/>
      <c r="KDU1093"/>
      <c r="KDV1093"/>
      <c r="KDY1093"/>
      <c r="KDZ1093"/>
      <c r="KEC1093"/>
      <c r="KED1093"/>
      <c r="KEG1093"/>
      <c r="KEH1093"/>
      <c r="KEK1093"/>
      <c r="KEL1093"/>
      <c r="KEO1093"/>
      <c r="KEP1093"/>
      <c r="KES1093"/>
      <c r="KET1093"/>
      <c r="KEW1093"/>
      <c r="KEX1093"/>
      <c r="KFA1093"/>
      <c r="KFB1093"/>
      <c r="KFE1093"/>
      <c r="KFF1093"/>
      <c r="KFI1093"/>
      <c r="KFJ1093"/>
      <c r="KFM1093"/>
      <c r="KFN1093"/>
      <c r="KFQ1093"/>
      <c r="KFR1093"/>
      <c r="KFU1093"/>
      <c r="KFV1093"/>
      <c r="KFY1093"/>
      <c r="KFZ1093"/>
      <c r="KGC1093"/>
      <c r="KGD1093"/>
      <c r="KGG1093"/>
      <c r="KGH1093"/>
      <c r="KGK1093"/>
      <c r="KGL1093"/>
      <c r="KGO1093"/>
      <c r="KGP1093"/>
      <c r="KGS1093"/>
      <c r="KGT1093"/>
      <c r="KGW1093"/>
      <c r="KGX1093"/>
      <c r="KHA1093"/>
      <c r="KHB1093"/>
      <c r="KHE1093"/>
      <c r="KHF1093"/>
      <c r="KHI1093"/>
      <c r="KHJ1093"/>
      <c r="KHM1093"/>
      <c r="KHN1093"/>
      <c r="KHQ1093"/>
      <c r="KHR1093"/>
      <c r="KHU1093"/>
      <c r="KHV1093"/>
      <c r="KHY1093"/>
      <c r="KHZ1093"/>
      <c r="KIC1093"/>
      <c r="KID1093"/>
      <c r="KIG1093"/>
      <c r="KIH1093"/>
      <c r="KIK1093"/>
      <c r="KIL1093"/>
      <c r="KIO1093"/>
      <c r="KIP1093"/>
      <c r="KIS1093"/>
      <c r="KIT1093"/>
      <c r="KIW1093"/>
      <c r="KIX1093"/>
      <c r="KJA1093"/>
      <c r="KJB1093"/>
      <c r="KJE1093"/>
      <c r="KJF1093"/>
      <c r="KJI1093"/>
      <c r="KJJ1093"/>
      <c r="KJM1093"/>
      <c r="KJN1093"/>
      <c r="KJQ1093"/>
      <c r="KJR1093"/>
      <c r="KJU1093"/>
      <c r="KJV1093"/>
      <c r="KJY1093"/>
      <c r="KJZ1093"/>
      <c r="KKC1093"/>
      <c r="KKD1093"/>
      <c r="KKG1093"/>
      <c r="KKH1093"/>
      <c r="KKK1093"/>
      <c r="KKL1093"/>
      <c r="KKO1093"/>
      <c r="KKP1093"/>
      <c r="KKS1093"/>
      <c r="KKT1093"/>
      <c r="KKW1093"/>
      <c r="KKX1093"/>
      <c r="KLA1093"/>
      <c r="KLB1093"/>
      <c r="KLE1093"/>
      <c r="KLF1093"/>
      <c r="KLI1093"/>
      <c r="KLJ1093"/>
      <c r="KLM1093"/>
      <c r="KLN1093"/>
      <c r="KLQ1093"/>
      <c r="KLR1093"/>
      <c r="KLU1093"/>
      <c r="KLV1093"/>
      <c r="KLY1093"/>
      <c r="KLZ1093"/>
      <c r="KMC1093"/>
      <c r="KMD1093"/>
      <c r="KMG1093"/>
      <c r="KMH1093"/>
      <c r="KMK1093"/>
      <c r="KML1093"/>
      <c r="KMO1093"/>
      <c r="KMP1093"/>
      <c r="KMS1093"/>
      <c r="KMT1093"/>
      <c r="KMW1093"/>
      <c r="KMX1093"/>
      <c r="KNA1093"/>
      <c r="KNB1093"/>
      <c r="KNE1093"/>
      <c r="KNF1093"/>
      <c r="KNI1093"/>
      <c r="KNJ1093"/>
      <c r="KNM1093"/>
      <c r="KNN1093"/>
      <c r="KNQ1093"/>
      <c r="KNR1093"/>
      <c r="KNU1093"/>
      <c r="KNV1093"/>
      <c r="KNY1093"/>
      <c r="KNZ1093"/>
      <c r="KOC1093"/>
      <c r="KOD1093"/>
      <c r="KOG1093"/>
      <c r="KOH1093"/>
      <c r="KOK1093"/>
      <c r="KOL1093"/>
      <c r="KOO1093"/>
      <c r="KOP1093"/>
      <c r="KOS1093"/>
      <c r="KOT1093"/>
      <c r="KOW1093"/>
      <c r="KOX1093"/>
      <c r="KPA1093"/>
      <c r="KPB1093"/>
      <c r="KPE1093"/>
      <c r="KPF1093"/>
      <c r="KPI1093"/>
      <c r="KPJ1093"/>
      <c r="KPM1093"/>
      <c r="KPN1093"/>
      <c r="KPQ1093"/>
      <c r="KPR1093"/>
      <c r="KPU1093"/>
      <c r="KPV1093"/>
      <c r="KPY1093"/>
      <c r="KPZ1093"/>
      <c r="KQC1093"/>
      <c r="KQD1093"/>
      <c r="KQG1093"/>
      <c r="KQH1093"/>
      <c r="KQK1093"/>
      <c r="KQL1093"/>
      <c r="KQO1093"/>
      <c r="KQP1093"/>
      <c r="KQS1093"/>
      <c r="KQT1093"/>
      <c r="KQW1093"/>
      <c r="KQX1093"/>
      <c r="KRA1093"/>
      <c r="KRB1093"/>
      <c r="KRE1093"/>
      <c r="KRF1093"/>
      <c r="KRI1093"/>
      <c r="KRJ1093"/>
      <c r="KRM1093"/>
      <c r="KRN1093"/>
      <c r="KRQ1093"/>
      <c r="KRR1093"/>
      <c r="KRU1093"/>
      <c r="KRV1093"/>
      <c r="KRY1093"/>
      <c r="KRZ1093"/>
      <c r="KSC1093"/>
      <c r="KSD1093"/>
      <c r="KSG1093"/>
      <c r="KSH1093"/>
      <c r="KSK1093"/>
      <c r="KSL1093"/>
      <c r="KSO1093"/>
      <c r="KSP1093"/>
      <c r="KSS1093"/>
      <c r="KST1093"/>
      <c r="KSW1093"/>
      <c r="KSX1093"/>
      <c r="KTA1093"/>
      <c r="KTB1093"/>
      <c r="KTE1093"/>
      <c r="KTF1093"/>
      <c r="KTI1093"/>
      <c r="KTJ1093"/>
      <c r="KTM1093"/>
      <c r="KTN1093"/>
      <c r="KTQ1093"/>
      <c r="KTR1093"/>
      <c r="KTU1093"/>
      <c r="KTV1093"/>
      <c r="KTY1093"/>
      <c r="KTZ1093"/>
      <c r="KUC1093"/>
      <c r="KUD1093"/>
      <c r="KUG1093"/>
      <c r="KUH1093"/>
      <c r="KUK1093"/>
      <c r="KUL1093"/>
      <c r="KUO1093"/>
      <c r="KUP1093"/>
      <c r="KUS1093"/>
      <c r="KUT1093"/>
      <c r="KUW1093"/>
      <c r="KUX1093"/>
      <c r="KVA1093"/>
      <c r="KVB1093"/>
      <c r="KVE1093"/>
      <c r="KVF1093"/>
      <c r="KVI1093"/>
      <c r="KVJ1093"/>
      <c r="KVM1093"/>
      <c r="KVN1093"/>
      <c r="KVQ1093"/>
      <c r="KVR1093"/>
      <c r="KVU1093"/>
      <c r="KVV1093"/>
      <c r="KVY1093"/>
      <c r="KVZ1093"/>
      <c r="KWC1093"/>
      <c r="KWD1093"/>
      <c r="KWG1093"/>
      <c r="KWH1093"/>
      <c r="KWK1093"/>
      <c r="KWL1093"/>
      <c r="KWO1093"/>
      <c r="KWP1093"/>
      <c r="KWS1093"/>
      <c r="KWT1093"/>
      <c r="KWW1093"/>
      <c r="KWX1093"/>
      <c r="KXA1093"/>
      <c r="KXB1093"/>
      <c r="KXE1093"/>
      <c r="KXF1093"/>
      <c r="KXI1093"/>
      <c r="KXJ1093"/>
      <c r="KXM1093"/>
      <c r="KXN1093"/>
      <c r="KXQ1093"/>
      <c r="KXR1093"/>
      <c r="KXU1093"/>
      <c r="KXV1093"/>
      <c r="KXY1093"/>
      <c r="KXZ1093"/>
      <c r="KYC1093"/>
      <c r="KYD1093"/>
      <c r="KYG1093"/>
      <c r="KYH1093"/>
      <c r="KYK1093"/>
      <c r="KYL1093"/>
      <c r="KYO1093"/>
      <c r="KYP1093"/>
      <c r="KYS1093"/>
      <c r="KYT1093"/>
      <c r="KYW1093"/>
      <c r="KYX1093"/>
      <c r="KZA1093"/>
      <c r="KZB1093"/>
      <c r="KZE1093"/>
      <c r="KZF1093"/>
      <c r="KZI1093"/>
      <c r="KZJ1093"/>
      <c r="KZM1093"/>
      <c r="KZN1093"/>
      <c r="KZQ1093"/>
      <c r="KZR1093"/>
      <c r="KZU1093"/>
      <c r="KZV1093"/>
      <c r="KZY1093"/>
      <c r="KZZ1093"/>
      <c r="LAC1093"/>
      <c r="LAD1093"/>
      <c r="LAG1093"/>
      <c r="LAH1093"/>
      <c r="LAK1093"/>
      <c r="LAL1093"/>
      <c r="LAO1093"/>
      <c r="LAP1093"/>
      <c r="LAS1093"/>
      <c r="LAT1093"/>
      <c r="LAW1093"/>
      <c r="LAX1093"/>
      <c r="LBA1093"/>
      <c r="LBB1093"/>
      <c r="LBE1093"/>
      <c r="LBF1093"/>
      <c r="LBI1093"/>
      <c r="LBJ1093"/>
      <c r="LBM1093"/>
      <c r="LBN1093"/>
      <c r="LBQ1093"/>
      <c r="LBR1093"/>
      <c r="LBU1093"/>
      <c r="LBV1093"/>
      <c r="LBY1093"/>
      <c r="LBZ1093"/>
      <c r="LCC1093"/>
      <c r="LCD1093"/>
      <c r="LCG1093"/>
      <c r="LCH1093"/>
      <c r="LCK1093"/>
      <c r="LCL1093"/>
      <c r="LCO1093"/>
      <c r="LCP1093"/>
      <c r="LCS1093"/>
      <c r="LCT1093"/>
      <c r="LCW1093"/>
      <c r="LCX1093"/>
      <c r="LDA1093"/>
      <c r="LDB1093"/>
      <c r="LDE1093"/>
      <c r="LDF1093"/>
      <c r="LDI1093"/>
      <c r="LDJ1093"/>
      <c r="LDM1093"/>
      <c r="LDN1093"/>
      <c r="LDQ1093"/>
      <c r="LDR1093"/>
      <c r="LDU1093"/>
      <c r="LDV1093"/>
      <c r="LDY1093"/>
      <c r="LDZ1093"/>
      <c r="LEC1093"/>
      <c r="LED1093"/>
      <c r="LEG1093"/>
      <c r="LEH1093"/>
      <c r="LEK1093"/>
      <c r="LEL1093"/>
      <c r="LEO1093"/>
      <c r="LEP1093"/>
      <c r="LES1093"/>
      <c r="LET1093"/>
      <c r="LEW1093"/>
      <c r="LEX1093"/>
      <c r="LFA1093"/>
      <c r="LFB1093"/>
      <c r="LFE1093"/>
      <c r="LFF1093"/>
      <c r="LFI1093"/>
      <c r="LFJ1093"/>
      <c r="LFM1093"/>
      <c r="LFN1093"/>
      <c r="LFQ1093"/>
      <c r="LFR1093"/>
      <c r="LFU1093"/>
      <c r="LFV1093"/>
      <c r="LFY1093"/>
      <c r="LFZ1093"/>
      <c r="LGC1093"/>
      <c r="LGD1093"/>
      <c r="LGG1093"/>
      <c r="LGH1093"/>
      <c r="LGK1093"/>
      <c r="LGL1093"/>
      <c r="LGO1093"/>
      <c r="LGP1093"/>
      <c r="LGS1093"/>
      <c r="LGT1093"/>
      <c r="LGW1093"/>
      <c r="LGX1093"/>
      <c r="LHA1093"/>
      <c r="LHB1093"/>
      <c r="LHE1093"/>
      <c r="LHF1093"/>
      <c r="LHI1093"/>
      <c r="LHJ1093"/>
      <c r="LHM1093"/>
      <c r="LHN1093"/>
      <c r="LHQ1093"/>
      <c r="LHR1093"/>
      <c r="LHU1093"/>
      <c r="LHV1093"/>
      <c r="LHY1093"/>
      <c r="LHZ1093"/>
      <c r="LIC1093"/>
      <c r="LID1093"/>
      <c r="LIG1093"/>
      <c r="LIH1093"/>
      <c r="LIK1093"/>
      <c r="LIL1093"/>
      <c r="LIO1093"/>
      <c r="LIP1093"/>
      <c r="LIS1093"/>
      <c r="LIT1093"/>
      <c r="LIW1093"/>
      <c r="LIX1093"/>
      <c r="LJA1093"/>
      <c r="LJB1093"/>
      <c r="LJE1093"/>
      <c r="LJF1093"/>
      <c r="LJI1093"/>
      <c r="LJJ1093"/>
      <c r="LJM1093"/>
      <c r="LJN1093"/>
      <c r="LJQ1093"/>
      <c r="LJR1093"/>
      <c r="LJU1093"/>
      <c r="LJV1093"/>
      <c r="LJY1093"/>
      <c r="LJZ1093"/>
      <c r="LKC1093"/>
      <c r="LKD1093"/>
      <c r="LKG1093"/>
      <c r="LKH1093"/>
      <c r="LKK1093"/>
      <c r="LKL1093"/>
      <c r="LKO1093"/>
      <c r="LKP1093"/>
      <c r="LKS1093"/>
      <c r="LKT1093"/>
      <c r="LKW1093"/>
      <c r="LKX1093"/>
      <c r="LLA1093"/>
      <c r="LLB1093"/>
      <c r="LLE1093"/>
      <c r="LLF1093"/>
      <c r="LLI1093"/>
      <c r="LLJ1093"/>
      <c r="LLM1093"/>
      <c r="LLN1093"/>
      <c r="LLQ1093"/>
      <c r="LLR1093"/>
      <c r="LLU1093"/>
      <c r="LLV1093"/>
      <c r="LLY1093"/>
      <c r="LLZ1093"/>
      <c r="LMC1093"/>
      <c r="LMD1093"/>
      <c r="LMG1093"/>
      <c r="LMH1093"/>
      <c r="LMK1093"/>
      <c r="LML1093"/>
      <c r="LMO1093"/>
      <c r="LMP1093"/>
      <c r="LMS1093"/>
      <c r="LMT1093"/>
      <c r="LMW1093"/>
      <c r="LMX1093"/>
      <c r="LNA1093"/>
      <c r="LNB1093"/>
      <c r="LNE1093"/>
      <c r="LNF1093"/>
      <c r="LNI1093"/>
      <c r="LNJ1093"/>
      <c r="LNM1093"/>
      <c r="LNN1093"/>
      <c r="LNQ1093"/>
      <c r="LNR1093"/>
      <c r="LNU1093"/>
      <c r="LNV1093"/>
      <c r="LNY1093"/>
      <c r="LNZ1093"/>
      <c r="LOC1093"/>
      <c r="LOD1093"/>
      <c r="LOG1093"/>
      <c r="LOH1093"/>
      <c r="LOK1093"/>
      <c r="LOL1093"/>
      <c r="LOO1093"/>
      <c r="LOP1093"/>
      <c r="LOS1093"/>
      <c r="LOT1093"/>
      <c r="LOW1093"/>
      <c r="LOX1093"/>
      <c r="LPA1093"/>
      <c r="LPB1093"/>
      <c r="LPE1093"/>
      <c r="LPF1093"/>
      <c r="LPI1093"/>
      <c r="LPJ1093"/>
      <c r="LPM1093"/>
      <c r="LPN1093"/>
      <c r="LPQ1093"/>
      <c r="LPR1093"/>
      <c r="LPU1093"/>
      <c r="LPV1093"/>
      <c r="LPY1093"/>
      <c r="LPZ1093"/>
      <c r="LQC1093"/>
      <c r="LQD1093"/>
      <c r="LQG1093"/>
      <c r="LQH1093"/>
      <c r="LQK1093"/>
      <c r="LQL1093"/>
      <c r="LQO1093"/>
      <c r="LQP1093"/>
      <c r="LQS1093"/>
      <c r="LQT1093"/>
      <c r="LQW1093"/>
      <c r="LQX1093"/>
      <c r="LRA1093"/>
      <c r="LRB1093"/>
      <c r="LRE1093"/>
      <c r="LRF1093"/>
      <c r="LRI1093"/>
      <c r="LRJ1093"/>
      <c r="LRM1093"/>
      <c r="LRN1093"/>
      <c r="LRQ1093"/>
      <c r="LRR1093"/>
      <c r="LRU1093"/>
      <c r="LRV1093"/>
      <c r="LRY1093"/>
      <c r="LRZ1093"/>
      <c r="LSC1093"/>
      <c r="LSD1093"/>
      <c r="LSG1093"/>
      <c r="LSH1093"/>
      <c r="LSK1093"/>
      <c r="LSL1093"/>
      <c r="LSO1093"/>
      <c r="LSP1093"/>
      <c r="LSS1093"/>
      <c r="LST1093"/>
      <c r="LSW1093"/>
      <c r="LSX1093"/>
      <c r="LTA1093"/>
      <c r="LTB1093"/>
      <c r="LTE1093"/>
      <c r="LTF1093"/>
      <c r="LTI1093"/>
      <c r="LTJ1093"/>
      <c r="LTM1093"/>
      <c r="LTN1093"/>
      <c r="LTQ1093"/>
      <c r="LTR1093"/>
      <c r="LTU1093"/>
      <c r="LTV1093"/>
      <c r="LTY1093"/>
      <c r="LTZ1093"/>
      <c r="LUC1093"/>
      <c r="LUD1093"/>
      <c r="LUG1093"/>
      <c r="LUH1093"/>
      <c r="LUK1093"/>
      <c r="LUL1093"/>
      <c r="LUO1093"/>
      <c r="LUP1093"/>
      <c r="LUS1093"/>
      <c r="LUT1093"/>
      <c r="LUW1093"/>
      <c r="LUX1093"/>
      <c r="LVA1093"/>
      <c r="LVB1093"/>
      <c r="LVE1093"/>
      <c r="LVF1093"/>
      <c r="LVI1093"/>
      <c r="LVJ1093"/>
      <c r="LVM1093"/>
      <c r="LVN1093"/>
      <c r="LVQ1093"/>
      <c r="LVR1093"/>
      <c r="LVU1093"/>
      <c r="LVV1093"/>
      <c r="LVY1093"/>
      <c r="LVZ1093"/>
      <c r="LWC1093"/>
      <c r="LWD1093"/>
      <c r="LWG1093"/>
      <c r="LWH1093"/>
      <c r="LWK1093"/>
      <c r="LWL1093"/>
      <c r="LWO1093"/>
      <c r="LWP1093"/>
      <c r="LWS1093"/>
      <c r="LWT1093"/>
      <c r="LWW1093"/>
      <c r="LWX1093"/>
      <c r="LXA1093"/>
      <c r="LXB1093"/>
      <c r="LXE1093"/>
      <c r="LXF1093"/>
      <c r="LXI1093"/>
      <c r="LXJ1093"/>
      <c r="LXM1093"/>
      <c r="LXN1093"/>
      <c r="LXQ1093"/>
      <c r="LXR1093"/>
      <c r="LXU1093"/>
      <c r="LXV1093"/>
      <c r="LXY1093"/>
      <c r="LXZ1093"/>
      <c r="LYC1093"/>
      <c r="LYD1093"/>
      <c r="LYG1093"/>
      <c r="LYH1093"/>
      <c r="LYK1093"/>
      <c r="LYL1093"/>
      <c r="LYO1093"/>
      <c r="LYP1093"/>
      <c r="LYS1093"/>
      <c r="LYT1093"/>
      <c r="LYW1093"/>
      <c r="LYX1093"/>
      <c r="LZA1093"/>
      <c r="LZB1093"/>
      <c r="LZE1093"/>
      <c r="LZF1093"/>
      <c r="LZI1093"/>
      <c r="LZJ1093"/>
      <c r="LZM1093"/>
      <c r="LZN1093"/>
      <c r="LZQ1093"/>
      <c r="LZR1093"/>
      <c r="LZU1093"/>
      <c r="LZV1093"/>
      <c r="LZY1093"/>
      <c r="LZZ1093"/>
      <c r="MAC1093"/>
      <c r="MAD1093"/>
      <c r="MAG1093"/>
      <c r="MAH1093"/>
      <c r="MAK1093"/>
      <c r="MAL1093"/>
      <c r="MAO1093"/>
      <c r="MAP1093"/>
      <c r="MAS1093"/>
      <c r="MAT1093"/>
      <c r="MAW1093"/>
      <c r="MAX1093"/>
      <c r="MBA1093"/>
      <c r="MBB1093"/>
      <c r="MBE1093"/>
      <c r="MBF1093"/>
      <c r="MBI1093"/>
      <c r="MBJ1093"/>
      <c r="MBM1093"/>
      <c r="MBN1093"/>
      <c r="MBQ1093"/>
      <c r="MBR1093"/>
      <c r="MBU1093"/>
      <c r="MBV1093"/>
      <c r="MBY1093"/>
      <c r="MBZ1093"/>
      <c r="MCC1093"/>
      <c r="MCD1093"/>
      <c r="MCG1093"/>
      <c r="MCH1093"/>
      <c r="MCK1093"/>
      <c r="MCL1093"/>
      <c r="MCO1093"/>
      <c r="MCP1093"/>
      <c r="MCS1093"/>
      <c r="MCT1093"/>
      <c r="MCW1093"/>
      <c r="MCX1093"/>
      <c r="MDA1093"/>
      <c r="MDB1093"/>
      <c r="MDE1093"/>
      <c r="MDF1093"/>
      <c r="MDI1093"/>
      <c r="MDJ1093"/>
      <c r="MDM1093"/>
      <c r="MDN1093"/>
      <c r="MDQ1093"/>
      <c r="MDR1093"/>
      <c r="MDU1093"/>
      <c r="MDV1093"/>
      <c r="MDY1093"/>
      <c r="MDZ1093"/>
      <c r="MEC1093"/>
      <c r="MED1093"/>
      <c r="MEG1093"/>
      <c r="MEH1093"/>
      <c r="MEK1093"/>
      <c r="MEL1093"/>
      <c r="MEO1093"/>
      <c r="MEP1093"/>
      <c r="MES1093"/>
      <c r="MET1093"/>
      <c r="MEW1093"/>
      <c r="MEX1093"/>
      <c r="MFA1093"/>
      <c r="MFB1093"/>
      <c r="MFE1093"/>
      <c r="MFF1093"/>
      <c r="MFI1093"/>
      <c r="MFJ1093"/>
      <c r="MFM1093"/>
      <c r="MFN1093"/>
      <c r="MFQ1093"/>
      <c r="MFR1093"/>
      <c r="MFU1093"/>
      <c r="MFV1093"/>
      <c r="MFY1093"/>
      <c r="MFZ1093"/>
      <c r="MGC1093"/>
      <c r="MGD1093"/>
      <c r="MGG1093"/>
      <c r="MGH1093"/>
      <c r="MGK1093"/>
      <c r="MGL1093"/>
      <c r="MGO1093"/>
      <c r="MGP1093"/>
      <c r="MGS1093"/>
      <c r="MGT1093"/>
      <c r="MGW1093"/>
      <c r="MGX1093"/>
      <c r="MHA1093"/>
      <c r="MHB1093"/>
      <c r="MHE1093"/>
      <c r="MHF1093"/>
      <c r="MHI1093"/>
      <c r="MHJ1093"/>
      <c r="MHM1093"/>
      <c r="MHN1093"/>
      <c r="MHQ1093"/>
      <c r="MHR1093"/>
      <c r="MHU1093"/>
      <c r="MHV1093"/>
      <c r="MHY1093"/>
      <c r="MHZ1093"/>
      <c r="MIC1093"/>
      <c r="MID1093"/>
      <c r="MIG1093"/>
      <c r="MIH1093"/>
      <c r="MIK1093"/>
      <c r="MIL1093"/>
      <c r="MIO1093"/>
      <c r="MIP1093"/>
      <c r="MIS1093"/>
      <c r="MIT1093"/>
      <c r="MIW1093"/>
      <c r="MIX1093"/>
      <c r="MJA1093"/>
      <c r="MJB1093"/>
      <c r="MJE1093"/>
      <c r="MJF1093"/>
      <c r="MJI1093"/>
      <c r="MJJ1093"/>
      <c r="MJM1093"/>
      <c r="MJN1093"/>
      <c r="MJQ1093"/>
      <c r="MJR1093"/>
      <c r="MJU1093"/>
      <c r="MJV1093"/>
      <c r="MJY1093"/>
      <c r="MJZ1093"/>
      <c r="MKC1093"/>
      <c r="MKD1093"/>
      <c r="MKG1093"/>
      <c r="MKH1093"/>
      <c r="MKK1093"/>
      <c r="MKL1093"/>
      <c r="MKO1093"/>
      <c r="MKP1093"/>
      <c r="MKS1093"/>
      <c r="MKT1093"/>
      <c r="MKW1093"/>
      <c r="MKX1093"/>
      <c r="MLA1093"/>
      <c r="MLB1093"/>
      <c r="MLE1093"/>
      <c r="MLF1093"/>
      <c r="MLI1093"/>
      <c r="MLJ1093"/>
      <c r="MLM1093"/>
      <c r="MLN1093"/>
      <c r="MLQ1093"/>
      <c r="MLR1093"/>
      <c r="MLU1093"/>
      <c r="MLV1093"/>
      <c r="MLY1093"/>
      <c r="MLZ1093"/>
      <c r="MMC1093"/>
      <c r="MMD1093"/>
      <c r="MMG1093"/>
      <c r="MMH1093"/>
      <c r="MMK1093"/>
      <c r="MML1093"/>
      <c r="MMO1093"/>
      <c r="MMP1093"/>
      <c r="MMS1093"/>
      <c r="MMT1093"/>
      <c r="MMW1093"/>
      <c r="MMX1093"/>
      <c r="MNA1093"/>
      <c r="MNB1093"/>
      <c r="MNE1093"/>
      <c r="MNF1093"/>
      <c r="MNI1093"/>
      <c r="MNJ1093"/>
      <c r="MNM1093"/>
      <c r="MNN1093"/>
      <c r="MNQ1093"/>
      <c r="MNR1093"/>
      <c r="MNU1093"/>
      <c r="MNV1093"/>
      <c r="MNY1093"/>
      <c r="MNZ1093"/>
      <c r="MOC1093"/>
      <c r="MOD1093"/>
      <c r="MOG1093"/>
      <c r="MOH1093"/>
      <c r="MOK1093"/>
      <c r="MOL1093"/>
      <c r="MOO1093"/>
      <c r="MOP1093"/>
      <c r="MOS1093"/>
      <c r="MOT1093"/>
      <c r="MOW1093"/>
      <c r="MOX1093"/>
      <c r="MPA1093"/>
      <c r="MPB1093"/>
      <c r="MPE1093"/>
      <c r="MPF1093"/>
      <c r="MPI1093"/>
      <c r="MPJ1093"/>
      <c r="MPM1093"/>
      <c r="MPN1093"/>
      <c r="MPQ1093"/>
      <c r="MPR1093"/>
      <c r="MPU1093"/>
      <c r="MPV1093"/>
      <c r="MPY1093"/>
      <c r="MPZ1093"/>
      <c r="MQC1093"/>
      <c r="MQD1093"/>
      <c r="MQG1093"/>
      <c r="MQH1093"/>
      <c r="MQK1093"/>
      <c r="MQL1093"/>
      <c r="MQO1093"/>
      <c r="MQP1093"/>
      <c r="MQS1093"/>
      <c r="MQT1093"/>
      <c r="MQW1093"/>
      <c r="MQX1093"/>
      <c r="MRA1093"/>
      <c r="MRB1093"/>
      <c r="MRE1093"/>
      <c r="MRF1093"/>
      <c r="MRI1093"/>
      <c r="MRJ1093"/>
      <c r="MRM1093"/>
      <c r="MRN1093"/>
      <c r="MRQ1093"/>
      <c r="MRR1093"/>
      <c r="MRU1093"/>
      <c r="MRV1093"/>
      <c r="MRY1093"/>
      <c r="MRZ1093"/>
      <c r="MSC1093"/>
      <c r="MSD1093"/>
      <c r="MSG1093"/>
      <c r="MSH1093"/>
      <c r="MSK1093"/>
      <c r="MSL1093"/>
      <c r="MSO1093"/>
      <c r="MSP1093"/>
      <c r="MSS1093"/>
      <c r="MST1093"/>
      <c r="MSW1093"/>
      <c r="MSX1093"/>
      <c r="MTA1093"/>
      <c r="MTB1093"/>
      <c r="MTE1093"/>
      <c r="MTF1093"/>
      <c r="MTI1093"/>
      <c r="MTJ1093"/>
      <c r="MTM1093"/>
      <c r="MTN1093"/>
      <c r="MTQ1093"/>
      <c r="MTR1093"/>
      <c r="MTU1093"/>
      <c r="MTV1093"/>
      <c r="MTY1093"/>
      <c r="MTZ1093"/>
      <c r="MUC1093"/>
      <c r="MUD1093"/>
      <c r="MUG1093"/>
      <c r="MUH1093"/>
      <c r="MUK1093"/>
      <c r="MUL1093"/>
      <c r="MUO1093"/>
      <c r="MUP1093"/>
      <c r="MUS1093"/>
      <c r="MUT1093"/>
      <c r="MUW1093"/>
      <c r="MUX1093"/>
      <c r="MVA1093"/>
      <c r="MVB1093"/>
      <c r="MVE1093"/>
      <c r="MVF1093"/>
      <c r="MVI1093"/>
      <c r="MVJ1093"/>
      <c r="MVM1093"/>
      <c r="MVN1093"/>
      <c r="MVQ1093"/>
      <c r="MVR1093"/>
      <c r="MVU1093"/>
      <c r="MVV1093"/>
      <c r="MVY1093"/>
      <c r="MVZ1093"/>
      <c r="MWC1093"/>
      <c r="MWD1093"/>
      <c r="MWG1093"/>
      <c r="MWH1093"/>
      <c r="MWK1093"/>
      <c r="MWL1093"/>
      <c r="MWO1093"/>
      <c r="MWP1093"/>
      <c r="MWS1093"/>
      <c r="MWT1093"/>
      <c r="MWW1093"/>
      <c r="MWX1093"/>
      <c r="MXA1093"/>
      <c r="MXB1093"/>
      <c r="MXE1093"/>
      <c r="MXF1093"/>
      <c r="MXI1093"/>
      <c r="MXJ1093"/>
      <c r="MXM1093"/>
      <c r="MXN1093"/>
      <c r="MXQ1093"/>
      <c r="MXR1093"/>
      <c r="MXU1093"/>
      <c r="MXV1093"/>
      <c r="MXY1093"/>
      <c r="MXZ1093"/>
      <c r="MYC1093"/>
      <c r="MYD1093"/>
      <c r="MYG1093"/>
      <c r="MYH1093"/>
      <c r="MYK1093"/>
      <c r="MYL1093"/>
      <c r="MYO1093"/>
      <c r="MYP1093"/>
      <c r="MYS1093"/>
      <c r="MYT1093"/>
      <c r="MYW1093"/>
      <c r="MYX1093"/>
      <c r="MZA1093"/>
      <c r="MZB1093"/>
      <c r="MZE1093"/>
      <c r="MZF1093"/>
      <c r="MZI1093"/>
      <c r="MZJ1093"/>
      <c r="MZM1093"/>
      <c r="MZN1093"/>
      <c r="MZQ1093"/>
      <c r="MZR1093"/>
      <c r="MZU1093"/>
      <c r="MZV1093"/>
      <c r="MZY1093"/>
      <c r="MZZ1093"/>
      <c r="NAC1093"/>
      <c r="NAD1093"/>
      <c r="NAG1093"/>
      <c r="NAH1093"/>
      <c r="NAK1093"/>
      <c r="NAL1093"/>
      <c r="NAO1093"/>
      <c r="NAP1093"/>
      <c r="NAS1093"/>
      <c r="NAT1093"/>
      <c r="NAW1093"/>
      <c r="NAX1093"/>
      <c r="NBA1093"/>
      <c r="NBB1093"/>
      <c r="NBE1093"/>
      <c r="NBF1093"/>
      <c r="NBI1093"/>
      <c r="NBJ1093"/>
      <c r="NBM1093"/>
      <c r="NBN1093"/>
      <c r="NBQ1093"/>
      <c r="NBR1093"/>
      <c r="NBU1093"/>
      <c r="NBV1093"/>
      <c r="NBY1093"/>
      <c r="NBZ1093"/>
      <c r="NCC1093"/>
      <c r="NCD1093"/>
      <c r="NCG1093"/>
      <c r="NCH1093"/>
      <c r="NCK1093"/>
      <c r="NCL1093"/>
      <c r="NCO1093"/>
      <c r="NCP1093"/>
      <c r="NCS1093"/>
      <c r="NCT1093"/>
      <c r="NCW1093"/>
      <c r="NCX1093"/>
      <c r="NDA1093"/>
      <c r="NDB1093"/>
      <c r="NDE1093"/>
      <c r="NDF1093"/>
      <c r="NDI1093"/>
      <c r="NDJ1093"/>
      <c r="NDM1093"/>
      <c r="NDN1093"/>
      <c r="NDQ1093"/>
      <c r="NDR1093"/>
      <c r="NDU1093"/>
      <c r="NDV1093"/>
      <c r="NDY1093"/>
      <c r="NDZ1093"/>
      <c r="NEC1093"/>
      <c r="NED1093"/>
      <c r="NEG1093"/>
      <c r="NEH1093"/>
      <c r="NEK1093"/>
      <c r="NEL1093"/>
      <c r="NEO1093"/>
      <c r="NEP1093"/>
      <c r="NES1093"/>
      <c r="NET1093"/>
      <c r="NEW1093"/>
      <c r="NEX1093"/>
      <c r="NFA1093"/>
      <c r="NFB1093"/>
      <c r="NFE1093"/>
      <c r="NFF1093"/>
      <c r="NFI1093"/>
      <c r="NFJ1093"/>
      <c r="NFM1093"/>
      <c r="NFN1093"/>
      <c r="NFQ1093"/>
      <c r="NFR1093"/>
      <c r="NFU1093"/>
      <c r="NFV1093"/>
      <c r="NFY1093"/>
      <c r="NFZ1093"/>
      <c r="NGC1093"/>
      <c r="NGD1093"/>
      <c r="NGG1093"/>
      <c r="NGH1093"/>
      <c r="NGK1093"/>
      <c r="NGL1093"/>
      <c r="NGO1093"/>
      <c r="NGP1093"/>
      <c r="NGS1093"/>
      <c r="NGT1093"/>
      <c r="NGW1093"/>
      <c r="NGX1093"/>
      <c r="NHA1093"/>
      <c r="NHB1093"/>
      <c r="NHE1093"/>
      <c r="NHF1093"/>
      <c r="NHI1093"/>
      <c r="NHJ1093"/>
      <c r="NHM1093"/>
      <c r="NHN1093"/>
      <c r="NHQ1093"/>
      <c r="NHR1093"/>
      <c r="NHU1093"/>
      <c r="NHV1093"/>
      <c r="NHY1093"/>
      <c r="NHZ1093"/>
      <c r="NIC1093"/>
      <c r="NID1093"/>
      <c r="NIG1093"/>
      <c r="NIH1093"/>
      <c r="NIK1093"/>
      <c r="NIL1093"/>
      <c r="NIO1093"/>
      <c r="NIP1093"/>
      <c r="NIS1093"/>
      <c r="NIT1093"/>
      <c r="NIW1093"/>
      <c r="NIX1093"/>
      <c r="NJA1093"/>
      <c r="NJB1093"/>
      <c r="NJE1093"/>
      <c r="NJF1093"/>
      <c r="NJI1093"/>
      <c r="NJJ1093"/>
      <c r="NJM1093"/>
      <c r="NJN1093"/>
      <c r="NJQ1093"/>
      <c r="NJR1093"/>
      <c r="NJU1093"/>
      <c r="NJV1093"/>
      <c r="NJY1093"/>
      <c r="NJZ1093"/>
      <c r="NKC1093"/>
      <c r="NKD1093"/>
      <c r="NKG1093"/>
      <c r="NKH1093"/>
      <c r="NKK1093"/>
      <c r="NKL1093"/>
      <c r="NKO1093"/>
      <c r="NKP1093"/>
      <c r="NKS1093"/>
      <c r="NKT1093"/>
      <c r="NKW1093"/>
      <c r="NKX1093"/>
      <c r="NLA1093"/>
      <c r="NLB1093"/>
      <c r="NLE1093"/>
      <c r="NLF1093"/>
      <c r="NLI1093"/>
      <c r="NLJ1093"/>
      <c r="NLM1093"/>
      <c r="NLN1093"/>
      <c r="NLQ1093"/>
      <c r="NLR1093"/>
      <c r="NLU1093"/>
      <c r="NLV1093"/>
      <c r="NLY1093"/>
      <c r="NLZ1093"/>
      <c r="NMC1093"/>
      <c r="NMD1093"/>
      <c r="NMG1093"/>
      <c r="NMH1093"/>
      <c r="NMK1093"/>
      <c r="NML1093"/>
      <c r="NMO1093"/>
      <c r="NMP1093"/>
      <c r="NMS1093"/>
      <c r="NMT1093"/>
      <c r="NMW1093"/>
      <c r="NMX1093"/>
      <c r="NNA1093"/>
      <c r="NNB1093"/>
      <c r="NNE1093"/>
      <c r="NNF1093"/>
      <c r="NNI1093"/>
      <c r="NNJ1093"/>
      <c r="NNM1093"/>
      <c r="NNN1093"/>
      <c r="NNQ1093"/>
      <c r="NNR1093"/>
      <c r="NNU1093"/>
      <c r="NNV1093"/>
      <c r="NNY1093"/>
      <c r="NNZ1093"/>
      <c r="NOC1093"/>
      <c r="NOD1093"/>
      <c r="NOG1093"/>
      <c r="NOH1093"/>
      <c r="NOK1093"/>
      <c r="NOL1093"/>
      <c r="NOO1093"/>
      <c r="NOP1093"/>
      <c r="NOS1093"/>
      <c r="NOT1093"/>
      <c r="NOW1093"/>
      <c r="NOX1093"/>
      <c r="NPA1093"/>
      <c r="NPB1093"/>
      <c r="NPE1093"/>
      <c r="NPF1093"/>
      <c r="NPI1093"/>
      <c r="NPJ1093"/>
      <c r="NPM1093"/>
      <c r="NPN1093"/>
      <c r="NPQ1093"/>
      <c r="NPR1093"/>
      <c r="NPU1093"/>
      <c r="NPV1093"/>
      <c r="NPY1093"/>
      <c r="NPZ1093"/>
      <c r="NQC1093"/>
      <c r="NQD1093"/>
      <c r="NQG1093"/>
      <c r="NQH1093"/>
      <c r="NQK1093"/>
      <c r="NQL1093"/>
      <c r="NQO1093"/>
      <c r="NQP1093"/>
      <c r="NQS1093"/>
      <c r="NQT1093"/>
      <c r="NQW1093"/>
      <c r="NQX1093"/>
      <c r="NRA1093"/>
      <c r="NRB1093"/>
      <c r="NRE1093"/>
      <c r="NRF1093"/>
      <c r="NRI1093"/>
      <c r="NRJ1093"/>
      <c r="NRM1093"/>
      <c r="NRN1093"/>
      <c r="NRQ1093"/>
      <c r="NRR1093"/>
      <c r="NRU1093"/>
      <c r="NRV1093"/>
      <c r="NRY1093"/>
      <c r="NRZ1093"/>
      <c r="NSC1093"/>
      <c r="NSD1093"/>
      <c r="NSG1093"/>
      <c r="NSH1093"/>
      <c r="NSK1093"/>
      <c r="NSL1093"/>
      <c r="NSO1093"/>
      <c r="NSP1093"/>
      <c r="NSS1093"/>
      <c r="NST1093"/>
      <c r="NSW1093"/>
      <c r="NSX1093"/>
      <c r="NTA1093"/>
      <c r="NTB1093"/>
      <c r="NTE1093"/>
      <c r="NTF1093"/>
      <c r="NTI1093"/>
      <c r="NTJ1093"/>
      <c r="NTM1093"/>
      <c r="NTN1093"/>
      <c r="NTQ1093"/>
      <c r="NTR1093"/>
      <c r="NTU1093"/>
      <c r="NTV1093"/>
      <c r="NTY1093"/>
      <c r="NTZ1093"/>
      <c r="NUC1093"/>
      <c r="NUD1093"/>
      <c r="NUG1093"/>
      <c r="NUH1093"/>
      <c r="NUK1093"/>
      <c r="NUL1093"/>
      <c r="NUO1093"/>
      <c r="NUP1093"/>
      <c r="NUS1093"/>
      <c r="NUT1093"/>
      <c r="NUW1093"/>
      <c r="NUX1093"/>
      <c r="NVA1093"/>
      <c r="NVB1093"/>
      <c r="NVE1093"/>
      <c r="NVF1093"/>
      <c r="NVI1093"/>
      <c r="NVJ1093"/>
      <c r="NVM1093"/>
      <c r="NVN1093"/>
      <c r="NVQ1093"/>
      <c r="NVR1093"/>
      <c r="NVU1093"/>
      <c r="NVV1093"/>
      <c r="NVY1093"/>
      <c r="NVZ1093"/>
      <c r="NWC1093"/>
      <c r="NWD1093"/>
      <c r="NWG1093"/>
      <c r="NWH1093"/>
      <c r="NWK1093"/>
      <c r="NWL1093"/>
      <c r="NWO1093"/>
      <c r="NWP1093"/>
      <c r="NWS1093"/>
      <c r="NWT1093"/>
      <c r="NWW1093"/>
      <c r="NWX1093"/>
      <c r="NXA1093"/>
      <c r="NXB1093"/>
      <c r="NXE1093"/>
      <c r="NXF1093"/>
      <c r="NXI1093"/>
      <c r="NXJ1093"/>
      <c r="NXM1093"/>
      <c r="NXN1093"/>
      <c r="NXQ1093"/>
      <c r="NXR1093"/>
      <c r="NXU1093"/>
      <c r="NXV1093"/>
      <c r="NXY1093"/>
      <c r="NXZ1093"/>
      <c r="NYC1093"/>
      <c r="NYD1093"/>
      <c r="NYG1093"/>
      <c r="NYH1093"/>
      <c r="NYK1093"/>
      <c r="NYL1093"/>
      <c r="NYO1093"/>
      <c r="NYP1093"/>
      <c r="NYS1093"/>
      <c r="NYT1093"/>
      <c r="NYW1093"/>
      <c r="NYX1093"/>
      <c r="NZA1093"/>
      <c r="NZB1093"/>
      <c r="NZE1093"/>
      <c r="NZF1093"/>
      <c r="NZI1093"/>
      <c r="NZJ1093"/>
      <c r="NZM1093"/>
      <c r="NZN1093"/>
      <c r="NZQ1093"/>
      <c r="NZR1093"/>
      <c r="NZU1093"/>
      <c r="NZV1093"/>
      <c r="NZY1093"/>
      <c r="NZZ1093"/>
      <c r="OAC1093"/>
      <c r="OAD1093"/>
      <c r="OAG1093"/>
      <c r="OAH1093"/>
      <c r="OAK1093"/>
      <c r="OAL1093"/>
      <c r="OAO1093"/>
      <c r="OAP1093"/>
      <c r="OAS1093"/>
      <c r="OAT1093"/>
      <c r="OAW1093"/>
      <c r="OAX1093"/>
      <c r="OBA1093"/>
      <c r="OBB1093"/>
      <c r="OBE1093"/>
      <c r="OBF1093"/>
      <c r="OBI1093"/>
      <c r="OBJ1093"/>
      <c r="OBM1093"/>
      <c r="OBN1093"/>
      <c r="OBQ1093"/>
      <c r="OBR1093"/>
      <c r="OBU1093"/>
      <c r="OBV1093"/>
      <c r="OBY1093"/>
      <c r="OBZ1093"/>
      <c r="OCC1093"/>
      <c r="OCD1093"/>
      <c r="OCG1093"/>
      <c r="OCH1093"/>
      <c r="OCK1093"/>
      <c r="OCL1093"/>
      <c r="OCO1093"/>
      <c r="OCP1093"/>
      <c r="OCS1093"/>
      <c r="OCT1093"/>
      <c r="OCW1093"/>
      <c r="OCX1093"/>
      <c r="ODA1093"/>
      <c r="ODB1093"/>
      <c r="ODE1093"/>
      <c r="ODF1093"/>
      <c r="ODI1093"/>
      <c r="ODJ1093"/>
      <c r="ODM1093"/>
      <c r="ODN1093"/>
      <c r="ODQ1093"/>
      <c r="ODR1093"/>
      <c r="ODU1093"/>
      <c r="ODV1093"/>
      <c r="ODY1093"/>
      <c r="ODZ1093"/>
      <c r="OEC1093"/>
      <c r="OED1093"/>
      <c r="OEG1093"/>
      <c r="OEH1093"/>
      <c r="OEK1093"/>
      <c r="OEL1093"/>
      <c r="OEO1093"/>
      <c r="OEP1093"/>
      <c r="OES1093"/>
      <c r="OET1093"/>
      <c r="OEW1093"/>
      <c r="OEX1093"/>
      <c r="OFA1093"/>
      <c r="OFB1093"/>
      <c r="OFE1093"/>
      <c r="OFF1093"/>
      <c r="OFI1093"/>
      <c r="OFJ1093"/>
      <c r="OFM1093"/>
      <c r="OFN1093"/>
      <c r="OFQ1093"/>
      <c r="OFR1093"/>
      <c r="OFU1093"/>
      <c r="OFV1093"/>
      <c r="OFY1093"/>
      <c r="OFZ1093"/>
      <c r="OGC1093"/>
      <c r="OGD1093"/>
      <c r="OGG1093"/>
      <c r="OGH1093"/>
      <c r="OGK1093"/>
      <c r="OGL1093"/>
      <c r="OGO1093"/>
      <c r="OGP1093"/>
      <c r="OGS1093"/>
      <c r="OGT1093"/>
      <c r="OGW1093"/>
      <c r="OGX1093"/>
      <c r="OHA1093"/>
      <c r="OHB1093"/>
      <c r="OHE1093"/>
      <c r="OHF1093"/>
      <c r="OHI1093"/>
      <c r="OHJ1093"/>
      <c r="OHM1093"/>
      <c r="OHN1093"/>
      <c r="OHQ1093"/>
      <c r="OHR1093"/>
      <c r="OHU1093"/>
      <c r="OHV1093"/>
      <c r="OHY1093"/>
      <c r="OHZ1093"/>
      <c r="OIC1093"/>
      <c r="OID1093"/>
      <c r="OIG1093"/>
      <c r="OIH1093"/>
      <c r="OIK1093"/>
      <c r="OIL1093"/>
      <c r="OIO1093"/>
      <c r="OIP1093"/>
      <c r="OIS1093"/>
      <c r="OIT1093"/>
      <c r="OIW1093"/>
      <c r="OIX1093"/>
      <c r="OJA1093"/>
      <c r="OJB1093"/>
      <c r="OJE1093"/>
      <c r="OJF1093"/>
      <c r="OJI1093"/>
      <c r="OJJ1093"/>
      <c r="OJM1093"/>
      <c r="OJN1093"/>
      <c r="OJQ1093"/>
      <c r="OJR1093"/>
      <c r="OJU1093"/>
      <c r="OJV1093"/>
      <c r="OJY1093"/>
      <c r="OJZ1093"/>
      <c r="OKC1093"/>
      <c r="OKD1093"/>
      <c r="OKG1093"/>
      <c r="OKH1093"/>
      <c r="OKK1093"/>
      <c r="OKL1093"/>
      <c r="OKO1093"/>
      <c r="OKP1093"/>
      <c r="OKS1093"/>
      <c r="OKT1093"/>
      <c r="OKW1093"/>
      <c r="OKX1093"/>
      <c r="OLA1093"/>
      <c r="OLB1093"/>
      <c r="OLE1093"/>
      <c r="OLF1093"/>
      <c r="OLI1093"/>
      <c r="OLJ1093"/>
      <c r="OLM1093"/>
      <c r="OLN1093"/>
      <c r="OLQ1093"/>
      <c r="OLR1093"/>
      <c r="OLU1093"/>
      <c r="OLV1093"/>
      <c r="OLY1093"/>
      <c r="OLZ1093"/>
      <c r="OMC1093"/>
      <c r="OMD1093"/>
      <c r="OMG1093"/>
      <c r="OMH1093"/>
      <c r="OMK1093"/>
      <c r="OML1093"/>
      <c r="OMO1093"/>
      <c r="OMP1093"/>
      <c r="OMS1093"/>
      <c r="OMT1093"/>
      <c r="OMW1093"/>
      <c r="OMX1093"/>
      <c r="ONA1093"/>
      <c r="ONB1093"/>
      <c r="ONE1093"/>
      <c r="ONF1093"/>
      <c r="ONI1093"/>
      <c r="ONJ1093"/>
      <c r="ONM1093"/>
      <c r="ONN1093"/>
      <c r="ONQ1093"/>
      <c r="ONR1093"/>
      <c r="ONU1093"/>
      <c r="ONV1093"/>
      <c r="ONY1093"/>
      <c r="ONZ1093"/>
      <c r="OOC1093"/>
      <c r="OOD1093"/>
      <c r="OOG1093"/>
      <c r="OOH1093"/>
      <c r="OOK1093"/>
      <c r="OOL1093"/>
      <c r="OOO1093"/>
      <c r="OOP1093"/>
      <c r="OOS1093"/>
      <c r="OOT1093"/>
      <c r="OOW1093"/>
      <c r="OOX1093"/>
      <c r="OPA1093"/>
      <c r="OPB1093"/>
      <c r="OPE1093"/>
      <c r="OPF1093"/>
      <c r="OPI1093"/>
      <c r="OPJ1093"/>
      <c r="OPM1093"/>
      <c r="OPN1093"/>
      <c r="OPQ1093"/>
      <c r="OPR1093"/>
      <c r="OPU1093"/>
      <c r="OPV1093"/>
      <c r="OPY1093"/>
      <c r="OPZ1093"/>
      <c r="OQC1093"/>
      <c r="OQD1093"/>
      <c r="OQG1093"/>
      <c r="OQH1093"/>
      <c r="OQK1093"/>
      <c r="OQL1093"/>
      <c r="OQO1093"/>
      <c r="OQP1093"/>
      <c r="OQS1093"/>
      <c r="OQT1093"/>
      <c r="OQW1093"/>
      <c r="OQX1093"/>
      <c r="ORA1093"/>
      <c r="ORB1093"/>
      <c r="ORE1093"/>
      <c r="ORF1093"/>
      <c r="ORI1093"/>
      <c r="ORJ1093"/>
      <c r="ORM1093"/>
      <c r="ORN1093"/>
      <c r="ORQ1093"/>
      <c r="ORR1093"/>
      <c r="ORU1093"/>
      <c r="ORV1093"/>
      <c r="ORY1093"/>
      <c r="ORZ1093"/>
      <c r="OSC1093"/>
      <c r="OSD1093"/>
      <c r="OSG1093"/>
      <c r="OSH1093"/>
      <c r="OSK1093"/>
      <c r="OSL1093"/>
      <c r="OSO1093"/>
      <c r="OSP1093"/>
      <c r="OSS1093"/>
      <c r="OST1093"/>
      <c r="OSW1093"/>
      <c r="OSX1093"/>
      <c r="OTA1093"/>
      <c r="OTB1093"/>
      <c r="OTE1093"/>
      <c r="OTF1093"/>
      <c r="OTI1093"/>
      <c r="OTJ1093"/>
      <c r="OTM1093"/>
      <c r="OTN1093"/>
      <c r="OTQ1093"/>
      <c r="OTR1093"/>
      <c r="OTU1093"/>
      <c r="OTV1093"/>
      <c r="OTY1093"/>
      <c r="OTZ1093"/>
      <c r="OUC1093"/>
      <c r="OUD1093"/>
      <c r="OUG1093"/>
      <c r="OUH1093"/>
      <c r="OUK1093"/>
      <c r="OUL1093"/>
      <c r="OUO1093"/>
      <c r="OUP1093"/>
      <c r="OUS1093"/>
      <c r="OUT1093"/>
      <c r="OUW1093"/>
      <c r="OUX1093"/>
      <c r="OVA1093"/>
      <c r="OVB1093"/>
      <c r="OVE1093"/>
      <c r="OVF1093"/>
      <c r="OVI1093"/>
      <c r="OVJ1093"/>
      <c r="OVM1093"/>
      <c r="OVN1093"/>
      <c r="OVQ1093"/>
      <c r="OVR1093"/>
      <c r="OVU1093"/>
      <c r="OVV1093"/>
      <c r="OVY1093"/>
      <c r="OVZ1093"/>
      <c r="OWC1093"/>
      <c r="OWD1093"/>
      <c r="OWG1093"/>
      <c r="OWH1093"/>
      <c r="OWK1093"/>
      <c r="OWL1093"/>
      <c r="OWO1093"/>
      <c r="OWP1093"/>
      <c r="OWS1093"/>
      <c r="OWT1093"/>
      <c r="OWW1093"/>
      <c r="OWX1093"/>
      <c r="OXA1093"/>
      <c r="OXB1093"/>
      <c r="OXE1093"/>
      <c r="OXF1093"/>
      <c r="OXI1093"/>
      <c r="OXJ1093"/>
      <c r="OXM1093"/>
      <c r="OXN1093"/>
      <c r="OXQ1093"/>
      <c r="OXR1093"/>
      <c r="OXU1093"/>
      <c r="OXV1093"/>
      <c r="OXY1093"/>
      <c r="OXZ1093"/>
      <c r="OYC1093"/>
      <c r="OYD1093"/>
      <c r="OYG1093"/>
      <c r="OYH1093"/>
      <c r="OYK1093"/>
      <c r="OYL1093"/>
      <c r="OYO1093"/>
      <c r="OYP1093"/>
      <c r="OYS1093"/>
      <c r="OYT1093"/>
      <c r="OYW1093"/>
      <c r="OYX1093"/>
      <c r="OZA1093"/>
      <c r="OZB1093"/>
      <c r="OZE1093"/>
      <c r="OZF1093"/>
      <c r="OZI1093"/>
      <c r="OZJ1093"/>
      <c r="OZM1093"/>
      <c r="OZN1093"/>
      <c r="OZQ1093"/>
      <c r="OZR1093"/>
      <c r="OZU1093"/>
      <c r="OZV1093"/>
      <c r="OZY1093"/>
      <c r="OZZ1093"/>
      <c r="PAC1093"/>
      <c r="PAD1093"/>
      <c r="PAG1093"/>
      <c r="PAH1093"/>
      <c r="PAK1093"/>
      <c r="PAL1093"/>
      <c r="PAO1093"/>
      <c r="PAP1093"/>
      <c r="PAS1093"/>
      <c r="PAT1093"/>
      <c r="PAW1093"/>
      <c r="PAX1093"/>
      <c r="PBA1093"/>
      <c r="PBB1093"/>
      <c r="PBE1093"/>
      <c r="PBF1093"/>
      <c r="PBI1093"/>
      <c r="PBJ1093"/>
      <c r="PBM1093"/>
      <c r="PBN1093"/>
      <c r="PBQ1093"/>
      <c r="PBR1093"/>
      <c r="PBU1093"/>
      <c r="PBV1093"/>
      <c r="PBY1093"/>
      <c r="PBZ1093"/>
      <c r="PCC1093"/>
      <c r="PCD1093"/>
      <c r="PCG1093"/>
      <c r="PCH1093"/>
      <c r="PCK1093"/>
      <c r="PCL1093"/>
      <c r="PCO1093"/>
      <c r="PCP1093"/>
      <c r="PCS1093"/>
      <c r="PCT1093"/>
      <c r="PCW1093"/>
      <c r="PCX1093"/>
      <c r="PDA1093"/>
      <c r="PDB1093"/>
      <c r="PDE1093"/>
      <c r="PDF1093"/>
      <c r="PDI1093"/>
      <c r="PDJ1093"/>
      <c r="PDM1093"/>
      <c r="PDN1093"/>
      <c r="PDQ1093"/>
      <c r="PDR1093"/>
      <c r="PDU1093"/>
      <c r="PDV1093"/>
      <c r="PDY1093"/>
      <c r="PDZ1093"/>
      <c r="PEC1093"/>
      <c r="PED1093"/>
      <c r="PEG1093"/>
      <c r="PEH1093"/>
      <c r="PEK1093"/>
      <c r="PEL1093"/>
      <c r="PEO1093"/>
      <c r="PEP1093"/>
      <c r="PES1093"/>
      <c r="PET1093"/>
      <c r="PEW1093"/>
      <c r="PEX1093"/>
      <c r="PFA1093"/>
      <c r="PFB1093"/>
      <c r="PFE1093"/>
      <c r="PFF1093"/>
      <c r="PFI1093"/>
      <c r="PFJ1093"/>
      <c r="PFM1093"/>
      <c r="PFN1093"/>
      <c r="PFQ1093"/>
      <c r="PFR1093"/>
      <c r="PFU1093"/>
      <c r="PFV1093"/>
      <c r="PFY1093"/>
      <c r="PFZ1093"/>
      <c r="PGC1093"/>
      <c r="PGD1093"/>
      <c r="PGG1093"/>
      <c r="PGH1093"/>
      <c r="PGK1093"/>
      <c r="PGL1093"/>
      <c r="PGO1093"/>
      <c r="PGP1093"/>
      <c r="PGS1093"/>
      <c r="PGT1093"/>
      <c r="PGW1093"/>
      <c r="PGX1093"/>
      <c r="PHA1093"/>
      <c r="PHB1093"/>
      <c r="PHE1093"/>
      <c r="PHF1093"/>
      <c r="PHI1093"/>
      <c r="PHJ1093"/>
      <c r="PHM1093"/>
      <c r="PHN1093"/>
      <c r="PHQ1093"/>
      <c r="PHR1093"/>
      <c r="PHU1093"/>
      <c r="PHV1093"/>
      <c r="PHY1093"/>
      <c r="PHZ1093"/>
      <c r="PIC1093"/>
      <c r="PID1093"/>
      <c r="PIG1093"/>
      <c r="PIH1093"/>
      <c r="PIK1093"/>
      <c r="PIL1093"/>
      <c r="PIO1093"/>
      <c r="PIP1093"/>
      <c r="PIS1093"/>
      <c r="PIT1093"/>
      <c r="PIW1093"/>
      <c r="PIX1093"/>
      <c r="PJA1093"/>
      <c r="PJB1093"/>
      <c r="PJE1093"/>
      <c r="PJF1093"/>
      <c r="PJI1093"/>
      <c r="PJJ1093"/>
      <c r="PJM1093"/>
      <c r="PJN1093"/>
      <c r="PJQ1093"/>
      <c r="PJR1093"/>
      <c r="PJU1093"/>
      <c r="PJV1093"/>
      <c r="PJY1093"/>
      <c r="PJZ1093"/>
      <c r="PKC1093"/>
      <c r="PKD1093"/>
      <c r="PKG1093"/>
      <c r="PKH1093"/>
      <c r="PKK1093"/>
      <c r="PKL1093"/>
      <c r="PKO1093"/>
      <c r="PKP1093"/>
      <c r="PKS1093"/>
      <c r="PKT1093"/>
      <c r="PKW1093"/>
      <c r="PKX1093"/>
      <c r="PLA1093"/>
      <c r="PLB1093"/>
      <c r="PLE1093"/>
      <c r="PLF1093"/>
      <c r="PLI1093"/>
      <c r="PLJ1093"/>
      <c r="PLM1093"/>
      <c r="PLN1093"/>
      <c r="PLQ1093"/>
      <c r="PLR1093"/>
      <c r="PLU1093"/>
      <c r="PLV1093"/>
      <c r="PLY1093"/>
      <c r="PLZ1093"/>
      <c r="PMC1093"/>
      <c r="PMD1093"/>
      <c r="PMG1093"/>
      <c r="PMH1093"/>
      <c r="PMK1093"/>
      <c r="PML1093"/>
      <c r="PMO1093"/>
      <c r="PMP1093"/>
      <c r="PMS1093"/>
      <c r="PMT1093"/>
      <c r="PMW1093"/>
      <c r="PMX1093"/>
      <c r="PNA1093"/>
      <c r="PNB1093"/>
      <c r="PNE1093"/>
      <c r="PNF1093"/>
      <c r="PNI1093"/>
      <c r="PNJ1093"/>
      <c r="PNM1093"/>
      <c r="PNN1093"/>
      <c r="PNQ1093"/>
      <c r="PNR1093"/>
      <c r="PNU1093"/>
      <c r="PNV1093"/>
      <c r="PNY1093"/>
      <c r="PNZ1093"/>
      <c r="POC1093"/>
      <c r="POD1093"/>
      <c r="POG1093"/>
      <c r="POH1093"/>
      <c r="POK1093"/>
      <c r="POL1093"/>
      <c r="POO1093"/>
      <c r="POP1093"/>
      <c r="POS1093"/>
      <c r="POT1093"/>
      <c r="POW1093"/>
      <c r="POX1093"/>
      <c r="PPA1093"/>
      <c r="PPB1093"/>
      <c r="PPE1093"/>
      <c r="PPF1093"/>
      <c r="PPI1093"/>
      <c r="PPJ1093"/>
      <c r="PPM1093"/>
      <c r="PPN1093"/>
      <c r="PPQ1093"/>
      <c r="PPR1093"/>
      <c r="PPU1093"/>
      <c r="PPV1093"/>
      <c r="PPY1093"/>
      <c r="PPZ1093"/>
      <c r="PQC1093"/>
      <c r="PQD1093"/>
      <c r="PQG1093"/>
      <c r="PQH1093"/>
      <c r="PQK1093"/>
      <c r="PQL1093"/>
      <c r="PQO1093"/>
      <c r="PQP1093"/>
      <c r="PQS1093"/>
      <c r="PQT1093"/>
      <c r="PQW1093"/>
      <c r="PQX1093"/>
      <c r="PRA1093"/>
      <c r="PRB1093"/>
      <c r="PRE1093"/>
      <c r="PRF1093"/>
      <c r="PRI1093"/>
      <c r="PRJ1093"/>
      <c r="PRM1093"/>
      <c r="PRN1093"/>
      <c r="PRQ1093"/>
      <c r="PRR1093"/>
      <c r="PRU1093"/>
      <c r="PRV1093"/>
      <c r="PRY1093"/>
      <c r="PRZ1093"/>
      <c r="PSC1093"/>
      <c r="PSD1093"/>
      <c r="PSG1093"/>
      <c r="PSH1093"/>
      <c r="PSK1093"/>
      <c r="PSL1093"/>
      <c r="PSO1093"/>
      <c r="PSP1093"/>
      <c r="PSS1093"/>
      <c r="PST1093"/>
      <c r="PSW1093"/>
      <c r="PSX1093"/>
      <c r="PTA1093"/>
      <c r="PTB1093"/>
      <c r="PTE1093"/>
      <c r="PTF1093"/>
      <c r="PTI1093"/>
      <c r="PTJ1093"/>
      <c r="PTM1093"/>
      <c r="PTN1093"/>
      <c r="PTQ1093"/>
      <c r="PTR1093"/>
      <c r="PTU1093"/>
      <c r="PTV1093"/>
      <c r="PTY1093"/>
      <c r="PTZ1093"/>
      <c r="PUC1093"/>
      <c r="PUD1093"/>
      <c r="PUG1093"/>
      <c r="PUH1093"/>
      <c r="PUK1093"/>
      <c r="PUL1093"/>
      <c r="PUO1093"/>
      <c r="PUP1093"/>
      <c r="PUS1093"/>
      <c r="PUT1093"/>
      <c r="PUW1093"/>
      <c r="PUX1093"/>
      <c r="PVA1093"/>
      <c r="PVB1093"/>
      <c r="PVE1093"/>
      <c r="PVF1093"/>
      <c r="PVI1093"/>
      <c r="PVJ1093"/>
      <c r="PVM1093"/>
      <c r="PVN1093"/>
      <c r="PVQ1093"/>
      <c r="PVR1093"/>
      <c r="PVU1093"/>
      <c r="PVV1093"/>
      <c r="PVY1093"/>
      <c r="PVZ1093"/>
      <c r="PWC1093"/>
      <c r="PWD1093"/>
      <c r="PWG1093"/>
      <c r="PWH1093"/>
      <c r="PWK1093"/>
      <c r="PWL1093"/>
      <c r="PWO1093"/>
      <c r="PWP1093"/>
      <c r="PWS1093"/>
      <c r="PWT1093"/>
      <c r="PWW1093"/>
      <c r="PWX1093"/>
      <c r="PXA1093"/>
      <c r="PXB1093"/>
      <c r="PXE1093"/>
      <c r="PXF1093"/>
      <c r="PXI1093"/>
      <c r="PXJ1093"/>
      <c r="PXM1093"/>
      <c r="PXN1093"/>
      <c r="PXQ1093"/>
      <c r="PXR1093"/>
      <c r="PXU1093"/>
      <c r="PXV1093"/>
      <c r="PXY1093"/>
      <c r="PXZ1093"/>
      <c r="PYC1093"/>
      <c r="PYD1093"/>
      <c r="PYG1093"/>
      <c r="PYH1093"/>
      <c r="PYK1093"/>
      <c r="PYL1093"/>
      <c r="PYO1093"/>
      <c r="PYP1093"/>
      <c r="PYS1093"/>
      <c r="PYT1093"/>
      <c r="PYW1093"/>
      <c r="PYX1093"/>
      <c r="PZA1093"/>
      <c r="PZB1093"/>
      <c r="PZE1093"/>
      <c r="PZF1093"/>
      <c r="PZI1093"/>
      <c r="PZJ1093"/>
      <c r="PZM1093"/>
      <c r="PZN1093"/>
      <c r="PZQ1093"/>
      <c r="PZR1093"/>
      <c r="PZU1093"/>
      <c r="PZV1093"/>
      <c r="PZY1093"/>
      <c r="PZZ1093"/>
      <c r="QAC1093"/>
      <c r="QAD1093"/>
      <c r="QAG1093"/>
      <c r="QAH1093"/>
      <c r="QAK1093"/>
      <c r="QAL1093"/>
      <c r="QAO1093"/>
      <c r="QAP1093"/>
      <c r="QAS1093"/>
      <c r="QAT1093"/>
      <c r="QAW1093"/>
      <c r="QAX1093"/>
      <c r="QBA1093"/>
      <c r="QBB1093"/>
      <c r="QBE1093"/>
      <c r="QBF1093"/>
      <c r="QBI1093"/>
      <c r="QBJ1093"/>
      <c r="QBM1093"/>
      <c r="QBN1093"/>
      <c r="QBQ1093"/>
      <c r="QBR1093"/>
      <c r="QBU1093"/>
      <c r="QBV1093"/>
      <c r="QBY1093"/>
      <c r="QBZ1093"/>
      <c r="QCC1093"/>
      <c r="QCD1093"/>
      <c r="QCG1093"/>
      <c r="QCH1093"/>
      <c r="QCK1093"/>
      <c r="QCL1093"/>
      <c r="QCO1093"/>
      <c r="QCP1093"/>
      <c r="QCS1093"/>
      <c r="QCT1093"/>
      <c r="QCW1093"/>
      <c r="QCX1093"/>
      <c r="QDA1093"/>
      <c r="QDB1093"/>
      <c r="QDE1093"/>
      <c r="QDF1093"/>
      <c r="QDI1093"/>
      <c r="QDJ1093"/>
      <c r="QDM1093"/>
      <c r="QDN1093"/>
      <c r="QDQ1093"/>
      <c r="QDR1093"/>
      <c r="QDU1093"/>
      <c r="QDV1093"/>
      <c r="QDY1093"/>
      <c r="QDZ1093"/>
      <c r="QEC1093"/>
      <c r="QED1093"/>
      <c r="QEG1093"/>
      <c r="QEH1093"/>
      <c r="QEK1093"/>
      <c r="QEL1093"/>
      <c r="QEO1093"/>
      <c r="QEP1093"/>
      <c r="QES1093"/>
      <c r="QET1093"/>
      <c r="QEW1093"/>
      <c r="QEX1093"/>
      <c r="QFA1093"/>
      <c r="QFB1093"/>
      <c r="QFE1093"/>
      <c r="QFF1093"/>
      <c r="QFI1093"/>
      <c r="QFJ1093"/>
      <c r="QFM1093"/>
      <c r="QFN1093"/>
      <c r="QFQ1093"/>
      <c r="QFR1093"/>
      <c r="QFU1093"/>
      <c r="QFV1093"/>
      <c r="QFY1093"/>
      <c r="QFZ1093"/>
      <c r="QGC1093"/>
      <c r="QGD1093"/>
      <c r="QGG1093"/>
      <c r="QGH1093"/>
      <c r="QGK1093"/>
      <c r="QGL1093"/>
      <c r="QGO1093"/>
      <c r="QGP1093"/>
      <c r="QGS1093"/>
      <c r="QGT1093"/>
      <c r="QGW1093"/>
      <c r="QGX1093"/>
      <c r="QHA1093"/>
      <c r="QHB1093"/>
      <c r="QHE1093"/>
      <c r="QHF1093"/>
      <c r="QHI1093"/>
      <c r="QHJ1093"/>
      <c r="QHM1093"/>
      <c r="QHN1093"/>
      <c r="QHQ1093"/>
      <c r="QHR1093"/>
      <c r="QHU1093"/>
      <c r="QHV1093"/>
      <c r="QHY1093"/>
      <c r="QHZ1093"/>
      <c r="QIC1093"/>
      <c r="QID1093"/>
      <c r="QIG1093"/>
      <c r="QIH1093"/>
      <c r="QIK1093"/>
      <c r="QIL1093"/>
      <c r="QIO1093"/>
      <c r="QIP1093"/>
      <c r="QIS1093"/>
      <c r="QIT1093"/>
      <c r="QIW1093"/>
      <c r="QIX1093"/>
      <c r="QJA1093"/>
      <c r="QJB1093"/>
      <c r="QJE1093"/>
      <c r="QJF1093"/>
      <c r="QJI1093"/>
      <c r="QJJ1093"/>
      <c r="QJM1093"/>
      <c r="QJN1093"/>
      <c r="QJQ1093"/>
      <c r="QJR1093"/>
      <c r="QJU1093"/>
      <c r="QJV1093"/>
      <c r="QJY1093"/>
      <c r="QJZ1093"/>
      <c r="QKC1093"/>
      <c r="QKD1093"/>
      <c r="QKG1093"/>
      <c r="QKH1093"/>
      <c r="QKK1093"/>
      <c r="QKL1093"/>
      <c r="QKO1093"/>
      <c r="QKP1093"/>
      <c r="QKS1093"/>
      <c r="QKT1093"/>
      <c r="QKW1093"/>
      <c r="QKX1093"/>
      <c r="QLA1093"/>
      <c r="QLB1093"/>
      <c r="QLE1093"/>
      <c r="QLF1093"/>
      <c r="QLI1093"/>
      <c r="QLJ1093"/>
      <c r="QLM1093"/>
      <c r="QLN1093"/>
      <c r="QLQ1093"/>
      <c r="QLR1093"/>
      <c r="QLU1093"/>
      <c r="QLV1093"/>
      <c r="QLY1093"/>
      <c r="QLZ1093"/>
      <c r="QMC1093"/>
      <c r="QMD1093"/>
      <c r="QMG1093"/>
      <c r="QMH1093"/>
      <c r="QMK1093"/>
      <c r="QML1093"/>
      <c r="QMO1093"/>
      <c r="QMP1093"/>
      <c r="QMS1093"/>
      <c r="QMT1093"/>
      <c r="QMW1093"/>
      <c r="QMX1093"/>
      <c r="QNA1093"/>
      <c r="QNB1093"/>
      <c r="QNE1093"/>
      <c r="QNF1093"/>
      <c r="QNI1093"/>
      <c r="QNJ1093"/>
      <c r="QNM1093"/>
      <c r="QNN1093"/>
      <c r="QNQ1093"/>
      <c r="QNR1093"/>
      <c r="QNU1093"/>
      <c r="QNV1093"/>
      <c r="QNY1093"/>
      <c r="QNZ1093"/>
      <c r="QOC1093"/>
      <c r="QOD1093"/>
      <c r="QOG1093"/>
      <c r="QOH1093"/>
      <c r="QOK1093"/>
      <c r="QOL1093"/>
      <c r="QOO1093"/>
      <c r="QOP1093"/>
      <c r="QOS1093"/>
      <c r="QOT1093"/>
      <c r="QOW1093"/>
      <c r="QOX1093"/>
      <c r="QPA1093"/>
      <c r="QPB1093"/>
      <c r="QPE1093"/>
      <c r="QPF1093"/>
      <c r="QPI1093"/>
      <c r="QPJ1093"/>
      <c r="QPM1093"/>
      <c r="QPN1093"/>
      <c r="QPQ1093"/>
      <c r="QPR1093"/>
      <c r="QPU1093"/>
      <c r="QPV1093"/>
      <c r="QPY1093"/>
      <c r="QPZ1093"/>
      <c r="QQC1093"/>
      <c r="QQD1093"/>
      <c r="QQG1093"/>
      <c r="QQH1093"/>
      <c r="QQK1093"/>
      <c r="QQL1093"/>
      <c r="QQO1093"/>
      <c r="QQP1093"/>
      <c r="QQS1093"/>
      <c r="QQT1093"/>
      <c r="QQW1093"/>
      <c r="QQX1093"/>
      <c r="QRA1093"/>
      <c r="QRB1093"/>
      <c r="QRE1093"/>
      <c r="QRF1093"/>
      <c r="QRI1093"/>
      <c r="QRJ1093"/>
      <c r="QRM1093"/>
      <c r="QRN1093"/>
      <c r="QRQ1093"/>
      <c r="QRR1093"/>
      <c r="QRU1093"/>
      <c r="QRV1093"/>
      <c r="QRY1093"/>
      <c r="QRZ1093"/>
      <c r="QSC1093"/>
      <c r="QSD1093"/>
      <c r="QSG1093"/>
      <c r="QSH1093"/>
      <c r="QSK1093"/>
      <c r="QSL1093"/>
      <c r="QSO1093"/>
      <c r="QSP1093"/>
      <c r="QSS1093"/>
      <c r="QST1093"/>
      <c r="QSW1093"/>
      <c r="QSX1093"/>
      <c r="QTA1093"/>
      <c r="QTB1093"/>
      <c r="QTE1093"/>
      <c r="QTF1093"/>
      <c r="QTI1093"/>
      <c r="QTJ1093"/>
      <c r="QTM1093"/>
      <c r="QTN1093"/>
      <c r="QTQ1093"/>
      <c r="QTR1093"/>
      <c r="QTU1093"/>
      <c r="QTV1093"/>
      <c r="QTY1093"/>
      <c r="QTZ1093"/>
      <c r="QUC1093"/>
      <c r="QUD1093"/>
      <c r="QUG1093"/>
      <c r="QUH1093"/>
      <c r="QUK1093"/>
      <c r="QUL1093"/>
      <c r="QUO1093"/>
      <c r="QUP1093"/>
      <c r="QUS1093"/>
      <c r="QUT1093"/>
      <c r="QUW1093"/>
      <c r="QUX1093"/>
      <c r="QVA1093"/>
      <c r="QVB1093"/>
      <c r="QVE1093"/>
      <c r="QVF1093"/>
      <c r="QVI1093"/>
      <c r="QVJ1093"/>
      <c r="QVM1093"/>
      <c r="QVN1093"/>
      <c r="QVQ1093"/>
      <c r="QVR1093"/>
      <c r="QVU1093"/>
      <c r="QVV1093"/>
      <c r="QVY1093"/>
      <c r="QVZ1093"/>
      <c r="QWC1093"/>
      <c r="QWD1093"/>
      <c r="QWG1093"/>
      <c r="QWH1093"/>
      <c r="QWK1093"/>
      <c r="QWL1093"/>
      <c r="QWO1093"/>
      <c r="QWP1093"/>
      <c r="QWS1093"/>
      <c r="QWT1093"/>
      <c r="QWW1093"/>
      <c r="QWX1093"/>
      <c r="QXA1093"/>
      <c r="QXB1093"/>
      <c r="QXE1093"/>
      <c r="QXF1093"/>
      <c r="QXI1093"/>
      <c r="QXJ1093"/>
      <c r="QXM1093"/>
      <c r="QXN1093"/>
      <c r="QXQ1093"/>
      <c r="QXR1093"/>
      <c r="QXU1093"/>
      <c r="QXV1093"/>
      <c r="QXY1093"/>
      <c r="QXZ1093"/>
      <c r="QYC1093"/>
      <c r="QYD1093"/>
      <c r="QYG1093"/>
      <c r="QYH1093"/>
      <c r="QYK1093"/>
      <c r="QYL1093"/>
      <c r="QYO1093"/>
      <c r="QYP1093"/>
      <c r="QYS1093"/>
      <c r="QYT1093"/>
      <c r="QYW1093"/>
      <c r="QYX1093"/>
      <c r="QZA1093"/>
      <c r="QZB1093"/>
      <c r="QZE1093"/>
      <c r="QZF1093"/>
      <c r="QZI1093"/>
      <c r="QZJ1093"/>
      <c r="QZM1093"/>
      <c r="QZN1093"/>
      <c r="QZQ1093"/>
      <c r="QZR1093"/>
      <c r="QZU1093"/>
      <c r="QZV1093"/>
      <c r="QZY1093"/>
      <c r="QZZ1093"/>
      <c r="RAC1093"/>
      <c r="RAD1093"/>
      <c r="RAG1093"/>
      <c r="RAH1093"/>
      <c r="RAK1093"/>
      <c r="RAL1093"/>
      <c r="RAO1093"/>
      <c r="RAP1093"/>
      <c r="RAS1093"/>
      <c r="RAT1093"/>
      <c r="RAW1093"/>
      <c r="RAX1093"/>
      <c r="RBA1093"/>
      <c r="RBB1093"/>
      <c r="RBE1093"/>
      <c r="RBF1093"/>
      <c r="RBI1093"/>
      <c r="RBJ1093"/>
      <c r="RBM1093"/>
      <c r="RBN1093"/>
      <c r="RBQ1093"/>
      <c r="RBR1093"/>
      <c r="RBU1093"/>
      <c r="RBV1093"/>
      <c r="RBY1093"/>
      <c r="RBZ1093"/>
      <c r="RCC1093"/>
      <c r="RCD1093"/>
      <c r="RCG1093"/>
      <c r="RCH1093"/>
      <c r="RCK1093"/>
      <c r="RCL1093"/>
      <c r="RCO1093"/>
      <c r="RCP1093"/>
      <c r="RCS1093"/>
      <c r="RCT1093"/>
      <c r="RCW1093"/>
      <c r="RCX1093"/>
      <c r="RDA1093"/>
      <c r="RDB1093"/>
      <c r="RDE1093"/>
      <c r="RDF1093"/>
      <c r="RDI1093"/>
      <c r="RDJ1093"/>
      <c r="RDM1093"/>
      <c r="RDN1093"/>
      <c r="RDQ1093"/>
      <c r="RDR1093"/>
      <c r="RDU1093"/>
      <c r="RDV1093"/>
      <c r="RDY1093"/>
      <c r="RDZ1093"/>
      <c r="REC1093"/>
      <c r="RED1093"/>
      <c r="REG1093"/>
      <c r="REH1093"/>
      <c r="REK1093"/>
      <c r="REL1093"/>
      <c r="REO1093"/>
      <c r="REP1093"/>
      <c r="RES1093"/>
      <c r="RET1093"/>
      <c r="REW1093"/>
      <c r="REX1093"/>
      <c r="RFA1093"/>
      <c r="RFB1093"/>
      <c r="RFE1093"/>
      <c r="RFF1093"/>
      <c r="RFI1093"/>
      <c r="RFJ1093"/>
      <c r="RFM1093"/>
      <c r="RFN1093"/>
      <c r="RFQ1093"/>
      <c r="RFR1093"/>
      <c r="RFU1093"/>
      <c r="RFV1093"/>
      <c r="RFY1093"/>
      <c r="RFZ1093"/>
      <c r="RGC1093"/>
      <c r="RGD1093"/>
      <c r="RGG1093"/>
      <c r="RGH1093"/>
      <c r="RGK1093"/>
      <c r="RGL1093"/>
      <c r="RGO1093"/>
      <c r="RGP1093"/>
      <c r="RGS1093"/>
      <c r="RGT1093"/>
      <c r="RGW1093"/>
      <c r="RGX1093"/>
      <c r="RHA1093"/>
      <c r="RHB1093"/>
      <c r="RHE1093"/>
      <c r="RHF1093"/>
      <c r="RHI1093"/>
      <c r="RHJ1093"/>
      <c r="RHM1093"/>
      <c r="RHN1093"/>
      <c r="RHQ1093"/>
      <c r="RHR1093"/>
      <c r="RHU1093"/>
      <c r="RHV1093"/>
      <c r="RHY1093"/>
      <c r="RHZ1093"/>
      <c r="RIC1093"/>
      <c r="RID1093"/>
      <c r="RIG1093"/>
      <c r="RIH1093"/>
      <c r="RIK1093"/>
      <c r="RIL1093"/>
      <c r="RIO1093"/>
      <c r="RIP1093"/>
      <c r="RIS1093"/>
      <c r="RIT1093"/>
      <c r="RIW1093"/>
      <c r="RIX1093"/>
      <c r="RJA1093"/>
      <c r="RJB1093"/>
      <c r="RJE1093"/>
      <c r="RJF1093"/>
      <c r="RJI1093"/>
      <c r="RJJ1093"/>
      <c r="RJM1093"/>
      <c r="RJN1093"/>
      <c r="RJQ1093"/>
      <c r="RJR1093"/>
      <c r="RJU1093"/>
      <c r="RJV1093"/>
      <c r="RJY1093"/>
      <c r="RJZ1093"/>
      <c r="RKC1093"/>
      <c r="RKD1093"/>
      <c r="RKG1093"/>
      <c r="RKH1093"/>
      <c r="RKK1093"/>
      <c r="RKL1093"/>
      <c r="RKO1093"/>
      <c r="RKP1093"/>
      <c r="RKS1093"/>
      <c r="RKT1093"/>
      <c r="RKW1093"/>
      <c r="RKX1093"/>
      <c r="RLA1093"/>
      <c r="RLB1093"/>
      <c r="RLE1093"/>
      <c r="RLF1093"/>
      <c r="RLI1093"/>
      <c r="RLJ1093"/>
      <c r="RLM1093"/>
      <c r="RLN1093"/>
      <c r="RLQ1093"/>
      <c r="RLR1093"/>
      <c r="RLU1093"/>
      <c r="RLV1093"/>
      <c r="RLY1093"/>
      <c r="RLZ1093"/>
      <c r="RMC1093"/>
      <c r="RMD1093"/>
      <c r="RMG1093"/>
      <c r="RMH1093"/>
      <c r="RMK1093"/>
      <c r="RML1093"/>
      <c r="RMO1093"/>
      <c r="RMP1093"/>
      <c r="RMS1093"/>
      <c r="RMT1093"/>
      <c r="RMW1093"/>
      <c r="RMX1093"/>
      <c r="RNA1093"/>
      <c r="RNB1093"/>
      <c r="RNE1093"/>
      <c r="RNF1093"/>
      <c r="RNI1093"/>
      <c r="RNJ1093"/>
      <c r="RNM1093"/>
      <c r="RNN1093"/>
      <c r="RNQ1093"/>
      <c r="RNR1093"/>
      <c r="RNU1093"/>
      <c r="RNV1093"/>
      <c r="RNY1093"/>
      <c r="RNZ1093"/>
      <c r="ROC1093"/>
      <c r="ROD1093"/>
      <c r="ROG1093"/>
      <c r="ROH1093"/>
      <c r="ROK1093"/>
      <c r="ROL1093"/>
      <c r="ROO1093"/>
      <c r="ROP1093"/>
      <c r="ROS1093"/>
      <c r="ROT1093"/>
      <c r="ROW1093"/>
      <c r="ROX1093"/>
      <c r="RPA1093"/>
      <c r="RPB1093"/>
      <c r="RPE1093"/>
      <c r="RPF1093"/>
      <c r="RPI1093"/>
      <c r="RPJ1093"/>
      <c r="RPM1093"/>
      <c r="RPN1093"/>
      <c r="RPQ1093"/>
      <c r="RPR1093"/>
      <c r="RPU1093"/>
      <c r="RPV1093"/>
      <c r="RPY1093"/>
      <c r="RPZ1093"/>
      <c r="RQC1093"/>
      <c r="RQD1093"/>
      <c r="RQG1093"/>
      <c r="RQH1093"/>
      <c r="RQK1093"/>
      <c r="RQL1093"/>
      <c r="RQO1093"/>
      <c r="RQP1093"/>
      <c r="RQS1093"/>
      <c r="RQT1093"/>
      <c r="RQW1093"/>
      <c r="RQX1093"/>
      <c r="RRA1093"/>
      <c r="RRB1093"/>
      <c r="RRE1093"/>
      <c r="RRF1093"/>
      <c r="RRI1093"/>
      <c r="RRJ1093"/>
      <c r="RRM1093"/>
      <c r="RRN1093"/>
      <c r="RRQ1093"/>
      <c r="RRR1093"/>
      <c r="RRU1093"/>
      <c r="RRV1093"/>
      <c r="RRY1093"/>
      <c r="RRZ1093"/>
      <c r="RSC1093"/>
      <c r="RSD1093"/>
      <c r="RSG1093"/>
      <c r="RSH1093"/>
      <c r="RSK1093"/>
      <c r="RSL1093"/>
      <c r="RSO1093"/>
      <c r="RSP1093"/>
      <c r="RSS1093"/>
      <c r="RST1093"/>
      <c r="RSW1093"/>
      <c r="RSX1093"/>
      <c r="RTA1093"/>
      <c r="RTB1093"/>
      <c r="RTE1093"/>
      <c r="RTF1093"/>
      <c r="RTI1093"/>
      <c r="RTJ1093"/>
      <c r="RTM1093"/>
      <c r="RTN1093"/>
      <c r="RTQ1093"/>
      <c r="RTR1093"/>
      <c r="RTU1093"/>
      <c r="RTV1093"/>
      <c r="RTY1093"/>
      <c r="RTZ1093"/>
      <c r="RUC1093"/>
      <c r="RUD1093"/>
      <c r="RUG1093"/>
      <c r="RUH1093"/>
      <c r="RUK1093"/>
      <c r="RUL1093"/>
      <c r="RUO1093"/>
      <c r="RUP1093"/>
      <c r="RUS1093"/>
      <c r="RUT1093"/>
      <c r="RUW1093"/>
      <c r="RUX1093"/>
      <c r="RVA1093"/>
      <c r="RVB1093"/>
      <c r="RVE1093"/>
      <c r="RVF1093"/>
      <c r="RVI1093"/>
      <c r="RVJ1093"/>
      <c r="RVM1093"/>
      <c r="RVN1093"/>
      <c r="RVQ1093"/>
      <c r="RVR1093"/>
      <c r="RVU1093"/>
      <c r="RVV1093"/>
      <c r="RVY1093"/>
      <c r="RVZ1093"/>
      <c r="RWC1093"/>
      <c r="RWD1093"/>
      <c r="RWG1093"/>
      <c r="RWH1093"/>
      <c r="RWK1093"/>
      <c r="RWL1093"/>
      <c r="RWO1093"/>
      <c r="RWP1093"/>
      <c r="RWS1093"/>
      <c r="RWT1093"/>
      <c r="RWW1093"/>
      <c r="RWX1093"/>
      <c r="RXA1093"/>
      <c r="RXB1093"/>
      <c r="RXE1093"/>
      <c r="RXF1093"/>
      <c r="RXI1093"/>
      <c r="RXJ1093"/>
      <c r="RXM1093"/>
      <c r="RXN1093"/>
      <c r="RXQ1093"/>
      <c r="RXR1093"/>
      <c r="RXU1093"/>
      <c r="RXV1093"/>
      <c r="RXY1093"/>
      <c r="RXZ1093"/>
      <c r="RYC1093"/>
      <c r="RYD1093"/>
      <c r="RYG1093"/>
      <c r="RYH1093"/>
      <c r="RYK1093"/>
      <c r="RYL1093"/>
      <c r="RYO1093"/>
      <c r="RYP1093"/>
      <c r="RYS1093"/>
      <c r="RYT1093"/>
      <c r="RYW1093"/>
      <c r="RYX1093"/>
      <c r="RZA1093"/>
      <c r="RZB1093"/>
      <c r="RZE1093"/>
      <c r="RZF1093"/>
      <c r="RZI1093"/>
      <c r="RZJ1093"/>
      <c r="RZM1093"/>
      <c r="RZN1093"/>
      <c r="RZQ1093"/>
      <c r="RZR1093"/>
      <c r="RZU1093"/>
      <c r="RZV1093"/>
      <c r="RZY1093"/>
      <c r="RZZ1093"/>
      <c r="SAC1093"/>
      <c r="SAD1093"/>
      <c r="SAG1093"/>
      <c r="SAH1093"/>
      <c r="SAK1093"/>
      <c r="SAL1093"/>
      <c r="SAO1093"/>
      <c r="SAP1093"/>
      <c r="SAS1093"/>
      <c r="SAT1093"/>
      <c r="SAW1093"/>
      <c r="SAX1093"/>
      <c r="SBA1093"/>
      <c r="SBB1093"/>
      <c r="SBE1093"/>
      <c r="SBF1093"/>
      <c r="SBI1093"/>
      <c r="SBJ1093"/>
      <c r="SBM1093"/>
      <c r="SBN1093"/>
      <c r="SBQ1093"/>
      <c r="SBR1093"/>
      <c r="SBU1093"/>
      <c r="SBV1093"/>
      <c r="SBY1093"/>
      <c r="SBZ1093"/>
      <c r="SCC1093"/>
      <c r="SCD1093"/>
      <c r="SCG1093"/>
      <c r="SCH1093"/>
      <c r="SCK1093"/>
      <c r="SCL1093"/>
      <c r="SCO1093"/>
      <c r="SCP1093"/>
      <c r="SCS1093"/>
      <c r="SCT1093"/>
      <c r="SCW1093"/>
      <c r="SCX1093"/>
      <c r="SDA1093"/>
      <c r="SDB1093"/>
      <c r="SDE1093"/>
      <c r="SDF1093"/>
      <c r="SDI1093"/>
      <c r="SDJ1093"/>
      <c r="SDM1093"/>
      <c r="SDN1093"/>
      <c r="SDQ1093"/>
      <c r="SDR1093"/>
      <c r="SDU1093"/>
      <c r="SDV1093"/>
      <c r="SDY1093"/>
      <c r="SDZ1093"/>
      <c r="SEC1093"/>
      <c r="SED1093"/>
      <c r="SEG1093"/>
      <c r="SEH1093"/>
      <c r="SEK1093"/>
      <c r="SEL1093"/>
      <c r="SEO1093"/>
      <c r="SEP1093"/>
      <c r="SES1093"/>
      <c r="SET1093"/>
      <c r="SEW1093"/>
      <c r="SEX1093"/>
      <c r="SFA1093"/>
      <c r="SFB1093"/>
      <c r="SFE1093"/>
      <c r="SFF1093"/>
      <c r="SFI1093"/>
      <c r="SFJ1093"/>
      <c r="SFM1093"/>
      <c r="SFN1093"/>
      <c r="SFQ1093"/>
      <c r="SFR1093"/>
      <c r="SFU1093"/>
      <c r="SFV1093"/>
      <c r="SFY1093"/>
      <c r="SFZ1093"/>
      <c r="SGC1093"/>
      <c r="SGD1093"/>
      <c r="SGG1093"/>
      <c r="SGH1093"/>
      <c r="SGK1093"/>
      <c r="SGL1093"/>
      <c r="SGO1093"/>
      <c r="SGP1093"/>
      <c r="SGS1093"/>
      <c r="SGT1093"/>
      <c r="SGW1093"/>
      <c r="SGX1093"/>
      <c r="SHA1093"/>
      <c r="SHB1093"/>
      <c r="SHE1093"/>
      <c r="SHF1093"/>
      <c r="SHI1093"/>
      <c r="SHJ1093"/>
      <c r="SHM1093"/>
      <c r="SHN1093"/>
      <c r="SHQ1093"/>
      <c r="SHR1093"/>
      <c r="SHU1093"/>
      <c r="SHV1093"/>
      <c r="SHY1093"/>
      <c r="SHZ1093"/>
      <c r="SIC1093"/>
      <c r="SID1093"/>
      <c r="SIG1093"/>
      <c r="SIH1093"/>
      <c r="SIK1093"/>
      <c r="SIL1093"/>
      <c r="SIO1093"/>
      <c r="SIP1093"/>
      <c r="SIS1093"/>
      <c r="SIT1093"/>
      <c r="SIW1093"/>
      <c r="SIX1093"/>
      <c r="SJA1093"/>
      <c r="SJB1093"/>
      <c r="SJE1093"/>
      <c r="SJF1093"/>
      <c r="SJI1093"/>
      <c r="SJJ1093"/>
      <c r="SJM1093"/>
      <c r="SJN1093"/>
      <c r="SJQ1093"/>
      <c r="SJR1093"/>
      <c r="SJU1093"/>
      <c r="SJV1093"/>
      <c r="SJY1093"/>
      <c r="SJZ1093"/>
      <c r="SKC1093"/>
      <c r="SKD1093"/>
      <c r="SKG1093"/>
      <c r="SKH1093"/>
      <c r="SKK1093"/>
      <c r="SKL1093"/>
      <c r="SKO1093"/>
      <c r="SKP1093"/>
      <c r="SKS1093"/>
      <c r="SKT1093"/>
      <c r="SKW1093"/>
      <c r="SKX1093"/>
      <c r="SLA1093"/>
      <c r="SLB1093"/>
      <c r="SLE1093"/>
      <c r="SLF1093"/>
      <c r="SLI1093"/>
      <c r="SLJ1093"/>
      <c r="SLM1093"/>
      <c r="SLN1093"/>
      <c r="SLQ1093"/>
      <c r="SLR1093"/>
      <c r="SLU1093"/>
      <c r="SLV1093"/>
      <c r="SLY1093"/>
      <c r="SLZ1093"/>
      <c r="SMC1093"/>
      <c r="SMD1093"/>
      <c r="SMG1093"/>
      <c r="SMH1093"/>
      <c r="SMK1093"/>
      <c r="SML1093"/>
      <c r="SMO1093"/>
      <c r="SMP1093"/>
      <c r="SMS1093"/>
      <c r="SMT1093"/>
      <c r="SMW1093"/>
      <c r="SMX1093"/>
      <c r="SNA1093"/>
      <c r="SNB1093"/>
      <c r="SNE1093"/>
      <c r="SNF1093"/>
      <c r="SNI1093"/>
      <c r="SNJ1093"/>
      <c r="SNM1093"/>
      <c r="SNN1093"/>
      <c r="SNQ1093"/>
      <c r="SNR1093"/>
      <c r="SNU1093"/>
      <c r="SNV1093"/>
      <c r="SNY1093"/>
      <c r="SNZ1093"/>
      <c r="SOC1093"/>
      <c r="SOD1093"/>
      <c r="SOG1093"/>
      <c r="SOH1093"/>
      <c r="SOK1093"/>
      <c r="SOL1093"/>
      <c r="SOO1093"/>
      <c r="SOP1093"/>
      <c r="SOS1093"/>
      <c r="SOT1093"/>
      <c r="SOW1093"/>
      <c r="SOX1093"/>
      <c r="SPA1093"/>
      <c r="SPB1093"/>
      <c r="SPE1093"/>
      <c r="SPF1093"/>
      <c r="SPI1093"/>
      <c r="SPJ1093"/>
      <c r="SPM1093"/>
      <c r="SPN1093"/>
      <c r="SPQ1093"/>
      <c r="SPR1093"/>
      <c r="SPU1093"/>
      <c r="SPV1093"/>
      <c r="SPY1093"/>
      <c r="SPZ1093"/>
      <c r="SQC1093"/>
      <c r="SQD1093"/>
      <c r="SQG1093"/>
      <c r="SQH1093"/>
      <c r="SQK1093"/>
      <c r="SQL1093"/>
      <c r="SQO1093"/>
      <c r="SQP1093"/>
      <c r="SQS1093"/>
      <c r="SQT1093"/>
      <c r="SQW1093"/>
      <c r="SQX1093"/>
      <c r="SRA1093"/>
      <c r="SRB1093"/>
      <c r="SRE1093"/>
      <c r="SRF1093"/>
      <c r="SRI1093"/>
      <c r="SRJ1093"/>
      <c r="SRM1093"/>
      <c r="SRN1093"/>
      <c r="SRQ1093"/>
      <c r="SRR1093"/>
      <c r="SRU1093"/>
      <c r="SRV1093"/>
      <c r="SRY1093"/>
      <c r="SRZ1093"/>
      <c r="SSC1093"/>
      <c r="SSD1093"/>
      <c r="SSG1093"/>
      <c r="SSH1093"/>
      <c r="SSK1093"/>
      <c r="SSL1093"/>
      <c r="SSO1093"/>
      <c r="SSP1093"/>
      <c r="SSS1093"/>
      <c r="SST1093"/>
      <c r="SSW1093"/>
      <c r="SSX1093"/>
      <c r="STA1093"/>
      <c r="STB1093"/>
      <c r="STE1093"/>
      <c r="STF1093"/>
      <c r="STI1093"/>
      <c r="STJ1093"/>
      <c r="STM1093"/>
      <c r="STN1093"/>
      <c r="STQ1093"/>
      <c r="STR1093"/>
      <c r="STU1093"/>
      <c r="STV1093"/>
      <c r="STY1093"/>
      <c r="STZ1093"/>
      <c r="SUC1093"/>
      <c r="SUD1093"/>
      <c r="SUG1093"/>
      <c r="SUH1093"/>
      <c r="SUK1093"/>
      <c r="SUL1093"/>
      <c r="SUO1093"/>
      <c r="SUP1093"/>
      <c r="SUS1093"/>
      <c r="SUT1093"/>
      <c r="SUW1093"/>
      <c r="SUX1093"/>
      <c r="SVA1093"/>
      <c r="SVB1093"/>
      <c r="SVE1093"/>
      <c r="SVF1093"/>
      <c r="SVI1093"/>
      <c r="SVJ1093"/>
      <c r="SVM1093"/>
      <c r="SVN1093"/>
      <c r="SVQ1093"/>
      <c r="SVR1093"/>
      <c r="SVU1093"/>
      <c r="SVV1093"/>
      <c r="SVY1093"/>
      <c r="SVZ1093"/>
      <c r="SWC1093"/>
      <c r="SWD1093"/>
      <c r="SWG1093"/>
      <c r="SWH1093"/>
      <c r="SWK1093"/>
      <c r="SWL1093"/>
      <c r="SWO1093"/>
      <c r="SWP1093"/>
      <c r="SWS1093"/>
      <c r="SWT1093"/>
      <c r="SWW1093"/>
      <c r="SWX1093"/>
      <c r="SXA1093"/>
      <c r="SXB1093"/>
      <c r="SXE1093"/>
      <c r="SXF1093"/>
      <c r="SXI1093"/>
      <c r="SXJ1093"/>
      <c r="SXM1093"/>
      <c r="SXN1093"/>
      <c r="SXQ1093"/>
      <c r="SXR1093"/>
      <c r="SXU1093"/>
      <c r="SXV1093"/>
      <c r="SXY1093"/>
      <c r="SXZ1093"/>
      <c r="SYC1093"/>
      <c r="SYD1093"/>
      <c r="SYG1093"/>
      <c r="SYH1093"/>
      <c r="SYK1093"/>
      <c r="SYL1093"/>
      <c r="SYO1093"/>
      <c r="SYP1093"/>
      <c r="SYS1093"/>
      <c r="SYT1093"/>
      <c r="SYW1093"/>
      <c r="SYX1093"/>
      <c r="SZA1093"/>
      <c r="SZB1093"/>
      <c r="SZE1093"/>
      <c r="SZF1093"/>
      <c r="SZI1093"/>
      <c r="SZJ1093"/>
      <c r="SZM1093"/>
      <c r="SZN1093"/>
      <c r="SZQ1093"/>
      <c r="SZR1093"/>
      <c r="SZU1093"/>
      <c r="SZV1093"/>
      <c r="SZY1093"/>
      <c r="SZZ1093"/>
      <c r="TAC1093"/>
      <c r="TAD1093"/>
      <c r="TAG1093"/>
      <c r="TAH1093"/>
      <c r="TAK1093"/>
      <c r="TAL1093"/>
      <c r="TAO1093"/>
      <c r="TAP1093"/>
      <c r="TAS1093"/>
      <c r="TAT1093"/>
      <c r="TAW1093"/>
      <c r="TAX1093"/>
      <c r="TBA1093"/>
      <c r="TBB1093"/>
      <c r="TBE1093"/>
      <c r="TBF1093"/>
      <c r="TBI1093"/>
      <c r="TBJ1093"/>
      <c r="TBM1093"/>
      <c r="TBN1093"/>
      <c r="TBQ1093"/>
      <c r="TBR1093"/>
      <c r="TBU1093"/>
      <c r="TBV1093"/>
      <c r="TBY1093"/>
      <c r="TBZ1093"/>
      <c r="TCC1093"/>
      <c r="TCD1093"/>
      <c r="TCG1093"/>
      <c r="TCH1093"/>
      <c r="TCK1093"/>
      <c r="TCL1093"/>
      <c r="TCO1093"/>
      <c r="TCP1093"/>
      <c r="TCS1093"/>
      <c r="TCT1093"/>
      <c r="TCW1093"/>
      <c r="TCX1093"/>
      <c r="TDA1093"/>
      <c r="TDB1093"/>
      <c r="TDE1093"/>
      <c r="TDF1093"/>
      <c r="TDI1093"/>
      <c r="TDJ1093"/>
      <c r="TDM1093"/>
      <c r="TDN1093"/>
      <c r="TDQ1093"/>
      <c r="TDR1093"/>
      <c r="TDU1093"/>
      <c r="TDV1093"/>
      <c r="TDY1093"/>
      <c r="TDZ1093"/>
      <c r="TEC1093"/>
      <c r="TED1093"/>
      <c r="TEG1093"/>
      <c r="TEH1093"/>
      <c r="TEK1093"/>
      <c r="TEL1093"/>
      <c r="TEO1093"/>
      <c r="TEP1093"/>
      <c r="TES1093"/>
      <c r="TET1093"/>
      <c r="TEW1093"/>
      <c r="TEX1093"/>
      <c r="TFA1093"/>
      <c r="TFB1093"/>
      <c r="TFE1093"/>
      <c r="TFF1093"/>
      <c r="TFI1093"/>
      <c r="TFJ1093"/>
      <c r="TFM1093"/>
      <c r="TFN1093"/>
      <c r="TFQ1093"/>
      <c r="TFR1093"/>
      <c r="TFU1093"/>
      <c r="TFV1093"/>
      <c r="TFY1093"/>
      <c r="TFZ1093"/>
      <c r="TGC1093"/>
      <c r="TGD1093"/>
      <c r="TGG1093"/>
      <c r="TGH1093"/>
      <c r="TGK1093"/>
      <c r="TGL1093"/>
      <c r="TGO1093"/>
      <c r="TGP1093"/>
      <c r="TGS1093"/>
      <c r="TGT1093"/>
      <c r="TGW1093"/>
      <c r="TGX1093"/>
      <c r="THA1093"/>
      <c r="THB1093"/>
      <c r="THE1093"/>
      <c r="THF1093"/>
      <c r="THI1093"/>
      <c r="THJ1093"/>
      <c r="THM1093"/>
      <c r="THN1093"/>
      <c r="THQ1093"/>
      <c r="THR1093"/>
      <c r="THU1093"/>
      <c r="THV1093"/>
      <c r="THY1093"/>
      <c r="THZ1093"/>
      <c r="TIC1093"/>
      <c r="TID1093"/>
      <c r="TIG1093"/>
      <c r="TIH1093"/>
      <c r="TIK1093"/>
      <c r="TIL1093"/>
      <c r="TIO1093"/>
      <c r="TIP1093"/>
      <c r="TIS1093"/>
      <c r="TIT1093"/>
      <c r="TIW1093"/>
      <c r="TIX1093"/>
      <c r="TJA1093"/>
      <c r="TJB1093"/>
      <c r="TJE1093"/>
      <c r="TJF1093"/>
      <c r="TJI1093"/>
      <c r="TJJ1093"/>
      <c r="TJM1093"/>
      <c r="TJN1093"/>
      <c r="TJQ1093"/>
      <c r="TJR1093"/>
      <c r="TJU1093"/>
      <c r="TJV1093"/>
      <c r="TJY1093"/>
      <c r="TJZ1093"/>
      <c r="TKC1093"/>
      <c r="TKD1093"/>
      <c r="TKG1093"/>
      <c r="TKH1093"/>
      <c r="TKK1093"/>
      <c r="TKL1093"/>
      <c r="TKO1093"/>
      <c r="TKP1093"/>
      <c r="TKS1093"/>
      <c r="TKT1093"/>
      <c r="TKW1093"/>
      <c r="TKX1093"/>
      <c r="TLA1093"/>
      <c r="TLB1093"/>
      <c r="TLE1093"/>
      <c r="TLF1093"/>
      <c r="TLI1093"/>
      <c r="TLJ1093"/>
      <c r="TLM1093"/>
      <c r="TLN1093"/>
      <c r="TLQ1093"/>
      <c r="TLR1093"/>
      <c r="TLU1093"/>
      <c r="TLV1093"/>
      <c r="TLY1093"/>
      <c r="TLZ1093"/>
      <c r="TMC1093"/>
      <c r="TMD1093"/>
      <c r="TMG1093"/>
      <c r="TMH1093"/>
      <c r="TMK1093"/>
      <c r="TML1093"/>
      <c r="TMO1093"/>
      <c r="TMP1093"/>
      <c r="TMS1093"/>
      <c r="TMT1093"/>
      <c r="TMW1093"/>
      <c r="TMX1093"/>
      <c r="TNA1093"/>
      <c r="TNB1093"/>
      <c r="TNE1093"/>
      <c r="TNF1093"/>
      <c r="TNI1093"/>
      <c r="TNJ1093"/>
      <c r="TNM1093"/>
      <c r="TNN1093"/>
      <c r="TNQ1093"/>
      <c r="TNR1093"/>
      <c r="TNU1093"/>
      <c r="TNV1093"/>
      <c r="TNY1093"/>
      <c r="TNZ1093"/>
      <c r="TOC1093"/>
      <c r="TOD1093"/>
      <c r="TOG1093"/>
      <c r="TOH1093"/>
      <c r="TOK1093"/>
      <c r="TOL1093"/>
      <c r="TOO1093"/>
      <c r="TOP1093"/>
      <c r="TOS1093"/>
      <c r="TOT1093"/>
      <c r="TOW1093"/>
      <c r="TOX1093"/>
      <c r="TPA1093"/>
      <c r="TPB1093"/>
      <c r="TPE1093"/>
      <c r="TPF1093"/>
      <c r="TPI1093"/>
      <c r="TPJ1093"/>
      <c r="TPM1093"/>
      <c r="TPN1093"/>
      <c r="TPQ1093"/>
      <c r="TPR1093"/>
      <c r="TPU1093"/>
      <c r="TPV1093"/>
      <c r="TPY1093"/>
      <c r="TPZ1093"/>
      <c r="TQC1093"/>
      <c r="TQD1093"/>
      <c r="TQG1093"/>
      <c r="TQH1093"/>
      <c r="TQK1093"/>
      <c r="TQL1093"/>
      <c r="TQO1093"/>
      <c r="TQP1093"/>
      <c r="TQS1093"/>
      <c r="TQT1093"/>
      <c r="TQW1093"/>
      <c r="TQX1093"/>
      <c r="TRA1093"/>
      <c r="TRB1093"/>
      <c r="TRE1093"/>
      <c r="TRF1093"/>
      <c r="TRI1093"/>
      <c r="TRJ1093"/>
      <c r="TRM1093"/>
      <c r="TRN1093"/>
      <c r="TRQ1093"/>
      <c r="TRR1093"/>
      <c r="TRU1093"/>
      <c r="TRV1093"/>
      <c r="TRY1093"/>
      <c r="TRZ1093"/>
      <c r="TSC1093"/>
      <c r="TSD1093"/>
      <c r="TSG1093"/>
      <c r="TSH1093"/>
      <c r="TSK1093"/>
      <c r="TSL1093"/>
      <c r="TSO1093"/>
      <c r="TSP1093"/>
      <c r="TSS1093"/>
      <c r="TST1093"/>
      <c r="TSW1093"/>
      <c r="TSX1093"/>
      <c r="TTA1093"/>
      <c r="TTB1093"/>
      <c r="TTE1093"/>
      <c r="TTF1093"/>
      <c r="TTI1093"/>
      <c r="TTJ1093"/>
      <c r="TTM1093"/>
      <c r="TTN1093"/>
      <c r="TTQ1093"/>
      <c r="TTR1093"/>
      <c r="TTU1093"/>
      <c r="TTV1093"/>
      <c r="TTY1093"/>
      <c r="TTZ1093"/>
      <c r="TUC1093"/>
      <c r="TUD1093"/>
      <c r="TUG1093"/>
      <c r="TUH1093"/>
      <c r="TUK1093"/>
      <c r="TUL1093"/>
      <c r="TUO1093"/>
      <c r="TUP1093"/>
      <c r="TUS1093"/>
      <c r="TUT1093"/>
      <c r="TUW1093"/>
      <c r="TUX1093"/>
      <c r="TVA1093"/>
      <c r="TVB1093"/>
      <c r="TVE1093"/>
      <c r="TVF1093"/>
      <c r="TVI1093"/>
      <c r="TVJ1093"/>
      <c r="TVM1093"/>
      <c r="TVN1093"/>
      <c r="TVQ1093"/>
      <c r="TVR1093"/>
      <c r="TVU1093"/>
      <c r="TVV1093"/>
      <c r="TVY1093"/>
      <c r="TVZ1093"/>
      <c r="TWC1093"/>
      <c r="TWD1093"/>
      <c r="TWG1093"/>
      <c r="TWH1093"/>
      <c r="TWK1093"/>
      <c r="TWL1093"/>
      <c r="TWO1093"/>
      <c r="TWP1093"/>
      <c r="TWS1093"/>
      <c r="TWT1093"/>
      <c r="TWW1093"/>
      <c r="TWX1093"/>
      <c r="TXA1093"/>
      <c r="TXB1093"/>
      <c r="TXE1093"/>
      <c r="TXF1093"/>
      <c r="TXI1093"/>
      <c r="TXJ1093"/>
      <c r="TXM1093"/>
      <c r="TXN1093"/>
      <c r="TXQ1093"/>
      <c r="TXR1093"/>
      <c r="TXU1093"/>
      <c r="TXV1093"/>
      <c r="TXY1093"/>
      <c r="TXZ1093"/>
      <c r="TYC1093"/>
      <c r="TYD1093"/>
      <c r="TYG1093"/>
      <c r="TYH1093"/>
      <c r="TYK1093"/>
      <c r="TYL1093"/>
      <c r="TYO1093"/>
      <c r="TYP1093"/>
      <c r="TYS1093"/>
      <c r="TYT1093"/>
      <c r="TYW1093"/>
      <c r="TYX1093"/>
      <c r="TZA1093"/>
      <c r="TZB1093"/>
      <c r="TZE1093"/>
      <c r="TZF1093"/>
      <c r="TZI1093"/>
      <c r="TZJ1093"/>
      <c r="TZM1093"/>
      <c r="TZN1093"/>
      <c r="TZQ1093"/>
      <c r="TZR1093"/>
      <c r="TZU1093"/>
      <c r="TZV1093"/>
      <c r="TZY1093"/>
      <c r="TZZ1093"/>
      <c r="UAC1093"/>
      <c r="UAD1093"/>
      <c r="UAG1093"/>
      <c r="UAH1093"/>
      <c r="UAK1093"/>
      <c r="UAL1093"/>
      <c r="UAO1093"/>
      <c r="UAP1093"/>
      <c r="UAS1093"/>
      <c r="UAT1093"/>
      <c r="UAW1093"/>
      <c r="UAX1093"/>
      <c r="UBA1093"/>
      <c r="UBB1093"/>
      <c r="UBE1093"/>
      <c r="UBF1093"/>
      <c r="UBI1093"/>
      <c r="UBJ1093"/>
      <c r="UBM1093"/>
      <c r="UBN1093"/>
      <c r="UBQ1093"/>
      <c r="UBR1093"/>
      <c r="UBU1093"/>
      <c r="UBV1093"/>
      <c r="UBY1093"/>
      <c r="UBZ1093"/>
      <c r="UCC1093"/>
      <c r="UCD1093"/>
      <c r="UCG1093"/>
      <c r="UCH1093"/>
      <c r="UCK1093"/>
      <c r="UCL1093"/>
      <c r="UCO1093"/>
      <c r="UCP1093"/>
      <c r="UCS1093"/>
      <c r="UCT1093"/>
      <c r="UCW1093"/>
      <c r="UCX1093"/>
      <c r="UDA1093"/>
      <c r="UDB1093"/>
      <c r="UDE1093"/>
      <c r="UDF1093"/>
      <c r="UDI1093"/>
      <c r="UDJ1093"/>
      <c r="UDM1093"/>
      <c r="UDN1093"/>
      <c r="UDQ1093"/>
      <c r="UDR1093"/>
      <c r="UDU1093"/>
      <c r="UDV1093"/>
      <c r="UDY1093"/>
      <c r="UDZ1093"/>
      <c r="UEC1093"/>
      <c r="UED1093"/>
      <c r="UEG1093"/>
      <c r="UEH1093"/>
      <c r="UEK1093"/>
      <c r="UEL1093"/>
      <c r="UEO1093"/>
      <c r="UEP1093"/>
      <c r="UES1093"/>
      <c r="UET1093"/>
      <c r="UEW1093"/>
      <c r="UEX1093"/>
      <c r="UFA1093"/>
      <c r="UFB1093"/>
      <c r="UFE1093"/>
      <c r="UFF1093"/>
      <c r="UFI1093"/>
      <c r="UFJ1093"/>
      <c r="UFM1093"/>
      <c r="UFN1093"/>
      <c r="UFQ1093"/>
      <c r="UFR1093"/>
      <c r="UFU1093"/>
      <c r="UFV1093"/>
      <c r="UFY1093"/>
      <c r="UFZ1093"/>
      <c r="UGC1093"/>
      <c r="UGD1093"/>
      <c r="UGG1093"/>
      <c r="UGH1093"/>
      <c r="UGK1093"/>
      <c r="UGL1093"/>
      <c r="UGO1093"/>
      <c r="UGP1093"/>
      <c r="UGS1093"/>
      <c r="UGT1093"/>
      <c r="UGW1093"/>
      <c r="UGX1093"/>
      <c r="UHA1093"/>
      <c r="UHB1093"/>
      <c r="UHE1093"/>
      <c r="UHF1093"/>
      <c r="UHI1093"/>
      <c r="UHJ1093"/>
      <c r="UHM1093"/>
      <c r="UHN1093"/>
      <c r="UHQ1093"/>
      <c r="UHR1093"/>
      <c r="UHU1093"/>
      <c r="UHV1093"/>
      <c r="UHY1093"/>
      <c r="UHZ1093"/>
      <c r="UIC1093"/>
      <c r="UID1093"/>
      <c r="UIG1093"/>
      <c r="UIH1093"/>
      <c r="UIK1093"/>
      <c r="UIL1093"/>
      <c r="UIO1093"/>
      <c r="UIP1093"/>
      <c r="UIS1093"/>
      <c r="UIT1093"/>
      <c r="UIW1093"/>
      <c r="UIX1093"/>
      <c r="UJA1093"/>
      <c r="UJB1093"/>
      <c r="UJE1093"/>
      <c r="UJF1093"/>
      <c r="UJI1093"/>
      <c r="UJJ1093"/>
      <c r="UJM1093"/>
      <c r="UJN1093"/>
      <c r="UJQ1093"/>
      <c r="UJR1093"/>
      <c r="UJU1093"/>
      <c r="UJV1093"/>
      <c r="UJY1093"/>
      <c r="UJZ1093"/>
      <c r="UKC1093"/>
      <c r="UKD1093"/>
      <c r="UKG1093"/>
      <c r="UKH1093"/>
      <c r="UKK1093"/>
      <c r="UKL1093"/>
      <c r="UKO1093"/>
      <c r="UKP1093"/>
      <c r="UKS1093"/>
      <c r="UKT1093"/>
      <c r="UKW1093"/>
      <c r="UKX1093"/>
      <c r="ULA1093"/>
      <c r="ULB1093"/>
      <c r="ULE1093"/>
      <c r="ULF1093"/>
      <c r="ULI1093"/>
      <c r="ULJ1093"/>
      <c r="ULM1093"/>
      <c r="ULN1093"/>
      <c r="ULQ1093"/>
      <c r="ULR1093"/>
      <c r="ULU1093"/>
      <c r="ULV1093"/>
      <c r="ULY1093"/>
      <c r="ULZ1093"/>
      <c r="UMC1093"/>
      <c r="UMD1093"/>
      <c r="UMG1093"/>
      <c r="UMH1093"/>
      <c r="UMK1093"/>
      <c r="UML1093"/>
      <c r="UMO1093"/>
      <c r="UMP1093"/>
      <c r="UMS1093"/>
      <c r="UMT1093"/>
      <c r="UMW1093"/>
      <c r="UMX1093"/>
      <c r="UNA1093"/>
      <c r="UNB1093"/>
      <c r="UNE1093"/>
      <c r="UNF1093"/>
      <c r="UNI1093"/>
      <c r="UNJ1093"/>
      <c r="UNM1093"/>
      <c r="UNN1093"/>
      <c r="UNQ1093"/>
      <c r="UNR1093"/>
      <c r="UNU1093"/>
      <c r="UNV1093"/>
      <c r="UNY1093"/>
      <c r="UNZ1093"/>
      <c r="UOC1093"/>
      <c r="UOD1093"/>
      <c r="UOG1093"/>
      <c r="UOH1093"/>
      <c r="UOK1093"/>
      <c r="UOL1093"/>
      <c r="UOO1093"/>
      <c r="UOP1093"/>
      <c r="UOS1093"/>
      <c r="UOT1093"/>
      <c r="UOW1093"/>
      <c r="UOX1093"/>
      <c r="UPA1093"/>
      <c r="UPB1093"/>
      <c r="UPE1093"/>
      <c r="UPF1093"/>
      <c r="UPI1093"/>
      <c r="UPJ1093"/>
      <c r="UPM1093"/>
      <c r="UPN1093"/>
      <c r="UPQ1093"/>
      <c r="UPR1093"/>
      <c r="UPU1093"/>
      <c r="UPV1093"/>
      <c r="UPY1093"/>
      <c r="UPZ1093"/>
      <c r="UQC1093"/>
      <c r="UQD1093"/>
      <c r="UQG1093"/>
      <c r="UQH1093"/>
      <c r="UQK1093"/>
      <c r="UQL1093"/>
      <c r="UQO1093"/>
      <c r="UQP1093"/>
      <c r="UQS1093"/>
      <c r="UQT1093"/>
      <c r="UQW1093"/>
      <c r="UQX1093"/>
      <c r="URA1093"/>
      <c r="URB1093"/>
      <c r="URE1093"/>
      <c r="URF1093"/>
      <c r="URI1093"/>
      <c r="URJ1093"/>
      <c r="URM1093"/>
      <c r="URN1093"/>
      <c r="URQ1093"/>
      <c r="URR1093"/>
      <c r="URU1093"/>
      <c r="URV1093"/>
      <c r="URY1093"/>
      <c r="URZ1093"/>
      <c r="USC1093"/>
      <c r="USD1093"/>
      <c r="USG1093"/>
      <c r="USH1093"/>
      <c r="USK1093"/>
      <c r="USL1093"/>
      <c r="USO1093"/>
      <c r="USP1093"/>
      <c r="USS1093"/>
      <c r="UST1093"/>
      <c r="USW1093"/>
      <c r="USX1093"/>
      <c r="UTA1093"/>
      <c r="UTB1093"/>
      <c r="UTE1093"/>
      <c r="UTF1093"/>
      <c r="UTI1093"/>
      <c r="UTJ1093"/>
      <c r="UTM1093"/>
      <c r="UTN1093"/>
      <c r="UTQ1093"/>
      <c r="UTR1093"/>
      <c r="UTU1093"/>
      <c r="UTV1093"/>
      <c r="UTY1093"/>
      <c r="UTZ1093"/>
      <c r="UUC1093"/>
      <c r="UUD1093"/>
      <c r="UUG1093"/>
      <c r="UUH1093"/>
      <c r="UUK1093"/>
      <c r="UUL1093"/>
      <c r="UUO1093"/>
      <c r="UUP1093"/>
      <c r="UUS1093"/>
      <c r="UUT1093"/>
      <c r="UUW1093"/>
      <c r="UUX1093"/>
      <c r="UVA1093"/>
      <c r="UVB1093"/>
      <c r="UVE1093"/>
      <c r="UVF1093"/>
      <c r="UVI1093"/>
      <c r="UVJ1093"/>
      <c r="UVM1093"/>
      <c r="UVN1093"/>
      <c r="UVQ1093"/>
      <c r="UVR1093"/>
      <c r="UVU1093"/>
      <c r="UVV1093"/>
      <c r="UVY1093"/>
      <c r="UVZ1093"/>
      <c r="UWC1093"/>
      <c r="UWD1093"/>
      <c r="UWG1093"/>
      <c r="UWH1093"/>
      <c r="UWK1093"/>
      <c r="UWL1093"/>
      <c r="UWO1093"/>
      <c r="UWP1093"/>
      <c r="UWS1093"/>
      <c r="UWT1093"/>
      <c r="UWW1093"/>
      <c r="UWX1093"/>
      <c r="UXA1093"/>
      <c r="UXB1093"/>
      <c r="UXE1093"/>
      <c r="UXF1093"/>
      <c r="UXI1093"/>
      <c r="UXJ1093"/>
      <c r="UXM1093"/>
      <c r="UXN1093"/>
      <c r="UXQ1093"/>
      <c r="UXR1093"/>
      <c r="UXU1093"/>
      <c r="UXV1093"/>
      <c r="UXY1093"/>
      <c r="UXZ1093"/>
      <c r="UYC1093"/>
      <c r="UYD1093"/>
      <c r="UYG1093"/>
      <c r="UYH1093"/>
      <c r="UYK1093"/>
      <c r="UYL1093"/>
      <c r="UYO1093"/>
      <c r="UYP1093"/>
      <c r="UYS1093"/>
      <c r="UYT1093"/>
      <c r="UYW1093"/>
      <c r="UYX1093"/>
      <c r="UZA1093"/>
      <c r="UZB1093"/>
      <c r="UZE1093"/>
      <c r="UZF1093"/>
      <c r="UZI1093"/>
      <c r="UZJ1093"/>
      <c r="UZM1093"/>
      <c r="UZN1093"/>
      <c r="UZQ1093"/>
      <c r="UZR1093"/>
      <c r="UZU1093"/>
      <c r="UZV1093"/>
      <c r="UZY1093"/>
      <c r="UZZ1093"/>
      <c r="VAC1093"/>
      <c r="VAD1093"/>
      <c r="VAG1093"/>
      <c r="VAH1093"/>
      <c r="VAK1093"/>
      <c r="VAL1093"/>
      <c r="VAO1093"/>
      <c r="VAP1093"/>
      <c r="VAS1093"/>
      <c r="VAT1093"/>
      <c r="VAW1093"/>
      <c r="VAX1093"/>
      <c r="VBA1093"/>
      <c r="VBB1093"/>
      <c r="VBE1093"/>
      <c r="VBF1093"/>
      <c r="VBI1093"/>
      <c r="VBJ1093"/>
      <c r="VBM1093"/>
      <c r="VBN1093"/>
      <c r="VBQ1093"/>
      <c r="VBR1093"/>
      <c r="VBU1093"/>
      <c r="VBV1093"/>
      <c r="VBY1093"/>
      <c r="VBZ1093"/>
      <c r="VCC1093"/>
      <c r="VCD1093"/>
      <c r="VCG1093"/>
      <c r="VCH1093"/>
      <c r="VCK1093"/>
      <c r="VCL1093"/>
      <c r="VCO1093"/>
      <c r="VCP1093"/>
      <c r="VCS1093"/>
      <c r="VCT1093"/>
      <c r="VCW1093"/>
      <c r="VCX1093"/>
      <c r="VDA1093"/>
      <c r="VDB1093"/>
      <c r="VDE1093"/>
      <c r="VDF1093"/>
      <c r="VDI1093"/>
      <c r="VDJ1093"/>
      <c r="VDM1093"/>
      <c r="VDN1093"/>
      <c r="VDQ1093"/>
      <c r="VDR1093"/>
      <c r="VDU1093"/>
      <c r="VDV1093"/>
      <c r="VDY1093"/>
      <c r="VDZ1093"/>
      <c r="VEC1093"/>
      <c r="VED1093"/>
      <c r="VEG1093"/>
      <c r="VEH1093"/>
      <c r="VEK1093"/>
      <c r="VEL1093"/>
      <c r="VEO1093"/>
      <c r="VEP1093"/>
      <c r="VES1093"/>
      <c r="VET1093"/>
      <c r="VEW1093"/>
      <c r="VEX1093"/>
      <c r="VFA1093"/>
      <c r="VFB1093"/>
      <c r="VFE1093"/>
      <c r="VFF1093"/>
      <c r="VFI1093"/>
      <c r="VFJ1093"/>
      <c r="VFM1093"/>
      <c r="VFN1093"/>
      <c r="VFQ1093"/>
      <c r="VFR1093"/>
      <c r="VFU1093"/>
      <c r="VFV1093"/>
      <c r="VFY1093"/>
      <c r="VFZ1093"/>
      <c r="VGC1093"/>
      <c r="VGD1093"/>
      <c r="VGG1093"/>
      <c r="VGH1093"/>
      <c r="VGK1093"/>
      <c r="VGL1093"/>
      <c r="VGO1093"/>
      <c r="VGP1093"/>
      <c r="VGS1093"/>
      <c r="VGT1093"/>
      <c r="VGW1093"/>
      <c r="VGX1093"/>
      <c r="VHA1093"/>
      <c r="VHB1093"/>
      <c r="VHE1093"/>
      <c r="VHF1093"/>
      <c r="VHI1093"/>
      <c r="VHJ1093"/>
      <c r="VHM1093"/>
      <c r="VHN1093"/>
      <c r="VHQ1093"/>
      <c r="VHR1093"/>
      <c r="VHU1093"/>
      <c r="VHV1093"/>
      <c r="VHY1093"/>
      <c r="VHZ1093"/>
      <c r="VIC1093"/>
      <c r="VID1093"/>
      <c r="VIG1093"/>
      <c r="VIH1093"/>
      <c r="VIK1093"/>
      <c r="VIL1093"/>
      <c r="VIO1093"/>
      <c r="VIP1093"/>
      <c r="VIS1093"/>
      <c r="VIT1093"/>
      <c r="VIW1093"/>
      <c r="VIX1093"/>
      <c r="VJA1093"/>
      <c r="VJB1093"/>
      <c r="VJE1093"/>
      <c r="VJF1093"/>
      <c r="VJI1093"/>
      <c r="VJJ1093"/>
      <c r="VJM1093"/>
      <c r="VJN1093"/>
      <c r="VJQ1093"/>
      <c r="VJR1093"/>
      <c r="VJU1093"/>
      <c r="VJV1093"/>
      <c r="VJY1093"/>
      <c r="VJZ1093"/>
      <c r="VKC1093"/>
      <c r="VKD1093"/>
      <c r="VKG1093"/>
      <c r="VKH1093"/>
      <c r="VKK1093"/>
      <c r="VKL1093"/>
      <c r="VKO1093"/>
      <c r="VKP1093"/>
      <c r="VKS1093"/>
      <c r="VKT1093"/>
      <c r="VKW1093"/>
      <c r="VKX1093"/>
      <c r="VLA1093"/>
      <c r="VLB1093"/>
      <c r="VLE1093"/>
      <c r="VLF1093"/>
      <c r="VLI1093"/>
      <c r="VLJ1093"/>
      <c r="VLM1093"/>
      <c r="VLN1093"/>
      <c r="VLQ1093"/>
      <c r="VLR1093"/>
      <c r="VLU1093"/>
      <c r="VLV1093"/>
      <c r="VLY1093"/>
      <c r="VLZ1093"/>
      <c r="VMC1093"/>
      <c r="VMD1093"/>
      <c r="VMG1093"/>
      <c r="VMH1093"/>
      <c r="VMK1093"/>
      <c r="VML1093"/>
      <c r="VMO1093"/>
      <c r="VMP1093"/>
      <c r="VMS1093"/>
      <c r="VMT1093"/>
      <c r="VMW1093"/>
      <c r="VMX1093"/>
      <c r="VNA1093"/>
      <c r="VNB1093"/>
      <c r="VNE1093"/>
      <c r="VNF1093"/>
      <c r="VNI1093"/>
      <c r="VNJ1093"/>
      <c r="VNM1093"/>
      <c r="VNN1093"/>
      <c r="VNQ1093"/>
      <c r="VNR1093"/>
      <c r="VNU1093"/>
      <c r="VNV1093"/>
      <c r="VNY1093"/>
      <c r="VNZ1093"/>
      <c r="VOC1093"/>
      <c r="VOD1093"/>
      <c r="VOG1093"/>
      <c r="VOH1093"/>
      <c r="VOK1093"/>
      <c r="VOL1093"/>
      <c r="VOO1093"/>
      <c r="VOP1093"/>
      <c r="VOS1093"/>
      <c r="VOT1093"/>
      <c r="VOW1093"/>
      <c r="VOX1093"/>
      <c r="VPA1093"/>
      <c r="VPB1093"/>
      <c r="VPE1093"/>
      <c r="VPF1093"/>
      <c r="VPI1093"/>
      <c r="VPJ1093"/>
      <c r="VPM1093"/>
      <c r="VPN1093"/>
      <c r="VPQ1093"/>
      <c r="VPR1093"/>
      <c r="VPU1093"/>
      <c r="VPV1093"/>
      <c r="VPY1093"/>
      <c r="VPZ1093"/>
      <c r="VQC1093"/>
      <c r="VQD1093"/>
      <c r="VQG1093"/>
      <c r="VQH1093"/>
      <c r="VQK1093"/>
      <c r="VQL1093"/>
      <c r="VQO1093"/>
      <c r="VQP1093"/>
      <c r="VQS1093"/>
      <c r="VQT1093"/>
      <c r="VQW1093"/>
      <c r="VQX1093"/>
      <c r="VRA1093"/>
      <c r="VRB1093"/>
      <c r="VRE1093"/>
      <c r="VRF1093"/>
      <c r="VRI1093"/>
      <c r="VRJ1093"/>
      <c r="VRM1093"/>
      <c r="VRN1093"/>
      <c r="VRQ1093"/>
      <c r="VRR1093"/>
      <c r="VRU1093"/>
      <c r="VRV1093"/>
      <c r="VRY1093"/>
      <c r="VRZ1093"/>
      <c r="VSC1093"/>
      <c r="VSD1093"/>
      <c r="VSG1093"/>
      <c r="VSH1093"/>
      <c r="VSK1093"/>
      <c r="VSL1093"/>
      <c r="VSO1093"/>
      <c r="VSP1093"/>
      <c r="VSS1093"/>
      <c r="VST1093"/>
      <c r="VSW1093"/>
      <c r="VSX1093"/>
      <c r="VTA1093"/>
      <c r="VTB1093"/>
      <c r="VTE1093"/>
      <c r="VTF1093"/>
      <c r="VTI1093"/>
      <c r="VTJ1093"/>
      <c r="VTM1093"/>
      <c r="VTN1093"/>
      <c r="VTQ1093"/>
      <c r="VTR1093"/>
      <c r="VTU1093"/>
      <c r="VTV1093"/>
      <c r="VTY1093"/>
      <c r="VTZ1093"/>
      <c r="VUC1093"/>
      <c r="VUD1093"/>
      <c r="VUG1093"/>
      <c r="VUH1093"/>
      <c r="VUK1093"/>
      <c r="VUL1093"/>
      <c r="VUO1093"/>
      <c r="VUP1093"/>
      <c r="VUS1093"/>
      <c r="VUT1093"/>
      <c r="VUW1093"/>
      <c r="VUX1093"/>
      <c r="VVA1093"/>
      <c r="VVB1093"/>
      <c r="VVE1093"/>
      <c r="VVF1093"/>
      <c r="VVI1093"/>
      <c r="VVJ1093"/>
      <c r="VVM1093"/>
      <c r="VVN1093"/>
      <c r="VVQ1093"/>
      <c r="VVR1093"/>
      <c r="VVU1093"/>
      <c r="VVV1093"/>
      <c r="VVY1093"/>
      <c r="VVZ1093"/>
      <c r="VWC1093"/>
      <c r="VWD1093"/>
      <c r="VWG1093"/>
      <c r="VWH1093"/>
      <c r="VWK1093"/>
      <c r="VWL1093"/>
      <c r="VWO1093"/>
      <c r="VWP1093"/>
      <c r="VWS1093"/>
      <c r="VWT1093"/>
      <c r="VWW1093"/>
      <c r="VWX1093"/>
      <c r="VXA1093"/>
      <c r="VXB1093"/>
      <c r="VXE1093"/>
      <c r="VXF1093"/>
      <c r="VXI1093"/>
      <c r="VXJ1093"/>
      <c r="VXM1093"/>
      <c r="VXN1093"/>
      <c r="VXQ1093"/>
      <c r="VXR1093"/>
      <c r="VXU1093"/>
      <c r="VXV1093"/>
      <c r="VXY1093"/>
      <c r="VXZ1093"/>
      <c r="VYC1093"/>
      <c r="VYD1093"/>
      <c r="VYG1093"/>
      <c r="VYH1093"/>
      <c r="VYK1093"/>
      <c r="VYL1093"/>
      <c r="VYO1093"/>
      <c r="VYP1093"/>
      <c r="VYS1093"/>
      <c r="VYT1093"/>
      <c r="VYW1093"/>
      <c r="VYX1093"/>
      <c r="VZA1093"/>
      <c r="VZB1093"/>
      <c r="VZE1093"/>
      <c r="VZF1093"/>
      <c r="VZI1093"/>
      <c r="VZJ1093"/>
      <c r="VZM1093"/>
      <c r="VZN1093"/>
      <c r="VZQ1093"/>
      <c r="VZR1093"/>
      <c r="VZU1093"/>
      <c r="VZV1093"/>
      <c r="VZY1093"/>
      <c r="VZZ1093"/>
      <c r="WAC1093"/>
      <c r="WAD1093"/>
      <c r="WAG1093"/>
      <c r="WAH1093"/>
      <c r="WAK1093"/>
      <c r="WAL1093"/>
      <c r="WAO1093"/>
      <c r="WAP1093"/>
      <c r="WAS1093"/>
      <c r="WAT1093"/>
      <c r="WAW1093"/>
      <c r="WAX1093"/>
      <c r="WBA1093"/>
      <c r="WBB1093"/>
      <c r="WBE1093"/>
      <c r="WBF1093"/>
      <c r="WBI1093"/>
      <c r="WBJ1093"/>
      <c r="WBM1093"/>
      <c r="WBN1093"/>
      <c r="WBQ1093"/>
      <c r="WBR1093"/>
      <c r="WBU1093"/>
      <c r="WBV1093"/>
      <c r="WBY1093"/>
      <c r="WBZ1093"/>
      <c r="WCC1093"/>
      <c r="WCD1093"/>
      <c r="WCG1093"/>
      <c r="WCH1093"/>
      <c r="WCK1093"/>
      <c r="WCL1093"/>
      <c r="WCO1093"/>
      <c r="WCP1093"/>
      <c r="WCS1093"/>
      <c r="WCT1093"/>
      <c r="WCW1093"/>
      <c r="WCX1093"/>
      <c r="WDA1093"/>
      <c r="WDB1093"/>
      <c r="WDE1093"/>
      <c r="WDF1093"/>
      <c r="WDI1093"/>
      <c r="WDJ1093"/>
      <c r="WDM1093"/>
      <c r="WDN1093"/>
      <c r="WDQ1093"/>
      <c r="WDR1093"/>
      <c r="WDU1093"/>
      <c r="WDV1093"/>
      <c r="WDY1093"/>
      <c r="WDZ1093"/>
      <c r="WEC1093"/>
      <c r="WED1093"/>
      <c r="WEG1093"/>
      <c r="WEH1093"/>
      <c r="WEK1093"/>
      <c r="WEL1093"/>
      <c r="WEO1093"/>
      <c r="WEP1093"/>
      <c r="WES1093"/>
      <c r="WET1093"/>
      <c r="WEW1093"/>
      <c r="WEX1093"/>
      <c r="WFA1093"/>
      <c r="WFB1093"/>
      <c r="WFE1093"/>
      <c r="WFF1093"/>
      <c r="WFI1093"/>
      <c r="WFJ1093"/>
      <c r="WFM1093"/>
      <c r="WFN1093"/>
      <c r="WFQ1093"/>
      <c r="WFR1093"/>
      <c r="WFU1093"/>
      <c r="WFV1093"/>
      <c r="WFY1093"/>
      <c r="WFZ1093"/>
      <c r="WGC1093"/>
      <c r="WGD1093"/>
      <c r="WGG1093"/>
      <c r="WGH1093"/>
      <c r="WGK1093"/>
      <c r="WGL1093"/>
      <c r="WGO1093"/>
      <c r="WGP1093"/>
      <c r="WGS1093"/>
      <c r="WGT1093"/>
      <c r="WGW1093"/>
      <c r="WGX1093"/>
      <c r="WHA1093"/>
      <c r="WHB1093"/>
      <c r="WHE1093"/>
      <c r="WHF1093"/>
      <c r="WHI1093"/>
      <c r="WHJ1093"/>
      <c r="WHM1093"/>
      <c r="WHN1093"/>
      <c r="WHQ1093"/>
      <c r="WHR1093"/>
      <c r="WHU1093"/>
      <c r="WHV1093"/>
      <c r="WHY1093"/>
      <c r="WHZ1093"/>
      <c r="WIC1093"/>
      <c r="WID1093"/>
      <c r="WIG1093"/>
      <c r="WIH1093"/>
      <c r="WIK1093"/>
      <c r="WIL1093"/>
      <c r="WIO1093"/>
      <c r="WIP1093"/>
      <c r="WIS1093"/>
      <c r="WIT1093"/>
      <c r="WIW1093"/>
      <c r="WIX1093"/>
      <c r="WJA1093"/>
      <c r="WJB1093"/>
      <c r="WJE1093"/>
      <c r="WJF1093"/>
      <c r="WJI1093"/>
      <c r="WJJ1093"/>
      <c r="WJM1093"/>
      <c r="WJN1093"/>
      <c r="WJQ1093"/>
      <c r="WJR1093"/>
      <c r="WJU1093"/>
      <c r="WJV1093"/>
      <c r="WJY1093"/>
      <c r="WJZ1093"/>
      <c r="WKC1093"/>
      <c r="WKD1093"/>
      <c r="WKG1093"/>
      <c r="WKH1093"/>
      <c r="WKK1093"/>
      <c r="WKL1093"/>
      <c r="WKO1093"/>
      <c r="WKP1093"/>
      <c r="WKS1093"/>
      <c r="WKT1093"/>
      <c r="WKW1093"/>
      <c r="WKX1093"/>
      <c r="WLA1093"/>
      <c r="WLB1093"/>
      <c r="WLE1093"/>
      <c r="WLF1093"/>
      <c r="WLI1093"/>
      <c r="WLJ1093"/>
      <c r="WLM1093"/>
      <c r="WLN1093"/>
      <c r="WLQ1093"/>
      <c r="WLR1093"/>
      <c r="WLU1093"/>
      <c r="WLV1093"/>
      <c r="WLY1093"/>
      <c r="WLZ1093"/>
      <c r="WMC1093"/>
      <c r="WMD1093"/>
      <c r="WMG1093"/>
      <c r="WMH1093"/>
      <c r="WMK1093"/>
      <c r="WML1093"/>
      <c r="WMO1093"/>
      <c r="WMP1093"/>
      <c r="WMS1093"/>
      <c r="WMT1093"/>
      <c r="WMW1093"/>
      <c r="WMX1093"/>
      <c r="WNA1093"/>
      <c r="WNB1093"/>
      <c r="WNE1093"/>
      <c r="WNF1093"/>
      <c r="WNI1093"/>
      <c r="WNJ1093"/>
      <c r="WNM1093"/>
      <c r="WNN1093"/>
      <c r="WNQ1093"/>
      <c r="WNR1093"/>
      <c r="WNU1093"/>
      <c r="WNV1093"/>
      <c r="WNY1093"/>
      <c r="WNZ1093"/>
      <c r="WOC1093"/>
      <c r="WOD1093"/>
      <c r="WOG1093"/>
      <c r="WOH1093"/>
      <c r="WOK1093"/>
      <c r="WOL1093"/>
      <c r="WOO1093"/>
      <c r="WOP1093"/>
      <c r="WOS1093"/>
      <c r="WOT1093"/>
      <c r="WOW1093"/>
      <c r="WOX1093"/>
      <c r="WPA1093"/>
      <c r="WPB1093"/>
      <c r="WPE1093"/>
      <c r="WPF1093"/>
      <c r="WPI1093"/>
      <c r="WPJ1093"/>
      <c r="WPM1093"/>
      <c r="WPN1093"/>
      <c r="WPQ1093"/>
      <c r="WPR1093"/>
      <c r="WPU1093"/>
      <c r="WPV1093"/>
      <c r="WPY1093"/>
      <c r="WPZ1093"/>
      <c r="WQC1093"/>
      <c r="WQD1093"/>
      <c r="WQG1093"/>
      <c r="WQH1093"/>
      <c r="WQK1093"/>
      <c r="WQL1093"/>
      <c r="WQO1093"/>
      <c r="WQP1093"/>
      <c r="WQS1093"/>
      <c r="WQT1093"/>
      <c r="WQW1093"/>
      <c r="WQX1093"/>
      <c r="WRA1093"/>
      <c r="WRB1093"/>
      <c r="WRE1093"/>
      <c r="WRF1093"/>
      <c r="WRI1093"/>
      <c r="WRJ1093"/>
      <c r="WRM1093"/>
      <c r="WRN1093"/>
      <c r="WRQ1093"/>
      <c r="WRR1093"/>
      <c r="WRU1093"/>
      <c r="WRV1093"/>
      <c r="WRY1093"/>
      <c r="WRZ1093"/>
      <c r="WSC1093"/>
      <c r="WSD1093"/>
      <c r="WSG1093"/>
      <c r="WSH1093"/>
      <c r="WSK1093"/>
      <c r="WSL1093"/>
      <c r="WSO1093"/>
      <c r="WSP1093"/>
      <c r="WSS1093"/>
      <c r="WST1093"/>
      <c r="WSW1093"/>
      <c r="WSX1093"/>
      <c r="WTA1093"/>
      <c r="WTB1093"/>
      <c r="WTE1093"/>
      <c r="WTF1093"/>
      <c r="WTI1093"/>
      <c r="WTJ1093"/>
      <c r="WTM1093"/>
      <c r="WTN1093"/>
      <c r="WTQ1093"/>
      <c r="WTR1093"/>
      <c r="WTU1093"/>
      <c r="WTV1093"/>
      <c r="WTY1093"/>
      <c r="WTZ1093"/>
      <c r="WUC1093"/>
      <c r="WUD1093"/>
      <c r="WUG1093"/>
      <c r="WUH1093"/>
      <c r="WUK1093"/>
      <c r="WUL1093"/>
      <c r="WUO1093"/>
      <c r="WUP1093"/>
      <c r="WUS1093"/>
      <c r="WUT1093"/>
      <c r="WUW1093"/>
      <c r="WUX1093"/>
      <c r="WVA1093"/>
      <c r="WVB1093"/>
      <c r="WVE1093"/>
      <c r="WVF1093"/>
      <c r="WVI1093"/>
      <c r="WVJ1093"/>
      <c r="WVM1093"/>
      <c r="WVN1093"/>
      <c r="WVQ1093"/>
      <c r="WVR1093"/>
      <c r="WVU1093"/>
      <c r="WVV1093"/>
      <c r="WVY1093"/>
      <c r="WVZ1093"/>
      <c r="WWC1093"/>
      <c r="WWD1093"/>
      <c r="WWG1093"/>
      <c r="WWH1093"/>
      <c r="WWK1093"/>
      <c r="WWL1093"/>
      <c r="WWO1093"/>
      <c r="WWP1093"/>
      <c r="WWS1093"/>
      <c r="WWT1093"/>
      <c r="WWW1093"/>
      <c r="WWX1093"/>
      <c r="WXA1093"/>
      <c r="WXB1093"/>
      <c r="WXE1093"/>
      <c r="WXF1093"/>
      <c r="WXI1093"/>
      <c r="WXJ1093"/>
      <c r="WXM1093"/>
      <c r="WXN1093"/>
      <c r="WXQ1093"/>
      <c r="WXR1093"/>
      <c r="WXU1093"/>
      <c r="WXV1093"/>
      <c r="WXY1093"/>
      <c r="WXZ1093"/>
      <c r="WYC1093"/>
      <c r="WYD1093"/>
      <c r="WYG1093"/>
      <c r="WYH1093"/>
      <c r="WYK1093"/>
      <c r="WYL1093"/>
      <c r="WYO1093"/>
      <c r="WYP1093"/>
      <c r="WYS1093"/>
      <c r="WYT1093"/>
      <c r="WYW1093"/>
      <c r="WYX1093"/>
      <c r="WZA1093"/>
      <c r="WZB1093"/>
      <c r="WZE1093"/>
      <c r="WZF1093"/>
      <c r="WZI1093"/>
      <c r="WZJ1093"/>
      <c r="WZM1093"/>
      <c r="WZN1093"/>
      <c r="WZQ1093"/>
      <c r="WZR1093"/>
      <c r="WZU1093"/>
      <c r="WZV1093"/>
      <c r="WZY1093"/>
      <c r="WZZ1093"/>
      <c r="XAC1093"/>
      <c r="XAD1093"/>
      <c r="XAG1093"/>
      <c r="XAH1093"/>
      <c r="XAK1093"/>
      <c r="XAL1093"/>
      <c r="XAO1093"/>
      <c r="XAP1093"/>
      <c r="XAS1093"/>
      <c r="XAT1093"/>
      <c r="XAW1093"/>
      <c r="XAX1093"/>
      <c r="XBA1093"/>
      <c r="XBB1093"/>
      <c r="XBE1093"/>
      <c r="XBF1093"/>
      <c r="XBI1093"/>
      <c r="XBJ1093"/>
      <c r="XBM1093"/>
      <c r="XBN1093"/>
      <c r="XBQ1093"/>
      <c r="XBR1093"/>
      <c r="XBU1093"/>
      <c r="XBV1093"/>
      <c r="XBY1093"/>
      <c r="XBZ1093"/>
      <c r="XCC1093"/>
      <c r="XCD1093"/>
      <c r="XCG1093"/>
      <c r="XCH1093"/>
      <c r="XCK1093"/>
      <c r="XCL1093"/>
      <c r="XCO1093"/>
      <c r="XCP1093"/>
      <c r="XCS1093"/>
      <c r="XCT1093"/>
      <c r="XCW1093"/>
      <c r="XCX1093"/>
      <c r="XDA1093"/>
      <c r="XDB1093"/>
      <c r="XDE1093"/>
      <c r="XDF1093"/>
      <c r="XDI1093"/>
      <c r="XDJ1093"/>
      <c r="XDM1093"/>
      <c r="XDN1093"/>
      <c r="XDQ1093"/>
      <c r="XDR1093"/>
      <c r="XDU1093"/>
      <c r="XDV1093"/>
      <c r="XDY1093"/>
      <c r="XDZ1093"/>
      <c r="XEC1093"/>
      <c r="XED1093"/>
      <c r="XEG1093"/>
      <c r="XEH1093"/>
      <c r="XEK1093"/>
      <c r="XEL1093"/>
      <c r="XEO1093"/>
      <c r="XEP1093"/>
      <c r="XES1093"/>
      <c r="XET1093"/>
      <c r="XEW1093"/>
      <c r="XEX1093"/>
      <c r="XFA1093"/>
      <c r="XFB1093"/>
    </row>
    <row r="1094" spans="1:1022 1025:2046 2049:3070 3073:4094 4097:5118 5121:6142 6145:7166 7169:8190 8193:9214 9217:10238 10241:11262 11265:12286 12289:13310 13313:14334 14337:15358 15361:16382" s="15" customFormat="1" outlineLevel="1" x14ac:dyDescent="0.3">
      <c r="A1094" t="s">
        <v>1816</v>
      </c>
      <c r="B1094" t="s">
        <v>266</v>
      </c>
      <c r="C1094" s="15" t="s">
        <v>10</v>
      </c>
      <c r="D1094" s="15" t="s">
        <v>1817</v>
      </c>
      <c r="E1094" t="s">
        <v>8473</v>
      </c>
      <c r="F1094"/>
      <c r="I1094"/>
      <c r="J1094" t="inlineStr">
        <is>
          <t>Kitchen</t>
        </is>
      </c>
      <c r="K1094" t="inlineStr">
        <is>
          <t>QNL/BF.jpg</t>
        </is>
      </c>
      <c r="L1094" t="inlineStr">
        <is>
          <t>SAME - screen and column D name the same room</t>
        </is>
      </c>
      <c r="N1094"/>
      <c r="Q1094"/>
      <c r="R1094"/>
      <c r="U1094"/>
      <c r="V1094"/>
      <c r="Y1094"/>
      <c r="Z1094"/>
      <c r="AC1094"/>
      <c r="AD1094"/>
      <c r="AG1094"/>
      <c r="AH1094"/>
      <c r="AK1094"/>
      <c r="AL1094"/>
      <c r="AO1094"/>
      <c r="AP1094"/>
      <c r="AS1094"/>
      <c r="AT1094"/>
      <c r="AW1094"/>
      <c r="AX1094"/>
      <c r="BA1094"/>
      <c r="BB1094"/>
      <c r="BE1094"/>
      <c r="BF1094"/>
      <c r="BI1094"/>
      <c r="BJ1094"/>
      <c r="BM1094"/>
      <c r="BN1094"/>
      <c r="BQ1094"/>
      <c r="BR1094"/>
      <c r="BU1094"/>
      <c r="BV1094"/>
      <c r="BY1094"/>
      <c r="BZ1094"/>
      <c r="CC1094"/>
      <c r="CD1094"/>
      <c r="CG1094"/>
      <c r="CH1094"/>
      <c r="CK1094"/>
      <c r="CL1094"/>
      <c r="CO1094"/>
      <c r="CP1094"/>
      <c r="CS1094"/>
      <c r="CT1094"/>
      <c r="CW1094"/>
      <c r="CX1094"/>
      <c r="DA1094"/>
      <c r="DB1094"/>
      <c r="DE1094"/>
      <c r="DF1094"/>
      <c r="DI1094"/>
      <c r="DJ1094"/>
      <c r="DM1094"/>
      <c r="DN1094"/>
      <c r="DQ1094"/>
      <c r="DR1094"/>
      <c r="DU1094"/>
      <c r="DV1094"/>
      <c r="DY1094"/>
      <c r="DZ1094"/>
      <c r="EC1094"/>
      <c r="ED1094"/>
      <c r="EG1094"/>
      <c r="EH1094"/>
      <c r="EK1094"/>
      <c r="EL1094"/>
      <c r="EO1094"/>
      <c r="EP1094"/>
      <c r="ES1094"/>
      <c r="ET1094"/>
      <c r="EW1094"/>
      <c r="EX1094"/>
      <c r="FA1094"/>
      <c r="FB1094"/>
      <c r="FE1094"/>
      <c r="FF1094"/>
      <c r="FI1094"/>
      <c r="FJ1094"/>
      <c r="FM1094"/>
      <c r="FN1094"/>
      <c r="FQ1094"/>
      <c r="FR1094"/>
      <c r="FU1094"/>
      <c r="FV1094"/>
      <c r="FY1094"/>
      <c r="FZ1094"/>
      <c r="GC1094"/>
      <c r="GD1094"/>
      <c r="GG1094"/>
      <c r="GH1094"/>
      <c r="GK1094"/>
      <c r="GL1094"/>
      <c r="GO1094"/>
      <c r="GP1094"/>
      <c r="GS1094"/>
      <c r="GT1094"/>
      <c r="GW1094"/>
      <c r="GX1094"/>
      <c r="HA1094"/>
      <c r="HB1094"/>
      <c r="HE1094"/>
      <c r="HF1094"/>
      <c r="HI1094"/>
      <c r="HJ1094"/>
      <c r="HM1094"/>
      <c r="HN1094"/>
      <c r="HQ1094"/>
      <c r="HR1094"/>
      <c r="HU1094"/>
      <c r="HV1094"/>
      <c r="HY1094"/>
      <c r="HZ1094"/>
      <c r="IC1094"/>
      <c r="ID1094"/>
      <c r="IG1094"/>
      <c r="IH1094"/>
      <c r="IK1094"/>
      <c r="IL1094"/>
      <c r="IO1094"/>
      <c r="IP1094"/>
      <c r="IS1094"/>
      <c r="IT1094"/>
      <c r="IW1094"/>
      <c r="IX1094"/>
      <c r="JA1094"/>
      <c r="JB1094"/>
      <c r="JE1094"/>
      <c r="JF1094"/>
      <c r="JI1094"/>
      <c r="JJ1094"/>
      <c r="JM1094"/>
      <c r="JN1094"/>
      <c r="JQ1094"/>
      <c r="JR1094"/>
      <c r="JU1094"/>
      <c r="JV1094"/>
      <c r="JY1094"/>
      <c r="JZ1094"/>
      <c r="KC1094"/>
      <c r="KD1094"/>
      <c r="KG1094"/>
      <c r="KH1094"/>
      <c r="KK1094"/>
      <c r="KL1094"/>
      <c r="KO1094"/>
      <c r="KP1094"/>
      <c r="KS1094"/>
      <c r="KT1094"/>
      <c r="KW1094"/>
      <c r="KX1094"/>
      <c r="LA1094"/>
      <c r="LB1094"/>
      <c r="LE1094"/>
      <c r="LF1094"/>
      <c r="LI1094"/>
      <c r="LJ1094"/>
      <c r="LM1094"/>
      <c r="LN1094"/>
      <c r="LQ1094"/>
      <c r="LR1094"/>
      <c r="LU1094"/>
      <c r="LV1094"/>
      <c r="LY1094"/>
      <c r="LZ1094"/>
      <c r="MC1094"/>
      <c r="MD1094"/>
      <c r="MG1094"/>
      <c r="MH1094"/>
      <c r="MK1094"/>
      <c r="ML1094"/>
      <c r="MO1094"/>
      <c r="MP1094"/>
      <c r="MS1094"/>
      <c r="MT1094"/>
      <c r="MW1094"/>
      <c r="MX1094"/>
      <c r="NA1094"/>
      <c r="NB1094"/>
      <c r="NE1094"/>
      <c r="NF1094"/>
      <c r="NI1094"/>
      <c r="NJ1094"/>
      <c r="NM1094"/>
      <c r="NN1094"/>
      <c r="NQ1094"/>
      <c r="NR1094"/>
      <c r="NU1094"/>
      <c r="NV1094"/>
      <c r="NY1094"/>
      <c r="NZ1094"/>
      <c r="OC1094"/>
      <c r="OD1094"/>
      <c r="OG1094"/>
      <c r="OH1094"/>
      <c r="OK1094"/>
      <c r="OL1094"/>
      <c r="OO1094"/>
      <c r="OP1094"/>
      <c r="OS1094"/>
      <c r="OT1094"/>
      <c r="OW1094"/>
      <c r="OX1094"/>
      <c r="PA1094"/>
      <c r="PB1094"/>
      <c r="PE1094"/>
      <c r="PF1094"/>
      <c r="PI1094"/>
      <c r="PJ1094"/>
      <c r="PM1094"/>
      <c r="PN1094"/>
      <c r="PQ1094"/>
      <c r="PR1094"/>
      <c r="PU1094"/>
      <c r="PV1094"/>
      <c r="PY1094"/>
      <c r="PZ1094"/>
      <c r="QC1094"/>
      <c r="QD1094"/>
      <c r="QG1094"/>
      <c r="QH1094"/>
      <c r="QK1094"/>
      <c r="QL1094"/>
      <c r="QO1094"/>
      <c r="QP1094"/>
      <c r="QS1094"/>
      <c r="QT1094"/>
      <c r="QW1094"/>
      <c r="QX1094"/>
      <c r="RA1094"/>
      <c r="RB1094"/>
      <c r="RE1094"/>
      <c r="RF1094"/>
      <c r="RI1094"/>
      <c r="RJ1094"/>
      <c r="RM1094"/>
      <c r="RN1094"/>
      <c r="RQ1094"/>
      <c r="RR1094"/>
      <c r="RU1094"/>
      <c r="RV1094"/>
      <c r="RY1094"/>
      <c r="RZ1094"/>
      <c r="SC1094"/>
      <c r="SD1094"/>
      <c r="SG1094"/>
      <c r="SH1094"/>
      <c r="SK1094"/>
      <c r="SL1094"/>
      <c r="SO1094"/>
      <c r="SP1094"/>
      <c r="SS1094"/>
      <c r="ST1094"/>
      <c r="SW1094"/>
      <c r="SX1094"/>
      <c r="TA1094"/>
      <c r="TB1094"/>
      <c r="TE1094"/>
      <c r="TF1094"/>
      <c r="TI1094"/>
      <c r="TJ1094"/>
      <c r="TM1094"/>
      <c r="TN1094"/>
      <c r="TQ1094"/>
      <c r="TR1094"/>
      <c r="TU1094"/>
      <c r="TV1094"/>
      <c r="TY1094"/>
      <c r="TZ1094"/>
      <c r="UC1094"/>
      <c r="UD1094"/>
      <c r="UG1094"/>
      <c r="UH1094"/>
      <c r="UK1094"/>
      <c r="UL1094"/>
      <c r="UO1094"/>
      <c r="UP1094"/>
      <c r="US1094"/>
      <c r="UT1094"/>
      <c r="UW1094"/>
      <c r="UX1094"/>
      <c r="VA1094"/>
      <c r="VB1094"/>
      <c r="VE1094"/>
      <c r="VF1094"/>
      <c r="VI1094"/>
      <c r="VJ1094"/>
      <c r="VM1094"/>
      <c r="VN1094"/>
      <c r="VQ1094"/>
      <c r="VR1094"/>
      <c r="VU1094"/>
      <c r="VV1094"/>
      <c r="VY1094"/>
      <c r="VZ1094"/>
      <c r="WC1094"/>
      <c r="WD1094"/>
      <c r="WG1094"/>
      <c r="WH1094"/>
      <c r="WK1094"/>
      <c r="WL1094"/>
      <c r="WO1094"/>
      <c r="WP1094"/>
      <c r="WS1094"/>
      <c r="WT1094"/>
      <c r="WW1094"/>
      <c r="WX1094"/>
      <c r="XA1094"/>
      <c r="XB1094"/>
      <c r="XE1094"/>
      <c r="XF1094"/>
      <c r="XI1094"/>
      <c r="XJ1094"/>
      <c r="XM1094"/>
      <c r="XN1094"/>
      <c r="XQ1094"/>
      <c r="XR1094"/>
      <c r="XU1094"/>
      <c r="XV1094"/>
      <c r="XY1094"/>
      <c r="XZ1094"/>
      <c r="YC1094"/>
      <c r="YD1094"/>
      <c r="YG1094"/>
      <c r="YH1094"/>
      <c r="YK1094"/>
      <c r="YL1094"/>
      <c r="YO1094"/>
      <c r="YP1094"/>
      <c r="YS1094"/>
      <c r="YT1094"/>
      <c r="YW1094"/>
      <c r="YX1094"/>
      <c r="ZA1094"/>
      <c r="ZB1094"/>
      <c r="ZE1094"/>
      <c r="ZF1094"/>
      <c r="ZI1094"/>
      <c r="ZJ1094"/>
      <c r="ZM1094"/>
      <c r="ZN1094"/>
      <c r="ZQ1094"/>
      <c r="ZR1094"/>
      <c r="ZU1094"/>
      <c r="ZV1094"/>
      <c r="ZY1094"/>
      <c r="ZZ1094"/>
      <c r="AAC1094"/>
      <c r="AAD1094"/>
      <c r="AAG1094"/>
      <c r="AAH1094"/>
      <c r="AAK1094"/>
      <c r="AAL1094"/>
      <c r="AAO1094"/>
      <c r="AAP1094"/>
      <c r="AAS1094"/>
      <c r="AAT1094"/>
      <c r="AAW1094"/>
      <c r="AAX1094"/>
      <c r="ABA1094"/>
      <c r="ABB1094"/>
      <c r="ABE1094"/>
      <c r="ABF1094"/>
      <c r="ABI1094"/>
      <c r="ABJ1094"/>
      <c r="ABM1094"/>
      <c r="ABN1094"/>
      <c r="ABQ1094"/>
      <c r="ABR1094"/>
      <c r="ABU1094"/>
      <c r="ABV1094"/>
      <c r="ABY1094"/>
      <c r="ABZ1094"/>
      <c r="ACC1094"/>
      <c r="ACD1094"/>
      <c r="ACG1094"/>
      <c r="ACH1094"/>
      <c r="ACK1094"/>
      <c r="ACL1094"/>
      <c r="ACO1094"/>
      <c r="ACP1094"/>
      <c r="ACS1094"/>
      <c r="ACT1094"/>
      <c r="ACW1094"/>
      <c r="ACX1094"/>
      <c r="ADA1094"/>
      <c r="ADB1094"/>
      <c r="ADE1094"/>
      <c r="ADF1094"/>
      <c r="ADI1094"/>
      <c r="ADJ1094"/>
      <c r="ADM1094"/>
      <c r="ADN1094"/>
      <c r="ADQ1094"/>
      <c r="ADR1094"/>
      <c r="ADU1094"/>
      <c r="ADV1094"/>
      <c r="ADY1094"/>
      <c r="ADZ1094"/>
      <c r="AEC1094"/>
      <c r="AED1094"/>
      <c r="AEG1094"/>
      <c r="AEH1094"/>
      <c r="AEK1094"/>
      <c r="AEL1094"/>
      <c r="AEO1094"/>
      <c r="AEP1094"/>
      <c r="AES1094"/>
      <c r="AET1094"/>
      <c r="AEW1094"/>
      <c r="AEX1094"/>
      <c r="AFA1094"/>
      <c r="AFB1094"/>
      <c r="AFE1094"/>
      <c r="AFF1094"/>
      <c r="AFI1094"/>
      <c r="AFJ1094"/>
      <c r="AFM1094"/>
      <c r="AFN1094"/>
      <c r="AFQ1094"/>
      <c r="AFR1094"/>
      <c r="AFU1094"/>
      <c r="AFV1094"/>
      <c r="AFY1094"/>
      <c r="AFZ1094"/>
      <c r="AGC1094"/>
      <c r="AGD1094"/>
      <c r="AGG1094"/>
      <c r="AGH1094"/>
      <c r="AGK1094"/>
      <c r="AGL1094"/>
      <c r="AGO1094"/>
      <c r="AGP1094"/>
      <c r="AGS1094"/>
      <c r="AGT1094"/>
      <c r="AGW1094"/>
      <c r="AGX1094"/>
      <c r="AHA1094"/>
      <c r="AHB1094"/>
      <c r="AHE1094"/>
      <c r="AHF1094"/>
      <c r="AHI1094"/>
      <c r="AHJ1094"/>
      <c r="AHM1094"/>
      <c r="AHN1094"/>
      <c r="AHQ1094"/>
      <c r="AHR1094"/>
      <c r="AHU1094"/>
      <c r="AHV1094"/>
      <c r="AHY1094"/>
      <c r="AHZ1094"/>
      <c r="AIC1094"/>
      <c r="AID1094"/>
      <c r="AIG1094"/>
      <c r="AIH1094"/>
      <c r="AIK1094"/>
      <c r="AIL1094"/>
      <c r="AIO1094"/>
      <c r="AIP1094"/>
      <c r="AIS1094"/>
      <c r="AIT1094"/>
      <c r="AIW1094"/>
      <c r="AIX1094"/>
      <c r="AJA1094"/>
      <c r="AJB1094"/>
      <c r="AJE1094"/>
      <c r="AJF1094"/>
      <c r="AJI1094"/>
      <c r="AJJ1094"/>
      <c r="AJM1094"/>
      <c r="AJN1094"/>
      <c r="AJQ1094"/>
      <c r="AJR1094"/>
      <c r="AJU1094"/>
      <c r="AJV1094"/>
      <c r="AJY1094"/>
      <c r="AJZ1094"/>
      <c r="AKC1094"/>
      <c r="AKD1094"/>
      <c r="AKG1094"/>
      <c r="AKH1094"/>
      <c r="AKK1094"/>
      <c r="AKL1094"/>
      <c r="AKO1094"/>
      <c r="AKP1094"/>
      <c r="AKS1094"/>
      <c r="AKT1094"/>
      <c r="AKW1094"/>
      <c r="AKX1094"/>
      <c r="ALA1094"/>
      <c r="ALB1094"/>
      <c r="ALE1094"/>
      <c r="ALF1094"/>
      <c r="ALI1094"/>
      <c r="ALJ1094"/>
      <c r="ALM1094"/>
      <c r="ALN1094"/>
      <c r="ALQ1094"/>
      <c r="ALR1094"/>
      <c r="ALU1094"/>
      <c r="ALV1094"/>
      <c r="ALY1094"/>
      <c r="ALZ1094"/>
      <c r="AMC1094"/>
      <c r="AMD1094"/>
      <c r="AMG1094"/>
      <c r="AMH1094"/>
      <c r="AMK1094"/>
      <c r="AML1094"/>
      <c r="AMO1094"/>
      <c r="AMP1094"/>
      <c r="AMS1094"/>
      <c r="AMT1094"/>
      <c r="AMW1094"/>
      <c r="AMX1094"/>
      <c r="ANA1094"/>
      <c r="ANB1094"/>
      <c r="ANE1094"/>
      <c r="ANF1094"/>
      <c r="ANI1094"/>
      <c r="ANJ1094"/>
      <c r="ANM1094"/>
      <c r="ANN1094"/>
      <c r="ANQ1094"/>
      <c r="ANR1094"/>
      <c r="ANU1094"/>
      <c r="ANV1094"/>
      <c r="ANY1094"/>
      <c r="ANZ1094"/>
      <c r="AOC1094"/>
      <c r="AOD1094"/>
      <c r="AOG1094"/>
      <c r="AOH1094"/>
      <c r="AOK1094"/>
      <c r="AOL1094"/>
      <c r="AOO1094"/>
      <c r="AOP1094"/>
      <c r="AOS1094"/>
      <c r="AOT1094"/>
      <c r="AOW1094"/>
      <c r="AOX1094"/>
      <c r="APA1094"/>
      <c r="APB1094"/>
      <c r="APE1094"/>
      <c r="APF1094"/>
      <c r="API1094"/>
      <c r="APJ1094"/>
      <c r="APM1094"/>
      <c r="APN1094"/>
      <c r="APQ1094"/>
      <c r="APR1094"/>
      <c r="APU1094"/>
      <c r="APV1094"/>
      <c r="APY1094"/>
      <c r="APZ1094"/>
      <c r="AQC1094"/>
      <c r="AQD1094"/>
      <c r="AQG1094"/>
      <c r="AQH1094"/>
      <c r="AQK1094"/>
      <c r="AQL1094"/>
      <c r="AQO1094"/>
      <c r="AQP1094"/>
      <c r="AQS1094"/>
      <c r="AQT1094"/>
      <c r="AQW1094"/>
      <c r="AQX1094"/>
      <c r="ARA1094"/>
      <c r="ARB1094"/>
      <c r="ARE1094"/>
      <c r="ARF1094"/>
      <c r="ARI1094"/>
      <c r="ARJ1094"/>
      <c r="ARM1094"/>
      <c r="ARN1094"/>
      <c r="ARQ1094"/>
      <c r="ARR1094"/>
      <c r="ARU1094"/>
      <c r="ARV1094"/>
      <c r="ARY1094"/>
      <c r="ARZ1094"/>
      <c r="ASC1094"/>
      <c r="ASD1094"/>
      <c r="ASG1094"/>
      <c r="ASH1094"/>
      <c r="ASK1094"/>
      <c r="ASL1094"/>
      <c r="ASO1094"/>
      <c r="ASP1094"/>
      <c r="ASS1094"/>
      <c r="AST1094"/>
      <c r="ASW1094"/>
      <c r="ASX1094"/>
      <c r="ATA1094"/>
      <c r="ATB1094"/>
      <c r="ATE1094"/>
      <c r="ATF1094"/>
      <c r="ATI1094"/>
      <c r="ATJ1094"/>
      <c r="ATM1094"/>
      <c r="ATN1094"/>
      <c r="ATQ1094"/>
      <c r="ATR1094"/>
      <c r="ATU1094"/>
      <c r="ATV1094"/>
      <c r="ATY1094"/>
      <c r="ATZ1094"/>
      <c r="AUC1094"/>
      <c r="AUD1094"/>
      <c r="AUG1094"/>
      <c r="AUH1094"/>
      <c r="AUK1094"/>
      <c r="AUL1094"/>
      <c r="AUO1094"/>
      <c r="AUP1094"/>
      <c r="AUS1094"/>
      <c r="AUT1094"/>
      <c r="AUW1094"/>
      <c r="AUX1094"/>
      <c r="AVA1094"/>
      <c r="AVB1094"/>
      <c r="AVE1094"/>
      <c r="AVF1094"/>
      <c r="AVI1094"/>
      <c r="AVJ1094"/>
      <c r="AVM1094"/>
      <c r="AVN1094"/>
      <c r="AVQ1094"/>
      <c r="AVR1094"/>
      <c r="AVU1094"/>
      <c r="AVV1094"/>
      <c r="AVY1094"/>
      <c r="AVZ1094"/>
      <c r="AWC1094"/>
      <c r="AWD1094"/>
      <c r="AWG1094"/>
      <c r="AWH1094"/>
      <c r="AWK1094"/>
      <c r="AWL1094"/>
      <c r="AWO1094"/>
      <c r="AWP1094"/>
      <c r="AWS1094"/>
      <c r="AWT1094"/>
      <c r="AWW1094"/>
      <c r="AWX1094"/>
      <c r="AXA1094"/>
      <c r="AXB1094"/>
      <c r="AXE1094"/>
      <c r="AXF1094"/>
      <c r="AXI1094"/>
      <c r="AXJ1094"/>
      <c r="AXM1094"/>
      <c r="AXN1094"/>
      <c r="AXQ1094"/>
      <c r="AXR1094"/>
      <c r="AXU1094"/>
      <c r="AXV1094"/>
      <c r="AXY1094"/>
      <c r="AXZ1094"/>
      <c r="AYC1094"/>
      <c r="AYD1094"/>
      <c r="AYG1094"/>
      <c r="AYH1094"/>
      <c r="AYK1094"/>
      <c r="AYL1094"/>
      <c r="AYO1094"/>
      <c r="AYP1094"/>
      <c r="AYS1094"/>
      <c r="AYT1094"/>
      <c r="AYW1094"/>
      <c r="AYX1094"/>
      <c r="AZA1094"/>
      <c r="AZB1094"/>
      <c r="AZE1094"/>
      <c r="AZF1094"/>
      <c r="AZI1094"/>
      <c r="AZJ1094"/>
      <c r="AZM1094"/>
      <c r="AZN1094"/>
      <c r="AZQ1094"/>
      <c r="AZR1094"/>
      <c r="AZU1094"/>
      <c r="AZV1094"/>
      <c r="AZY1094"/>
      <c r="AZZ1094"/>
      <c r="BAC1094"/>
      <c r="BAD1094"/>
      <c r="BAG1094"/>
      <c r="BAH1094"/>
      <c r="BAK1094"/>
      <c r="BAL1094"/>
      <c r="BAO1094"/>
      <c r="BAP1094"/>
      <c r="BAS1094"/>
      <c r="BAT1094"/>
      <c r="BAW1094"/>
      <c r="BAX1094"/>
      <c r="BBA1094"/>
      <c r="BBB1094"/>
      <c r="BBE1094"/>
      <c r="BBF1094"/>
      <c r="BBI1094"/>
      <c r="BBJ1094"/>
      <c r="BBM1094"/>
      <c r="BBN1094"/>
      <c r="BBQ1094"/>
      <c r="BBR1094"/>
      <c r="BBU1094"/>
      <c r="BBV1094"/>
      <c r="BBY1094"/>
      <c r="BBZ1094"/>
      <c r="BCC1094"/>
      <c r="BCD1094"/>
      <c r="BCG1094"/>
      <c r="BCH1094"/>
      <c r="BCK1094"/>
      <c r="BCL1094"/>
      <c r="BCO1094"/>
      <c r="BCP1094"/>
      <c r="BCS1094"/>
      <c r="BCT1094"/>
      <c r="BCW1094"/>
      <c r="BCX1094"/>
      <c r="BDA1094"/>
      <c r="BDB1094"/>
      <c r="BDE1094"/>
      <c r="BDF1094"/>
      <c r="BDI1094"/>
      <c r="BDJ1094"/>
      <c r="BDM1094"/>
      <c r="BDN1094"/>
      <c r="BDQ1094"/>
      <c r="BDR1094"/>
      <c r="BDU1094"/>
      <c r="BDV1094"/>
      <c r="BDY1094"/>
      <c r="BDZ1094"/>
      <c r="BEC1094"/>
      <c r="BED1094"/>
      <c r="BEG1094"/>
      <c r="BEH1094"/>
      <c r="BEK1094"/>
      <c r="BEL1094"/>
      <c r="BEO1094"/>
      <c r="BEP1094"/>
      <c r="BES1094"/>
      <c r="BET1094"/>
      <c r="BEW1094"/>
      <c r="BEX1094"/>
      <c r="BFA1094"/>
      <c r="BFB1094"/>
      <c r="BFE1094"/>
      <c r="BFF1094"/>
      <c r="BFI1094"/>
      <c r="BFJ1094"/>
      <c r="BFM1094"/>
      <c r="BFN1094"/>
      <c r="BFQ1094"/>
      <c r="BFR1094"/>
      <c r="BFU1094"/>
      <c r="BFV1094"/>
      <c r="BFY1094"/>
      <c r="BFZ1094"/>
      <c r="BGC1094"/>
      <c r="BGD1094"/>
      <c r="BGG1094"/>
      <c r="BGH1094"/>
      <c r="BGK1094"/>
      <c r="BGL1094"/>
      <c r="BGO1094"/>
      <c r="BGP1094"/>
      <c r="BGS1094"/>
      <c r="BGT1094"/>
      <c r="BGW1094"/>
      <c r="BGX1094"/>
      <c r="BHA1094"/>
      <c r="BHB1094"/>
      <c r="BHE1094"/>
      <c r="BHF1094"/>
      <c r="BHI1094"/>
      <c r="BHJ1094"/>
      <c r="BHM1094"/>
      <c r="BHN1094"/>
      <c r="BHQ1094"/>
      <c r="BHR1094"/>
      <c r="BHU1094"/>
      <c r="BHV1094"/>
      <c r="BHY1094"/>
      <c r="BHZ1094"/>
      <c r="BIC1094"/>
      <c r="BID1094"/>
      <c r="BIG1094"/>
      <c r="BIH1094"/>
      <c r="BIK1094"/>
      <c r="BIL1094"/>
      <c r="BIO1094"/>
      <c r="BIP1094"/>
      <c r="BIS1094"/>
      <c r="BIT1094"/>
      <c r="BIW1094"/>
      <c r="BIX1094"/>
      <c r="BJA1094"/>
      <c r="BJB1094"/>
      <c r="BJE1094"/>
      <c r="BJF1094"/>
      <c r="BJI1094"/>
      <c r="BJJ1094"/>
      <c r="BJM1094"/>
      <c r="BJN1094"/>
      <c r="BJQ1094"/>
      <c r="BJR1094"/>
      <c r="BJU1094"/>
      <c r="BJV1094"/>
      <c r="BJY1094"/>
      <c r="BJZ1094"/>
      <c r="BKC1094"/>
      <c r="BKD1094"/>
      <c r="BKG1094"/>
      <c r="BKH1094"/>
      <c r="BKK1094"/>
      <c r="BKL1094"/>
      <c r="BKO1094"/>
      <c r="BKP1094"/>
      <c r="BKS1094"/>
      <c r="BKT1094"/>
      <c r="BKW1094"/>
      <c r="BKX1094"/>
      <c r="BLA1094"/>
      <c r="BLB1094"/>
      <c r="BLE1094"/>
      <c r="BLF1094"/>
      <c r="BLI1094"/>
      <c r="BLJ1094"/>
      <c r="BLM1094"/>
      <c r="BLN1094"/>
      <c r="BLQ1094"/>
      <c r="BLR1094"/>
      <c r="BLU1094"/>
      <c r="BLV1094"/>
      <c r="BLY1094"/>
      <c r="BLZ1094"/>
      <c r="BMC1094"/>
      <c r="BMD1094"/>
      <c r="BMG1094"/>
      <c r="BMH1094"/>
      <c r="BMK1094"/>
      <c r="BML1094"/>
      <c r="BMO1094"/>
      <c r="BMP1094"/>
      <c r="BMS1094"/>
      <c r="BMT1094"/>
      <c r="BMW1094"/>
      <c r="BMX1094"/>
      <c r="BNA1094"/>
      <c r="BNB1094"/>
      <c r="BNE1094"/>
      <c r="BNF1094"/>
      <c r="BNI1094"/>
      <c r="BNJ1094"/>
      <c r="BNM1094"/>
      <c r="BNN1094"/>
      <c r="BNQ1094"/>
      <c r="BNR1094"/>
      <c r="BNU1094"/>
      <c r="BNV1094"/>
      <c r="BNY1094"/>
      <c r="BNZ1094"/>
      <c r="BOC1094"/>
      <c r="BOD1094"/>
      <c r="BOG1094"/>
      <c r="BOH1094"/>
      <c r="BOK1094"/>
      <c r="BOL1094"/>
      <c r="BOO1094"/>
      <c r="BOP1094"/>
      <c r="BOS1094"/>
      <c r="BOT1094"/>
      <c r="BOW1094"/>
      <c r="BOX1094"/>
      <c r="BPA1094"/>
      <c r="BPB1094"/>
      <c r="BPE1094"/>
      <c r="BPF1094"/>
      <c r="BPI1094"/>
      <c r="BPJ1094"/>
      <c r="BPM1094"/>
      <c r="BPN1094"/>
      <c r="BPQ1094"/>
      <c r="BPR1094"/>
      <c r="BPU1094"/>
      <c r="BPV1094"/>
      <c r="BPY1094"/>
      <c r="BPZ1094"/>
      <c r="BQC1094"/>
      <c r="BQD1094"/>
      <c r="BQG1094"/>
      <c r="BQH1094"/>
      <c r="BQK1094"/>
      <c r="BQL1094"/>
      <c r="BQO1094"/>
      <c r="BQP1094"/>
      <c r="BQS1094"/>
      <c r="BQT1094"/>
      <c r="BQW1094"/>
      <c r="BQX1094"/>
      <c r="BRA1094"/>
      <c r="BRB1094"/>
      <c r="BRE1094"/>
      <c r="BRF1094"/>
      <c r="BRI1094"/>
      <c r="BRJ1094"/>
      <c r="BRM1094"/>
      <c r="BRN1094"/>
      <c r="BRQ1094"/>
      <c r="BRR1094"/>
      <c r="BRU1094"/>
      <c r="BRV1094"/>
      <c r="BRY1094"/>
      <c r="BRZ1094"/>
      <c r="BSC1094"/>
      <c r="BSD1094"/>
      <c r="BSG1094"/>
      <c r="BSH1094"/>
      <c r="BSK1094"/>
      <c r="BSL1094"/>
      <c r="BSO1094"/>
      <c r="BSP1094"/>
      <c r="BSS1094"/>
      <c r="BST1094"/>
      <c r="BSW1094"/>
      <c r="BSX1094"/>
      <c r="BTA1094"/>
      <c r="BTB1094"/>
      <c r="BTE1094"/>
      <c r="BTF1094"/>
      <c r="BTI1094"/>
      <c r="BTJ1094"/>
      <c r="BTM1094"/>
      <c r="BTN1094"/>
      <c r="BTQ1094"/>
      <c r="BTR1094"/>
      <c r="BTU1094"/>
      <c r="BTV1094"/>
      <c r="BTY1094"/>
      <c r="BTZ1094"/>
      <c r="BUC1094"/>
      <c r="BUD1094"/>
      <c r="BUG1094"/>
      <c r="BUH1094"/>
      <c r="BUK1094"/>
      <c r="BUL1094"/>
      <c r="BUO1094"/>
      <c r="BUP1094"/>
      <c r="BUS1094"/>
      <c r="BUT1094"/>
      <c r="BUW1094"/>
      <c r="BUX1094"/>
      <c r="BVA1094"/>
      <c r="BVB1094"/>
      <c r="BVE1094"/>
      <c r="BVF1094"/>
      <c r="BVI1094"/>
      <c r="BVJ1094"/>
      <c r="BVM1094"/>
      <c r="BVN1094"/>
      <c r="BVQ1094"/>
      <c r="BVR1094"/>
      <c r="BVU1094"/>
      <c r="BVV1094"/>
      <c r="BVY1094"/>
      <c r="BVZ1094"/>
      <c r="BWC1094"/>
      <c r="BWD1094"/>
      <c r="BWG1094"/>
      <c r="BWH1094"/>
      <c r="BWK1094"/>
      <c r="BWL1094"/>
      <c r="BWO1094"/>
      <c r="BWP1094"/>
      <c r="BWS1094"/>
      <c r="BWT1094"/>
      <c r="BWW1094"/>
      <c r="BWX1094"/>
      <c r="BXA1094"/>
      <c r="BXB1094"/>
      <c r="BXE1094"/>
      <c r="BXF1094"/>
      <c r="BXI1094"/>
      <c r="BXJ1094"/>
      <c r="BXM1094"/>
      <c r="BXN1094"/>
      <c r="BXQ1094"/>
      <c r="BXR1094"/>
      <c r="BXU1094"/>
      <c r="BXV1094"/>
      <c r="BXY1094"/>
      <c r="BXZ1094"/>
      <c r="BYC1094"/>
      <c r="BYD1094"/>
      <c r="BYG1094"/>
      <c r="BYH1094"/>
      <c r="BYK1094"/>
      <c r="BYL1094"/>
      <c r="BYO1094"/>
      <c r="BYP1094"/>
      <c r="BYS1094"/>
      <c r="BYT1094"/>
      <c r="BYW1094"/>
      <c r="BYX1094"/>
      <c r="BZA1094"/>
      <c r="BZB1094"/>
      <c r="BZE1094"/>
      <c r="BZF1094"/>
      <c r="BZI1094"/>
      <c r="BZJ1094"/>
      <c r="BZM1094"/>
      <c r="BZN1094"/>
      <c r="BZQ1094"/>
      <c r="BZR1094"/>
      <c r="BZU1094"/>
      <c r="BZV1094"/>
      <c r="BZY1094"/>
      <c r="BZZ1094"/>
      <c r="CAC1094"/>
      <c r="CAD1094"/>
      <c r="CAG1094"/>
      <c r="CAH1094"/>
      <c r="CAK1094"/>
      <c r="CAL1094"/>
      <c r="CAO1094"/>
      <c r="CAP1094"/>
      <c r="CAS1094"/>
      <c r="CAT1094"/>
      <c r="CAW1094"/>
      <c r="CAX1094"/>
      <c r="CBA1094"/>
      <c r="CBB1094"/>
      <c r="CBE1094"/>
      <c r="CBF1094"/>
      <c r="CBI1094"/>
      <c r="CBJ1094"/>
      <c r="CBM1094"/>
      <c r="CBN1094"/>
      <c r="CBQ1094"/>
      <c r="CBR1094"/>
      <c r="CBU1094"/>
      <c r="CBV1094"/>
      <c r="CBY1094"/>
      <c r="CBZ1094"/>
      <c r="CCC1094"/>
      <c r="CCD1094"/>
      <c r="CCG1094"/>
      <c r="CCH1094"/>
      <c r="CCK1094"/>
      <c r="CCL1094"/>
      <c r="CCO1094"/>
      <c r="CCP1094"/>
      <c r="CCS1094"/>
      <c r="CCT1094"/>
      <c r="CCW1094"/>
      <c r="CCX1094"/>
      <c r="CDA1094"/>
      <c r="CDB1094"/>
      <c r="CDE1094"/>
      <c r="CDF1094"/>
      <c r="CDI1094"/>
      <c r="CDJ1094"/>
      <c r="CDM1094"/>
      <c r="CDN1094"/>
      <c r="CDQ1094"/>
      <c r="CDR1094"/>
      <c r="CDU1094"/>
      <c r="CDV1094"/>
      <c r="CDY1094"/>
      <c r="CDZ1094"/>
      <c r="CEC1094"/>
      <c r="CED1094"/>
      <c r="CEG1094"/>
      <c r="CEH1094"/>
      <c r="CEK1094"/>
      <c r="CEL1094"/>
      <c r="CEO1094"/>
      <c r="CEP1094"/>
      <c r="CES1094"/>
      <c r="CET1094"/>
      <c r="CEW1094"/>
      <c r="CEX1094"/>
      <c r="CFA1094"/>
      <c r="CFB1094"/>
      <c r="CFE1094"/>
      <c r="CFF1094"/>
      <c r="CFI1094"/>
      <c r="CFJ1094"/>
      <c r="CFM1094"/>
      <c r="CFN1094"/>
      <c r="CFQ1094"/>
      <c r="CFR1094"/>
      <c r="CFU1094"/>
      <c r="CFV1094"/>
      <c r="CFY1094"/>
      <c r="CFZ1094"/>
      <c r="CGC1094"/>
      <c r="CGD1094"/>
      <c r="CGG1094"/>
      <c r="CGH1094"/>
      <c r="CGK1094"/>
      <c r="CGL1094"/>
      <c r="CGO1094"/>
      <c r="CGP1094"/>
      <c r="CGS1094"/>
      <c r="CGT1094"/>
      <c r="CGW1094"/>
      <c r="CGX1094"/>
      <c r="CHA1094"/>
      <c r="CHB1094"/>
      <c r="CHE1094"/>
      <c r="CHF1094"/>
      <c r="CHI1094"/>
      <c r="CHJ1094"/>
      <c r="CHM1094"/>
      <c r="CHN1094"/>
      <c r="CHQ1094"/>
      <c r="CHR1094"/>
      <c r="CHU1094"/>
      <c r="CHV1094"/>
      <c r="CHY1094"/>
      <c r="CHZ1094"/>
      <c r="CIC1094"/>
      <c r="CID1094"/>
      <c r="CIG1094"/>
      <c r="CIH1094"/>
      <c r="CIK1094"/>
      <c r="CIL1094"/>
      <c r="CIO1094"/>
      <c r="CIP1094"/>
      <c r="CIS1094"/>
      <c r="CIT1094"/>
      <c r="CIW1094"/>
      <c r="CIX1094"/>
      <c r="CJA1094"/>
      <c r="CJB1094"/>
      <c r="CJE1094"/>
      <c r="CJF1094"/>
      <c r="CJI1094"/>
      <c r="CJJ1094"/>
      <c r="CJM1094"/>
      <c r="CJN1094"/>
      <c r="CJQ1094"/>
      <c r="CJR1094"/>
      <c r="CJU1094"/>
      <c r="CJV1094"/>
      <c r="CJY1094"/>
      <c r="CJZ1094"/>
      <c r="CKC1094"/>
      <c r="CKD1094"/>
      <c r="CKG1094"/>
      <c r="CKH1094"/>
      <c r="CKK1094"/>
      <c r="CKL1094"/>
      <c r="CKO1094"/>
      <c r="CKP1094"/>
      <c r="CKS1094"/>
      <c r="CKT1094"/>
      <c r="CKW1094"/>
      <c r="CKX1094"/>
      <c r="CLA1094"/>
      <c r="CLB1094"/>
      <c r="CLE1094"/>
      <c r="CLF1094"/>
      <c r="CLI1094"/>
      <c r="CLJ1094"/>
      <c r="CLM1094"/>
      <c r="CLN1094"/>
      <c r="CLQ1094"/>
      <c r="CLR1094"/>
      <c r="CLU1094"/>
      <c r="CLV1094"/>
      <c r="CLY1094"/>
      <c r="CLZ1094"/>
      <c r="CMC1094"/>
      <c r="CMD1094"/>
      <c r="CMG1094"/>
      <c r="CMH1094"/>
      <c r="CMK1094"/>
      <c r="CML1094"/>
      <c r="CMO1094"/>
      <c r="CMP1094"/>
      <c r="CMS1094"/>
      <c r="CMT1094"/>
      <c r="CMW1094"/>
      <c r="CMX1094"/>
      <c r="CNA1094"/>
      <c r="CNB1094"/>
      <c r="CNE1094"/>
      <c r="CNF1094"/>
      <c r="CNI1094"/>
      <c r="CNJ1094"/>
      <c r="CNM1094"/>
      <c r="CNN1094"/>
      <c r="CNQ1094"/>
      <c r="CNR1094"/>
      <c r="CNU1094"/>
      <c r="CNV1094"/>
      <c r="CNY1094"/>
      <c r="CNZ1094"/>
      <c r="COC1094"/>
      <c r="COD1094"/>
      <c r="COG1094"/>
      <c r="COH1094"/>
      <c r="COK1094"/>
      <c r="COL1094"/>
      <c r="COO1094"/>
      <c r="COP1094"/>
      <c r="COS1094"/>
      <c r="COT1094"/>
      <c r="COW1094"/>
      <c r="COX1094"/>
      <c r="CPA1094"/>
      <c r="CPB1094"/>
      <c r="CPE1094"/>
      <c r="CPF1094"/>
      <c r="CPI1094"/>
      <c r="CPJ1094"/>
      <c r="CPM1094"/>
      <c r="CPN1094"/>
      <c r="CPQ1094"/>
      <c r="CPR1094"/>
      <c r="CPU1094"/>
      <c r="CPV1094"/>
      <c r="CPY1094"/>
      <c r="CPZ1094"/>
      <c r="CQC1094"/>
      <c r="CQD1094"/>
      <c r="CQG1094"/>
      <c r="CQH1094"/>
      <c r="CQK1094"/>
      <c r="CQL1094"/>
      <c r="CQO1094"/>
      <c r="CQP1094"/>
      <c r="CQS1094"/>
      <c r="CQT1094"/>
      <c r="CQW1094"/>
      <c r="CQX1094"/>
      <c r="CRA1094"/>
      <c r="CRB1094"/>
      <c r="CRE1094"/>
      <c r="CRF1094"/>
      <c r="CRI1094"/>
      <c r="CRJ1094"/>
      <c r="CRM1094"/>
      <c r="CRN1094"/>
      <c r="CRQ1094"/>
      <c r="CRR1094"/>
      <c r="CRU1094"/>
      <c r="CRV1094"/>
      <c r="CRY1094"/>
      <c r="CRZ1094"/>
      <c r="CSC1094"/>
      <c r="CSD1094"/>
      <c r="CSG1094"/>
      <c r="CSH1094"/>
      <c r="CSK1094"/>
      <c r="CSL1094"/>
      <c r="CSO1094"/>
      <c r="CSP1094"/>
      <c r="CSS1094"/>
      <c r="CST1094"/>
      <c r="CSW1094"/>
      <c r="CSX1094"/>
      <c r="CTA1094"/>
      <c r="CTB1094"/>
      <c r="CTE1094"/>
      <c r="CTF1094"/>
      <c r="CTI1094"/>
      <c r="CTJ1094"/>
      <c r="CTM1094"/>
      <c r="CTN1094"/>
      <c r="CTQ1094"/>
      <c r="CTR1094"/>
      <c r="CTU1094"/>
      <c r="CTV1094"/>
      <c r="CTY1094"/>
      <c r="CTZ1094"/>
      <c r="CUC1094"/>
      <c r="CUD1094"/>
      <c r="CUG1094"/>
      <c r="CUH1094"/>
      <c r="CUK1094"/>
      <c r="CUL1094"/>
      <c r="CUO1094"/>
      <c r="CUP1094"/>
      <c r="CUS1094"/>
      <c r="CUT1094"/>
      <c r="CUW1094"/>
      <c r="CUX1094"/>
      <c r="CVA1094"/>
      <c r="CVB1094"/>
      <c r="CVE1094"/>
      <c r="CVF1094"/>
      <c r="CVI1094"/>
      <c r="CVJ1094"/>
      <c r="CVM1094"/>
      <c r="CVN1094"/>
      <c r="CVQ1094"/>
      <c r="CVR1094"/>
      <c r="CVU1094"/>
      <c r="CVV1094"/>
      <c r="CVY1094"/>
      <c r="CVZ1094"/>
      <c r="CWC1094"/>
      <c r="CWD1094"/>
      <c r="CWG1094"/>
      <c r="CWH1094"/>
      <c r="CWK1094"/>
      <c r="CWL1094"/>
      <c r="CWO1094"/>
      <c r="CWP1094"/>
      <c r="CWS1094"/>
      <c r="CWT1094"/>
      <c r="CWW1094"/>
      <c r="CWX1094"/>
      <c r="CXA1094"/>
      <c r="CXB1094"/>
      <c r="CXE1094"/>
      <c r="CXF1094"/>
      <c r="CXI1094"/>
      <c r="CXJ1094"/>
      <c r="CXM1094"/>
      <c r="CXN1094"/>
      <c r="CXQ1094"/>
      <c r="CXR1094"/>
      <c r="CXU1094"/>
      <c r="CXV1094"/>
      <c r="CXY1094"/>
      <c r="CXZ1094"/>
      <c r="CYC1094"/>
      <c r="CYD1094"/>
      <c r="CYG1094"/>
      <c r="CYH1094"/>
      <c r="CYK1094"/>
      <c r="CYL1094"/>
      <c r="CYO1094"/>
      <c r="CYP1094"/>
      <c r="CYS1094"/>
      <c r="CYT1094"/>
      <c r="CYW1094"/>
      <c r="CYX1094"/>
      <c r="CZA1094"/>
      <c r="CZB1094"/>
      <c r="CZE1094"/>
      <c r="CZF1094"/>
      <c r="CZI1094"/>
      <c r="CZJ1094"/>
      <c r="CZM1094"/>
      <c r="CZN1094"/>
      <c r="CZQ1094"/>
      <c r="CZR1094"/>
      <c r="CZU1094"/>
      <c r="CZV1094"/>
      <c r="CZY1094"/>
      <c r="CZZ1094"/>
      <c r="DAC1094"/>
      <c r="DAD1094"/>
      <c r="DAG1094"/>
      <c r="DAH1094"/>
      <c r="DAK1094"/>
      <c r="DAL1094"/>
      <c r="DAO1094"/>
      <c r="DAP1094"/>
      <c r="DAS1094"/>
      <c r="DAT1094"/>
      <c r="DAW1094"/>
      <c r="DAX1094"/>
      <c r="DBA1094"/>
      <c r="DBB1094"/>
      <c r="DBE1094"/>
      <c r="DBF1094"/>
      <c r="DBI1094"/>
      <c r="DBJ1094"/>
      <c r="DBM1094"/>
      <c r="DBN1094"/>
      <c r="DBQ1094"/>
      <c r="DBR1094"/>
      <c r="DBU1094"/>
      <c r="DBV1094"/>
      <c r="DBY1094"/>
      <c r="DBZ1094"/>
      <c r="DCC1094"/>
      <c r="DCD1094"/>
      <c r="DCG1094"/>
      <c r="DCH1094"/>
      <c r="DCK1094"/>
      <c r="DCL1094"/>
      <c r="DCO1094"/>
      <c r="DCP1094"/>
      <c r="DCS1094"/>
      <c r="DCT1094"/>
      <c r="DCW1094"/>
      <c r="DCX1094"/>
      <c r="DDA1094"/>
      <c r="DDB1094"/>
      <c r="DDE1094"/>
      <c r="DDF1094"/>
      <c r="DDI1094"/>
      <c r="DDJ1094"/>
      <c r="DDM1094"/>
      <c r="DDN1094"/>
      <c r="DDQ1094"/>
      <c r="DDR1094"/>
      <c r="DDU1094"/>
      <c r="DDV1094"/>
      <c r="DDY1094"/>
      <c r="DDZ1094"/>
      <c r="DEC1094"/>
      <c r="DED1094"/>
      <c r="DEG1094"/>
      <c r="DEH1094"/>
      <c r="DEK1094"/>
      <c r="DEL1094"/>
      <c r="DEO1094"/>
      <c r="DEP1094"/>
      <c r="DES1094"/>
      <c r="DET1094"/>
      <c r="DEW1094"/>
      <c r="DEX1094"/>
      <c r="DFA1094"/>
      <c r="DFB1094"/>
      <c r="DFE1094"/>
      <c r="DFF1094"/>
      <c r="DFI1094"/>
      <c r="DFJ1094"/>
      <c r="DFM1094"/>
      <c r="DFN1094"/>
      <c r="DFQ1094"/>
      <c r="DFR1094"/>
      <c r="DFU1094"/>
      <c r="DFV1094"/>
      <c r="DFY1094"/>
      <c r="DFZ1094"/>
      <c r="DGC1094"/>
      <c r="DGD1094"/>
      <c r="DGG1094"/>
      <c r="DGH1094"/>
      <c r="DGK1094"/>
      <c r="DGL1094"/>
      <c r="DGO1094"/>
      <c r="DGP1094"/>
      <c r="DGS1094"/>
      <c r="DGT1094"/>
      <c r="DGW1094"/>
      <c r="DGX1094"/>
      <c r="DHA1094"/>
      <c r="DHB1094"/>
      <c r="DHE1094"/>
      <c r="DHF1094"/>
      <c r="DHI1094"/>
      <c r="DHJ1094"/>
      <c r="DHM1094"/>
      <c r="DHN1094"/>
      <c r="DHQ1094"/>
      <c r="DHR1094"/>
      <c r="DHU1094"/>
      <c r="DHV1094"/>
      <c r="DHY1094"/>
      <c r="DHZ1094"/>
      <c r="DIC1094"/>
      <c r="DID1094"/>
      <c r="DIG1094"/>
      <c r="DIH1094"/>
      <c r="DIK1094"/>
      <c r="DIL1094"/>
      <c r="DIO1094"/>
      <c r="DIP1094"/>
      <c r="DIS1094"/>
      <c r="DIT1094"/>
      <c r="DIW1094"/>
      <c r="DIX1094"/>
      <c r="DJA1094"/>
      <c r="DJB1094"/>
      <c r="DJE1094"/>
      <c r="DJF1094"/>
      <c r="DJI1094"/>
      <c r="DJJ1094"/>
      <c r="DJM1094"/>
      <c r="DJN1094"/>
      <c r="DJQ1094"/>
      <c r="DJR1094"/>
      <c r="DJU1094"/>
      <c r="DJV1094"/>
      <c r="DJY1094"/>
      <c r="DJZ1094"/>
      <c r="DKC1094"/>
      <c r="DKD1094"/>
      <c r="DKG1094"/>
      <c r="DKH1094"/>
      <c r="DKK1094"/>
      <c r="DKL1094"/>
      <c r="DKO1094"/>
      <c r="DKP1094"/>
      <c r="DKS1094"/>
      <c r="DKT1094"/>
      <c r="DKW1094"/>
      <c r="DKX1094"/>
      <c r="DLA1094"/>
      <c r="DLB1094"/>
      <c r="DLE1094"/>
      <c r="DLF1094"/>
      <c r="DLI1094"/>
      <c r="DLJ1094"/>
      <c r="DLM1094"/>
      <c r="DLN1094"/>
      <c r="DLQ1094"/>
      <c r="DLR1094"/>
      <c r="DLU1094"/>
      <c r="DLV1094"/>
      <c r="DLY1094"/>
      <c r="DLZ1094"/>
      <c r="DMC1094"/>
      <c r="DMD1094"/>
      <c r="DMG1094"/>
      <c r="DMH1094"/>
      <c r="DMK1094"/>
      <c r="DML1094"/>
      <c r="DMO1094"/>
      <c r="DMP1094"/>
      <c r="DMS1094"/>
      <c r="DMT1094"/>
      <c r="DMW1094"/>
      <c r="DMX1094"/>
      <c r="DNA1094"/>
      <c r="DNB1094"/>
      <c r="DNE1094"/>
      <c r="DNF1094"/>
      <c r="DNI1094"/>
      <c r="DNJ1094"/>
      <c r="DNM1094"/>
      <c r="DNN1094"/>
      <c r="DNQ1094"/>
      <c r="DNR1094"/>
      <c r="DNU1094"/>
      <c r="DNV1094"/>
      <c r="DNY1094"/>
      <c r="DNZ1094"/>
      <c r="DOC1094"/>
      <c r="DOD1094"/>
      <c r="DOG1094"/>
      <c r="DOH1094"/>
      <c r="DOK1094"/>
      <c r="DOL1094"/>
      <c r="DOO1094"/>
      <c r="DOP1094"/>
      <c r="DOS1094"/>
      <c r="DOT1094"/>
      <c r="DOW1094"/>
      <c r="DOX1094"/>
      <c r="DPA1094"/>
      <c r="DPB1094"/>
      <c r="DPE1094"/>
      <c r="DPF1094"/>
      <c r="DPI1094"/>
      <c r="DPJ1094"/>
      <c r="DPM1094"/>
      <c r="DPN1094"/>
      <c r="DPQ1094"/>
      <c r="DPR1094"/>
      <c r="DPU1094"/>
      <c r="DPV1094"/>
      <c r="DPY1094"/>
      <c r="DPZ1094"/>
      <c r="DQC1094"/>
      <c r="DQD1094"/>
      <c r="DQG1094"/>
      <c r="DQH1094"/>
      <c r="DQK1094"/>
      <c r="DQL1094"/>
      <c r="DQO1094"/>
      <c r="DQP1094"/>
      <c r="DQS1094"/>
      <c r="DQT1094"/>
      <c r="DQW1094"/>
      <c r="DQX1094"/>
      <c r="DRA1094"/>
      <c r="DRB1094"/>
      <c r="DRE1094"/>
      <c r="DRF1094"/>
      <c r="DRI1094"/>
      <c r="DRJ1094"/>
      <c r="DRM1094"/>
      <c r="DRN1094"/>
      <c r="DRQ1094"/>
      <c r="DRR1094"/>
      <c r="DRU1094"/>
      <c r="DRV1094"/>
      <c r="DRY1094"/>
      <c r="DRZ1094"/>
      <c r="DSC1094"/>
      <c r="DSD1094"/>
      <c r="DSG1094"/>
      <c r="DSH1094"/>
      <c r="DSK1094"/>
      <c r="DSL1094"/>
      <c r="DSO1094"/>
      <c r="DSP1094"/>
      <c r="DSS1094"/>
      <c r="DST1094"/>
      <c r="DSW1094"/>
      <c r="DSX1094"/>
      <c r="DTA1094"/>
      <c r="DTB1094"/>
      <c r="DTE1094"/>
      <c r="DTF1094"/>
      <c r="DTI1094"/>
      <c r="DTJ1094"/>
      <c r="DTM1094"/>
      <c r="DTN1094"/>
      <c r="DTQ1094"/>
      <c r="DTR1094"/>
      <c r="DTU1094"/>
      <c r="DTV1094"/>
      <c r="DTY1094"/>
      <c r="DTZ1094"/>
      <c r="DUC1094"/>
      <c r="DUD1094"/>
      <c r="DUG1094"/>
      <c r="DUH1094"/>
      <c r="DUK1094"/>
      <c r="DUL1094"/>
      <c r="DUO1094"/>
      <c r="DUP1094"/>
      <c r="DUS1094"/>
      <c r="DUT1094"/>
      <c r="DUW1094"/>
      <c r="DUX1094"/>
      <c r="DVA1094"/>
      <c r="DVB1094"/>
      <c r="DVE1094"/>
      <c r="DVF1094"/>
      <c r="DVI1094"/>
      <c r="DVJ1094"/>
      <c r="DVM1094"/>
      <c r="DVN1094"/>
      <c r="DVQ1094"/>
      <c r="DVR1094"/>
      <c r="DVU1094"/>
      <c r="DVV1094"/>
      <c r="DVY1094"/>
      <c r="DVZ1094"/>
      <c r="DWC1094"/>
      <c r="DWD1094"/>
      <c r="DWG1094"/>
      <c r="DWH1094"/>
      <c r="DWK1094"/>
      <c r="DWL1094"/>
      <c r="DWO1094"/>
      <c r="DWP1094"/>
      <c r="DWS1094"/>
      <c r="DWT1094"/>
      <c r="DWW1094"/>
      <c r="DWX1094"/>
      <c r="DXA1094"/>
      <c r="DXB1094"/>
      <c r="DXE1094"/>
      <c r="DXF1094"/>
      <c r="DXI1094"/>
      <c r="DXJ1094"/>
      <c r="DXM1094"/>
      <c r="DXN1094"/>
      <c r="DXQ1094"/>
      <c r="DXR1094"/>
      <c r="DXU1094"/>
      <c r="DXV1094"/>
      <c r="DXY1094"/>
      <c r="DXZ1094"/>
      <c r="DYC1094"/>
      <c r="DYD1094"/>
      <c r="DYG1094"/>
      <c r="DYH1094"/>
      <c r="DYK1094"/>
      <c r="DYL1094"/>
      <c r="DYO1094"/>
      <c r="DYP1094"/>
      <c r="DYS1094"/>
      <c r="DYT1094"/>
      <c r="DYW1094"/>
      <c r="DYX1094"/>
      <c r="DZA1094"/>
      <c r="DZB1094"/>
      <c r="DZE1094"/>
      <c r="DZF1094"/>
      <c r="DZI1094"/>
      <c r="DZJ1094"/>
      <c r="DZM1094"/>
      <c r="DZN1094"/>
      <c r="DZQ1094"/>
      <c r="DZR1094"/>
      <c r="DZU1094"/>
      <c r="DZV1094"/>
      <c r="DZY1094"/>
      <c r="DZZ1094"/>
      <c r="EAC1094"/>
      <c r="EAD1094"/>
      <c r="EAG1094"/>
      <c r="EAH1094"/>
      <c r="EAK1094"/>
      <c r="EAL1094"/>
      <c r="EAO1094"/>
      <c r="EAP1094"/>
      <c r="EAS1094"/>
      <c r="EAT1094"/>
      <c r="EAW1094"/>
      <c r="EAX1094"/>
      <c r="EBA1094"/>
      <c r="EBB1094"/>
      <c r="EBE1094"/>
      <c r="EBF1094"/>
      <c r="EBI1094"/>
      <c r="EBJ1094"/>
      <c r="EBM1094"/>
      <c r="EBN1094"/>
      <c r="EBQ1094"/>
      <c r="EBR1094"/>
      <c r="EBU1094"/>
      <c r="EBV1094"/>
      <c r="EBY1094"/>
      <c r="EBZ1094"/>
      <c r="ECC1094"/>
      <c r="ECD1094"/>
      <c r="ECG1094"/>
      <c r="ECH1094"/>
      <c r="ECK1094"/>
      <c r="ECL1094"/>
      <c r="ECO1094"/>
      <c r="ECP1094"/>
      <c r="ECS1094"/>
      <c r="ECT1094"/>
      <c r="ECW1094"/>
      <c r="ECX1094"/>
      <c r="EDA1094"/>
      <c r="EDB1094"/>
      <c r="EDE1094"/>
      <c r="EDF1094"/>
      <c r="EDI1094"/>
      <c r="EDJ1094"/>
      <c r="EDM1094"/>
      <c r="EDN1094"/>
      <c r="EDQ1094"/>
      <c r="EDR1094"/>
      <c r="EDU1094"/>
      <c r="EDV1094"/>
      <c r="EDY1094"/>
      <c r="EDZ1094"/>
      <c r="EEC1094"/>
      <c r="EED1094"/>
      <c r="EEG1094"/>
      <c r="EEH1094"/>
      <c r="EEK1094"/>
      <c r="EEL1094"/>
      <c r="EEO1094"/>
      <c r="EEP1094"/>
      <c r="EES1094"/>
      <c r="EET1094"/>
      <c r="EEW1094"/>
      <c r="EEX1094"/>
      <c r="EFA1094"/>
      <c r="EFB1094"/>
      <c r="EFE1094"/>
      <c r="EFF1094"/>
      <c r="EFI1094"/>
      <c r="EFJ1094"/>
      <c r="EFM1094"/>
      <c r="EFN1094"/>
      <c r="EFQ1094"/>
      <c r="EFR1094"/>
      <c r="EFU1094"/>
      <c r="EFV1094"/>
      <c r="EFY1094"/>
      <c r="EFZ1094"/>
      <c r="EGC1094"/>
      <c r="EGD1094"/>
      <c r="EGG1094"/>
      <c r="EGH1094"/>
      <c r="EGK1094"/>
      <c r="EGL1094"/>
      <c r="EGO1094"/>
      <c r="EGP1094"/>
      <c r="EGS1094"/>
      <c r="EGT1094"/>
      <c r="EGW1094"/>
      <c r="EGX1094"/>
      <c r="EHA1094"/>
      <c r="EHB1094"/>
      <c r="EHE1094"/>
      <c r="EHF1094"/>
      <c r="EHI1094"/>
      <c r="EHJ1094"/>
      <c r="EHM1094"/>
      <c r="EHN1094"/>
      <c r="EHQ1094"/>
      <c r="EHR1094"/>
      <c r="EHU1094"/>
      <c r="EHV1094"/>
      <c r="EHY1094"/>
      <c r="EHZ1094"/>
      <c r="EIC1094"/>
      <c r="EID1094"/>
      <c r="EIG1094"/>
      <c r="EIH1094"/>
      <c r="EIK1094"/>
      <c r="EIL1094"/>
      <c r="EIO1094"/>
      <c r="EIP1094"/>
      <c r="EIS1094"/>
      <c r="EIT1094"/>
      <c r="EIW1094"/>
      <c r="EIX1094"/>
      <c r="EJA1094"/>
      <c r="EJB1094"/>
      <c r="EJE1094"/>
      <c r="EJF1094"/>
      <c r="EJI1094"/>
      <c r="EJJ1094"/>
      <c r="EJM1094"/>
      <c r="EJN1094"/>
      <c r="EJQ1094"/>
      <c r="EJR1094"/>
      <c r="EJU1094"/>
      <c r="EJV1094"/>
      <c r="EJY1094"/>
      <c r="EJZ1094"/>
      <c r="EKC1094"/>
      <c r="EKD1094"/>
      <c r="EKG1094"/>
      <c r="EKH1094"/>
      <c r="EKK1094"/>
      <c r="EKL1094"/>
      <c r="EKO1094"/>
      <c r="EKP1094"/>
      <c r="EKS1094"/>
      <c r="EKT1094"/>
      <c r="EKW1094"/>
      <c r="EKX1094"/>
      <c r="ELA1094"/>
      <c r="ELB1094"/>
      <c r="ELE1094"/>
      <c r="ELF1094"/>
      <c r="ELI1094"/>
      <c r="ELJ1094"/>
      <c r="ELM1094"/>
      <c r="ELN1094"/>
      <c r="ELQ1094"/>
      <c r="ELR1094"/>
      <c r="ELU1094"/>
      <c r="ELV1094"/>
      <c r="ELY1094"/>
      <c r="ELZ1094"/>
      <c r="EMC1094"/>
      <c r="EMD1094"/>
      <c r="EMG1094"/>
      <c r="EMH1094"/>
      <c r="EMK1094"/>
      <c r="EML1094"/>
      <c r="EMO1094"/>
      <c r="EMP1094"/>
      <c r="EMS1094"/>
      <c r="EMT1094"/>
      <c r="EMW1094"/>
      <c r="EMX1094"/>
      <c r="ENA1094"/>
      <c r="ENB1094"/>
      <c r="ENE1094"/>
      <c r="ENF1094"/>
      <c r="ENI1094"/>
      <c r="ENJ1094"/>
      <c r="ENM1094"/>
      <c r="ENN1094"/>
      <c r="ENQ1094"/>
      <c r="ENR1094"/>
      <c r="ENU1094"/>
      <c r="ENV1094"/>
      <c r="ENY1094"/>
      <c r="ENZ1094"/>
      <c r="EOC1094"/>
      <c r="EOD1094"/>
      <c r="EOG1094"/>
      <c r="EOH1094"/>
      <c r="EOK1094"/>
      <c r="EOL1094"/>
      <c r="EOO1094"/>
      <c r="EOP1094"/>
      <c r="EOS1094"/>
      <c r="EOT1094"/>
      <c r="EOW1094"/>
      <c r="EOX1094"/>
      <c r="EPA1094"/>
      <c r="EPB1094"/>
      <c r="EPE1094"/>
      <c r="EPF1094"/>
      <c r="EPI1094"/>
      <c r="EPJ1094"/>
      <c r="EPM1094"/>
      <c r="EPN1094"/>
      <c r="EPQ1094"/>
      <c r="EPR1094"/>
      <c r="EPU1094"/>
      <c r="EPV1094"/>
      <c r="EPY1094"/>
      <c r="EPZ1094"/>
      <c r="EQC1094"/>
      <c r="EQD1094"/>
      <c r="EQG1094"/>
      <c r="EQH1094"/>
      <c r="EQK1094"/>
      <c r="EQL1094"/>
      <c r="EQO1094"/>
      <c r="EQP1094"/>
      <c r="EQS1094"/>
      <c r="EQT1094"/>
      <c r="EQW1094"/>
      <c r="EQX1094"/>
      <c r="ERA1094"/>
      <c r="ERB1094"/>
      <c r="ERE1094"/>
      <c r="ERF1094"/>
      <c r="ERI1094"/>
      <c r="ERJ1094"/>
      <c r="ERM1094"/>
      <c r="ERN1094"/>
      <c r="ERQ1094"/>
      <c r="ERR1094"/>
      <c r="ERU1094"/>
      <c r="ERV1094"/>
      <c r="ERY1094"/>
      <c r="ERZ1094"/>
      <c r="ESC1094"/>
      <c r="ESD1094"/>
      <c r="ESG1094"/>
      <c r="ESH1094"/>
      <c r="ESK1094"/>
      <c r="ESL1094"/>
      <c r="ESO1094"/>
      <c r="ESP1094"/>
      <c r="ESS1094"/>
      <c r="EST1094"/>
      <c r="ESW1094"/>
      <c r="ESX1094"/>
      <c r="ETA1094"/>
      <c r="ETB1094"/>
      <c r="ETE1094"/>
      <c r="ETF1094"/>
      <c r="ETI1094"/>
      <c r="ETJ1094"/>
      <c r="ETM1094"/>
      <c r="ETN1094"/>
      <c r="ETQ1094"/>
      <c r="ETR1094"/>
      <c r="ETU1094"/>
      <c r="ETV1094"/>
      <c r="ETY1094"/>
      <c r="ETZ1094"/>
      <c r="EUC1094"/>
      <c r="EUD1094"/>
      <c r="EUG1094"/>
      <c r="EUH1094"/>
      <c r="EUK1094"/>
      <c r="EUL1094"/>
      <c r="EUO1094"/>
      <c r="EUP1094"/>
      <c r="EUS1094"/>
      <c r="EUT1094"/>
      <c r="EUW1094"/>
      <c r="EUX1094"/>
      <c r="EVA1094"/>
      <c r="EVB1094"/>
      <c r="EVE1094"/>
      <c r="EVF1094"/>
      <c r="EVI1094"/>
      <c r="EVJ1094"/>
      <c r="EVM1094"/>
      <c r="EVN1094"/>
      <c r="EVQ1094"/>
      <c r="EVR1094"/>
      <c r="EVU1094"/>
      <c r="EVV1094"/>
      <c r="EVY1094"/>
      <c r="EVZ1094"/>
      <c r="EWC1094"/>
      <c r="EWD1094"/>
      <c r="EWG1094"/>
      <c r="EWH1094"/>
      <c r="EWK1094"/>
      <c r="EWL1094"/>
      <c r="EWO1094"/>
      <c r="EWP1094"/>
      <c r="EWS1094"/>
      <c r="EWT1094"/>
      <c r="EWW1094"/>
      <c r="EWX1094"/>
      <c r="EXA1094"/>
      <c r="EXB1094"/>
      <c r="EXE1094"/>
      <c r="EXF1094"/>
      <c r="EXI1094"/>
      <c r="EXJ1094"/>
      <c r="EXM1094"/>
      <c r="EXN1094"/>
      <c r="EXQ1094"/>
      <c r="EXR1094"/>
      <c r="EXU1094"/>
      <c r="EXV1094"/>
      <c r="EXY1094"/>
      <c r="EXZ1094"/>
      <c r="EYC1094"/>
      <c r="EYD1094"/>
      <c r="EYG1094"/>
      <c r="EYH1094"/>
      <c r="EYK1094"/>
      <c r="EYL1094"/>
      <c r="EYO1094"/>
      <c r="EYP1094"/>
      <c r="EYS1094"/>
      <c r="EYT1094"/>
      <c r="EYW1094"/>
      <c r="EYX1094"/>
      <c r="EZA1094"/>
      <c r="EZB1094"/>
      <c r="EZE1094"/>
      <c r="EZF1094"/>
      <c r="EZI1094"/>
      <c r="EZJ1094"/>
      <c r="EZM1094"/>
      <c r="EZN1094"/>
      <c r="EZQ1094"/>
      <c r="EZR1094"/>
      <c r="EZU1094"/>
      <c r="EZV1094"/>
      <c r="EZY1094"/>
      <c r="EZZ1094"/>
      <c r="FAC1094"/>
      <c r="FAD1094"/>
      <c r="FAG1094"/>
      <c r="FAH1094"/>
      <c r="FAK1094"/>
      <c r="FAL1094"/>
      <c r="FAO1094"/>
      <c r="FAP1094"/>
      <c r="FAS1094"/>
      <c r="FAT1094"/>
      <c r="FAW1094"/>
      <c r="FAX1094"/>
      <c r="FBA1094"/>
      <c r="FBB1094"/>
      <c r="FBE1094"/>
      <c r="FBF1094"/>
      <c r="FBI1094"/>
      <c r="FBJ1094"/>
      <c r="FBM1094"/>
      <c r="FBN1094"/>
      <c r="FBQ1094"/>
      <c r="FBR1094"/>
      <c r="FBU1094"/>
      <c r="FBV1094"/>
      <c r="FBY1094"/>
      <c r="FBZ1094"/>
      <c r="FCC1094"/>
      <c r="FCD1094"/>
      <c r="FCG1094"/>
      <c r="FCH1094"/>
      <c r="FCK1094"/>
      <c r="FCL1094"/>
      <c r="FCO1094"/>
      <c r="FCP1094"/>
      <c r="FCS1094"/>
      <c r="FCT1094"/>
      <c r="FCW1094"/>
      <c r="FCX1094"/>
      <c r="FDA1094"/>
      <c r="FDB1094"/>
      <c r="FDE1094"/>
      <c r="FDF1094"/>
      <c r="FDI1094"/>
      <c r="FDJ1094"/>
      <c r="FDM1094"/>
      <c r="FDN1094"/>
      <c r="FDQ1094"/>
      <c r="FDR1094"/>
      <c r="FDU1094"/>
      <c r="FDV1094"/>
      <c r="FDY1094"/>
      <c r="FDZ1094"/>
      <c r="FEC1094"/>
      <c r="FED1094"/>
      <c r="FEG1094"/>
      <c r="FEH1094"/>
      <c r="FEK1094"/>
      <c r="FEL1094"/>
      <c r="FEO1094"/>
      <c r="FEP1094"/>
      <c r="FES1094"/>
      <c r="FET1094"/>
      <c r="FEW1094"/>
      <c r="FEX1094"/>
      <c r="FFA1094"/>
      <c r="FFB1094"/>
      <c r="FFE1094"/>
      <c r="FFF1094"/>
      <c r="FFI1094"/>
      <c r="FFJ1094"/>
      <c r="FFM1094"/>
      <c r="FFN1094"/>
      <c r="FFQ1094"/>
      <c r="FFR1094"/>
      <c r="FFU1094"/>
      <c r="FFV1094"/>
      <c r="FFY1094"/>
      <c r="FFZ1094"/>
      <c r="FGC1094"/>
      <c r="FGD1094"/>
      <c r="FGG1094"/>
      <c r="FGH1094"/>
      <c r="FGK1094"/>
      <c r="FGL1094"/>
      <c r="FGO1094"/>
      <c r="FGP1094"/>
      <c r="FGS1094"/>
      <c r="FGT1094"/>
      <c r="FGW1094"/>
      <c r="FGX1094"/>
      <c r="FHA1094"/>
      <c r="FHB1094"/>
      <c r="FHE1094"/>
      <c r="FHF1094"/>
      <c r="FHI1094"/>
      <c r="FHJ1094"/>
      <c r="FHM1094"/>
      <c r="FHN1094"/>
      <c r="FHQ1094"/>
      <c r="FHR1094"/>
      <c r="FHU1094"/>
      <c r="FHV1094"/>
      <c r="FHY1094"/>
      <c r="FHZ1094"/>
      <c r="FIC1094"/>
      <c r="FID1094"/>
      <c r="FIG1094"/>
      <c r="FIH1094"/>
      <c r="FIK1094"/>
      <c r="FIL1094"/>
      <c r="FIO1094"/>
      <c r="FIP1094"/>
      <c r="FIS1094"/>
      <c r="FIT1094"/>
      <c r="FIW1094"/>
      <c r="FIX1094"/>
      <c r="FJA1094"/>
      <c r="FJB1094"/>
      <c r="FJE1094"/>
      <c r="FJF1094"/>
      <c r="FJI1094"/>
      <c r="FJJ1094"/>
      <c r="FJM1094"/>
      <c r="FJN1094"/>
      <c r="FJQ1094"/>
      <c r="FJR1094"/>
      <c r="FJU1094"/>
      <c r="FJV1094"/>
      <c r="FJY1094"/>
      <c r="FJZ1094"/>
      <c r="FKC1094"/>
      <c r="FKD1094"/>
      <c r="FKG1094"/>
      <c r="FKH1094"/>
      <c r="FKK1094"/>
      <c r="FKL1094"/>
      <c r="FKO1094"/>
      <c r="FKP1094"/>
      <c r="FKS1094"/>
      <c r="FKT1094"/>
      <c r="FKW1094"/>
      <c r="FKX1094"/>
      <c r="FLA1094"/>
      <c r="FLB1094"/>
      <c r="FLE1094"/>
      <c r="FLF1094"/>
      <c r="FLI1094"/>
      <c r="FLJ1094"/>
      <c r="FLM1094"/>
      <c r="FLN1094"/>
      <c r="FLQ1094"/>
      <c r="FLR1094"/>
      <c r="FLU1094"/>
      <c r="FLV1094"/>
      <c r="FLY1094"/>
      <c r="FLZ1094"/>
      <c r="FMC1094"/>
      <c r="FMD1094"/>
      <c r="FMG1094"/>
      <c r="FMH1094"/>
      <c r="FMK1094"/>
      <c r="FML1094"/>
      <c r="FMO1094"/>
      <c r="FMP1094"/>
      <c r="FMS1094"/>
      <c r="FMT1094"/>
      <c r="FMW1094"/>
      <c r="FMX1094"/>
      <c r="FNA1094"/>
      <c r="FNB1094"/>
      <c r="FNE1094"/>
      <c r="FNF1094"/>
      <c r="FNI1094"/>
      <c r="FNJ1094"/>
      <c r="FNM1094"/>
      <c r="FNN1094"/>
      <c r="FNQ1094"/>
      <c r="FNR1094"/>
      <c r="FNU1094"/>
      <c r="FNV1094"/>
      <c r="FNY1094"/>
      <c r="FNZ1094"/>
      <c r="FOC1094"/>
      <c r="FOD1094"/>
      <c r="FOG1094"/>
      <c r="FOH1094"/>
      <c r="FOK1094"/>
      <c r="FOL1094"/>
      <c r="FOO1094"/>
      <c r="FOP1094"/>
      <c r="FOS1094"/>
      <c r="FOT1094"/>
      <c r="FOW1094"/>
      <c r="FOX1094"/>
      <c r="FPA1094"/>
      <c r="FPB1094"/>
      <c r="FPE1094"/>
      <c r="FPF1094"/>
      <c r="FPI1094"/>
      <c r="FPJ1094"/>
      <c r="FPM1094"/>
      <c r="FPN1094"/>
      <c r="FPQ1094"/>
      <c r="FPR1094"/>
      <c r="FPU1094"/>
      <c r="FPV1094"/>
      <c r="FPY1094"/>
      <c r="FPZ1094"/>
      <c r="FQC1094"/>
      <c r="FQD1094"/>
      <c r="FQG1094"/>
      <c r="FQH1094"/>
      <c r="FQK1094"/>
      <c r="FQL1094"/>
      <c r="FQO1094"/>
      <c r="FQP1094"/>
      <c r="FQS1094"/>
      <c r="FQT1094"/>
      <c r="FQW1094"/>
      <c r="FQX1094"/>
      <c r="FRA1094"/>
      <c r="FRB1094"/>
      <c r="FRE1094"/>
      <c r="FRF1094"/>
      <c r="FRI1094"/>
      <c r="FRJ1094"/>
      <c r="FRM1094"/>
      <c r="FRN1094"/>
      <c r="FRQ1094"/>
      <c r="FRR1094"/>
      <c r="FRU1094"/>
      <c r="FRV1094"/>
      <c r="FRY1094"/>
      <c r="FRZ1094"/>
      <c r="FSC1094"/>
      <c r="FSD1094"/>
      <c r="FSG1094"/>
      <c r="FSH1094"/>
      <c r="FSK1094"/>
      <c r="FSL1094"/>
      <c r="FSO1094"/>
      <c r="FSP1094"/>
      <c r="FSS1094"/>
      <c r="FST1094"/>
      <c r="FSW1094"/>
      <c r="FSX1094"/>
      <c r="FTA1094"/>
      <c r="FTB1094"/>
      <c r="FTE1094"/>
      <c r="FTF1094"/>
      <c r="FTI1094"/>
      <c r="FTJ1094"/>
      <c r="FTM1094"/>
      <c r="FTN1094"/>
      <c r="FTQ1094"/>
      <c r="FTR1094"/>
      <c r="FTU1094"/>
      <c r="FTV1094"/>
      <c r="FTY1094"/>
      <c r="FTZ1094"/>
      <c r="FUC1094"/>
      <c r="FUD1094"/>
      <c r="FUG1094"/>
      <c r="FUH1094"/>
      <c r="FUK1094"/>
      <c r="FUL1094"/>
      <c r="FUO1094"/>
      <c r="FUP1094"/>
      <c r="FUS1094"/>
      <c r="FUT1094"/>
      <c r="FUW1094"/>
      <c r="FUX1094"/>
      <c r="FVA1094"/>
      <c r="FVB1094"/>
      <c r="FVE1094"/>
      <c r="FVF1094"/>
      <c r="FVI1094"/>
      <c r="FVJ1094"/>
      <c r="FVM1094"/>
      <c r="FVN1094"/>
      <c r="FVQ1094"/>
      <c r="FVR1094"/>
      <c r="FVU1094"/>
      <c r="FVV1094"/>
      <c r="FVY1094"/>
      <c r="FVZ1094"/>
      <c r="FWC1094"/>
      <c r="FWD1094"/>
      <c r="FWG1094"/>
      <c r="FWH1094"/>
      <c r="FWK1094"/>
      <c r="FWL1094"/>
      <c r="FWO1094"/>
      <c r="FWP1094"/>
      <c r="FWS1094"/>
      <c r="FWT1094"/>
      <c r="FWW1094"/>
      <c r="FWX1094"/>
      <c r="FXA1094"/>
      <c r="FXB1094"/>
      <c r="FXE1094"/>
      <c r="FXF1094"/>
      <c r="FXI1094"/>
      <c r="FXJ1094"/>
      <c r="FXM1094"/>
      <c r="FXN1094"/>
      <c r="FXQ1094"/>
      <c r="FXR1094"/>
      <c r="FXU1094"/>
      <c r="FXV1094"/>
      <c r="FXY1094"/>
      <c r="FXZ1094"/>
      <c r="FYC1094"/>
      <c r="FYD1094"/>
      <c r="FYG1094"/>
      <c r="FYH1094"/>
      <c r="FYK1094"/>
      <c r="FYL1094"/>
      <c r="FYO1094"/>
      <c r="FYP1094"/>
      <c r="FYS1094"/>
      <c r="FYT1094"/>
      <c r="FYW1094"/>
      <c r="FYX1094"/>
      <c r="FZA1094"/>
      <c r="FZB1094"/>
      <c r="FZE1094"/>
      <c r="FZF1094"/>
      <c r="FZI1094"/>
      <c r="FZJ1094"/>
      <c r="FZM1094"/>
      <c r="FZN1094"/>
      <c r="FZQ1094"/>
      <c r="FZR1094"/>
      <c r="FZU1094"/>
      <c r="FZV1094"/>
      <c r="FZY1094"/>
      <c r="FZZ1094"/>
      <c r="GAC1094"/>
      <c r="GAD1094"/>
      <c r="GAG1094"/>
      <c r="GAH1094"/>
      <c r="GAK1094"/>
      <c r="GAL1094"/>
      <c r="GAO1094"/>
      <c r="GAP1094"/>
      <c r="GAS1094"/>
      <c r="GAT1094"/>
      <c r="GAW1094"/>
      <c r="GAX1094"/>
      <c r="GBA1094"/>
      <c r="GBB1094"/>
      <c r="GBE1094"/>
      <c r="GBF1094"/>
      <c r="GBI1094"/>
      <c r="GBJ1094"/>
      <c r="GBM1094"/>
      <c r="GBN1094"/>
      <c r="GBQ1094"/>
      <c r="GBR1094"/>
      <c r="GBU1094"/>
      <c r="GBV1094"/>
      <c r="GBY1094"/>
      <c r="GBZ1094"/>
      <c r="GCC1094"/>
      <c r="GCD1094"/>
      <c r="GCG1094"/>
      <c r="GCH1094"/>
      <c r="GCK1094"/>
      <c r="GCL1094"/>
      <c r="GCO1094"/>
      <c r="GCP1094"/>
      <c r="GCS1094"/>
      <c r="GCT1094"/>
      <c r="GCW1094"/>
      <c r="GCX1094"/>
      <c r="GDA1094"/>
      <c r="GDB1094"/>
      <c r="GDE1094"/>
      <c r="GDF1094"/>
      <c r="GDI1094"/>
      <c r="GDJ1094"/>
      <c r="GDM1094"/>
      <c r="GDN1094"/>
      <c r="GDQ1094"/>
      <c r="GDR1094"/>
      <c r="GDU1094"/>
      <c r="GDV1094"/>
      <c r="GDY1094"/>
      <c r="GDZ1094"/>
      <c r="GEC1094"/>
      <c r="GED1094"/>
      <c r="GEG1094"/>
      <c r="GEH1094"/>
      <c r="GEK1094"/>
      <c r="GEL1094"/>
      <c r="GEO1094"/>
      <c r="GEP1094"/>
      <c r="GES1094"/>
      <c r="GET1094"/>
      <c r="GEW1094"/>
      <c r="GEX1094"/>
      <c r="GFA1094"/>
      <c r="GFB1094"/>
      <c r="GFE1094"/>
      <c r="GFF1094"/>
      <c r="GFI1094"/>
      <c r="GFJ1094"/>
      <c r="GFM1094"/>
      <c r="GFN1094"/>
      <c r="GFQ1094"/>
      <c r="GFR1094"/>
      <c r="GFU1094"/>
      <c r="GFV1094"/>
      <c r="GFY1094"/>
      <c r="GFZ1094"/>
      <c r="GGC1094"/>
      <c r="GGD1094"/>
      <c r="GGG1094"/>
      <c r="GGH1094"/>
      <c r="GGK1094"/>
      <c r="GGL1094"/>
      <c r="GGO1094"/>
      <c r="GGP1094"/>
      <c r="GGS1094"/>
      <c r="GGT1094"/>
      <c r="GGW1094"/>
      <c r="GGX1094"/>
      <c r="GHA1094"/>
      <c r="GHB1094"/>
      <c r="GHE1094"/>
      <c r="GHF1094"/>
      <c r="GHI1094"/>
      <c r="GHJ1094"/>
      <c r="GHM1094"/>
      <c r="GHN1094"/>
      <c r="GHQ1094"/>
      <c r="GHR1094"/>
      <c r="GHU1094"/>
      <c r="GHV1094"/>
      <c r="GHY1094"/>
      <c r="GHZ1094"/>
      <c r="GIC1094"/>
      <c r="GID1094"/>
      <c r="GIG1094"/>
      <c r="GIH1094"/>
      <c r="GIK1094"/>
      <c r="GIL1094"/>
      <c r="GIO1094"/>
      <c r="GIP1094"/>
      <c r="GIS1094"/>
      <c r="GIT1094"/>
      <c r="GIW1094"/>
      <c r="GIX1094"/>
      <c r="GJA1094"/>
      <c r="GJB1094"/>
      <c r="GJE1094"/>
      <c r="GJF1094"/>
      <c r="GJI1094"/>
      <c r="GJJ1094"/>
      <c r="GJM1094"/>
      <c r="GJN1094"/>
      <c r="GJQ1094"/>
      <c r="GJR1094"/>
      <c r="GJU1094"/>
      <c r="GJV1094"/>
      <c r="GJY1094"/>
      <c r="GJZ1094"/>
      <c r="GKC1094"/>
      <c r="GKD1094"/>
      <c r="GKG1094"/>
      <c r="GKH1094"/>
      <c r="GKK1094"/>
      <c r="GKL1094"/>
      <c r="GKO1094"/>
      <c r="GKP1094"/>
      <c r="GKS1094"/>
      <c r="GKT1094"/>
      <c r="GKW1094"/>
      <c r="GKX1094"/>
      <c r="GLA1094"/>
      <c r="GLB1094"/>
      <c r="GLE1094"/>
      <c r="GLF1094"/>
      <c r="GLI1094"/>
      <c r="GLJ1094"/>
      <c r="GLM1094"/>
      <c r="GLN1094"/>
      <c r="GLQ1094"/>
      <c r="GLR1094"/>
      <c r="GLU1094"/>
      <c r="GLV1094"/>
      <c r="GLY1094"/>
      <c r="GLZ1094"/>
      <c r="GMC1094"/>
      <c r="GMD1094"/>
      <c r="GMG1094"/>
      <c r="GMH1094"/>
      <c r="GMK1094"/>
      <c r="GML1094"/>
      <c r="GMO1094"/>
      <c r="GMP1094"/>
      <c r="GMS1094"/>
      <c r="GMT1094"/>
      <c r="GMW1094"/>
      <c r="GMX1094"/>
      <c r="GNA1094"/>
      <c r="GNB1094"/>
      <c r="GNE1094"/>
      <c r="GNF1094"/>
      <c r="GNI1094"/>
      <c r="GNJ1094"/>
      <c r="GNM1094"/>
      <c r="GNN1094"/>
      <c r="GNQ1094"/>
      <c r="GNR1094"/>
      <c r="GNU1094"/>
      <c r="GNV1094"/>
      <c r="GNY1094"/>
      <c r="GNZ1094"/>
      <c r="GOC1094"/>
      <c r="GOD1094"/>
      <c r="GOG1094"/>
      <c r="GOH1094"/>
      <c r="GOK1094"/>
      <c r="GOL1094"/>
      <c r="GOO1094"/>
      <c r="GOP1094"/>
      <c r="GOS1094"/>
      <c r="GOT1094"/>
      <c r="GOW1094"/>
      <c r="GOX1094"/>
      <c r="GPA1094"/>
      <c r="GPB1094"/>
      <c r="GPE1094"/>
      <c r="GPF1094"/>
      <c r="GPI1094"/>
      <c r="GPJ1094"/>
      <c r="GPM1094"/>
      <c r="GPN1094"/>
      <c r="GPQ1094"/>
      <c r="GPR1094"/>
      <c r="GPU1094"/>
      <c r="GPV1094"/>
      <c r="GPY1094"/>
      <c r="GPZ1094"/>
      <c r="GQC1094"/>
      <c r="GQD1094"/>
      <c r="GQG1094"/>
      <c r="GQH1094"/>
      <c r="GQK1094"/>
      <c r="GQL1094"/>
      <c r="GQO1094"/>
      <c r="GQP1094"/>
      <c r="GQS1094"/>
      <c r="GQT1094"/>
      <c r="GQW1094"/>
      <c r="GQX1094"/>
      <c r="GRA1094"/>
      <c r="GRB1094"/>
      <c r="GRE1094"/>
      <c r="GRF1094"/>
      <c r="GRI1094"/>
      <c r="GRJ1094"/>
      <c r="GRM1094"/>
      <c r="GRN1094"/>
      <c r="GRQ1094"/>
      <c r="GRR1094"/>
      <c r="GRU1094"/>
      <c r="GRV1094"/>
      <c r="GRY1094"/>
      <c r="GRZ1094"/>
      <c r="GSC1094"/>
      <c r="GSD1094"/>
      <c r="GSG1094"/>
      <c r="GSH1094"/>
      <c r="GSK1094"/>
      <c r="GSL1094"/>
      <c r="GSO1094"/>
      <c r="GSP1094"/>
      <c r="GSS1094"/>
      <c r="GST1094"/>
      <c r="GSW1094"/>
      <c r="GSX1094"/>
      <c r="GTA1094"/>
      <c r="GTB1094"/>
      <c r="GTE1094"/>
      <c r="GTF1094"/>
      <c r="GTI1094"/>
      <c r="GTJ1094"/>
      <c r="GTM1094"/>
      <c r="GTN1094"/>
      <c r="GTQ1094"/>
      <c r="GTR1094"/>
      <c r="GTU1094"/>
      <c r="GTV1094"/>
      <c r="GTY1094"/>
      <c r="GTZ1094"/>
      <c r="GUC1094"/>
      <c r="GUD1094"/>
      <c r="GUG1094"/>
      <c r="GUH1094"/>
      <c r="GUK1094"/>
      <c r="GUL1094"/>
      <c r="GUO1094"/>
      <c r="GUP1094"/>
      <c r="GUS1094"/>
      <c r="GUT1094"/>
      <c r="GUW1094"/>
      <c r="GUX1094"/>
      <c r="GVA1094"/>
      <c r="GVB1094"/>
      <c r="GVE1094"/>
      <c r="GVF1094"/>
      <c r="GVI1094"/>
      <c r="GVJ1094"/>
      <c r="GVM1094"/>
      <c r="GVN1094"/>
      <c r="GVQ1094"/>
      <c r="GVR1094"/>
      <c r="GVU1094"/>
      <c r="GVV1094"/>
      <c r="GVY1094"/>
      <c r="GVZ1094"/>
      <c r="GWC1094"/>
      <c r="GWD1094"/>
      <c r="GWG1094"/>
      <c r="GWH1094"/>
      <c r="GWK1094"/>
      <c r="GWL1094"/>
      <c r="GWO1094"/>
      <c r="GWP1094"/>
      <c r="GWS1094"/>
      <c r="GWT1094"/>
      <c r="GWW1094"/>
      <c r="GWX1094"/>
      <c r="GXA1094"/>
      <c r="GXB1094"/>
      <c r="GXE1094"/>
      <c r="GXF1094"/>
      <c r="GXI1094"/>
      <c r="GXJ1094"/>
      <c r="GXM1094"/>
      <c r="GXN1094"/>
      <c r="GXQ1094"/>
      <c r="GXR1094"/>
      <c r="GXU1094"/>
      <c r="GXV1094"/>
      <c r="GXY1094"/>
      <c r="GXZ1094"/>
      <c r="GYC1094"/>
      <c r="GYD1094"/>
      <c r="GYG1094"/>
      <c r="GYH1094"/>
      <c r="GYK1094"/>
      <c r="GYL1094"/>
      <c r="GYO1094"/>
      <c r="GYP1094"/>
      <c r="GYS1094"/>
      <c r="GYT1094"/>
      <c r="GYW1094"/>
      <c r="GYX1094"/>
      <c r="GZA1094"/>
      <c r="GZB1094"/>
      <c r="GZE1094"/>
      <c r="GZF1094"/>
      <c r="GZI1094"/>
      <c r="GZJ1094"/>
      <c r="GZM1094"/>
      <c r="GZN1094"/>
      <c r="GZQ1094"/>
      <c r="GZR1094"/>
      <c r="GZU1094"/>
      <c r="GZV1094"/>
      <c r="GZY1094"/>
      <c r="GZZ1094"/>
      <c r="HAC1094"/>
      <c r="HAD1094"/>
      <c r="HAG1094"/>
      <c r="HAH1094"/>
      <c r="HAK1094"/>
      <c r="HAL1094"/>
      <c r="HAO1094"/>
      <c r="HAP1094"/>
      <c r="HAS1094"/>
      <c r="HAT1094"/>
      <c r="HAW1094"/>
      <c r="HAX1094"/>
      <c r="HBA1094"/>
      <c r="HBB1094"/>
      <c r="HBE1094"/>
      <c r="HBF1094"/>
      <c r="HBI1094"/>
      <c r="HBJ1094"/>
      <c r="HBM1094"/>
      <c r="HBN1094"/>
      <c r="HBQ1094"/>
      <c r="HBR1094"/>
      <c r="HBU1094"/>
      <c r="HBV1094"/>
      <c r="HBY1094"/>
      <c r="HBZ1094"/>
      <c r="HCC1094"/>
      <c r="HCD1094"/>
      <c r="HCG1094"/>
      <c r="HCH1094"/>
      <c r="HCK1094"/>
      <c r="HCL1094"/>
      <c r="HCO1094"/>
      <c r="HCP1094"/>
      <c r="HCS1094"/>
      <c r="HCT1094"/>
      <c r="HCW1094"/>
      <c r="HCX1094"/>
      <c r="HDA1094"/>
      <c r="HDB1094"/>
      <c r="HDE1094"/>
      <c r="HDF1094"/>
      <c r="HDI1094"/>
      <c r="HDJ1094"/>
      <c r="HDM1094"/>
      <c r="HDN1094"/>
      <c r="HDQ1094"/>
      <c r="HDR1094"/>
      <c r="HDU1094"/>
      <c r="HDV1094"/>
      <c r="HDY1094"/>
      <c r="HDZ1094"/>
      <c r="HEC1094"/>
      <c r="HED1094"/>
      <c r="HEG1094"/>
      <c r="HEH1094"/>
      <c r="HEK1094"/>
      <c r="HEL1094"/>
      <c r="HEO1094"/>
      <c r="HEP1094"/>
      <c r="HES1094"/>
      <c r="HET1094"/>
      <c r="HEW1094"/>
      <c r="HEX1094"/>
      <c r="HFA1094"/>
      <c r="HFB1094"/>
      <c r="HFE1094"/>
      <c r="HFF1094"/>
      <c r="HFI1094"/>
      <c r="HFJ1094"/>
      <c r="HFM1094"/>
      <c r="HFN1094"/>
      <c r="HFQ1094"/>
      <c r="HFR1094"/>
      <c r="HFU1094"/>
      <c r="HFV1094"/>
      <c r="HFY1094"/>
      <c r="HFZ1094"/>
      <c r="HGC1094"/>
      <c r="HGD1094"/>
      <c r="HGG1094"/>
      <c r="HGH1094"/>
      <c r="HGK1094"/>
      <c r="HGL1094"/>
      <c r="HGO1094"/>
      <c r="HGP1094"/>
      <c r="HGS1094"/>
      <c r="HGT1094"/>
      <c r="HGW1094"/>
      <c r="HGX1094"/>
      <c r="HHA1094"/>
      <c r="HHB1094"/>
      <c r="HHE1094"/>
      <c r="HHF1094"/>
      <c r="HHI1094"/>
      <c r="HHJ1094"/>
      <c r="HHM1094"/>
      <c r="HHN1094"/>
      <c r="HHQ1094"/>
      <c r="HHR1094"/>
      <c r="HHU1094"/>
      <c r="HHV1094"/>
      <c r="HHY1094"/>
      <c r="HHZ1094"/>
      <c r="HIC1094"/>
      <c r="HID1094"/>
      <c r="HIG1094"/>
      <c r="HIH1094"/>
      <c r="HIK1094"/>
      <c r="HIL1094"/>
      <c r="HIO1094"/>
      <c r="HIP1094"/>
      <c r="HIS1094"/>
      <c r="HIT1094"/>
      <c r="HIW1094"/>
      <c r="HIX1094"/>
      <c r="HJA1094"/>
      <c r="HJB1094"/>
      <c r="HJE1094"/>
      <c r="HJF1094"/>
      <c r="HJI1094"/>
      <c r="HJJ1094"/>
      <c r="HJM1094"/>
      <c r="HJN1094"/>
      <c r="HJQ1094"/>
      <c r="HJR1094"/>
      <c r="HJU1094"/>
      <c r="HJV1094"/>
      <c r="HJY1094"/>
      <c r="HJZ1094"/>
      <c r="HKC1094"/>
      <c r="HKD1094"/>
      <c r="HKG1094"/>
      <c r="HKH1094"/>
      <c r="HKK1094"/>
      <c r="HKL1094"/>
      <c r="HKO1094"/>
      <c r="HKP1094"/>
      <c r="HKS1094"/>
      <c r="HKT1094"/>
      <c r="HKW1094"/>
      <c r="HKX1094"/>
      <c r="HLA1094"/>
      <c r="HLB1094"/>
      <c r="HLE1094"/>
      <c r="HLF1094"/>
      <c r="HLI1094"/>
      <c r="HLJ1094"/>
      <c r="HLM1094"/>
      <c r="HLN1094"/>
      <c r="HLQ1094"/>
      <c r="HLR1094"/>
      <c r="HLU1094"/>
      <c r="HLV1094"/>
      <c r="HLY1094"/>
      <c r="HLZ1094"/>
      <c r="HMC1094"/>
      <c r="HMD1094"/>
      <c r="HMG1094"/>
      <c r="HMH1094"/>
      <c r="HMK1094"/>
      <c r="HML1094"/>
      <c r="HMO1094"/>
      <c r="HMP1094"/>
      <c r="HMS1094"/>
      <c r="HMT1094"/>
      <c r="HMW1094"/>
      <c r="HMX1094"/>
      <c r="HNA1094"/>
      <c r="HNB1094"/>
      <c r="HNE1094"/>
      <c r="HNF1094"/>
      <c r="HNI1094"/>
      <c r="HNJ1094"/>
      <c r="HNM1094"/>
      <c r="HNN1094"/>
      <c r="HNQ1094"/>
      <c r="HNR1094"/>
      <c r="HNU1094"/>
      <c r="HNV1094"/>
      <c r="HNY1094"/>
      <c r="HNZ1094"/>
      <c r="HOC1094"/>
      <c r="HOD1094"/>
      <c r="HOG1094"/>
      <c r="HOH1094"/>
      <c r="HOK1094"/>
      <c r="HOL1094"/>
      <c r="HOO1094"/>
      <c r="HOP1094"/>
      <c r="HOS1094"/>
      <c r="HOT1094"/>
      <c r="HOW1094"/>
      <c r="HOX1094"/>
      <c r="HPA1094"/>
      <c r="HPB1094"/>
      <c r="HPE1094"/>
      <c r="HPF1094"/>
      <c r="HPI1094"/>
      <c r="HPJ1094"/>
      <c r="HPM1094"/>
      <c r="HPN1094"/>
      <c r="HPQ1094"/>
      <c r="HPR1094"/>
      <c r="HPU1094"/>
      <c r="HPV1094"/>
      <c r="HPY1094"/>
      <c r="HPZ1094"/>
      <c r="HQC1094"/>
      <c r="HQD1094"/>
      <c r="HQG1094"/>
      <c r="HQH1094"/>
      <c r="HQK1094"/>
      <c r="HQL1094"/>
      <c r="HQO1094"/>
      <c r="HQP1094"/>
      <c r="HQS1094"/>
      <c r="HQT1094"/>
      <c r="HQW1094"/>
      <c r="HQX1094"/>
      <c r="HRA1094"/>
      <c r="HRB1094"/>
      <c r="HRE1094"/>
      <c r="HRF1094"/>
      <c r="HRI1094"/>
      <c r="HRJ1094"/>
      <c r="HRM1094"/>
      <c r="HRN1094"/>
      <c r="HRQ1094"/>
      <c r="HRR1094"/>
      <c r="HRU1094"/>
      <c r="HRV1094"/>
      <c r="HRY1094"/>
      <c r="HRZ1094"/>
      <c r="HSC1094"/>
      <c r="HSD1094"/>
      <c r="HSG1094"/>
      <c r="HSH1094"/>
      <c r="HSK1094"/>
      <c r="HSL1094"/>
      <c r="HSO1094"/>
      <c r="HSP1094"/>
      <c r="HSS1094"/>
      <c r="HST1094"/>
      <c r="HSW1094"/>
      <c r="HSX1094"/>
      <c r="HTA1094"/>
      <c r="HTB1094"/>
      <c r="HTE1094"/>
      <c r="HTF1094"/>
      <c r="HTI1094"/>
      <c r="HTJ1094"/>
      <c r="HTM1094"/>
      <c r="HTN1094"/>
      <c r="HTQ1094"/>
      <c r="HTR1094"/>
      <c r="HTU1094"/>
      <c r="HTV1094"/>
      <c r="HTY1094"/>
      <c r="HTZ1094"/>
      <c r="HUC1094"/>
      <c r="HUD1094"/>
      <c r="HUG1094"/>
      <c r="HUH1094"/>
      <c r="HUK1094"/>
      <c r="HUL1094"/>
      <c r="HUO1094"/>
      <c r="HUP1094"/>
      <c r="HUS1094"/>
      <c r="HUT1094"/>
      <c r="HUW1094"/>
      <c r="HUX1094"/>
      <c r="HVA1094"/>
      <c r="HVB1094"/>
      <c r="HVE1094"/>
      <c r="HVF1094"/>
      <c r="HVI1094"/>
      <c r="HVJ1094"/>
      <c r="HVM1094"/>
      <c r="HVN1094"/>
      <c r="HVQ1094"/>
      <c r="HVR1094"/>
      <c r="HVU1094"/>
      <c r="HVV1094"/>
      <c r="HVY1094"/>
      <c r="HVZ1094"/>
      <c r="HWC1094"/>
      <c r="HWD1094"/>
      <c r="HWG1094"/>
      <c r="HWH1094"/>
      <c r="HWK1094"/>
      <c r="HWL1094"/>
      <c r="HWO1094"/>
      <c r="HWP1094"/>
      <c r="HWS1094"/>
      <c r="HWT1094"/>
      <c r="HWW1094"/>
      <c r="HWX1094"/>
      <c r="HXA1094"/>
      <c r="HXB1094"/>
      <c r="HXE1094"/>
      <c r="HXF1094"/>
      <c r="HXI1094"/>
      <c r="HXJ1094"/>
      <c r="HXM1094"/>
      <c r="HXN1094"/>
      <c r="HXQ1094"/>
      <c r="HXR1094"/>
      <c r="HXU1094"/>
      <c r="HXV1094"/>
      <c r="HXY1094"/>
      <c r="HXZ1094"/>
      <c r="HYC1094"/>
      <c r="HYD1094"/>
      <c r="HYG1094"/>
      <c r="HYH1094"/>
      <c r="HYK1094"/>
      <c r="HYL1094"/>
      <c r="HYO1094"/>
      <c r="HYP1094"/>
      <c r="HYS1094"/>
      <c r="HYT1094"/>
      <c r="HYW1094"/>
      <c r="HYX1094"/>
      <c r="HZA1094"/>
      <c r="HZB1094"/>
      <c r="HZE1094"/>
      <c r="HZF1094"/>
      <c r="HZI1094"/>
      <c r="HZJ1094"/>
      <c r="HZM1094"/>
      <c r="HZN1094"/>
      <c r="HZQ1094"/>
      <c r="HZR1094"/>
      <c r="HZU1094"/>
      <c r="HZV1094"/>
      <c r="HZY1094"/>
      <c r="HZZ1094"/>
      <c r="IAC1094"/>
      <c r="IAD1094"/>
      <c r="IAG1094"/>
      <c r="IAH1094"/>
      <c r="IAK1094"/>
      <c r="IAL1094"/>
      <c r="IAO1094"/>
      <c r="IAP1094"/>
      <c r="IAS1094"/>
      <c r="IAT1094"/>
      <c r="IAW1094"/>
      <c r="IAX1094"/>
      <c r="IBA1094"/>
      <c r="IBB1094"/>
      <c r="IBE1094"/>
      <c r="IBF1094"/>
      <c r="IBI1094"/>
      <c r="IBJ1094"/>
      <c r="IBM1094"/>
      <c r="IBN1094"/>
      <c r="IBQ1094"/>
      <c r="IBR1094"/>
      <c r="IBU1094"/>
      <c r="IBV1094"/>
      <c r="IBY1094"/>
      <c r="IBZ1094"/>
      <c r="ICC1094"/>
      <c r="ICD1094"/>
      <c r="ICG1094"/>
      <c r="ICH1094"/>
      <c r="ICK1094"/>
      <c r="ICL1094"/>
      <c r="ICO1094"/>
      <c r="ICP1094"/>
      <c r="ICS1094"/>
      <c r="ICT1094"/>
      <c r="ICW1094"/>
      <c r="ICX1094"/>
      <c r="IDA1094"/>
      <c r="IDB1094"/>
      <c r="IDE1094"/>
      <c r="IDF1094"/>
      <c r="IDI1094"/>
      <c r="IDJ1094"/>
      <c r="IDM1094"/>
      <c r="IDN1094"/>
      <c r="IDQ1094"/>
      <c r="IDR1094"/>
      <c r="IDU1094"/>
      <c r="IDV1094"/>
      <c r="IDY1094"/>
      <c r="IDZ1094"/>
      <c r="IEC1094"/>
      <c r="IED1094"/>
      <c r="IEG1094"/>
      <c r="IEH1094"/>
      <c r="IEK1094"/>
      <c r="IEL1094"/>
      <c r="IEO1094"/>
      <c r="IEP1094"/>
      <c r="IES1094"/>
      <c r="IET1094"/>
      <c r="IEW1094"/>
      <c r="IEX1094"/>
      <c r="IFA1094"/>
      <c r="IFB1094"/>
      <c r="IFE1094"/>
      <c r="IFF1094"/>
      <c r="IFI1094"/>
      <c r="IFJ1094"/>
      <c r="IFM1094"/>
      <c r="IFN1094"/>
      <c r="IFQ1094"/>
      <c r="IFR1094"/>
      <c r="IFU1094"/>
      <c r="IFV1094"/>
      <c r="IFY1094"/>
      <c r="IFZ1094"/>
      <c r="IGC1094"/>
      <c r="IGD1094"/>
      <c r="IGG1094"/>
      <c r="IGH1094"/>
      <c r="IGK1094"/>
      <c r="IGL1094"/>
      <c r="IGO1094"/>
      <c r="IGP1094"/>
      <c r="IGS1094"/>
      <c r="IGT1094"/>
      <c r="IGW1094"/>
      <c r="IGX1094"/>
      <c r="IHA1094"/>
      <c r="IHB1094"/>
      <c r="IHE1094"/>
      <c r="IHF1094"/>
      <c r="IHI1094"/>
      <c r="IHJ1094"/>
      <c r="IHM1094"/>
      <c r="IHN1094"/>
      <c r="IHQ1094"/>
      <c r="IHR1094"/>
      <c r="IHU1094"/>
      <c r="IHV1094"/>
      <c r="IHY1094"/>
      <c r="IHZ1094"/>
      <c r="IIC1094"/>
      <c r="IID1094"/>
      <c r="IIG1094"/>
      <c r="IIH1094"/>
      <c r="IIK1094"/>
      <c r="IIL1094"/>
      <c r="IIO1094"/>
      <c r="IIP1094"/>
      <c r="IIS1094"/>
      <c r="IIT1094"/>
      <c r="IIW1094"/>
      <c r="IIX1094"/>
      <c r="IJA1094"/>
      <c r="IJB1094"/>
      <c r="IJE1094"/>
      <c r="IJF1094"/>
      <c r="IJI1094"/>
      <c r="IJJ1094"/>
      <c r="IJM1094"/>
      <c r="IJN1094"/>
      <c r="IJQ1094"/>
      <c r="IJR1094"/>
      <c r="IJU1094"/>
      <c r="IJV1094"/>
      <c r="IJY1094"/>
      <c r="IJZ1094"/>
      <c r="IKC1094"/>
      <c r="IKD1094"/>
      <c r="IKG1094"/>
      <c r="IKH1094"/>
      <c r="IKK1094"/>
      <c r="IKL1094"/>
      <c r="IKO1094"/>
      <c r="IKP1094"/>
      <c r="IKS1094"/>
      <c r="IKT1094"/>
      <c r="IKW1094"/>
      <c r="IKX1094"/>
      <c r="ILA1094"/>
      <c r="ILB1094"/>
      <c r="ILE1094"/>
      <c r="ILF1094"/>
      <c r="ILI1094"/>
      <c r="ILJ1094"/>
      <c r="ILM1094"/>
      <c r="ILN1094"/>
      <c r="ILQ1094"/>
      <c r="ILR1094"/>
      <c r="ILU1094"/>
      <c r="ILV1094"/>
      <c r="ILY1094"/>
      <c r="ILZ1094"/>
      <c r="IMC1094"/>
      <c r="IMD1094"/>
      <c r="IMG1094"/>
      <c r="IMH1094"/>
      <c r="IMK1094"/>
      <c r="IML1094"/>
      <c r="IMO1094"/>
      <c r="IMP1094"/>
      <c r="IMS1094"/>
      <c r="IMT1094"/>
      <c r="IMW1094"/>
      <c r="IMX1094"/>
      <c r="INA1094"/>
      <c r="INB1094"/>
      <c r="INE1094"/>
      <c r="INF1094"/>
      <c r="INI1094"/>
      <c r="INJ1094"/>
      <c r="INM1094"/>
      <c r="INN1094"/>
      <c r="INQ1094"/>
      <c r="INR1094"/>
      <c r="INU1094"/>
      <c r="INV1094"/>
      <c r="INY1094"/>
      <c r="INZ1094"/>
      <c r="IOC1094"/>
      <c r="IOD1094"/>
      <c r="IOG1094"/>
      <c r="IOH1094"/>
      <c r="IOK1094"/>
      <c r="IOL1094"/>
      <c r="IOO1094"/>
      <c r="IOP1094"/>
      <c r="IOS1094"/>
      <c r="IOT1094"/>
      <c r="IOW1094"/>
      <c r="IOX1094"/>
      <c r="IPA1094"/>
      <c r="IPB1094"/>
      <c r="IPE1094"/>
      <c r="IPF1094"/>
      <c r="IPI1094"/>
      <c r="IPJ1094"/>
      <c r="IPM1094"/>
      <c r="IPN1094"/>
      <c r="IPQ1094"/>
      <c r="IPR1094"/>
      <c r="IPU1094"/>
      <c r="IPV1094"/>
      <c r="IPY1094"/>
      <c r="IPZ1094"/>
      <c r="IQC1094"/>
      <c r="IQD1094"/>
      <c r="IQG1094"/>
      <c r="IQH1094"/>
      <c r="IQK1094"/>
      <c r="IQL1094"/>
      <c r="IQO1094"/>
      <c r="IQP1094"/>
      <c r="IQS1094"/>
      <c r="IQT1094"/>
      <c r="IQW1094"/>
      <c r="IQX1094"/>
      <c r="IRA1094"/>
      <c r="IRB1094"/>
      <c r="IRE1094"/>
      <c r="IRF1094"/>
      <c r="IRI1094"/>
      <c r="IRJ1094"/>
      <c r="IRM1094"/>
      <c r="IRN1094"/>
      <c r="IRQ1094"/>
      <c r="IRR1094"/>
      <c r="IRU1094"/>
      <c r="IRV1094"/>
      <c r="IRY1094"/>
      <c r="IRZ1094"/>
      <c r="ISC1094"/>
      <c r="ISD1094"/>
      <c r="ISG1094"/>
      <c r="ISH1094"/>
      <c r="ISK1094"/>
      <c r="ISL1094"/>
      <c r="ISO1094"/>
      <c r="ISP1094"/>
      <c r="ISS1094"/>
      <c r="IST1094"/>
      <c r="ISW1094"/>
      <c r="ISX1094"/>
      <c r="ITA1094"/>
      <c r="ITB1094"/>
      <c r="ITE1094"/>
      <c r="ITF1094"/>
      <c r="ITI1094"/>
      <c r="ITJ1094"/>
      <c r="ITM1094"/>
      <c r="ITN1094"/>
      <c r="ITQ1094"/>
      <c r="ITR1094"/>
      <c r="ITU1094"/>
      <c r="ITV1094"/>
      <c r="ITY1094"/>
      <c r="ITZ1094"/>
      <c r="IUC1094"/>
      <c r="IUD1094"/>
      <c r="IUG1094"/>
      <c r="IUH1094"/>
      <c r="IUK1094"/>
      <c r="IUL1094"/>
      <c r="IUO1094"/>
      <c r="IUP1094"/>
      <c r="IUS1094"/>
      <c r="IUT1094"/>
      <c r="IUW1094"/>
      <c r="IUX1094"/>
      <c r="IVA1094"/>
      <c r="IVB1094"/>
      <c r="IVE1094"/>
      <c r="IVF1094"/>
      <c r="IVI1094"/>
      <c r="IVJ1094"/>
      <c r="IVM1094"/>
      <c r="IVN1094"/>
      <c r="IVQ1094"/>
      <c r="IVR1094"/>
      <c r="IVU1094"/>
      <c r="IVV1094"/>
      <c r="IVY1094"/>
      <c r="IVZ1094"/>
      <c r="IWC1094"/>
      <c r="IWD1094"/>
      <c r="IWG1094"/>
      <c r="IWH1094"/>
      <c r="IWK1094"/>
      <c r="IWL1094"/>
      <c r="IWO1094"/>
      <c r="IWP1094"/>
      <c r="IWS1094"/>
      <c r="IWT1094"/>
      <c r="IWW1094"/>
      <c r="IWX1094"/>
      <c r="IXA1094"/>
      <c r="IXB1094"/>
      <c r="IXE1094"/>
      <c r="IXF1094"/>
      <c r="IXI1094"/>
      <c r="IXJ1094"/>
      <c r="IXM1094"/>
      <c r="IXN1094"/>
      <c r="IXQ1094"/>
      <c r="IXR1094"/>
      <c r="IXU1094"/>
      <c r="IXV1094"/>
      <c r="IXY1094"/>
      <c r="IXZ1094"/>
      <c r="IYC1094"/>
      <c r="IYD1094"/>
      <c r="IYG1094"/>
      <c r="IYH1094"/>
      <c r="IYK1094"/>
      <c r="IYL1094"/>
      <c r="IYO1094"/>
      <c r="IYP1094"/>
      <c r="IYS1094"/>
      <c r="IYT1094"/>
      <c r="IYW1094"/>
      <c r="IYX1094"/>
      <c r="IZA1094"/>
      <c r="IZB1094"/>
      <c r="IZE1094"/>
      <c r="IZF1094"/>
      <c r="IZI1094"/>
      <c r="IZJ1094"/>
      <c r="IZM1094"/>
      <c r="IZN1094"/>
      <c r="IZQ1094"/>
      <c r="IZR1094"/>
      <c r="IZU1094"/>
      <c r="IZV1094"/>
      <c r="IZY1094"/>
      <c r="IZZ1094"/>
      <c r="JAC1094"/>
      <c r="JAD1094"/>
      <c r="JAG1094"/>
      <c r="JAH1094"/>
      <c r="JAK1094"/>
      <c r="JAL1094"/>
      <c r="JAO1094"/>
      <c r="JAP1094"/>
      <c r="JAS1094"/>
      <c r="JAT1094"/>
      <c r="JAW1094"/>
      <c r="JAX1094"/>
      <c r="JBA1094"/>
      <c r="JBB1094"/>
      <c r="JBE1094"/>
      <c r="JBF1094"/>
      <c r="JBI1094"/>
      <c r="JBJ1094"/>
      <c r="JBM1094"/>
      <c r="JBN1094"/>
      <c r="JBQ1094"/>
      <c r="JBR1094"/>
      <c r="JBU1094"/>
      <c r="JBV1094"/>
      <c r="JBY1094"/>
      <c r="JBZ1094"/>
      <c r="JCC1094"/>
      <c r="JCD1094"/>
      <c r="JCG1094"/>
      <c r="JCH1094"/>
      <c r="JCK1094"/>
      <c r="JCL1094"/>
      <c r="JCO1094"/>
      <c r="JCP1094"/>
      <c r="JCS1094"/>
      <c r="JCT1094"/>
      <c r="JCW1094"/>
      <c r="JCX1094"/>
      <c r="JDA1094"/>
      <c r="JDB1094"/>
      <c r="JDE1094"/>
      <c r="JDF1094"/>
      <c r="JDI1094"/>
      <c r="JDJ1094"/>
      <c r="JDM1094"/>
      <c r="JDN1094"/>
      <c r="JDQ1094"/>
      <c r="JDR1094"/>
      <c r="JDU1094"/>
      <c r="JDV1094"/>
      <c r="JDY1094"/>
      <c r="JDZ1094"/>
      <c r="JEC1094"/>
      <c r="JED1094"/>
      <c r="JEG1094"/>
      <c r="JEH1094"/>
      <c r="JEK1094"/>
      <c r="JEL1094"/>
      <c r="JEO1094"/>
      <c r="JEP1094"/>
      <c r="JES1094"/>
      <c r="JET1094"/>
      <c r="JEW1094"/>
      <c r="JEX1094"/>
      <c r="JFA1094"/>
      <c r="JFB1094"/>
      <c r="JFE1094"/>
      <c r="JFF1094"/>
      <c r="JFI1094"/>
      <c r="JFJ1094"/>
      <c r="JFM1094"/>
      <c r="JFN1094"/>
      <c r="JFQ1094"/>
      <c r="JFR1094"/>
      <c r="JFU1094"/>
      <c r="JFV1094"/>
      <c r="JFY1094"/>
      <c r="JFZ1094"/>
      <c r="JGC1094"/>
      <c r="JGD1094"/>
      <c r="JGG1094"/>
      <c r="JGH1094"/>
      <c r="JGK1094"/>
      <c r="JGL1094"/>
      <c r="JGO1094"/>
      <c r="JGP1094"/>
      <c r="JGS1094"/>
      <c r="JGT1094"/>
      <c r="JGW1094"/>
      <c r="JGX1094"/>
      <c r="JHA1094"/>
      <c r="JHB1094"/>
      <c r="JHE1094"/>
      <c r="JHF1094"/>
      <c r="JHI1094"/>
      <c r="JHJ1094"/>
      <c r="JHM1094"/>
      <c r="JHN1094"/>
      <c r="JHQ1094"/>
      <c r="JHR1094"/>
      <c r="JHU1094"/>
      <c r="JHV1094"/>
      <c r="JHY1094"/>
      <c r="JHZ1094"/>
      <c r="JIC1094"/>
      <c r="JID1094"/>
      <c r="JIG1094"/>
      <c r="JIH1094"/>
      <c r="JIK1094"/>
      <c r="JIL1094"/>
      <c r="JIO1094"/>
      <c r="JIP1094"/>
      <c r="JIS1094"/>
      <c r="JIT1094"/>
      <c r="JIW1094"/>
      <c r="JIX1094"/>
      <c r="JJA1094"/>
      <c r="JJB1094"/>
      <c r="JJE1094"/>
      <c r="JJF1094"/>
      <c r="JJI1094"/>
      <c r="JJJ1094"/>
      <c r="JJM1094"/>
      <c r="JJN1094"/>
      <c r="JJQ1094"/>
      <c r="JJR1094"/>
      <c r="JJU1094"/>
      <c r="JJV1094"/>
      <c r="JJY1094"/>
      <c r="JJZ1094"/>
      <c r="JKC1094"/>
      <c r="JKD1094"/>
      <c r="JKG1094"/>
      <c r="JKH1094"/>
      <c r="JKK1094"/>
      <c r="JKL1094"/>
      <c r="JKO1094"/>
      <c r="JKP1094"/>
      <c r="JKS1094"/>
      <c r="JKT1094"/>
      <c r="JKW1094"/>
      <c r="JKX1094"/>
      <c r="JLA1094"/>
      <c r="JLB1094"/>
      <c r="JLE1094"/>
      <c r="JLF1094"/>
      <c r="JLI1094"/>
      <c r="JLJ1094"/>
      <c r="JLM1094"/>
      <c r="JLN1094"/>
      <c r="JLQ1094"/>
      <c r="JLR1094"/>
      <c r="JLU1094"/>
      <c r="JLV1094"/>
      <c r="JLY1094"/>
      <c r="JLZ1094"/>
      <c r="JMC1094"/>
      <c r="JMD1094"/>
      <c r="JMG1094"/>
      <c r="JMH1094"/>
      <c r="JMK1094"/>
      <c r="JML1094"/>
      <c r="JMO1094"/>
      <c r="JMP1094"/>
      <c r="JMS1094"/>
      <c r="JMT1094"/>
      <c r="JMW1094"/>
      <c r="JMX1094"/>
      <c r="JNA1094"/>
      <c r="JNB1094"/>
      <c r="JNE1094"/>
      <c r="JNF1094"/>
      <c r="JNI1094"/>
      <c r="JNJ1094"/>
      <c r="JNM1094"/>
      <c r="JNN1094"/>
      <c r="JNQ1094"/>
      <c r="JNR1094"/>
      <c r="JNU1094"/>
      <c r="JNV1094"/>
      <c r="JNY1094"/>
      <c r="JNZ1094"/>
      <c r="JOC1094"/>
      <c r="JOD1094"/>
      <c r="JOG1094"/>
      <c r="JOH1094"/>
      <c r="JOK1094"/>
      <c r="JOL1094"/>
      <c r="JOO1094"/>
      <c r="JOP1094"/>
      <c r="JOS1094"/>
      <c r="JOT1094"/>
      <c r="JOW1094"/>
      <c r="JOX1094"/>
      <c r="JPA1094"/>
      <c r="JPB1094"/>
      <c r="JPE1094"/>
      <c r="JPF1094"/>
      <c r="JPI1094"/>
      <c r="JPJ1094"/>
      <c r="JPM1094"/>
      <c r="JPN1094"/>
      <c r="JPQ1094"/>
      <c r="JPR1094"/>
      <c r="JPU1094"/>
      <c r="JPV1094"/>
      <c r="JPY1094"/>
      <c r="JPZ1094"/>
      <c r="JQC1094"/>
      <c r="JQD1094"/>
      <c r="JQG1094"/>
      <c r="JQH1094"/>
      <c r="JQK1094"/>
      <c r="JQL1094"/>
      <c r="JQO1094"/>
      <c r="JQP1094"/>
      <c r="JQS1094"/>
      <c r="JQT1094"/>
      <c r="JQW1094"/>
      <c r="JQX1094"/>
      <c r="JRA1094"/>
      <c r="JRB1094"/>
      <c r="JRE1094"/>
      <c r="JRF1094"/>
      <c r="JRI1094"/>
      <c r="JRJ1094"/>
      <c r="JRM1094"/>
      <c r="JRN1094"/>
      <c r="JRQ1094"/>
      <c r="JRR1094"/>
      <c r="JRU1094"/>
      <c r="JRV1094"/>
      <c r="JRY1094"/>
      <c r="JRZ1094"/>
      <c r="JSC1094"/>
      <c r="JSD1094"/>
      <c r="JSG1094"/>
      <c r="JSH1094"/>
      <c r="JSK1094"/>
      <c r="JSL1094"/>
      <c r="JSO1094"/>
      <c r="JSP1094"/>
      <c r="JSS1094"/>
      <c r="JST1094"/>
      <c r="JSW1094"/>
      <c r="JSX1094"/>
      <c r="JTA1094"/>
      <c r="JTB1094"/>
      <c r="JTE1094"/>
      <c r="JTF1094"/>
      <c r="JTI1094"/>
      <c r="JTJ1094"/>
      <c r="JTM1094"/>
      <c r="JTN1094"/>
      <c r="JTQ1094"/>
      <c r="JTR1094"/>
      <c r="JTU1094"/>
      <c r="JTV1094"/>
      <c r="JTY1094"/>
      <c r="JTZ1094"/>
      <c r="JUC1094"/>
      <c r="JUD1094"/>
      <c r="JUG1094"/>
      <c r="JUH1094"/>
      <c r="JUK1094"/>
      <c r="JUL1094"/>
      <c r="JUO1094"/>
      <c r="JUP1094"/>
      <c r="JUS1094"/>
      <c r="JUT1094"/>
      <c r="JUW1094"/>
      <c r="JUX1094"/>
      <c r="JVA1094"/>
      <c r="JVB1094"/>
      <c r="JVE1094"/>
      <c r="JVF1094"/>
      <c r="JVI1094"/>
      <c r="JVJ1094"/>
      <c r="JVM1094"/>
      <c r="JVN1094"/>
      <c r="JVQ1094"/>
      <c r="JVR1094"/>
      <c r="JVU1094"/>
      <c r="JVV1094"/>
      <c r="JVY1094"/>
      <c r="JVZ1094"/>
      <c r="JWC1094"/>
      <c r="JWD1094"/>
      <c r="JWG1094"/>
      <c r="JWH1094"/>
      <c r="JWK1094"/>
      <c r="JWL1094"/>
      <c r="JWO1094"/>
      <c r="JWP1094"/>
      <c r="JWS1094"/>
      <c r="JWT1094"/>
      <c r="JWW1094"/>
      <c r="JWX1094"/>
      <c r="JXA1094"/>
      <c r="JXB1094"/>
      <c r="JXE1094"/>
      <c r="JXF1094"/>
      <c r="JXI1094"/>
      <c r="JXJ1094"/>
      <c r="JXM1094"/>
      <c r="JXN1094"/>
      <c r="JXQ1094"/>
      <c r="JXR1094"/>
      <c r="JXU1094"/>
      <c r="JXV1094"/>
      <c r="JXY1094"/>
      <c r="JXZ1094"/>
      <c r="JYC1094"/>
      <c r="JYD1094"/>
      <c r="JYG1094"/>
      <c r="JYH1094"/>
      <c r="JYK1094"/>
      <c r="JYL1094"/>
      <c r="JYO1094"/>
      <c r="JYP1094"/>
      <c r="JYS1094"/>
      <c r="JYT1094"/>
      <c r="JYW1094"/>
      <c r="JYX1094"/>
      <c r="JZA1094"/>
      <c r="JZB1094"/>
      <c r="JZE1094"/>
      <c r="JZF1094"/>
      <c r="JZI1094"/>
      <c r="JZJ1094"/>
      <c r="JZM1094"/>
      <c r="JZN1094"/>
      <c r="JZQ1094"/>
      <c r="JZR1094"/>
      <c r="JZU1094"/>
      <c r="JZV1094"/>
      <c r="JZY1094"/>
      <c r="JZZ1094"/>
      <c r="KAC1094"/>
      <c r="KAD1094"/>
      <c r="KAG1094"/>
      <c r="KAH1094"/>
      <c r="KAK1094"/>
      <c r="KAL1094"/>
      <c r="KAO1094"/>
      <c r="KAP1094"/>
      <c r="KAS1094"/>
      <c r="KAT1094"/>
      <c r="KAW1094"/>
      <c r="KAX1094"/>
      <c r="KBA1094"/>
      <c r="KBB1094"/>
      <c r="KBE1094"/>
      <c r="KBF1094"/>
      <c r="KBI1094"/>
      <c r="KBJ1094"/>
      <c r="KBM1094"/>
      <c r="KBN1094"/>
      <c r="KBQ1094"/>
      <c r="KBR1094"/>
      <c r="KBU1094"/>
      <c r="KBV1094"/>
      <c r="KBY1094"/>
      <c r="KBZ1094"/>
      <c r="KCC1094"/>
      <c r="KCD1094"/>
      <c r="KCG1094"/>
      <c r="KCH1094"/>
      <c r="KCK1094"/>
      <c r="KCL1094"/>
      <c r="KCO1094"/>
      <c r="KCP1094"/>
      <c r="KCS1094"/>
      <c r="KCT1094"/>
      <c r="KCW1094"/>
      <c r="KCX1094"/>
      <c r="KDA1094"/>
      <c r="KDB1094"/>
      <c r="KDE1094"/>
      <c r="KDF1094"/>
      <c r="KDI1094"/>
      <c r="KDJ1094"/>
      <c r="KDM1094"/>
      <c r="KDN1094"/>
      <c r="KDQ1094"/>
      <c r="KDR1094"/>
      <c r="KDU1094"/>
      <c r="KDV1094"/>
      <c r="KDY1094"/>
      <c r="KDZ1094"/>
      <c r="KEC1094"/>
      <c r="KED1094"/>
      <c r="KEG1094"/>
      <c r="KEH1094"/>
      <c r="KEK1094"/>
      <c r="KEL1094"/>
      <c r="KEO1094"/>
      <c r="KEP1094"/>
      <c r="KES1094"/>
      <c r="KET1094"/>
      <c r="KEW1094"/>
      <c r="KEX1094"/>
      <c r="KFA1094"/>
      <c r="KFB1094"/>
      <c r="KFE1094"/>
      <c r="KFF1094"/>
      <c r="KFI1094"/>
      <c r="KFJ1094"/>
      <c r="KFM1094"/>
      <c r="KFN1094"/>
      <c r="KFQ1094"/>
      <c r="KFR1094"/>
      <c r="KFU1094"/>
      <c r="KFV1094"/>
      <c r="KFY1094"/>
      <c r="KFZ1094"/>
      <c r="KGC1094"/>
      <c r="KGD1094"/>
      <c r="KGG1094"/>
      <c r="KGH1094"/>
      <c r="KGK1094"/>
      <c r="KGL1094"/>
      <c r="KGO1094"/>
      <c r="KGP1094"/>
      <c r="KGS1094"/>
      <c r="KGT1094"/>
      <c r="KGW1094"/>
      <c r="KGX1094"/>
      <c r="KHA1094"/>
      <c r="KHB1094"/>
      <c r="KHE1094"/>
      <c r="KHF1094"/>
      <c r="KHI1094"/>
      <c r="KHJ1094"/>
      <c r="KHM1094"/>
      <c r="KHN1094"/>
      <c r="KHQ1094"/>
      <c r="KHR1094"/>
      <c r="KHU1094"/>
      <c r="KHV1094"/>
      <c r="KHY1094"/>
      <c r="KHZ1094"/>
      <c r="KIC1094"/>
      <c r="KID1094"/>
      <c r="KIG1094"/>
      <c r="KIH1094"/>
      <c r="KIK1094"/>
      <c r="KIL1094"/>
      <c r="KIO1094"/>
      <c r="KIP1094"/>
      <c r="KIS1094"/>
      <c r="KIT1094"/>
      <c r="KIW1094"/>
      <c r="KIX1094"/>
      <c r="KJA1094"/>
      <c r="KJB1094"/>
      <c r="KJE1094"/>
      <c r="KJF1094"/>
      <c r="KJI1094"/>
      <c r="KJJ1094"/>
      <c r="KJM1094"/>
      <c r="KJN1094"/>
      <c r="KJQ1094"/>
      <c r="KJR1094"/>
      <c r="KJU1094"/>
      <c r="KJV1094"/>
      <c r="KJY1094"/>
      <c r="KJZ1094"/>
      <c r="KKC1094"/>
      <c r="KKD1094"/>
      <c r="KKG1094"/>
      <c r="KKH1094"/>
      <c r="KKK1094"/>
      <c r="KKL1094"/>
      <c r="KKO1094"/>
      <c r="KKP1094"/>
      <c r="KKS1094"/>
      <c r="KKT1094"/>
      <c r="KKW1094"/>
      <c r="KKX1094"/>
      <c r="KLA1094"/>
      <c r="KLB1094"/>
      <c r="KLE1094"/>
      <c r="KLF1094"/>
      <c r="KLI1094"/>
      <c r="KLJ1094"/>
      <c r="KLM1094"/>
      <c r="KLN1094"/>
      <c r="KLQ1094"/>
      <c r="KLR1094"/>
      <c r="KLU1094"/>
      <c r="KLV1094"/>
      <c r="KLY1094"/>
      <c r="KLZ1094"/>
      <c r="KMC1094"/>
      <c r="KMD1094"/>
      <c r="KMG1094"/>
      <c r="KMH1094"/>
      <c r="KMK1094"/>
      <c r="KML1094"/>
      <c r="KMO1094"/>
      <c r="KMP1094"/>
      <c r="KMS1094"/>
      <c r="KMT1094"/>
      <c r="KMW1094"/>
      <c r="KMX1094"/>
      <c r="KNA1094"/>
      <c r="KNB1094"/>
      <c r="KNE1094"/>
      <c r="KNF1094"/>
      <c r="KNI1094"/>
      <c r="KNJ1094"/>
      <c r="KNM1094"/>
      <c r="KNN1094"/>
      <c r="KNQ1094"/>
      <c r="KNR1094"/>
      <c r="KNU1094"/>
      <c r="KNV1094"/>
      <c r="KNY1094"/>
      <c r="KNZ1094"/>
      <c r="KOC1094"/>
      <c r="KOD1094"/>
      <c r="KOG1094"/>
      <c r="KOH1094"/>
      <c r="KOK1094"/>
      <c r="KOL1094"/>
      <c r="KOO1094"/>
      <c r="KOP1094"/>
      <c r="KOS1094"/>
      <c r="KOT1094"/>
      <c r="KOW1094"/>
      <c r="KOX1094"/>
      <c r="KPA1094"/>
      <c r="KPB1094"/>
      <c r="KPE1094"/>
      <c r="KPF1094"/>
      <c r="KPI1094"/>
      <c r="KPJ1094"/>
      <c r="KPM1094"/>
      <c r="KPN1094"/>
      <c r="KPQ1094"/>
      <c r="KPR1094"/>
      <c r="KPU1094"/>
      <c r="KPV1094"/>
      <c r="KPY1094"/>
      <c r="KPZ1094"/>
      <c r="KQC1094"/>
      <c r="KQD1094"/>
      <c r="KQG1094"/>
      <c r="KQH1094"/>
      <c r="KQK1094"/>
      <c r="KQL1094"/>
      <c r="KQO1094"/>
      <c r="KQP1094"/>
      <c r="KQS1094"/>
      <c r="KQT1094"/>
      <c r="KQW1094"/>
      <c r="KQX1094"/>
      <c r="KRA1094"/>
      <c r="KRB1094"/>
      <c r="KRE1094"/>
      <c r="KRF1094"/>
      <c r="KRI1094"/>
      <c r="KRJ1094"/>
      <c r="KRM1094"/>
      <c r="KRN1094"/>
      <c r="KRQ1094"/>
      <c r="KRR1094"/>
      <c r="KRU1094"/>
      <c r="KRV1094"/>
      <c r="KRY1094"/>
      <c r="KRZ1094"/>
      <c r="KSC1094"/>
      <c r="KSD1094"/>
      <c r="KSG1094"/>
      <c r="KSH1094"/>
      <c r="KSK1094"/>
      <c r="KSL1094"/>
      <c r="KSO1094"/>
      <c r="KSP1094"/>
      <c r="KSS1094"/>
      <c r="KST1094"/>
      <c r="KSW1094"/>
      <c r="KSX1094"/>
      <c r="KTA1094"/>
      <c r="KTB1094"/>
      <c r="KTE1094"/>
      <c r="KTF1094"/>
      <c r="KTI1094"/>
      <c r="KTJ1094"/>
      <c r="KTM1094"/>
      <c r="KTN1094"/>
      <c r="KTQ1094"/>
      <c r="KTR1094"/>
      <c r="KTU1094"/>
      <c r="KTV1094"/>
      <c r="KTY1094"/>
      <c r="KTZ1094"/>
      <c r="KUC1094"/>
      <c r="KUD1094"/>
      <c r="KUG1094"/>
      <c r="KUH1094"/>
      <c r="KUK1094"/>
      <c r="KUL1094"/>
      <c r="KUO1094"/>
      <c r="KUP1094"/>
      <c r="KUS1094"/>
      <c r="KUT1094"/>
      <c r="KUW1094"/>
      <c r="KUX1094"/>
      <c r="KVA1094"/>
      <c r="KVB1094"/>
      <c r="KVE1094"/>
      <c r="KVF1094"/>
      <c r="KVI1094"/>
      <c r="KVJ1094"/>
      <c r="KVM1094"/>
      <c r="KVN1094"/>
      <c r="KVQ1094"/>
      <c r="KVR1094"/>
      <c r="KVU1094"/>
      <c r="KVV1094"/>
      <c r="KVY1094"/>
      <c r="KVZ1094"/>
      <c r="KWC1094"/>
      <c r="KWD1094"/>
      <c r="KWG1094"/>
      <c r="KWH1094"/>
      <c r="KWK1094"/>
      <c r="KWL1094"/>
      <c r="KWO1094"/>
      <c r="KWP1094"/>
      <c r="KWS1094"/>
      <c r="KWT1094"/>
      <c r="KWW1094"/>
      <c r="KWX1094"/>
      <c r="KXA1094"/>
      <c r="KXB1094"/>
      <c r="KXE1094"/>
      <c r="KXF1094"/>
      <c r="KXI1094"/>
      <c r="KXJ1094"/>
      <c r="KXM1094"/>
      <c r="KXN1094"/>
      <c r="KXQ1094"/>
      <c r="KXR1094"/>
      <c r="KXU1094"/>
      <c r="KXV1094"/>
      <c r="KXY1094"/>
      <c r="KXZ1094"/>
      <c r="KYC1094"/>
      <c r="KYD1094"/>
      <c r="KYG1094"/>
      <c r="KYH1094"/>
      <c r="KYK1094"/>
      <c r="KYL1094"/>
      <c r="KYO1094"/>
      <c r="KYP1094"/>
      <c r="KYS1094"/>
      <c r="KYT1094"/>
      <c r="KYW1094"/>
      <c r="KYX1094"/>
      <c r="KZA1094"/>
      <c r="KZB1094"/>
      <c r="KZE1094"/>
      <c r="KZF1094"/>
      <c r="KZI1094"/>
      <c r="KZJ1094"/>
      <c r="KZM1094"/>
      <c r="KZN1094"/>
      <c r="KZQ1094"/>
      <c r="KZR1094"/>
      <c r="KZU1094"/>
      <c r="KZV1094"/>
      <c r="KZY1094"/>
      <c r="KZZ1094"/>
      <c r="LAC1094"/>
      <c r="LAD1094"/>
      <c r="LAG1094"/>
      <c r="LAH1094"/>
      <c r="LAK1094"/>
      <c r="LAL1094"/>
      <c r="LAO1094"/>
      <c r="LAP1094"/>
      <c r="LAS1094"/>
      <c r="LAT1094"/>
      <c r="LAW1094"/>
      <c r="LAX1094"/>
      <c r="LBA1094"/>
      <c r="LBB1094"/>
      <c r="LBE1094"/>
      <c r="LBF1094"/>
      <c r="LBI1094"/>
      <c r="LBJ1094"/>
      <c r="LBM1094"/>
      <c r="LBN1094"/>
      <c r="LBQ1094"/>
      <c r="LBR1094"/>
      <c r="LBU1094"/>
      <c r="LBV1094"/>
      <c r="LBY1094"/>
      <c r="LBZ1094"/>
      <c r="LCC1094"/>
      <c r="LCD1094"/>
      <c r="LCG1094"/>
      <c r="LCH1094"/>
      <c r="LCK1094"/>
      <c r="LCL1094"/>
      <c r="LCO1094"/>
      <c r="LCP1094"/>
      <c r="LCS1094"/>
      <c r="LCT1094"/>
      <c r="LCW1094"/>
      <c r="LCX1094"/>
      <c r="LDA1094"/>
      <c r="LDB1094"/>
      <c r="LDE1094"/>
      <c r="LDF1094"/>
      <c r="LDI1094"/>
      <c r="LDJ1094"/>
      <c r="LDM1094"/>
      <c r="LDN1094"/>
      <c r="LDQ1094"/>
      <c r="LDR1094"/>
      <c r="LDU1094"/>
      <c r="LDV1094"/>
      <c r="LDY1094"/>
      <c r="LDZ1094"/>
      <c r="LEC1094"/>
      <c r="LED1094"/>
      <c r="LEG1094"/>
      <c r="LEH1094"/>
      <c r="LEK1094"/>
      <c r="LEL1094"/>
      <c r="LEO1094"/>
      <c r="LEP1094"/>
      <c r="LES1094"/>
      <c r="LET1094"/>
      <c r="LEW1094"/>
      <c r="LEX1094"/>
      <c r="LFA1094"/>
      <c r="LFB1094"/>
      <c r="LFE1094"/>
      <c r="LFF1094"/>
      <c r="LFI1094"/>
      <c r="LFJ1094"/>
      <c r="LFM1094"/>
      <c r="LFN1094"/>
      <c r="LFQ1094"/>
      <c r="LFR1094"/>
      <c r="LFU1094"/>
      <c r="LFV1094"/>
      <c r="LFY1094"/>
      <c r="LFZ1094"/>
      <c r="LGC1094"/>
      <c r="LGD1094"/>
      <c r="LGG1094"/>
      <c r="LGH1094"/>
      <c r="LGK1094"/>
      <c r="LGL1094"/>
      <c r="LGO1094"/>
      <c r="LGP1094"/>
      <c r="LGS1094"/>
      <c r="LGT1094"/>
      <c r="LGW1094"/>
      <c r="LGX1094"/>
      <c r="LHA1094"/>
      <c r="LHB1094"/>
      <c r="LHE1094"/>
      <c r="LHF1094"/>
      <c r="LHI1094"/>
      <c r="LHJ1094"/>
      <c r="LHM1094"/>
      <c r="LHN1094"/>
      <c r="LHQ1094"/>
      <c r="LHR1094"/>
      <c r="LHU1094"/>
      <c r="LHV1094"/>
      <c r="LHY1094"/>
      <c r="LHZ1094"/>
      <c r="LIC1094"/>
      <c r="LID1094"/>
      <c r="LIG1094"/>
      <c r="LIH1094"/>
      <c r="LIK1094"/>
      <c r="LIL1094"/>
      <c r="LIO1094"/>
      <c r="LIP1094"/>
      <c r="LIS1094"/>
      <c r="LIT1094"/>
      <c r="LIW1094"/>
      <c r="LIX1094"/>
      <c r="LJA1094"/>
      <c r="LJB1094"/>
      <c r="LJE1094"/>
      <c r="LJF1094"/>
      <c r="LJI1094"/>
      <c r="LJJ1094"/>
      <c r="LJM1094"/>
      <c r="LJN1094"/>
      <c r="LJQ1094"/>
      <c r="LJR1094"/>
      <c r="LJU1094"/>
      <c r="LJV1094"/>
      <c r="LJY1094"/>
      <c r="LJZ1094"/>
      <c r="LKC1094"/>
      <c r="LKD1094"/>
      <c r="LKG1094"/>
      <c r="LKH1094"/>
      <c r="LKK1094"/>
      <c r="LKL1094"/>
      <c r="LKO1094"/>
      <c r="LKP1094"/>
      <c r="LKS1094"/>
      <c r="LKT1094"/>
      <c r="LKW1094"/>
      <c r="LKX1094"/>
      <c r="LLA1094"/>
      <c r="LLB1094"/>
      <c r="LLE1094"/>
      <c r="LLF1094"/>
      <c r="LLI1094"/>
      <c r="LLJ1094"/>
      <c r="LLM1094"/>
      <c r="LLN1094"/>
      <c r="LLQ1094"/>
      <c r="LLR1094"/>
      <c r="LLU1094"/>
      <c r="LLV1094"/>
      <c r="LLY1094"/>
      <c r="LLZ1094"/>
      <c r="LMC1094"/>
      <c r="LMD1094"/>
      <c r="LMG1094"/>
      <c r="LMH1094"/>
      <c r="LMK1094"/>
      <c r="LML1094"/>
      <c r="LMO1094"/>
      <c r="LMP1094"/>
      <c r="LMS1094"/>
      <c r="LMT1094"/>
      <c r="LMW1094"/>
      <c r="LMX1094"/>
      <c r="LNA1094"/>
      <c r="LNB1094"/>
      <c r="LNE1094"/>
      <c r="LNF1094"/>
      <c r="LNI1094"/>
      <c r="LNJ1094"/>
      <c r="LNM1094"/>
      <c r="LNN1094"/>
      <c r="LNQ1094"/>
      <c r="LNR1094"/>
      <c r="LNU1094"/>
      <c r="LNV1094"/>
      <c r="LNY1094"/>
      <c r="LNZ1094"/>
      <c r="LOC1094"/>
      <c r="LOD1094"/>
      <c r="LOG1094"/>
      <c r="LOH1094"/>
      <c r="LOK1094"/>
      <c r="LOL1094"/>
      <c r="LOO1094"/>
      <c r="LOP1094"/>
      <c r="LOS1094"/>
      <c r="LOT1094"/>
      <c r="LOW1094"/>
      <c r="LOX1094"/>
      <c r="LPA1094"/>
      <c r="LPB1094"/>
      <c r="LPE1094"/>
      <c r="LPF1094"/>
      <c r="LPI1094"/>
      <c r="LPJ1094"/>
      <c r="LPM1094"/>
      <c r="LPN1094"/>
      <c r="LPQ1094"/>
      <c r="LPR1094"/>
      <c r="LPU1094"/>
      <c r="LPV1094"/>
      <c r="LPY1094"/>
      <c r="LPZ1094"/>
      <c r="LQC1094"/>
      <c r="LQD1094"/>
      <c r="LQG1094"/>
      <c r="LQH1094"/>
      <c r="LQK1094"/>
      <c r="LQL1094"/>
      <c r="LQO1094"/>
      <c r="LQP1094"/>
      <c r="LQS1094"/>
      <c r="LQT1094"/>
      <c r="LQW1094"/>
      <c r="LQX1094"/>
      <c r="LRA1094"/>
      <c r="LRB1094"/>
      <c r="LRE1094"/>
      <c r="LRF1094"/>
      <c r="LRI1094"/>
      <c r="LRJ1094"/>
      <c r="LRM1094"/>
      <c r="LRN1094"/>
      <c r="LRQ1094"/>
      <c r="LRR1094"/>
      <c r="LRU1094"/>
      <c r="LRV1094"/>
      <c r="LRY1094"/>
      <c r="LRZ1094"/>
      <c r="LSC1094"/>
      <c r="LSD1094"/>
      <c r="LSG1094"/>
      <c r="LSH1094"/>
      <c r="LSK1094"/>
      <c r="LSL1094"/>
      <c r="LSO1094"/>
      <c r="LSP1094"/>
      <c r="LSS1094"/>
      <c r="LST1094"/>
      <c r="LSW1094"/>
      <c r="LSX1094"/>
      <c r="LTA1094"/>
      <c r="LTB1094"/>
      <c r="LTE1094"/>
      <c r="LTF1094"/>
      <c r="LTI1094"/>
      <c r="LTJ1094"/>
      <c r="LTM1094"/>
      <c r="LTN1094"/>
      <c r="LTQ1094"/>
      <c r="LTR1094"/>
      <c r="LTU1094"/>
      <c r="LTV1094"/>
      <c r="LTY1094"/>
      <c r="LTZ1094"/>
      <c r="LUC1094"/>
      <c r="LUD1094"/>
      <c r="LUG1094"/>
      <c r="LUH1094"/>
      <c r="LUK1094"/>
      <c r="LUL1094"/>
      <c r="LUO1094"/>
      <c r="LUP1094"/>
      <c r="LUS1094"/>
      <c r="LUT1094"/>
      <c r="LUW1094"/>
      <c r="LUX1094"/>
      <c r="LVA1094"/>
      <c r="LVB1094"/>
      <c r="LVE1094"/>
      <c r="LVF1094"/>
      <c r="LVI1094"/>
      <c r="LVJ1094"/>
      <c r="LVM1094"/>
      <c r="LVN1094"/>
      <c r="LVQ1094"/>
      <c r="LVR1094"/>
      <c r="LVU1094"/>
      <c r="LVV1094"/>
      <c r="LVY1094"/>
      <c r="LVZ1094"/>
      <c r="LWC1094"/>
      <c r="LWD1094"/>
      <c r="LWG1094"/>
      <c r="LWH1094"/>
      <c r="LWK1094"/>
      <c r="LWL1094"/>
      <c r="LWO1094"/>
      <c r="LWP1094"/>
      <c r="LWS1094"/>
      <c r="LWT1094"/>
      <c r="LWW1094"/>
      <c r="LWX1094"/>
      <c r="LXA1094"/>
      <c r="LXB1094"/>
      <c r="LXE1094"/>
      <c r="LXF1094"/>
      <c r="LXI1094"/>
      <c r="LXJ1094"/>
      <c r="LXM1094"/>
      <c r="LXN1094"/>
      <c r="LXQ1094"/>
      <c r="LXR1094"/>
      <c r="LXU1094"/>
      <c r="LXV1094"/>
      <c r="LXY1094"/>
      <c r="LXZ1094"/>
      <c r="LYC1094"/>
      <c r="LYD1094"/>
      <c r="LYG1094"/>
      <c r="LYH1094"/>
      <c r="LYK1094"/>
      <c r="LYL1094"/>
      <c r="LYO1094"/>
      <c r="LYP1094"/>
      <c r="LYS1094"/>
      <c r="LYT1094"/>
      <c r="LYW1094"/>
      <c r="LYX1094"/>
      <c r="LZA1094"/>
      <c r="LZB1094"/>
      <c r="LZE1094"/>
      <c r="LZF1094"/>
      <c r="LZI1094"/>
      <c r="LZJ1094"/>
      <c r="LZM1094"/>
      <c r="LZN1094"/>
      <c r="LZQ1094"/>
      <c r="LZR1094"/>
      <c r="LZU1094"/>
      <c r="LZV1094"/>
      <c r="LZY1094"/>
      <c r="LZZ1094"/>
      <c r="MAC1094"/>
      <c r="MAD1094"/>
      <c r="MAG1094"/>
      <c r="MAH1094"/>
      <c r="MAK1094"/>
      <c r="MAL1094"/>
      <c r="MAO1094"/>
      <c r="MAP1094"/>
      <c r="MAS1094"/>
      <c r="MAT1094"/>
      <c r="MAW1094"/>
      <c r="MAX1094"/>
      <c r="MBA1094"/>
      <c r="MBB1094"/>
      <c r="MBE1094"/>
      <c r="MBF1094"/>
      <c r="MBI1094"/>
      <c r="MBJ1094"/>
      <c r="MBM1094"/>
      <c r="MBN1094"/>
      <c r="MBQ1094"/>
      <c r="MBR1094"/>
      <c r="MBU1094"/>
      <c r="MBV1094"/>
      <c r="MBY1094"/>
      <c r="MBZ1094"/>
      <c r="MCC1094"/>
      <c r="MCD1094"/>
      <c r="MCG1094"/>
      <c r="MCH1094"/>
      <c r="MCK1094"/>
      <c r="MCL1094"/>
      <c r="MCO1094"/>
      <c r="MCP1094"/>
      <c r="MCS1094"/>
      <c r="MCT1094"/>
      <c r="MCW1094"/>
      <c r="MCX1094"/>
      <c r="MDA1094"/>
      <c r="MDB1094"/>
      <c r="MDE1094"/>
      <c r="MDF1094"/>
      <c r="MDI1094"/>
      <c r="MDJ1094"/>
      <c r="MDM1094"/>
      <c r="MDN1094"/>
      <c r="MDQ1094"/>
      <c r="MDR1094"/>
      <c r="MDU1094"/>
      <c r="MDV1094"/>
      <c r="MDY1094"/>
      <c r="MDZ1094"/>
      <c r="MEC1094"/>
      <c r="MED1094"/>
      <c r="MEG1094"/>
      <c r="MEH1094"/>
      <c r="MEK1094"/>
      <c r="MEL1094"/>
      <c r="MEO1094"/>
      <c r="MEP1094"/>
      <c r="MES1094"/>
      <c r="MET1094"/>
      <c r="MEW1094"/>
      <c r="MEX1094"/>
      <c r="MFA1094"/>
      <c r="MFB1094"/>
      <c r="MFE1094"/>
      <c r="MFF1094"/>
      <c r="MFI1094"/>
      <c r="MFJ1094"/>
      <c r="MFM1094"/>
      <c r="MFN1094"/>
      <c r="MFQ1094"/>
      <c r="MFR1094"/>
      <c r="MFU1094"/>
      <c r="MFV1094"/>
      <c r="MFY1094"/>
      <c r="MFZ1094"/>
      <c r="MGC1094"/>
      <c r="MGD1094"/>
      <c r="MGG1094"/>
      <c r="MGH1094"/>
      <c r="MGK1094"/>
      <c r="MGL1094"/>
      <c r="MGO1094"/>
      <c r="MGP1094"/>
      <c r="MGS1094"/>
      <c r="MGT1094"/>
      <c r="MGW1094"/>
      <c r="MGX1094"/>
      <c r="MHA1094"/>
      <c r="MHB1094"/>
      <c r="MHE1094"/>
      <c r="MHF1094"/>
      <c r="MHI1094"/>
      <c r="MHJ1094"/>
      <c r="MHM1094"/>
      <c r="MHN1094"/>
      <c r="MHQ1094"/>
      <c r="MHR1094"/>
      <c r="MHU1094"/>
      <c r="MHV1094"/>
      <c r="MHY1094"/>
      <c r="MHZ1094"/>
      <c r="MIC1094"/>
      <c r="MID1094"/>
      <c r="MIG1094"/>
      <c r="MIH1094"/>
      <c r="MIK1094"/>
      <c r="MIL1094"/>
      <c r="MIO1094"/>
      <c r="MIP1094"/>
      <c r="MIS1094"/>
      <c r="MIT1094"/>
      <c r="MIW1094"/>
      <c r="MIX1094"/>
      <c r="MJA1094"/>
      <c r="MJB1094"/>
      <c r="MJE1094"/>
      <c r="MJF1094"/>
      <c r="MJI1094"/>
      <c r="MJJ1094"/>
      <c r="MJM1094"/>
      <c r="MJN1094"/>
      <c r="MJQ1094"/>
      <c r="MJR1094"/>
      <c r="MJU1094"/>
      <c r="MJV1094"/>
      <c r="MJY1094"/>
      <c r="MJZ1094"/>
      <c r="MKC1094"/>
      <c r="MKD1094"/>
      <c r="MKG1094"/>
      <c r="MKH1094"/>
      <c r="MKK1094"/>
      <c r="MKL1094"/>
      <c r="MKO1094"/>
      <c r="MKP1094"/>
      <c r="MKS1094"/>
      <c r="MKT1094"/>
      <c r="MKW1094"/>
      <c r="MKX1094"/>
      <c r="MLA1094"/>
      <c r="MLB1094"/>
      <c r="MLE1094"/>
      <c r="MLF1094"/>
      <c r="MLI1094"/>
      <c r="MLJ1094"/>
      <c r="MLM1094"/>
      <c r="MLN1094"/>
      <c r="MLQ1094"/>
      <c r="MLR1094"/>
      <c r="MLU1094"/>
      <c r="MLV1094"/>
      <c r="MLY1094"/>
      <c r="MLZ1094"/>
      <c r="MMC1094"/>
      <c r="MMD1094"/>
      <c r="MMG1094"/>
      <c r="MMH1094"/>
      <c r="MMK1094"/>
      <c r="MML1094"/>
      <c r="MMO1094"/>
      <c r="MMP1094"/>
      <c r="MMS1094"/>
      <c r="MMT1094"/>
      <c r="MMW1094"/>
      <c r="MMX1094"/>
      <c r="MNA1094"/>
      <c r="MNB1094"/>
      <c r="MNE1094"/>
      <c r="MNF1094"/>
      <c r="MNI1094"/>
      <c r="MNJ1094"/>
      <c r="MNM1094"/>
      <c r="MNN1094"/>
      <c r="MNQ1094"/>
      <c r="MNR1094"/>
      <c r="MNU1094"/>
      <c r="MNV1094"/>
      <c r="MNY1094"/>
      <c r="MNZ1094"/>
      <c r="MOC1094"/>
      <c r="MOD1094"/>
      <c r="MOG1094"/>
      <c r="MOH1094"/>
      <c r="MOK1094"/>
      <c r="MOL1094"/>
      <c r="MOO1094"/>
      <c r="MOP1094"/>
      <c r="MOS1094"/>
      <c r="MOT1094"/>
      <c r="MOW1094"/>
      <c r="MOX1094"/>
      <c r="MPA1094"/>
      <c r="MPB1094"/>
      <c r="MPE1094"/>
      <c r="MPF1094"/>
      <c r="MPI1094"/>
      <c r="MPJ1094"/>
      <c r="MPM1094"/>
      <c r="MPN1094"/>
      <c r="MPQ1094"/>
      <c r="MPR1094"/>
      <c r="MPU1094"/>
      <c r="MPV1094"/>
      <c r="MPY1094"/>
      <c r="MPZ1094"/>
      <c r="MQC1094"/>
      <c r="MQD1094"/>
      <c r="MQG1094"/>
      <c r="MQH1094"/>
      <c r="MQK1094"/>
      <c r="MQL1094"/>
      <c r="MQO1094"/>
      <c r="MQP1094"/>
      <c r="MQS1094"/>
      <c r="MQT1094"/>
      <c r="MQW1094"/>
      <c r="MQX1094"/>
      <c r="MRA1094"/>
      <c r="MRB1094"/>
      <c r="MRE1094"/>
      <c r="MRF1094"/>
      <c r="MRI1094"/>
      <c r="MRJ1094"/>
      <c r="MRM1094"/>
      <c r="MRN1094"/>
      <c r="MRQ1094"/>
      <c r="MRR1094"/>
      <c r="MRU1094"/>
      <c r="MRV1094"/>
      <c r="MRY1094"/>
      <c r="MRZ1094"/>
      <c r="MSC1094"/>
      <c r="MSD1094"/>
      <c r="MSG1094"/>
      <c r="MSH1094"/>
      <c r="MSK1094"/>
      <c r="MSL1094"/>
      <c r="MSO1094"/>
      <c r="MSP1094"/>
      <c r="MSS1094"/>
      <c r="MST1094"/>
      <c r="MSW1094"/>
      <c r="MSX1094"/>
      <c r="MTA1094"/>
      <c r="MTB1094"/>
      <c r="MTE1094"/>
      <c r="MTF1094"/>
      <c r="MTI1094"/>
      <c r="MTJ1094"/>
      <c r="MTM1094"/>
      <c r="MTN1094"/>
      <c r="MTQ1094"/>
      <c r="MTR1094"/>
      <c r="MTU1094"/>
      <c r="MTV1094"/>
      <c r="MTY1094"/>
      <c r="MTZ1094"/>
      <c r="MUC1094"/>
      <c r="MUD1094"/>
      <c r="MUG1094"/>
      <c r="MUH1094"/>
      <c r="MUK1094"/>
      <c r="MUL1094"/>
      <c r="MUO1094"/>
      <c r="MUP1094"/>
      <c r="MUS1094"/>
      <c r="MUT1094"/>
      <c r="MUW1094"/>
      <c r="MUX1094"/>
      <c r="MVA1094"/>
      <c r="MVB1094"/>
      <c r="MVE1094"/>
      <c r="MVF1094"/>
      <c r="MVI1094"/>
      <c r="MVJ1094"/>
      <c r="MVM1094"/>
      <c r="MVN1094"/>
      <c r="MVQ1094"/>
      <c r="MVR1094"/>
      <c r="MVU1094"/>
      <c r="MVV1094"/>
      <c r="MVY1094"/>
      <c r="MVZ1094"/>
      <c r="MWC1094"/>
      <c r="MWD1094"/>
      <c r="MWG1094"/>
      <c r="MWH1094"/>
      <c r="MWK1094"/>
      <c r="MWL1094"/>
      <c r="MWO1094"/>
      <c r="MWP1094"/>
      <c r="MWS1094"/>
      <c r="MWT1094"/>
      <c r="MWW1094"/>
      <c r="MWX1094"/>
      <c r="MXA1094"/>
      <c r="MXB1094"/>
      <c r="MXE1094"/>
      <c r="MXF1094"/>
      <c r="MXI1094"/>
      <c r="MXJ1094"/>
      <c r="MXM1094"/>
      <c r="MXN1094"/>
      <c r="MXQ1094"/>
      <c r="MXR1094"/>
      <c r="MXU1094"/>
      <c r="MXV1094"/>
      <c r="MXY1094"/>
      <c r="MXZ1094"/>
      <c r="MYC1094"/>
      <c r="MYD1094"/>
      <c r="MYG1094"/>
      <c r="MYH1094"/>
      <c r="MYK1094"/>
      <c r="MYL1094"/>
      <c r="MYO1094"/>
      <c r="MYP1094"/>
      <c r="MYS1094"/>
      <c r="MYT1094"/>
      <c r="MYW1094"/>
      <c r="MYX1094"/>
      <c r="MZA1094"/>
      <c r="MZB1094"/>
      <c r="MZE1094"/>
      <c r="MZF1094"/>
      <c r="MZI1094"/>
      <c r="MZJ1094"/>
      <c r="MZM1094"/>
      <c r="MZN1094"/>
      <c r="MZQ1094"/>
      <c r="MZR1094"/>
      <c r="MZU1094"/>
      <c r="MZV1094"/>
      <c r="MZY1094"/>
      <c r="MZZ1094"/>
      <c r="NAC1094"/>
      <c r="NAD1094"/>
      <c r="NAG1094"/>
      <c r="NAH1094"/>
      <c r="NAK1094"/>
      <c r="NAL1094"/>
      <c r="NAO1094"/>
      <c r="NAP1094"/>
      <c r="NAS1094"/>
      <c r="NAT1094"/>
      <c r="NAW1094"/>
      <c r="NAX1094"/>
      <c r="NBA1094"/>
      <c r="NBB1094"/>
      <c r="NBE1094"/>
      <c r="NBF1094"/>
      <c r="NBI1094"/>
      <c r="NBJ1094"/>
      <c r="NBM1094"/>
      <c r="NBN1094"/>
      <c r="NBQ1094"/>
      <c r="NBR1094"/>
      <c r="NBU1094"/>
      <c r="NBV1094"/>
      <c r="NBY1094"/>
      <c r="NBZ1094"/>
      <c r="NCC1094"/>
      <c r="NCD1094"/>
      <c r="NCG1094"/>
      <c r="NCH1094"/>
      <c r="NCK1094"/>
      <c r="NCL1094"/>
      <c r="NCO1094"/>
      <c r="NCP1094"/>
      <c r="NCS1094"/>
      <c r="NCT1094"/>
      <c r="NCW1094"/>
      <c r="NCX1094"/>
      <c r="NDA1094"/>
      <c r="NDB1094"/>
      <c r="NDE1094"/>
      <c r="NDF1094"/>
      <c r="NDI1094"/>
      <c r="NDJ1094"/>
      <c r="NDM1094"/>
      <c r="NDN1094"/>
      <c r="NDQ1094"/>
      <c r="NDR1094"/>
      <c r="NDU1094"/>
      <c r="NDV1094"/>
      <c r="NDY1094"/>
      <c r="NDZ1094"/>
      <c r="NEC1094"/>
      <c r="NED1094"/>
      <c r="NEG1094"/>
      <c r="NEH1094"/>
      <c r="NEK1094"/>
      <c r="NEL1094"/>
      <c r="NEO1094"/>
      <c r="NEP1094"/>
      <c r="NES1094"/>
      <c r="NET1094"/>
      <c r="NEW1094"/>
      <c r="NEX1094"/>
      <c r="NFA1094"/>
      <c r="NFB1094"/>
      <c r="NFE1094"/>
      <c r="NFF1094"/>
      <c r="NFI1094"/>
      <c r="NFJ1094"/>
      <c r="NFM1094"/>
      <c r="NFN1094"/>
      <c r="NFQ1094"/>
      <c r="NFR1094"/>
      <c r="NFU1094"/>
      <c r="NFV1094"/>
      <c r="NFY1094"/>
      <c r="NFZ1094"/>
      <c r="NGC1094"/>
      <c r="NGD1094"/>
      <c r="NGG1094"/>
      <c r="NGH1094"/>
      <c r="NGK1094"/>
      <c r="NGL1094"/>
      <c r="NGO1094"/>
      <c r="NGP1094"/>
      <c r="NGS1094"/>
      <c r="NGT1094"/>
      <c r="NGW1094"/>
      <c r="NGX1094"/>
      <c r="NHA1094"/>
      <c r="NHB1094"/>
      <c r="NHE1094"/>
      <c r="NHF1094"/>
      <c r="NHI1094"/>
      <c r="NHJ1094"/>
      <c r="NHM1094"/>
      <c r="NHN1094"/>
      <c r="NHQ1094"/>
      <c r="NHR1094"/>
      <c r="NHU1094"/>
      <c r="NHV1094"/>
      <c r="NHY1094"/>
      <c r="NHZ1094"/>
      <c r="NIC1094"/>
      <c r="NID1094"/>
      <c r="NIG1094"/>
      <c r="NIH1094"/>
      <c r="NIK1094"/>
      <c r="NIL1094"/>
      <c r="NIO1094"/>
      <c r="NIP1094"/>
      <c r="NIS1094"/>
      <c r="NIT1094"/>
      <c r="NIW1094"/>
      <c r="NIX1094"/>
      <c r="NJA1094"/>
      <c r="NJB1094"/>
      <c r="NJE1094"/>
      <c r="NJF1094"/>
      <c r="NJI1094"/>
      <c r="NJJ1094"/>
      <c r="NJM1094"/>
      <c r="NJN1094"/>
      <c r="NJQ1094"/>
      <c r="NJR1094"/>
      <c r="NJU1094"/>
      <c r="NJV1094"/>
      <c r="NJY1094"/>
      <c r="NJZ1094"/>
      <c r="NKC1094"/>
      <c r="NKD1094"/>
      <c r="NKG1094"/>
      <c r="NKH1094"/>
      <c r="NKK1094"/>
      <c r="NKL1094"/>
      <c r="NKO1094"/>
      <c r="NKP1094"/>
      <c r="NKS1094"/>
      <c r="NKT1094"/>
      <c r="NKW1094"/>
      <c r="NKX1094"/>
      <c r="NLA1094"/>
      <c r="NLB1094"/>
      <c r="NLE1094"/>
      <c r="NLF1094"/>
      <c r="NLI1094"/>
      <c r="NLJ1094"/>
      <c r="NLM1094"/>
      <c r="NLN1094"/>
      <c r="NLQ1094"/>
      <c r="NLR1094"/>
      <c r="NLU1094"/>
      <c r="NLV1094"/>
      <c r="NLY1094"/>
      <c r="NLZ1094"/>
      <c r="NMC1094"/>
      <c r="NMD1094"/>
      <c r="NMG1094"/>
      <c r="NMH1094"/>
      <c r="NMK1094"/>
      <c r="NML1094"/>
      <c r="NMO1094"/>
      <c r="NMP1094"/>
      <c r="NMS1094"/>
      <c r="NMT1094"/>
      <c r="NMW1094"/>
      <c r="NMX1094"/>
      <c r="NNA1094"/>
      <c r="NNB1094"/>
      <c r="NNE1094"/>
      <c r="NNF1094"/>
      <c r="NNI1094"/>
      <c r="NNJ1094"/>
      <c r="NNM1094"/>
      <c r="NNN1094"/>
      <c r="NNQ1094"/>
      <c r="NNR1094"/>
      <c r="NNU1094"/>
      <c r="NNV1094"/>
      <c r="NNY1094"/>
      <c r="NNZ1094"/>
      <c r="NOC1094"/>
      <c r="NOD1094"/>
      <c r="NOG1094"/>
      <c r="NOH1094"/>
      <c r="NOK1094"/>
      <c r="NOL1094"/>
      <c r="NOO1094"/>
      <c r="NOP1094"/>
      <c r="NOS1094"/>
      <c r="NOT1094"/>
      <c r="NOW1094"/>
      <c r="NOX1094"/>
      <c r="NPA1094"/>
      <c r="NPB1094"/>
      <c r="NPE1094"/>
      <c r="NPF1094"/>
      <c r="NPI1094"/>
      <c r="NPJ1094"/>
      <c r="NPM1094"/>
      <c r="NPN1094"/>
      <c r="NPQ1094"/>
      <c r="NPR1094"/>
      <c r="NPU1094"/>
      <c r="NPV1094"/>
      <c r="NPY1094"/>
      <c r="NPZ1094"/>
      <c r="NQC1094"/>
      <c r="NQD1094"/>
      <c r="NQG1094"/>
      <c r="NQH1094"/>
      <c r="NQK1094"/>
      <c r="NQL1094"/>
      <c r="NQO1094"/>
      <c r="NQP1094"/>
      <c r="NQS1094"/>
      <c r="NQT1094"/>
      <c r="NQW1094"/>
      <c r="NQX1094"/>
      <c r="NRA1094"/>
      <c r="NRB1094"/>
      <c r="NRE1094"/>
      <c r="NRF1094"/>
      <c r="NRI1094"/>
      <c r="NRJ1094"/>
      <c r="NRM1094"/>
      <c r="NRN1094"/>
      <c r="NRQ1094"/>
      <c r="NRR1094"/>
      <c r="NRU1094"/>
      <c r="NRV1094"/>
      <c r="NRY1094"/>
      <c r="NRZ1094"/>
      <c r="NSC1094"/>
      <c r="NSD1094"/>
      <c r="NSG1094"/>
      <c r="NSH1094"/>
      <c r="NSK1094"/>
      <c r="NSL1094"/>
      <c r="NSO1094"/>
      <c r="NSP1094"/>
      <c r="NSS1094"/>
      <c r="NST1094"/>
      <c r="NSW1094"/>
      <c r="NSX1094"/>
      <c r="NTA1094"/>
      <c r="NTB1094"/>
      <c r="NTE1094"/>
      <c r="NTF1094"/>
      <c r="NTI1094"/>
      <c r="NTJ1094"/>
      <c r="NTM1094"/>
      <c r="NTN1094"/>
      <c r="NTQ1094"/>
      <c r="NTR1094"/>
      <c r="NTU1094"/>
      <c r="NTV1094"/>
      <c r="NTY1094"/>
      <c r="NTZ1094"/>
      <c r="NUC1094"/>
      <c r="NUD1094"/>
      <c r="NUG1094"/>
      <c r="NUH1094"/>
      <c r="NUK1094"/>
      <c r="NUL1094"/>
      <c r="NUO1094"/>
      <c r="NUP1094"/>
      <c r="NUS1094"/>
      <c r="NUT1094"/>
      <c r="NUW1094"/>
      <c r="NUX1094"/>
      <c r="NVA1094"/>
      <c r="NVB1094"/>
      <c r="NVE1094"/>
      <c r="NVF1094"/>
      <c r="NVI1094"/>
      <c r="NVJ1094"/>
      <c r="NVM1094"/>
      <c r="NVN1094"/>
      <c r="NVQ1094"/>
      <c r="NVR1094"/>
      <c r="NVU1094"/>
      <c r="NVV1094"/>
      <c r="NVY1094"/>
      <c r="NVZ1094"/>
      <c r="NWC1094"/>
      <c r="NWD1094"/>
      <c r="NWG1094"/>
      <c r="NWH1094"/>
      <c r="NWK1094"/>
      <c r="NWL1094"/>
      <c r="NWO1094"/>
      <c r="NWP1094"/>
      <c r="NWS1094"/>
      <c r="NWT1094"/>
      <c r="NWW1094"/>
      <c r="NWX1094"/>
      <c r="NXA1094"/>
      <c r="NXB1094"/>
      <c r="NXE1094"/>
      <c r="NXF1094"/>
      <c r="NXI1094"/>
      <c r="NXJ1094"/>
      <c r="NXM1094"/>
      <c r="NXN1094"/>
      <c r="NXQ1094"/>
      <c r="NXR1094"/>
      <c r="NXU1094"/>
      <c r="NXV1094"/>
      <c r="NXY1094"/>
      <c r="NXZ1094"/>
      <c r="NYC1094"/>
      <c r="NYD1094"/>
      <c r="NYG1094"/>
      <c r="NYH1094"/>
      <c r="NYK1094"/>
      <c r="NYL1094"/>
      <c r="NYO1094"/>
      <c r="NYP1094"/>
      <c r="NYS1094"/>
      <c r="NYT1094"/>
      <c r="NYW1094"/>
      <c r="NYX1094"/>
      <c r="NZA1094"/>
      <c r="NZB1094"/>
      <c r="NZE1094"/>
      <c r="NZF1094"/>
      <c r="NZI1094"/>
      <c r="NZJ1094"/>
      <c r="NZM1094"/>
      <c r="NZN1094"/>
      <c r="NZQ1094"/>
      <c r="NZR1094"/>
      <c r="NZU1094"/>
      <c r="NZV1094"/>
      <c r="NZY1094"/>
      <c r="NZZ1094"/>
      <c r="OAC1094"/>
      <c r="OAD1094"/>
      <c r="OAG1094"/>
      <c r="OAH1094"/>
      <c r="OAK1094"/>
      <c r="OAL1094"/>
      <c r="OAO1094"/>
      <c r="OAP1094"/>
      <c r="OAS1094"/>
      <c r="OAT1094"/>
      <c r="OAW1094"/>
      <c r="OAX1094"/>
      <c r="OBA1094"/>
      <c r="OBB1094"/>
      <c r="OBE1094"/>
      <c r="OBF1094"/>
      <c r="OBI1094"/>
      <c r="OBJ1094"/>
      <c r="OBM1094"/>
      <c r="OBN1094"/>
      <c r="OBQ1094"/>
      <c r="OBR1094"/>
      <c r="OBU1094"/>
      <c r="OBV1094"/>
      <c r="OBY1094"/>
      <c r="OBZ1094"/>
      <c r="OCC1094"/>
      <c r="OCD1094"/>
      <c r="OCG1094"/>
      <c r="OCH1094"/>
      <c r="OCK1094"/>
      <c r="OCL1094"/>
      <c r="OCO1094"/>
      <c r="OCP1094"/>
      <c r="OCS1094"/>
      <c r="OCT1094"/>
      <c r="OCW1094"/>
      <c r="OCX1094"/>
      <c r="ODA1094"/>
      <c r="ODB1094"/>
      <c r="ODE1094"/>
      <c r="ODF1094"/>
      <c r="ODI1094"/>
      <c r="ODJ1094"/>
      <c r="ODM1094"/>
      <c r="ODN1094"/>
      <c r="ODQ1094"/>
      <c r="ODR1094"/>
      <c r="ODU1094"/>
      <c r="ODV1094"/>
      <c r="ODY1094"/>
      <c r="ODZ1094"/>
      <c r="OEC1094"/>
      <c r="OED1094"/>
      <c r="OEG1094"/>
      <c r="OEH1094"/>
      <c r="OEK1094"/>
      <c r="OEL1094"/>
      <c r="OEO1094"/>
      <c r="OEP1094"/>
      <c r="OES1094"/>
      <c r="OET1094"/>
      <c r="OEW1094"/>
      <c r="OEX1094"/>
      <c r="OFA1094"/>
      <c r="OFB1094"/>
      <c r="OFE1094"/>
      <c r="OFF1094"/>
      <c r="OFI1094"/>
      <c r="OFJ1094"/>
      <c r="OFM1094"/>
      <c r="OFN1094"/>
      <c r="OFQ1094"/>
      <c r="OFR1094"/>
      <c r="OFU1094"/>
      <c r="OFV1094"/>
      <c r="OFY1094"/>
      <c r="OFZ1094"/>
      <c r="OGC1094"/>
      <c r="OGD1094"/>
      <c r="OGG1094"/>
      <c r="OGH1094"/>
      <c r="OGK1094"/>
      <c r="OGL1094"/>
      <c r="OGO1094"/>
      <c r="OGP1094"/>
      <c r="OGS1094"/>
      <c r="OGT1094"/>
      <c r="OGW1094"/>
      <c r="OGX1094"/>
      <c r="OHA1094"/>
      <c r="OHB1094"/>
      <c r="OHE1094"/>
      <c r="OHF1094"/>
      <c r="OHI1094"/>
      <c r="OHJ1094"/>
      <c r="OHM1094"/>
      <c r="OHN1094"/>
      <c r="OHQ1094"/>
      <c r="OHR1094"/>
      <c r="OHU1094"/>
      <c r="OHV1094"/>
      <c r="OHY1094"/>
      <c r="OHZ1094"/>
      <c r="OIC1094"/>
      <c r="OID1094"/>
      <c r="OIG1094"/>
      <c r="OIH1094"/>
      <c r="OIK1094"/>
      <c r="OIL1094"/>
      <c r="OIO1094"/>
      <c r="OIP1094"/>
      <c r="OIS1094"/>
      <c r="OIT1094"/>
      <c r="OIW1094"/>
      <c r="OIX1094"/>
      <c r="OJA1094"/>
      <c r="OJB1094"/>
      <c r="OJE1094"/>
      <c r="OJF1094"/>
      <c r="OJI1094"/>
      <c r="OJJ1094"/>
      <c r="OJM1094"/>
      <c r="OJN1094"/>
      <c r="OJQ1094"/>
      <c r="OJR1094"/>
      <c r="OJU1094"/>
      <c r="OJV1094"/>
      <c r="OJY1094"/>
      <c r="OJZ1094"/>
      <c r="OKC1094"/>
      <c r="OKD1094"/>
      <c r="OKG1094"/>
      <c r="OKH1094"/>
      <c r="OKK1094"/>
      <c r="OKL1094"/>
      <c r="OKO1094"/>
      <c r="OKP1094"/>
      <c r="OKS1094"/>
      <c r="OKT1094"/>
      <c r="OKW1094"/>
      <c r="OKX1094"/>
      <c r="OLA1094"/>
      <c r="OLB1094"/>
      <c r="OLE1094"/>
      <c r="OLF1094"/>
      <c r="OLI1094"/>
      <c r="OLJ1094"/>
      <c r="OLM1094"/>
      <c r="OLN1094"/>
      <c r="OLQ1094"/>
      <c r="OLR1094"/>
      <c r="OLU1094"/>
      <c r="OLV1094"/>
      <c r="OLY1094"/>
      <c r="OLZ1094"/>
      <c r="OMC1094"/>
      <c r="OMD1094"/>
      <c r="OMG1094"/>
      <c r="OMH1094"/>
      <c r="OMK1094"/>
      <c r="OML1094"/>
      <c r="OMO1094"/>
      <c r="OMP1094"/>
      <c r="OMS1094"/>
      <c r="OMT1094"/>
      <c r="OMW1094"/>
      <c r="OMX1094"/>
      <c r="ONA1094"/>
      <c r="ONB1094"/>
      <c r="ONE1094"/>
      <c r="ONF1094"/>
      <c r="ONI1094"/>
      <c r="ONJ1094"/>
      <c r="ONM1094"/>
      <c r="ONN1094"/>
      <c r="ONQ1094"/>
      <c r="ONR1094"/>
      <c r="ONU1094"/>
      <c r="ONV1094"/>
      <c r="ONY1094"/>
      <c r="ONZ1094"/>
      <c r="OOC1094"/>
      <c r="OOD1094"/>
      <c r="OOG1094"/>
      <c r="OOH1094"/>
      <c r="OOK1094"/>
      <c r="OOL1094"/>
      <c r="OOO1094"/>
      <c r="OOP1094"/>
      <c r="OOS1094"/>
      <c r="OOT1094"/>
      <c r="OOW1094"/>
      <c r="OOX1094"/>
      <c r="OPA1094"/>
      <c r="OPB1094"/>
      <c r="OPE1094"/>
      <c r="OPF1094"/>
      <c r="OPI1094"/>
      <c r="OPJ1094"/>
      <c r="OPM1094"/>
      <c r="OPN1094"/>
      <c r="OPQ1094"/>
      <c r="OPR1094"/>
      <c r="OPU1094"/>
      <c r="OPV1094"/>
      <c r="OPY1094"/>
      <c r="OPZ1094"/>
      <c r="OQC1094"/>
      <c r="OQD1094"/>
      <c r="OQG1094"/>
      <c r="OQH1094"/>
      <c r="OQK1094"/>
      <c r="OQL1094"/>
      <c r="OQO1094"/>
      <c r="OQP1094"/>
      <c r="OQS1094"/>
      <c r="OQT1094"/>
      <c r="OQW1094"/>
      <c r="OQX1094"/>
      <c r="ORA1094"/>
      <c r="ORB1094"/>
      <c r="ORE1094"/>
      <c r="ORF1094"/>
      <c r="ORI1094"/>
      <c r="ORJ1094"/>
      <c r="ORM1094"/>
      <c r="ORN1094"/>
      <c r="ORQ1094"/>
      <c r="ORR1094"/>
      <c r="ORU1094"/>
      <c r="ORV1094"/>
      <c r="ORY1094"/>
      <c r="ORZ1094"/>
      <c r="OSC1094"/>
      <c r="OSD1094"/>
      <c r="OSG1094"/>
      <c r="OSH1094"/>
      <c r="OSK1094"/>
      <c r="OSL1094"/>
      <c r="OSO1094"/>
      <c r="OSP1094"/>
      <c r="OSS1094"/>
      <c r="OST1094"/>
      <c r="OSW1094"/>
      <c r="OSX1094"/>
      <c r="OTA1094"/>
      <c r="OTB1094"/>
      <c r="OTE1094"/>
      <c r="OTF1094"/>
      <c r="OTI1094"/>
      <c r="OTJ1094"/>
      <c r="OTM1094"/>
      <c r="OTN1094"/>
      <c r="OTQ1094"/>
      <c r="OTR1094"/>
      <c r="OTU1094"/>
      <c r="OTV1094"/>
      <c r="OTY1094"/>
      <c r="OTZ1094"/>
      <c r="OUC1094"/>
      <c r="OUD1094"/>
      <c r="OUG1094"/>
      <c r="OUH1094"/>
      <c r="OUK1094"/>
      <c r="OUL1094"/>
      <c r="OUO1094"/>
      <c r="OUP1094"/>
      <c r="OUS1094"/>
      <c r="OUT1094"/>
      <c r="OUW1094"/>
      <c r="OUX1094"/>
      <c r="OVA1094"/>
      <c r="OVB1094"/>
      <c r="OVE1094"/>
      <c r="OVF1094"/>
      <c r="OVI1094"/>
      <c r="OVJ1094"/>
      <c r="OVM1094"/>
      <c r="OVN1094"/>
      <c r="OVQ1094"/>
      <c r="OVR1094"/>
      <c r="OVU1094"/>
      <c r="OVV1094"/>
      <c r="OVY1094"/>
      <c r="OVZ1094"/>
      <c r="OWC1094"/>
      <c r="OWD1094"/>
      <c r="OWG1094"/>
      <c r="OWH1094"/>
      <c r="OWK1094"/>
      <c r="OWL1094"/>
      <c r="OWO1094"/>
      <c r="OWP1094"/>
      <c r="OWS1094"/>
      <c r="OWT1094"/>
      <c r="OWW1094"/>
      <c r="OWX1094"/>
      <c r="OXA1094"/>
      <c r="OXB1094"/>
      <c r="OXE1094"/>
      <c r="OXF1094"/>
      <c r="OXI1094"/>
      <c r="OXJ1094"/>
      <c r="OXM1094"/>
      <c r="OXN1094"/>
      <c r="OXQ1094"/>
      <c r="OXR1094"/>
      <c r="OXU1094"/>
      <c r="OXV1094"/>
      <c r="OXY1094"/>
      <c r="OXZ1094"/>
      <c r="OYC1094"/>
      <c r="OYD1094"/>
      <c r="OYG1094"/>
      <c r="OYH1094"/>
      <c r="OYK1094"/>
      <c r="OYL1094"/>
      <c r="OYO1094"/>
      <c r="OYP1094"/>
      <c r="OYS1094"/>
      <c r="OYT1094"/>
      <c r="OYW1094"/>
      <c r="OYX1094"/>
      <c r="OZA1094"/>
      <c r="OZB1094"/>
      <c r="OZE1094"/>
      <c r="OZF1094"/>
      <c r="OZI1094"/>
      <c r="OZJ1094"/>
      <c r="OZM1094"/>
      <c r="OZN1094"/>
      <c r="OZQ1094"/>
      <c r="OZR1094"/>
      <c r="OZU1094"/>
      <c r="OZV1094"/>
      <c r="OZY1094"/>
      <c r="OZZ1094"/>
      <c r="PAC1094"/>
      <c r="PAD1094"/>
      <c r="PAG1094"/>
      <c r="PAH1094"/>
      <c r="PAK1094"/>
      <c r="PAL1094"/>
      <c r="PAO1094"/>
      <c r="PAP1094"/>
      <c r="PAS1094"/>
      <c r="PAT1094"/>
      <c r="PAW1094"/>
      <c r="PAX1094"/>
      <c r="PBA1094"/>
      <c r="PBB1094"/>
      <c r="PBE1094"/>
      <c r="PBF1094"/>
      <c r="PBI1094"/>
      <c r="PBJ1094"/>
      <c r="PBM1094"/>
      <c r="PBN1094"/>
      <c r="PBQ1094"/>
      <c r="PBR1094"/>
      <c r="PBU1094"/>
      <c r="PBV1094"/>
      <c r="PBY1094"/>
      <c r="PBZ1094"/>
      <c r="PCC1094"/>
      <c r="PCD1094"/>
      <c r="PCG1094"/>
      <c r="PCH1094"/>
      <c r="PCK1094"/>
      <c r="PCL1094"/>
      <c r="PCO1094"/>
      <c r="PCP1094"/>
      <c r="PCS1094"/>
      <c r="PCT1094"/>
      <c r="PCW1094"/>
      <c r="PCX1094"/>
      <c r="PDA1094"/>
      <c r="PDB1094"/>
      <c r="PDE1094"/>
      <c r="PDF1094"/>
      <c r="PDI1094"/>
      <c r="PDJ1094"/>
      <c r="PDM1094"/>
      <c r="PDN1094"/>
      <c r="PDQ1094"/>
      <c r="PDR1094"/>
      <c r="PDU1094"/>
      <c r="PDV1094"/>
      <c r="PDY1094"/>
      <c r="PDZ1094"/>
      <c r="PEC1094"/>
      <c r="PED1094"/>
      <c r="PEG1094"/>
      <c r="PEH1094"/>
      <c r="PEK1094"/>
      <c r="PEL1094"/>
      <c r="PEO1094"/>
      <c r="PEP1094"/>
      <c r="PES1094"/>
      <c r="PET1094"/>
      <c r="PEW1094"/>
      <c r="PEX1094"/>
      <c r="PFA1094"/>
      <c r="PFB1094"/>
      <c r="PFE1094"/>
      <c r="PFF1094"/>
      <c r="PFI1094"/>
      <c r="PFJ1094"/>
      <c r="PFM1094"/>
      <c r="PFN1094"/>
      <c r="PFQ1094"/>
      <c r="PFR1094"/>
      <c r="PFU1094"/>
      <c r="PFV1094"/>
      <c r="PFY1094"/>
      <c r="PFZ1094"/>
      <c r="PGC1094"/>
      <c r="PGD1094"/>
      <c r="PGG1094"/>
      <c r="PGH1094"/>
      <c r="PGK1094"/>
      <c r="PGL1094"/>
      <c r="PGO1094"/>
      <c r="PGP1094"/>
      <c r="PGS1094"/>
      <c r="PGT1094"/>
      <c r="PGW1094"/>
      <c r="PGX1094"/>
      <c r="PHA1094"/>
      <c r="PHB1094"/>
      <c r="PHE1094"/>
      <c r="PHF1094"/>
      <c r="PHI1094"/>
      <c r="PHJ1094"/>
      <c r="PHM1094"/>
      <c r="PHN1094"/>
      <c r="PHQ1094"/>
      <c r="PHR1094"/>
      <c r="PHU1094"/>
      <c r="PHV1094"/>
      <c r="PHY1094"/>
      <c r="PHZ1094"/>
      <c r="PIC1094"/>
      <c r="PID1094"/>
      <c r="PIG1094"/>
      <c r="PIH1094"/>
      <c r="PIK1094"/>
      <c r="PIL1094"/>
      <c r="PIO1094"/>
      <c r="PIP1094"/>
      <c r="PIS1094"/>
      <c r="PIT1094"/>
      <c r="PIW1094"/>
      <c r="PIX1094"/>
      <c r="PJA1094"/>
      <c r="PJB1094"/>
      <c r="PJE1094"/>
      <c r="PJF1094"/>
      <c r="PJI1094"/>
      <c r="PJJ1094"/>
      <c r="PJM1094"/>
      <c r="PJN1094"/>
      <c r="PJQ1094"/>
      <c r="PJR1094"/>
      <c r="PJU1094"/>
      <c r="PJV1094"/>
      <c r="PJY1094"/>
      <c r="PJZ1094"/>
      <c r="PKC1094"/>
      <c r="PKD1094"/>
      <c r="PKG1094"/>
      <c r="PKH1094"/>
      <c r="PKK1094"/>
      <c r="PKL1094"/>
      <c r="PKO1094"/>
      <c r="PKP1094"/>
      <c r="PKS1094"/>
      <c r="PKT1094"/>
      <c r="PKW1094"/>
      <c r="PKX1094"/>
      <c r="PLA1094"/>
      <c r="PLB1094"/>
      <c r="PLE1094"/>
      <c r="PLF1094"/>
      <c r="PLI1094"/>
      <c r="PLJ1094"/>
      <c r="PLM1094"/>
      <c r="PLN1094"/>
      <c r="PLQ1094"/>
      <c r="PLR1094"/>
      <c r="PLU1094"/>
      <c r="PLV1094"/>
      <c r="PLY1094"/>
      <c r="PLZ1094"/>
      <c r="PMC1094"/>
      <c r="PMD1094"/>
      <c r="PMG1094"/>
      <c r="PMH1094"/>
      <c r="PMK1094"/>
      <c r="PML1094"/>
      <c r="PMO1094"/>
      <c r="PMP1094"/>
      <c r="PMS1094"/>
      <c r="PMT1094"/>
      <c r="PMW1094"/>
      <c r="PMX1094"/>
      <c r="PNA1094"/>
      <c r="PNB1094"/>
      <c r="PNE1094"/>
      <c r="PNF1094"/>
      <c r="PNI1094"/>
      <c r="PNJ1094"/>
      <c r="PNM1094"/>
      <c r="PNN1094"/>
      <c r="PNQ1094"/>
      <c r="PNR1094"/>
      <c r="PNU1094"/>
      <c r="PNV1094"/>
      <c r="PNY1094"/>
      <c r="PNZ1094"/>
      <c r="POC1094"/>
      <c r="POD1094"/>
      <c r="POG1094"/>
      <c r="POH1094"/>
      <c r="POK1094"/>
      <c r="POL1094"/>
      <c r="POO1094"/>
      <c r="POP1094"/>
      <c r="POS1094"/>
      <c r="POT1094"/>
      <c r="POW1094"/>
      <c r="POX1094"/>
      <c r="PPA1094"/>
      <c r="PPB1094"/>
      <c r="PPE1094"/>
      <c r="PPF1094"/>
      <c r="PPI1094"/>
      <c r="PPJ1094"/>
      <c r="PPM1094"/>
      <c r="PPN1094"/>
      <c r="PPQ1094"/>
      <c r="PPR1094"/>
      <c r="PPU1094"/>
      <c r="PPV1094"/>
      <c r="PPY1094"/>
      <c r="PPZ1094"/>
      <c r="PQC1094"/>
      <c r="PQD1094"/>
      <c r="PQG1094"/>
      <c r="PQH1094"/>
      <c r="PQK1094"/>
      <c r="PQL1094"/>
      <c r="PQO1094"/>
      <c r="PQP1094"/>
      <c r="PQS1094"/>
      <c r="PQT1094"/>
      <c r="PQW1094"/>
      <c r="PQX1094"/>
      <c r="PRA1094"/>
      <c r="PRB1094"/>
      <c r="PRE1094"/>
      <c r="PRF1094"/>
      <c r="PRI1094"/>
      <c r="PRJ1094"/>
      <c r="PRM1094"/>
      <c r="PRN1094"/>
      <c r="PRQ1094"/>
      <c r="PRR1094"/>
      <c r="PRU1094"/>
      <c r="PRV1094"/>
      <c r="PRY1094"/>
      <c r="PRZ1094"/>
      <c r="PSC1094"/>
      <c r="PSD1094"/>
      <c r="PSG1094"/>
      <c r="PSH1094"/>
      <c r="PSK1094"/>
      <c r="PSL1094"/>
      <c r="PSO1094"/>
      <c r="PSP1094"/>
      <c r="PSS1094"/>
      <c r="PST1094"/>
      <c r="PSW1094"/>
      <c r="PSX1094"/>
      <c r="PTA1094"/>
      <c r="PTB1094"/>
      <c r="PTE1094"/>
      <c r="PTF1094"/>
      <c r="PTI1094"/>
      <c r="PTJ1094"/>
      <c r="PTM1094"/>
      <c r="PTN1094"/>
      <c r="PTQ1094"/>
      <c r="PTR1094"/>
      <c r="PTU1094"/>
      <c r="PTV1094"/>
      <c r="PTY1094"/>
      <c r="PTZ1094"/>
      <c r="PUC1094"/>
      <c r="PUD1094"/>
      <c r="PUG1094"/>
      <c r="PUH1094"/>
      <c r="PUK1094"/>
      <c r="PUL1094"/>
      <c r="PUO1094"/>
      <c r="PUP1094"/>
      <c r="PUS1094"/>
      <c r="PUT1094"/>
      <c r="PUW1094"/>
      <c r="PUX1094"/>
      <c r="PVA1094"/>
      <c r="PVB1094"/>
      <c r="PVE1094"/>
      <c r="PVF1094"/>
      <c r="PVI1094"/>
      <c r="PVJ1094"/>
      <c r="PVM1094"/>
      <c r="PVN1094"/>
      <c r="PVQ1094"/>
      <c r="PVR1094"/>
      <c r="PVU1094"/>
      <c r="PVV1094"/>
      <c r="PVY1094"/>
      <c r="PVZ1094"/>
      <c r="PWC1094"/>
      <c r="PWD1094"/>
      <c r="PWG1094"/>
      <c r="PWH1094"/>
      <c r="PWK1094"/>
      <c r="PWL1094"/>
      <c r="PWO1094"/>
      <c r="PWP1094"/>
      <c r="PWS1094"/>
      <c r="PWT1094"/>
      <c r="PWW1094"/>
      <c r="PWX1094"/>
      <c r="PXA1094"/>
      <c r="PXB1094"/>
      <c r="PXE1094"/>
      <c r="PXF1094"/>
      <c r="PXI1094"/>
      <c r="PXJ1094"/>
      <c r="PXM1094"/>
      <c r="PXN1094"/>
      <c r="PXQ1094"/>
      <c r="PXR1094"/>
      <c r="PXU1094"/>
      <c r="PXV1094"/>
      <c r="PXY1094"/>
      <c r="PXZ1094"/>
      <c r="PYC1094"/>
      <c r="PYD1094"/>
      <c r="PYG1094"/>
      <c r="PYH1094"/>
      <c r="PYK1094"/>
      <c r="PYL1094"/>
      <c r="PYO1094"/>
      <c r="PYP1094"/>
      <c r="PYS1094"/>
      <c r="PYT1094"/>
      <c r="PYW1094"/>
      <c r="PYX1094"/>
      <c r="PZA1094"/>
      <c r="PZB1094"/>
      <c r="PZE1094"/>
      <c r="PZF1094"/>
      <c r="PZI1094"/>
      <c r="PZJ1094"/>
      <c r="PZM1094"/>
      <c r="PZN1094"/>
      <c r="PZQ1094"/>
      <c r="PZR1094"/>
      <c r="PZU1094"/>
      <c r="PZV1094"/>
      <c r="PZY1094"/>
      <c r="PZZ1094"/>
      <c r="QAC1094"/>
      <c r="QAD1094"/>
      <c r="QAG1094"/>
      <c r="QAH1094"/>
      <c r="QAK1094"/>
      <c r="QAL1094"/>
      <c r="QAO1094"/>
      <c r="QAP1094"/>
      <c r="QAS1094"/>
      <c r="QAT1094"/>
      <c r="QAW1094"/>
      <c r="QAX1094"/>
      <c r="QBA1094"/>
      <c r="QBB1094"/>
      <c r="QBE1094"/>
      <c r="QBF1094"/>
      <c r="QBI1094"/>
      <c r="QBJ1094"/>
      <c r="QBM1094"/>
      <c r="QBN1094"/>
      <c r="QBQ1094"/>
      <c r="QBR1094"/>
      <c r="QBU1094"/>
      <c r="QBV1094"/>
      <c r="QBY1094"/>
      <c r="QBZ1094"/>
      <c r="QCC1094"/>
      <c r="QCD1094"/>
      <c r="QCG1094"/>
      <c r="QCH1094"/>
      <c r="QCK1094"/>
      <c r="QCL1094"/>
      <c r="QCO1094"/>
      <c r="QCP1094"/>
      <c r="QCS1094"/>
      <c r="QCT1094"/>
      <c r="QCW1094"/>
      <c r="QCX1094"/>
      <c r="QDA1094"/>
      <c r="QDB1094"/>
      <c r="QDE1094"/>
      <c r="QDF1094"/>
      <c r="QDI1094"/>
      <c r="QDJ1094"/>
      <c r="QDM1094"/>
      <c r="QDN1094"/>
      <c r="QDQ1094"/>
      <c r="QDR1094"/>
      <c r="QDU1094"/>
      <c r="QDV1094"/>
      <c r="QDY1094"/>
      <c r="QDZ1094"/>
      <c r="QEC1094"/>
      <c r="QED1094"/>
      <c r="QEG1094"/>
      <c r="QEH1094"/>
      <c r="QEK1094"/>
      <c r="QEL1094"/>
      <c r="QEO1094"/>
      <c r="QEP1094"/>
      <c r="QES1094"/>
      <c r="QET1094"/>
      <c r="QEW1094"/>
      <c r="QEX1094"/>
      <c r="QFA1094"/>
      <c r="QFB1094"/>
      <c r="QFE1094"/>
      <c r="QFF1094"/>
      <c r="QFI1094"/>
      <c r="QFJ1094"/>
      <c r="QFM1094"/>
      <c r="QFN1094"/>
      <c r="QFQ1094"/>
      <c r="QFR1094"/>
      <c r="QFU1094"/>
      <c r="QFV1094"/>
      <c r="QFY1094"/>
      <c r="QFZ1094"/>
      <c r="QGC1094"/>
      <c r="QGD1094"/>
      <c r="QGG1094"/>
      <c r="QGH1094"/>
      <c r="QGK1094"/>
      <c r="QGL1094"/>
      <c r="QGO1094"/>
      <c r="QGP1094"/>
      <c r="QGS1094"/>
      <c r="QGT1094"/>
      <c r="QGW1094"/>
      <c r="QGX1094"/>
      <c r="QHA1094"/>
      <c r="QHB1094"/>
      <c r="QHE1094"/>
      <c r="QHF1094"/>
      <c r="QHI1094"/>
      <c r="QHJ1094"/>
      <c r="QHM1094"/>
      <c r="QHN1094"/>
      <c r="QHQ1094"/>
      <c r="QHR1094"/>
      <c r="QHU1094"/>
      <c r="QHV1094"/>
      <c r="QHY1094"/>
      <c r="QHZ1094"/>
      <c r="QIC1094"/>
      <c r="QID1094"/>
      <c r="QIG1094"/>
      <c r="QIH1094"/>
      <c r="QIK1094"/>
      <c r="QIL1094"/>
      <c r="QIO1094"/>
      <c r="QIP1094"/>
      <c r="QIS1094"/>
      <c r="QIT1094"/>
      <c r="QIW1094"/>
      <c r="QIX1094"/>
      <c r="QJA1094"/>
      <c r="QJB1094"/>
      <c r="QJE1094"/>
      <c r="QJF1094"/>
      <c r="QJI1094"/>
      <c r="QJJ1094"/>
      <c r="QJM1094"/>
      <c r="QJN1094"/>
      <c r="QJQ1094"/>
      <c r="QJR1094"/>
      <c r="QJU1094"/>
      <c r="QJV1094"/>
      <c r="QJY1094"/>
      <c r="QJZ1094"/>
      <c r="QKC1094"/>
      <c r="QKD1094"/>
      <c r="QKG1094"/>
      <c r="QKH1094"/>
      <c r="QKK1094"/>
      <c r="QKL1094"/>
      <c r="QKO1094"/>
      <c r="QKP1094"/>
      <c r="QKS1094"/>
      <c r="QKT1094"/>
      <c r="QKW1094"/>
      <c r="QKX1094"/>
      <c r="QLA1094"/>
      <c r="QLB1094"/>
      <c r="QLE1094"/>
      <c r="QLF1094"/>
      <c r="QLI1094"/>
      <c r="QLJ1094"/>
      <c r="QLM1094"/>
      <c r="QLN1094"/>
      <c r="QLQ1094"/>
      <c r="QLR1094"/>
      <c r="QLU1094"/>
      <c r="QLV1094"/>
      <c r="QLY1094"/>
      <c r="QLZ1094"/>
      <c r="QMC1094"/>
      <c r="QMD1094"/>
      <c r="QMG1094"/>
      <c r="QMH1094"/>
      <c r="QMK1094"/>
      <c r="QML1094"/>
      <c r="QMO1094"/>
      <c r="QMP1094"/>
      <c r="QMS1094"/>
      <c r="QMT1094"/>
      <c r="QMW1094"/>
      <c r="QMX1094"/>
      <c r="QNA1094"/>
      <c r="QNB1094"/>
      <c r="QNE1094"/>
      <c r="QNF1094"/>
      <c r="QNI1094"/>
      <c r="QNJ1094"/>
      <c r="QNM1094"/>
      <c r="QNN1094"/>
      <c r="QNQ1094"/>
      <c r="QNR1094"/>
      <c r="QNU1094"/>
      <c r="QNV1094"/>
      <c r="QNY1094"/>
      <c r="QNZ1094"/>
      <c r="QOC1094"/>
      <c r="QOD1094"/>
      <c r="QOG1094"/>
      <c r="QOH1094"/>
      <c r="QOK1094"/>
      <c r="QOL1094"/>
      <c r="QOO1094"/>
      <c r="QOP1094"/>
      <c r="QOS1094"/>
      <c r="QOT1094"/>
      <c r="QOW1094"/>
      <c r="QOX1094"/>
      <c r="QPA1094"/>
      <c r="QPB1094"/>
      <c r="QPE1094"/>
      <c r="QPF1094"/>
      <c r="QPI1094"/>
      <c r="QPJ1094"/>
      <c r="QPM1094"/>
      <c r="QPN1094"/>
      <c r="QPQ1094"/>
      <c r="QPR1094"/>
      <c r="QPU1094"/>
      <c r="QPV1094"/>
      <c r="QPY1094"/>
      <c r="QPZ1094"/>
      <c r="QQC1094"/>
      <c r="QQD1094"/>
      <c r="QQG1094"/>
      <c r="QQH1094"/>
      <c r="QQK1094"/>
      <c r="QQL1094"/>
      <c r="QQO1094"/>
      <c r="QQP1094"/>
      <c r="QQS1094"/>
      <c r="QQT1094"/>
      <c r="QQW1094"/>
      <c r="QQX1094"/>
      <c r="QRA1094"/>
      <c r="QRB1094"/>
      <c r="QRE1094"/>
      <c r="QRF1094"/>
      <c r="QRI1094"/>
      <c r="QRJ1094"/>
      <c r="QRM1094"/>
      <c r="QRN1094"/>
      <c r="QRQ1094"/>
      <c r="QRR1094"/>
      <c r="QRU1094"/>
      <c r="QRV1094"/>
      <c r="QRY1094"/>
      <c r="QRZ1094"/>
      <c r="QSC1094"/>
      <c r="QSD1094"/>
      <c r="QSG1094"/>
      <c r="QSH1094"/>
      <c r="QSK1094"/>
      <c r="QSL1094"/>
      <c r="QSO1094"/>
      <c r="QSP1094"/>
      <c r="QSS1094"/>
      <c r="QST1094"/>
      <c r="QSW1094"/>
      <c r="QSX1094"/>
      <c r="QTA1094"/>
      <c r="QTB1094"/>
      <c r="QTE1094"/>
      <c r="QTF1094"/>
      <c r="QTI1094"/>
      <c r="QTJ1094"/>
      <c r="QTM1094"/>
      <c r="QTN1094"/>
      <c r="QTQ1094"/>
      <c r="QTR1094"/>
      <c r="QTU1094"/>
      <c r="QTV1094"/>
      <c r="QTY1094"/>
      <c r="QTZ1094"/>
      <c r="QUC1094"/>
      <c r="QUD1094"/>
      <c r="QUG1094"/>
      <c r="QUH1094"/>
      <c r="QUK1094"/>
      <c r="QUL1094"/>
      <c r="QUO1094"/>
      <c r="QUP1094"/>
      <c r="QUS1094"/>
      <c r="QUT1094"/>
      <c r="QUW1094"/>
      <c r="QUX1094"/>
      <c r="QVA1094"/>
      <c r="QVB1094"/>
      <c r="QVE1094"/>
      <c r="QVF1094"/>
      <c r="QVI1094"/>
      <c r="QVJ1094"/>
      <c r="QVM1094"/>
      <c r="QVN1094"/>
      <c r="QVQ1094"/>
      <c r="QVR1094"/>
      <c r="QVU1094"/>
      <c r="QVV1094"/>
      <c r="QVY1094"/>
      <c r="QVZ1094"/>
      <c r="QWC1094"/>
      <c r="QWD1094"/>
      <c r="QWG1094"/>
      <c r="QWH1094"/>
      <c r="QWK1094"/>
      <c r="QWL1094"/>
      <c r="QWO1094"/>
      <c r="QWP1094"/>
      <c r="QWS1094"/>
      <c r="QWT1094"/>
      <c r="QWW1094"/>
      <c r="QWX1094"/>
      <c r="QXA1094"/>
      <c r="QXB1094"/>
      <c r="QXE1094"/>
      <c r="QXF1094"/>
      <c r="QXI1094"/>
      <c r="QXJ1094"/>
      <c r="QXM1094"/>
      <c r="QXN1094"/>
      <c r="QXQ1094"/>
      <c r="QXR1094"/>
      <c r="QXU1094"/>
      <c r="QXV1094"/>
      <c r="QXY1094"/>
      <c r="QXZ1094"/>
      <c r="QYC1094"/>
      <c r="QYD1094"/>
      <c r="QYG1094"/>
      <c r="QYH1094"/>
      <c r="QYK1094"/>
      <c r="QYL1094"/>
      <c r="QYO1094"/>
      <c r="QYP1094"/>
      <c r="QYS1094"/>
      <c r="QYT1094"/>
      <c r="QYW1094"/>
      <c r="QYX1094"/>
      <c r="QZA1094"/>
      <c r="QZB1094"/>
      <c r="QZE1094"/>
      <c r="QZF1094"/>
      <c r="QZI1094"/>
      <c r="QZJ1094"/>
      <c r="QZM1094"/>
      <c r="QZN1094"/>
      <c r="QZQ1094"/>
      <c r="QZR1094"/>
      <c r="QZU1094"/>
      <c r="QZV1094"/>
      <c r="QZY1094"/>
      <c r="QZZ1094"/>
      <c r="RAC1094"/>
      <c r="RAD1094"/>
      <c r="RAG1094"/>
      <c r="RAH1094"/>
      <c r="RAK1094"/>
      <c r="RAL1094"/>
      <c r="RAO1094"/>
      <c r="RAP1094"/>
      <c r="RAS1094"/>
      <c r="RAT1094"/>
      <c r="RAW1094"/>
      <c r="RAX1094"/>
      <c r="RBA1094"/>
      <c r="RBB1094"/>
      <c r="RBE1094"/>
      <c r="RBF1094"/>
      <c r="RBI1094"/>
      <c r="RBJ1094"/>
      <c r="RBM1094"/>
      <c r="RBN1094"/>
      <c r="RBQ1094"/>
      <c r="RBR1094"/>
      <c r="RBU1094"/>
      <c r="RBV1094"/>
      <c r="RBY1094"/>
      <c r="RBZ1094"/>
      <c r="RCC1094"/>
      <c r="RCD1094"/>
      <c r="RCG1094"/>
      <c r="RCH1094"/>
      <c r="RCK1094"/>
      <c r="RCL1094"/>
      <c r="RCO1094"/>
      <c r="RCP1094"/>
      <c r="RCS1094"/>
      <c r="RCT1094"/>
      <c r="RCW1094"/>
      <c r="RCX1094"/>
      <c r="RDA1094"/>
      <c r="RDB1094"/>
      <c r="RDE1094"/>
      <c r="RDF1094"/>
      <c r="RDI1094"/>
      <c r="RDJ1094"/>
      <c r="RDM1094"/>
      <c r="RDN1094"/>
      <c r="RDQ1094"/>
      <c r="RDR1094"/>
      <c r="RDU1094"/>
      <c r="RDV1094"/>
      <c r="RDY1094"/>
      <c r="RDZ1094"/>
      <c r="REC1094"/>
      <c r="RED1094"/>
      <c r="REG1094"/>
      <c r="REH1094"/>
      <c r="REK1094"/>
      <c r="REL1094"/>
      <c r="REO1094"/>
      <c r="REP1094"/>
      <c r="RES1094"/>
      <c r="RET1094"/>
      <c r="REW1094"/>
      <c r="REX1094"/>
      <c r="RFA1094"/>
      <c r="RFB1094"/>
      <c r="RFE1094"/>
      <c r="RFF1094"/>
      <c r="RFI1094"/>
      <c r="RFJ1094"/>
      <c r="RFM1094"/>
      <c r="RFN1094"/>
      <c r="RFQ1094"/>
      <c r="RFR1094"/>
      <c r="RFU1094"/>
      <c r="RFV1094"/>
      <c r="RFY1094"/>
      <c r="RFZ1094"/>
      <c r="RGC1094"/>
      <c r="RGD1094"/>
      <c r="RGG1094"/>
      <c r="RGH1094"/>
      <c r="RGK1094"/>
      <c r="RGL1094"/>
      <c r="RGO1094"/>
      <c r="RGP1094"/>
      <c r="RGS1094"/>
      <c r="RGT1094"/>
      <c r="RGW1094"/>
      <c r="RGX1094"/>
      <c r="RHA1094"/>
      <c r="RHB1094"/>
      <c r="RHE1094"/>
      <c r="RHF1094"/>
      <c r="RHI1094"/>
      <c r="RHJ1094"/>
      <c r="RHM1094"/>
      <c r="RHN1094"/>
      <c r="RHQ1094"/>
      <c r="RHR1094"/>
      <c r="RHU1094"/>
      <c r="RHV1094"/>
      <c r="RHY1094"/>
      <c r="RHZ1094"/>
      <c r="RIC1094"/>
      <c r="RID1094"/>
      <c r="RIG1094"/>
      <c r="RIH1094"/>
      <c r="RIK1094"/>
      <c r="RIL1094"/>
      <c r="RIO1094"/>
      <c r="RIP1094"/>
      <c r="RIS1094"/>
      <c r="RIT1094"/>
      <c r="RIW1094"/>
      <c r="RIX1094"/>
      <c r="RJA1094"/>
      <c r="RJB1094"/>
      <c r="RJE1094"/>
      <c r="RJF1094"/>
      <c r="RJI1094"/>
      <c r="RJJ1094"/>
      <c r="RJM1094"/>
      <c r="RJN1094"/>
      <c r="RJQ1094"/>
      <c r="RJR1094"/>
      <c r="RJU1094"/>
      <c r="RJV1094"/>
      <c r="RJY1094"/>
      <c r="RJZ1094"/>
      <c r="RKC1094"/>
      <c r="RKD1094"/>
      <c r="RKG1094"/>
      <c r="RKH1094"/>
      <c r="RKK1094"/>
      <c r="RKL1094"/>
      <c r="RKO1094"/>
      <c r="RKP1094"/>
      <c r="RKS1094"/>
      <c r="RKT1094"/>
      <c r="RKW1094"/>
      <c r="RKX1094"/>
      <c r="RLA1094"/>
      <c r="RLB1094"/>
      <c r="RLE1094"/>
      <c r="RLF1094"/>
      <c r="RLI1094"/>
      <c r="RLJ1094"/>
      <c r="RLM1094"/>
      <c r="RLN1094"/>
      <c r="RLQ1094"/>
      <c r="RLR1094"/>
      <c r="RLU1094"/>
      <c r="RLV1094"/>
      <c r="RLY1094"/>
      <c r="RLZ1094"/>
      <c r="RMC1094"/>
      <c r="RMD1094"/>
      <c r="RMG1094"/>
      <c r="RMH1094"/>
      <c r="RMK1094"/>
      <c r="RML1094"/>
      <c r="RMO1094"/>
      <c r="RMP1094"/>
      <c r="RMS1094"/>
      <c r="RMT1094"/>
      <c r="RMW1094"/>
      <c r="RMX1094"/>
      <c r="RNA1094"/>
      <c r="RNB1094"/>
      <c r="RNE1094"/>
      <c r="RNF1094"/>
      <c r="RNI1094"/>
      <c r="RNJ1094"/>
      <c r="RNM1094"/>
      <c r="RNN1094"/>
      <c r="RNQ1094"/>
      <c r="RNR1094"/>
      <c r="RNU1094"/>
      <c r="RNV1094"/>
      <c r="RNY1094"/>
      <c r="RNZ1094"/>
      <c r="ROC1094"/>
      <c r="ROD1094"/>
      <c r="ROG1094"/>
      <c r="ROH1094"/>
      <c r="ROK1094"/>
      <c r="ROL1094"/>
      <c r="ROO1094"/>
      <c r="ROP1094"/>
      <c r="ROS1094"/>
      <c r="ROT1094"/>
      <c r="ROW1094"/>
      <c r="ROX1094"/>
      <c r="RPA1094"/>
      <c r="RPB1094"/>
      <c r="RPE1094"/>
      <c r="RPF1094"/>
      <c r="RPI1094"/>
      <c r="RPJ1094"/>
      <c r="RPM1094"/>
      <c r="RPN1094"/>
      <c r="RPQ1094"/>
      <c r="RPR1094"/>
      <c r="RPU1094"/>
      <c r="RPV1094"/>
      <c r="RPY1094"/>
      <c r="RPZ1094"/>
      <c r="RQC1094"/>
      <c r="RQD1094"/>
      <c r="RQG1094"/>
      <c r="RQH1094"/>
      <c r="RQK1094"/>
      <c r="RQL1094"/>
      <c r="RQO1094"/>
      <c r="RQP1094"/>
      <c r="RQS1094"/>
      <c r="RQT1094"/>
      <c r="RQW1094"/>
      <c r="RQX1094"/>
      <c r="RRA1094"/>
      <c r="RRB1094"/>
      <c r="RRE1094"/>
      <c r="RRF1094"/>
      <c r="RRI1094"/>
      <c r="RRJ1094"/>
      <c r="RRM1094"/>
      <c r="RRN1094"/>
      <c r="RRQ1094"/>
      <c r="RRR1094"/>
      <c r="RRU1094"/>
      <c r="RRV1094"/>
      <c r="RRY1094"/>
      <c r="RRZ1094"/>
      <c r="RSC1094"/>
      <c r="RSD1094"/>
      <c r="RSG1094"/>
      <c r="RSH1094"/>
      <c r="RSK1094"/>
      <c r="RSL1094"/>
      <c r="RSO1094"/>
      <c r="RSP1094"/>
      <c r="RSS1094"/>
      <c r="RST1094"/>
      <c r="RSW1094"/>
      <c r="RSX1094"/>
      <c r="RTA1094"/>
      <c r="RTB1094"/>
      <c r="RTE1094"/>
      <c r="RTF1094"/>
      <c r="RTI1094"/>
      <c r="RTJ1094"/>
      <c r="RTM1094"/>
      <c r="RTN1094"/>
      <c r="RTQ1094"/>
      <c r="RTR1094"/>
      <c r="RTU1094"/>
      <c r="RTV1094"/>
      <c r="RTY1094"/>
      <c r="RTZ1094"/>
      <c r="RUC1094"/>
      <c r="RUD1094"/>
      <c r="RUG1094"/>
      <c r="RUH1094"/>
      <c r="RUK1094"/>
      <c r="RUL1094"/>
      <c r="RUO1094"/>
      <c r="RUP1094"/>
      <c r="RUS1094"/>
      <c r="RUT1094"/>
      <c r="RUW1094"/>
      <c r="RUX1094"/>
      <c r="RVA1094"/>
      <c r="RVB1094"/>
      <c r="RVE1094"/>
      <c r="RVF1094"/>
      <c r="RVI1094"/>
      <c r="RVJ1094"/>
      <c r="RVM1094"/>
      <c r="RVN1094"/>
      <c r="RVQ1094"/>
      <c r="RVR1094"/>
      <c r="RVU1094"/>
      <c r="RVV1094"/>
      <c r="RVY1094"/>
      <c r="RVZ1094"/>
      <c r="RWC1094"/>
      <c r="RWD1094"/>
      <c r="RWG1094"/>
      <c r="RWH1094"/>
      <c r="RWK1094"/>
      <c r="RWL1094"/>
      <c r="RWO1094"/>
      <c r="RWP1094"/>
      <c r="RWS1094"/>
      <c r="RWT1094"/>
      <c r="RWW1094"/>
      <c r="RWX1094"/>
      <c r="RXA1094"/>
      <c r="RXB1094"/>
      <c r="RXE1094"/>
      <c r="RXF1094"/>
      <c r="RXI1094"/>
      <c r="RXJ1094"/>
      <c r="RXM1094"/>
      <c r="RXN1094"/>
      <c r="RXQ1094"/>
      <c r="RXR1094"/>
      <c r="RXU1094"/>
      <c r="RXV1094"/>
      <c r="RXY1094"/>
      <c r="RXZ1094"/>
      <c r="RYC1094"/>
      <c r="RYD1094"/>
      <c r="RYG1094"/>
      <c r="RYH1094"/>
      <c r="RYK1094"/>
      <c r="RYL1094"/>
      <c r="RYO1094"/>
      <c r="RYP1094"/>
      <c r="RYS1094"/>
      <c r="RYT1094"/>
      <c r="RYW1094"/>
      <c r="RYX1094"/>
      <c r="RZA1094"/>
      <c r="RZB1094"/>
      <c r="RZE1094"/>
      <c r="RZF1094"/>
      <c r="RZI1094"/>
      <c r="RZJ1094"/>
      <c r="RZM1094"/>
      <c r="RZN1094"/>
      <c r="RZQ1094"/>
      <c r="RZR1094"/>
      <c r="RZU1094"/>
      <c r="RZV1094"/>
      <c r="RZY1094"/>
      <c r="RZZ1094"/>
      <c r="SAC1094"/>
      <c r="SAD1094"/>
      <c r="SAG1094"/>
      <c r="SAH1094"/>
      <c r="SAK1094"/>
      <c r="SAL1094"/>
      <c r="SAO1094"/>
      <c r="SAP1094"/>
      <c r="SAS1094"/>
      <c r="SAT1094"/>
      <c r="SAW1094"/>
      <c r="SAX1094"/>
      <c r="SBA1094"/>
      <c r="SBB1094"/>
      <c r="SBE1094"/>
      <c r="SBF1094"/>
      <c r="SBI1094"/>
      <c r="SBJ1094"/>
      <c r="SBM1094"/>
      <c r="SBN1094"/>
      <c r="SBQ1094"/>
      <c r="SBR1094"/>
      <c r="SBU1094"/>
      <c r="SBV1094"/>
      <c r="SBY1094"/>
      <c r="SBZ1094"/>
      <c r="SCC1094"/>
      <c r="SCD1094"/>
      <c r="SCG1094"/>
      <c r="SCH1094"/>
      <c r="SCK1094"/>
      <c r="SCL1094"/>
      <c r="SCO1094"/>
      <c r="SCP1094"/>
      <c r="SCS1094"/>
      <c r="SCT1094"/>
      <c r="SCW1094"/>
      <c r="SCX1094"/>
      <c r="SDA1094"/>
      <c r="SDB1094"/>
      <c r="SDE1094"/>
      <c r="SDF1094"/>
      <c r="SDI1094"/>
      <c r="SDJ1094"/>
      <c r="SDM1094"/>
      <c r="SDN1094"/>
      <c r="SDQ1094"/>
      <c r="SDR1094"/>
      <c r="SDU1094"/>
      <c r="SDV1094"/>
      <c r="SDY1094"/>
      <c r="SDZ1094"/>
      <c r="SEC1094"/>
      <c r="SED1094"/>
      <c r="SEG1094"/>
      <c r="SEH1094"/>
      <c r="SEK1094"/>
      <c r="SEL1094"/>
      <c r="SEO1094"/>
      <c r="SEP1094"/>
      <c r="SES1094"/>
      <c r="SET1094"/>
      <c r="SEW1094"/>
      <c r="SEX1094"/>
      <c r="SFA1094"/>
      <c r="SFB1094"/>
      <c r="SFE1094"/>
      <c r="SFF1094"/>
      <c r="SFI1094"/>
      <c r="SFJ1094"/>
      <c r="SFM1094"/>
      <c r="SFN1094"/>
      <c r="SFQ1094"/>
      <c r="SFR1094"/>
      <c r="SFU1094"/>
      <c r="SFV1094"/>
      <c r="SFY1094"/>
      <c r="SFZ1094"/>
      <c r="SGC1094"/>
      <c r="SGD1094"/>
      <c r="SGG1094"/>
      <c r="SGH1094"/>
      <c r="SGK1094"/>
      <c r="SGL1094"/>
      <c r="SGO1094"/>
      <c r="SGP1094"/>
      <c r="SGS1094"/>
      <c r="SGT1094"/>
      <c r="SGW1094"/>
      <c r="SGX1094"/>
      <c r="SHA1094"/>
      <c r="SHB1094"/>
      <c r="SHE1094"/>
      <c r="SHF1094"/>
      <c r="SHI1094"/>
      <c r="SHJ1094"/>
      <c r="SHM1094"/>
      <c r="SHN1094"/>
      <c r="SHQ1094"/>
      <c r="SHR1094"/>
      <c r="SHU1094"/>
      <c r="SHV1094"/>
      <c r="SHY1094"/>
      <c r="SHZ1094"/>
      <c r="SIC1094"/>
      <c r="SID1094"/>
      <c r="SIG1094"/>
      <c r="SIH1094"/>
      <c r="SIK1094"/>
      <c r="SIL1094"/>
      <c r="SIO1094"/>
      <c r="SIP1094"/>
      <c r="SIS1094"/>
      <c r="SIT1094"/>
      <c r="SIW1094"/>
      <c r="SIX1094"/>
      <c r="SJA1094"/>
      <c r="SJB1094"/>
      <c r="SJE1094"/>
      <c r="SJF1094"/>
      <c r="SJI1094"/>
      <c r="SJJ1094"/>
      <c r="SJM1094"/>
      <c r="SJN1094"/>
      <c r="SJQ1094"/>
      <c r="SJR1094"/>
      <c r="SJU1094"/>
      <c r="SJV1094"/>
      <c r="SJY1094"/>
      <c r="SJZ1094"/>
      <c r="SKC1094"/>
      <c r="SKD1094"/>
      <c r="SKG1094"/>
      <c r="SKH1094"/>
      <c r="SKK1094"/>
      <c r="SKL1094"/>
      <c r="SKO1094"/>
      <c r="SKP1094"/>
      <c r="SKS1094"/>
      <c r="SKT1094"/>
      <c r="SKW1094"/>
      <c r="SKX1094"/>
      <c r="SLA1094"/>
      <c r="SLB1094"/>
      <c r="SLE1094"/>
      <c r="SLF1094"/>
      <c r="SLI1094"/>
      <c r="SLJ1094"/>
      <c r="SLM1094"/>
      <c r="SLN1094"/>
      <c r="SLQ1094"/>
      <c r="SLR1094"/>
      <c r="SLU1094"/>
      <c r="SLV1094"/>
      <c r="SLY1094"/>
      <c r="SLZ1094"/>
      <c r="SMC1094"/>
      <c r="SMD1094"/>
      <c r="SMG1094"/>
      <c r="SMH1094"/>
      <c r="SMK1094"/>
      <c r="SML1094"/>
      <c r="SMO1094"/>
      <c r="SMP1094"/>
      <c r="SMS1094"/>
      <c r="SMT1094"/>
      <c r="SMW1094"/>
      <c r="SMX1094"/>
      <c r="SNA1094"/>
      <c r="SNB1094"/>
      <c r="SNE1094"/>
      <c r="SNF1094"/>
      <c r="SNI1094"/>
      <c r="SNJ1094"/>
      <c r="SNM1094"/>
      <c r="SNN1094"/>
      <c r="SNQ1094"/>
      <c r="SNR1094"/>
      <c r="SNU1094"/>
      <c r="SNV1094"/>
      <c r="SNY1094"/>
      <c r="SNZ1094"/>
      <c r="SOC1094"/>
      <c r="SOD1094"/>
      <c r="SOG1094"/>
      <c r="SOH1094"/>
      <c r="SOK1094"/>
      <c r="SOL1094"/>
      <c r="SOO1094"/>
      <c r="SOP1094"/>
      <c r="SOS1094"/>
      <c r="SOT1094"/>
      <c r="SOW1094"/>
      <c r="SOX1094"/>
      <c r="SPA1094"/>
      <c r="SPB1094"/>
      <c r="SPE1094"/>
      <c r="SPF1094"/>
      <c r="SPI1094"/>
      <c r="SPJ1094"/>
      <c r="SPM1094"/>
      <c r="SPN1094"/>
      <c r="SPQ1094"/>
      <c r="SPR1094"/>
      <c r="SPU1094"/>
      <c r="SPV1094"/>
      <c r="SPY1094"/>
      <c r="SPZ1094"/>
      <c r="SQC1094"/>
      <c r="SQD1094"/>
      <c r="SQG1094"/>
      <c r="SQH1094"/>
      <c r="SQK1094"/>
      <c r="SQL1094"/>
      <c r="SQO1094"/>
      <c r="SQP1094"/>
      <c r="SQS1094"/>
      <c r="SQT1094"/>
      <c r="SQW1094"/>
      <c r="SQX1094"/>
      <c r="SRA1094"/>
      <c r="SRB1094"/>
      <c r="SRE1094"/>
      <c r="SRF1094"/>
      <c r="SRI1094"/>
      <c r="SRJ1094"/>
      <c r="SRM1094"/>
      <c r="SRN1094"/>
      <c r="SRQ1094"/>
      <c r="SRR1094"/>
      <c r="SRU1094"/>
      <c r="SRV1094"/>
      <c r="SRY1094"/>
      <c r="SRZ1094"/>
      <c r="SSC1094"/>
      <c r="SSD1094"/>
      <c r="SSG1094"/>
      <c r="SSH1094"/>
      <c r="SSK1094"/>
      <c r="SSL1094"/>
      <c r="SSO1094"/>
      <c r="SSP1094"/>
      <c r="SSS1094"/>
      <c r="SST1094"/>
      <c r="SSW1094"/>
      <c r="SSX1094"/>
      <c r="STA1094"/>
      <c r="STB1094"/>
      <c r="STE1094"/>
      <c r="STF1094"/>
      <c r="STI1094"/>
      <c r="STJ1094"/>
      <c r="STM1094"/>
      <c r="STN1094"/>
      <c r="STQ1094"/>
      <c r="STR1094"/>
      <c r="STU1094"/>
      <c r="STV1094"/>
      <c r="STY1094"/>
      <c r="STZ1094"/>
      <c r="SUC1094"/>
      <c r="SUD1094"/>
      <c r="SUG1094"/>
      <c r="SUH1094"/>
      <c r="SUK1094"/>
      <c r="SUL1094"/>
      <c r="SUO1094"/>
      <c r="SUP1094"/>
      <c r="SUS1094"/>
      <c r="SUT1094"/>
      <c r="SUW1094"/>
      <c r="SUX1094"/>
      <c r="SVA1094"/>
      <c r="SVB1094"/>
      <c r="SVE1094"/>
      <c r="SVF1094"/>
      <c r="SVI1094"/>
      <c r="SVJ1094"/>
      <c r="SVM1094"/>
      <c r="SVN1094"/>
      <c r="SVQ1094"/>
      <c r="SVR1094"/>
      <c r="SVU1094"/>
      <c r="SVV1094"/>
      <c r="SVY1094"/>
      <c r="SVZ1094"/>
      <c r="SWC1094"/>
      <c r="SWD1094"/>
      <c r="SWG1094"/>
      <c r="SWH1094"/>
      <c r="SWK1094"/>
      <c r="SWL1094"/>
      <c r="SWO1094"/>
      <c r="SWP1094"/>
      <c r="SWS1094"/>
      <c r="SWT1094"/>
      <c r="SWW1094"/>
      <c r="SWX1094"/>
      <c r="SXA1094"/>
      <c r="SXB1094"/>
      <c r="SXE1094"/>
      <c r="SXF1094"/>
      <c r="SXI1094"/>
      <c r="SXJ1094"/>
      <c r="SXM1094"/>
      <c r="SXN1094"/>
      <c r="SXQ1094"/>
      <c r="SXR1094"/>
      <c r="SXU1094"/>
      <c r="SXV1094"/>
      <c r="SXY1094"/>
      <c r="SXZ1094"/>
      <c r="SYC1094"/>
      <c r="SYD1094"/>
      <c r="SYG1094"/>
      <c r="SYH1094"/>
      <c r="SYK1094"/>
      <c r="SYL1094"/>
      <c r="SYO1094"/>
      <c r="SYP1094"/>
      <c r="SYS1094"/>
      <c r="SYT1094"/>
      <c r="SYW1094"/>
      <c r="SYX1094"/>
      <c r="SZA1094"/>
      <c r="SZB1094"/>
      <c r="SZE1094"/>
      <c r="SZF1094"/>
      <c r="SZI1094"/>
      <c r="SZJ1094"/>
      <c r="SZM1094"/>
      <c r="SZN1094"/>
      <c r="SZQ1094"/>
      <c r="SZR1094"/>
      <c r="SZU1094"/>
      <c r="SZV1094"/>
      <c r="SZY1094"/>
      <c r="SZZ1094"/>
      <c r="TAC1094"/>
      <c r="TAD1094"/>
      <c r="TAG1094"/>
      <c r="TAH1094"/>
      <c r="TAK1094"/>
      <c r="TAL1094"/>
      <c r="TAO1094"/>
      <c r="TAP1094"/>
      <c r="TAS1094"/>
      <c r="TAT1094"/>
      <c r="TAW1094"/>
      <c r="TAX1094"/>
      <c r="TBA1094"/>
      <c r="TBB1094"/>
      <c r="TBE1094"/>
      <c r="TBF1094"/>
      <c r="TBI1094"/>
      <c r="TBJ1094"/>
      <c r="TBM1094"/>
      <c r="TBN1094"/>
      <c r="TBQ1094"/>
      <c r="TBR1094"/>
      <c r="TBU1094"/>
      <c r="TBV1094"/>
      <c r="TBY1094"/>
      <c r="TBZ1094"/>
      <c r="TCC1094"/>
      <c r="TCD1094"/>
      <c r="TCG1094"/>
      <c r="TCH1094"/>
      <c r="TCK1094"/>
      <c r="TCL1094"/>
      <c r="TCO1094"/>
      <c r="TCP1094"/>
      <c r="TCS1094"/>
      <c r="TCT1094"/>
      <c r="TCW1094"/>
      <c r="TCX1094"/>
      <c r="TDA1094"/>
      <c r="TDB1094"/>
      <c r="TDE1094"/>
      <c r="TDF1094"/>
      <c r="TDI1094"/>
      <c r="TDJ1094"/>
      <c r="TDM1094"/>
      <c r="TDN1094"/>
      <c r="TDQ1094"/>
      <c r="TDR1094"/>
      <c r="TDU1094"/>
      <c r="TDV1094"/>
      <c r="TDY1094"/>
      <c r="TDZ1094"/>
      <c r="TEC1094"/>
      <c r="TED1094"/>
      <c r="TEG1094"/>
      <c r="TEH1094"/>
      <c r="TEK1094"/>
      <c r="TEL1094"/>
      <c r="TEO1094"/>
      <c r="TEP1094"/>
      <c r="TES1094"/>
      <c r="TET1094"/>
      <c r="TEW1094"/>
      <c r="TEX1094"/>
      <c r="TFA1094"/>
      <c r="TFB1094"/>
      <c r="TFE1094"/>
      <c r="TFF1094"/>
      <c r="TFI1094"/>
      <c r="TFJ1094"/>
      <c r="TFM1094"/>
      <c r="TFN1094"/>
      <c r="TFQ1094"/>
      <c r="TFR1094"/>
      <c r="TFU1094"/>
      <c r="TFV1094"/>
      <c r="TFY1094"/>
      <c r="TFZ1094"/>
      <c r="TGC1094"/>
      <c r="TGD1094"/>
      <c r="TGG1094"/>
      <c r="TGH1094"/>
      <c r="TGK1094"/>
      <c r="TGL1094"/>
      <c r="TGO1094"/>
      <c r="TGP1094"/>
      <c r="TGS1094"/>
      <c r="TGT1094"/>
      <c r="TGW1094"/>
      <c r="TGX1094"/>
      <c r="THA1094"/>
      <c r="THB1094"/>
      <c r="THE1094"/>
      <c r="THF1094"/>
      <c r="THI1094"/>
      <c r="THJ1094"/>
      <c r="THM1094"/>
      <c r="THN1094"/>
      <c r="THQ1094"/>
      <c r="THR1094"/>
      <c r="THU1094"/>
      <c r="THV1094"/>
      <c r="THY1094"/>
      <c r="THZ1094"/>
      <c r="TIC1094"/>
      <c r="TID1094"/>
      <c r="TIG1094"/>
      <c r="TIH1094"/>
      <c r="TIK1094"/>
      <c r="TIL1094"/>
      <c r="TIO1094"/>
      <c r="TIP1094"/>
      <c r="TIS1094"/>
      <c r="TIT1094"/>
      <c r="TIW1094"/>
      <c r="TIX1094"/>
      <c r="TJA1094"/>
      <c r="TJB1094"/>
      <c r="TJE1094"/>
      <c r="TJF1094"/>
      <c r="TJI1094"/>
      <c r="TJJ1094"/>
      <c r="TJM1094"/>
      <c r="TJN1094"/>
      <c r="TJQ1094"/>
      <c r="TJR1094"/>
      <c r="TJU1094"/>
      <c r="TJV1094"/>
      <c r="TJY1094"/>
      <c r="TJZ1094"/>
      <c r="TKC1094"/>
      <c r="TKD1094"/>
      <c r="TKG1094"/>
      <c r="TKH1094"/>
      <c r="TKK1094"/>
      <c r="TKL1094"/>
      <c r="TKO1094"/>
      <c r="TKP1094"/>
      <c r="TKS1094"/>
      <c r="TKT1094"/>
      <c r="TKW1094"/>
      <c r="TKX1094"/>
      <c r="TLA1094"/>
      <c r="TLB1094"/>
      <c r="TLE1094"/>
      <c r="TLF1094"/>
      <c r="TLI1094"/>
      <c r="TLJ1094"/>
      <c r="TLM1094"/>
      <c r="TLN1094"/>
      <c r="TLQ1094"/>
      <c r="TLR1094"/>
      <c r="TLU1094"/>
      <c r="TLV1094"/>
      <c r="TLY1094"/>
      <c r="TLZ1094"/>
      <c r="TMC1094"/>
      <c r="TMD1094"/>
      <c r="TMG1094"/>
      <c r="TMH1094"/>
      <c r="TMK1094"/>
      <c r="TML1094"/>
      <c r="TMO1094"/>
      <c r="TMP1094"/>
      <c r="TMS1094"/>
      <c r="TMT1094"/>
      <c r="TMW1094"/>
      <c r="TMX1094"/>
      <c r="TNA1094"/>
      <c r="TNB1094"/>
      <c r="TNE1094"/>
      <c r="TNF1094"/>
      <c r="TNI1094"/>
      <c r="TNJ1094"/>
      <c r="TNM1094"/>
      <c r="TNN1094"/>
      <c r="TNQ1094"/>
      <c r="TNR1094"/>
      <c r="TNU1094"/>
      <c r="TNV1094"/>
      <c r="TNY1094"/>
      <c r="TNZ1094"/>
      <c r="TOC1094"/>
      <c r="TOD1094"/>
      <c r="TOG1094"/>
      <c r="TOH1094"/>
      <c r="TOK1094"/>
      <c r="TOL1094"/>
      <c r="TOO1094"/>
      <c r="TOP1094"/>
      <c r="TOS1094"/>
      <c r="TOT1094"/>
      <c r="TOW1094"/>
      <c r="TOX1094"/>
      <c r="TPA1094"/>
      <c r="TPB1094"/>
      <c r="TPE1094"/>
      <c r="TPF1094"/>
      <c r="TPI1094"/>
      <c r="TPJ1094"/>
      <c r="TPM1094"/>
      <c r="TPN1094"/>
      <c r="TPQ1094"/>
      <c r="TPR1094"/>
      <c r="TPU1094"/>
      <c r="TPV1094"/>
      <c r="TPY1094"/>
      <c r="TPZ1094"/>
      <c r="TQC1094"/>
      <c r="TQD1094"/>
      <c r="TQG1094"/>
      <c r="TQH1094"/>
      <c r="TQK1094"/>
      <c r="TQL1094"/>
      <c r="TQO1094"/>
      <c r="TQP1094"/>
      <c r="TQS1094"/>
      <c r="TQT1094"/>
      <c r="TQW1094"/>
      <c r="TQX1094"/>
      <c r="TRA1094"/>
      <c r="TRB1094"/>
      <c r="TRE1094"/>
      <c r="TRF1094"/>
      <c r="TRI1094"/>
      <c r="TRJ1094"/>
      <c r="TRM1094"/>
      <c r="TRN1094"/>
      <c r="TRQ1094"/>
      <c r="TRR1094"/>
      <c r="TRU1094"/>
      <c r="TRV1094"/>
      <c r="TRY1094"/>
      <c r="TRZ1094"/>
      <c r="TSC1094"/>
      <c r="TSD1094"/>
      <c r="TSG1094"/>
      <c r="TSH1094"/>
      <c r="TSK1094"/>
      <c r="TSL1094"/>
      <c r="TSO1094"/>
      <c r="TSP1094"/>
      <c r="TSS1094"/>
      <c r="TST1094"/>
      <c r="TSW1094"/>
      <c r="TSX1094"/>
      <c r="TTA1094"/>
      <c r="TTB1094"/>
      <c r="TTE1094"/>
      <c r="TTF1094"/>
      <c r="TTI1094"/>
      <c r="TTJ1094"/>
      <c r="TTM1094"/>
      <c r="TTN1094"/>
      <c r="TTQ1094"/>
      <c r="TTR1094"/>
      <c r="TTU1094"/>
      <c r="TTV1094"/>
      <c r="TTY1094"/>
      <c r="TTZ1094"/>
      <c r="TUC1094"/>
      <c r="TUD1094"/>
      <c r="TUG1094"/>
      <c r="TUH1094"/>
      <c r="TUK1094"/>
      <c r="TUL1094"/>
      <c r="TUO1094"/>
      <c r="TUP1094"/>
      <c r="TUS1094"/>
      <c r="TUT1094"/>
      <c r="TUW1094"/>
      <c r="TUX1094"/>
      <c r="TVA1094"/>
      <c r="TVB1094"/>
      <c r="TVE1094"/>
      <c r="TVF1094"/>
      <c r="TVI1094"/>
      <c r="TVJ1094"/>
      <c r="TVM1094"/>
      <c r="TVN1094"/>
      <c r="TVQ1094"/>
      <c r="TVR1094"/>
      <c r="TVU1094"/>
      <c r="TVV1094"/>
      <c r="TVY1094"/>
      <c r="TVZ1094"/>
      <c r="TWC1094"/>
      <c r="TWD1094"/>
      <c r="TWG1094"/>
      <c r="TWH1094"/>
      <c r="TWK1094"/>
      <c r="TWL1094"/>
      <c r="TWO1094"/>
      <c r="TWP1094"/>
      <c r="TWS1094"/>
      <c r="TWT1094"/>
      <c r="TWW1094"/>
      <c r="TWX1094"/>
      <c r="TXA1094"/>
      <c r="TXB1094"/>
      <c r="TXE1094"/>
      <c r="TXF1094"/>
      <c r="TXI1094"/>
      <c r="TXJ1094"/>
      <c r="TXM1094"/>
      <c r="TXN1094"/>
      <c r="TXQ1094"/>
      <c r="TXR1094"/>
      <c r="TXU1094"/>
      <c r="TXV1094"/>
      <c r="TXY1094"/>
      <c r="TXZ1094"/>
      <c r="TYC1094"/>
      <c r="TYD1094"/>
      <c r="TYG1094"/>
      <c r="TYH1094"/>
      <c r="TYK1094"/>
      <c r="TYL1094"/>
      <c r="TYO1094"/>
      <c r="TYP1094"/>
      <c r="TYS1094"/>
      <c r="TYT1094"/>
      <c r="TYW1094"/>
      <c r="TYX1094"/>
      <c r="TZA1094"/>
      <c r="TZB1094"/>
      <c r="TZE1094"/>
      <c r="TZF1094"/>
      <c r="TZI1094"/>
      <c r="TZJ1094"/>
      <c r="TZM1094"/>
      <c r="TZN1094"/>
      <c r="TZQ1094"/>
      <c r="TZR1094"/>
      <c r="TZU1094"/>
      <c r="TZV1094"/>
      <c r="TZY1094"/>
      <c r="TZZ1094"/>
      <c r="UAC1094"/>
      <c r="UAD1094"/>
      <c r="UAG1094"/>
      <c r="UAH1094"/>
      <c r="UAK1094"/>
      <c r="UAL1094"/>
      <c r="UAO1094"/>
      <c r="UAP1094"/>
      <c r="UAS1094"/>
      <c r="UAT1094"/>
      <c r="UAW1094"/>
      <c r="UAX1094"/>
      <c r="UBA1094"/>
      <c r="UBB1094"/>
      <c r="UBE1094"/>
      <c r="UBF1094"/>
      <c r="UBI1094"/>
      <c r="UBJ1094"/>
      <c r="UBM1094"/>
      <c r="UBN1094"/>
      <c r="UBQ1094"/>
      <c r="UBR1094"/>
      <c r="UBU1094"/>
      <c r="UBV1094"/>
      <c r="UBY1094"/>
      <c r="UBZ1094"/>
      <c r="UCC1094"/>
      <c r="UCD1094"/>
      <c r="UCG1094"/>
      <c r="UCH1094"/>
      <c r="UCK1094"/>
      <c r="UCL1094"/>
      <c r="UCO1094"/>
      <c r="UCP1094"/>
      <c r="UCS1094"/>
      <c r="UCT1094"/>
      <c r="UCW1094"/>
      <c r="UCX1094"/>
      <c r="UDA1094"/>
      <c r="UDB1094"/>
      <c r="UDE1094"/>
      <c r="UDF1094"/>
      <c r="UDI1094"/>
      <c r="UDJ1094"/>
      <c r="UDM1094"/>
      <c r="UDN1094"/>
      <c r="UDQ1094"/>
      <c r="UDR1094"/>
      <c r="UDU1094"/>
      <c r="UDV1094"/>
      <c r="UDY1094"/>
      <c r="UDZ1094"/>
      <c r="UEC1094"/>
      <c r="UED1094"/>
      <c r="UEG1094"/>
      <c r="UEH1094"/>
      <c r="UEK1094"/>
      <c r="UEL1094"/>
      <c r="UEO1094"/>
      <c r="UEP1094"/>
      <c r="UES1094"/>
      <c r="UET1094"/>
      <c r="UEW1094"/>
      <c r="UEX1094"/>
      <c r="UFA1094"/>
      <c r="UFB1094"/>
      <c r="UFE1094"/>
      <c r="UFF1094"/>
      <c r="UFI1094"/>
      <c r="UFJ1094"/>
      <c r="UFM1094"/>
      <c r="UFN1094"/>
      <c r="UFQ1094"/>
      <c r="UFR1094"/>
      <c r="UFU1094"/>
      <c r="UFV1094"/>
      <c r="UFY1094"/>
      <c r="UFZ1094"/>
      <c r="UGC1094"/>
      <c r="UGD1094"/>
      <c r="UGG1094"/>
      <c r="UGH1094"/>
      <c r="UGK1094"/>
      <c r="UGL1094"/>
      <c r="UGO1094"/>
      <c r="UGP1094"/>
      <c r="UGS1094"/>
      <c r="UGT1094"/>
      <c r="UGW1094"/>
      <c r="UGX1094"/>
      <c r="UHA1094"/>
      <c r="UHB1094"/>
      <c r="UHE1094"/>
      <c r="UHF1094"/>
      <c r="UHI1094"/>
      <c r="UHJ1094"/>
      <c r="UHM1094"/>
      <c r="UHN1094"/>
      <c r="UHQ1094"/>
      <c r="UHR1094"/>
      <c r="UHU1094"/>
      <c r="UHV1094"/>
      <c r="UHY1094"/>
      <c r="UHZ1094"/>
      <c r="UIC1094"/>
      <c r="UID1094"/>
      <c r="UIG1094"/>
      <c r="UIH1094"/>
      <c r="UIK1094"/>
      <c r="UIL1094"/>
      <c r="UIO1094"/>
      <c r="UIP1094"/>
      <c r="UIS1094"/>
      <c r="UIT1094"/>
      <c r="UIW1094"/>
      <c r="UIX1094"/>
      <c r="UJA1094"/>
      <c r="UJB1094"/>
      <c r="UJE1094"/>
      <c r="UJF1094"/>
      <c r="UJI1094"/>
      <c r="UJJ1094"/>
      <c r="UJM1094"/>
      <c r="UJN1094"/>
      <c r="UJQ1094"/>
      <c r="UJR1094"/>
      <c r="UJU1094"/>
      <c r="UJV1094"/>
      <c r="UJY1094"/>
      <c r="UJZ1094"/>
      <c r="UKC1094"/>
      <c r="UKD1094"/>
      <c r="UKG1094"/>
      <c r="UKH1094"/>
      <c r="UKK1094"/>
      <c r="UKL1094"/>
      <c r="UKO1094"/>
      <c r="UKP1094"/>
      <c r="UKS1094"/>
      <c r="UKT1094"/>
      <c r="UKW1094"/>
      <c r="UKX1094"/>
      <c r="ULA1094"/>
      <c r="ULB1094"/>
      <c r="ULE1094"/>
      <c r="ULF1094"/>
      <c r="ULI1094"/>
      <c r="ULJ1094"/>
      <c r="ULM1094"/>
      <c r="ULN1094"/>
      <c r="ULQ1094"/>
      <c r="ULR1094"/>
      <c r="ULU1094"/>
      <c r="ULV1094"/>
      <c r="ULY1094"/>
      <c r="ULZ1094"/>
      <c r="UMC1094"/>
      <c r="UMD1094"/>
      <c r="UMG1094"/>
      <c r="UMH1094"/>
      <c r="UMK1094"/>
      <c r="UML1094"/>
      <c r="UMO1094"/>
      <c r="UMP1094"/>
      <c r="UMS1094"/>
      <c r="UMT1094"/>
      <c r="UMW1094"/>
      <c r="UMX1094"/>
      <c r="UNA1094"/>
      <c r="UNB1094"/>
      <c r="UNE1094"/>
      <c r="UNF1094"/>
      <c r="UNI1094"/>
      <c r="UNJ1094"/>
      <c r="UNM1094"/>
      <c r="UNN1094"/>
      <c r="UNQ1094"/>
      <c r="UNR1094"/>
      <c r="UNU1094"/>
      <c r="UNV1094"/>
      <c r="UNY1094"/>
      <c r="UNZ1094"/>
      <c r="UOC1094"/>
      <c r="UOD1094"/>
      <c r="UOG1094"/>
      <c r="UOH1094"/>
      <c r="UOK1094"/>
      <c r="UOL1094"/>
      <c r="UOO1094"/>
      <c r="UOP1094"/>
      <c r="UOS1094"/>
      <c r="UOT1094"/>
      <c r="UOW1094"/>
      <c r="UOX1094"/>
      <c r="UPA1094"/>
      <c r="UPB1094"/>
      <c r="UPE1094"/>
      <c r="UPF1094"/>
      <c r="UPI1094"/>
      <c r="UPJ1094"/>
      <c r="UPM1094"/>
      <c r="UPN1094"/>
      <c r="UPQ1094"/>
      <c r="UPR1094"/>
      <c r="UPU1094"/>
      <c r="UPV1094"/>
      <c r="UPY1094"/>
      <c r="UPZ1094"/>
      <c r="UQC1094"/>
      <c r="UQD1094"/>
      <c r="UQG1094"/>
      <c r="UQH1094"/>
      <c r="UQK1094"/>
      <c r="UQL1094"/>
      <c r="UQO1094"/>
      <c r="UQP1094"/>
      <c r="UQS1094"/>
      <c r="UQT1094"/>
      <c r="UQW1094"/>
      <c r="UQX1094"/>
      <c r="URA1094"/>
      <c r="URB1094"/>
      <c r="URE1094"/>
      <c r="URF1094"/>
      <c r="URI1094"/>
      <c r="URJ1094"/>
      <c r="URM1094"/>
      <c r="URN1094"/>
      <c r="URQ1094"/>
      <c r="URR1094"/>
      <c r="URU1094"/>
      <c r="URV1094"/>
      <c r="URY1094"/>
      <c r="URZ1094"/>
      <c r="USC1094"/>
      <c r="USD1094"/>
      <c r="USG1094"/>
      <c r="USH1094"/>
      <c r="USK1094"/>
      <c r="USL1094"/>
      <c r="USO1094"/>
      <c r="USP1094"/>
      <c r="USS1094"/>
      <c r="UST1094"/>
      <c r="USW1094"/>
      <c r="USX1094"/>
      <c r="UTA1094"/>
      <c r="UTB1094"/>
      <c r="UTE1094"/>
      <c r="UTF1094"/>
      <c r="UTI1094"/>
      <c r="UTJ1094"/>
      <c r="UTM1094"/>
      <c r="UTN1094"/>
      <c r="UTQ1094"/>
      <c r="UTR1094"/>
      <c r="UTU1094"/>
      <c r="UTV1094"/>
      <c r="UTY1094"/>
      <c r="UTZ1094"/>
      <c r="UUC1094"/>
      <c r="UUD1094"/>
      <c r="UUG1094"/>
      <c r="UUH1094"/>
      <c r="UUK1094"/>
      <c r="UUL1094"/>
      <c r="UUO1094"/>
      <c r="UUP1094"/>
      <c r="UUS1094"/>
      <c r="UUT1094"/>
      <c r="UUW1094"/>
      <c r="UUX1094"/>
      <c r="UVA1094"/>
      <c r="UVB1094"/>
      <c r="UVE1094"/>
      <c r="UVF1094"/>
      <c r="UVI1094"/>
      <c r="UVJ1094"/>
      <c r="UVM1094"/>
      <c r="UVN1094"/>
      <c r="UVQ1094"/>
      <c r="UVR1094"/>
      <c r="UVU1094"/>
      <c r="UVV1094"/>
      <c r="UVY1094"/>
      <c r="UVZ1094"/>
      <c r="UWC1094"/>
      <c r="UWD1094"/>
      <c r="UWG1094"/>
      <c r="UWH1094"/>
      <c r="UWK1094"/>
      <c r="UWL1094"/>
      <c r="UWO1094"/>
      <c r="UWP1094"/>
      <c r="UWS1094"/>
      <c r="UWT1094"/>
      <c r="UWW1094"/>
      <c r="UWX1094"/>
      <c r="UXA1094"/>
      <c r="UXB1094"/>
      <c r="UXE1094"/>
      <c r="UXF1094"/>
      <c r="UXI1094"/>
      <c r="UXJ1094"/>
      <c r="UXM1094"/>
      <c r="UXN1094"/>
      <c r="UXQ1094"/>
      <c r="UXR1094"/>
      <c r="UXU1094"/>
      <c r="UXV1094"/>
      <c r="UXY1094"/>
      <c r="UXZ1094"/>
      <c r="UYC1094"/>
      <c r="UYD1094"/>
      <c r="UYG1094"/>
      <c r="UYH1094"/>
      <c r="UYK1094"/>
      <c r="UYL1094"/>
      <c r="UYO1094"/>
      <c r="UYP1094"/>
      <c r="UYS1094"/>
      <c r="UYT1094"/>
      <c r="UYW1094"/>
      <c r="UYX1094"/>
      <c r="UZA1094"/>
      <c r="UZB1094"/>
      <c r="UZE1094"/>
      <c r="UZF1094"/>
      <c r="UZI1094"/>
      <c r="UZJ1094"/>
      <c r="UZM1094"/>
      <c r="UZN1094"/>
      <c r="UZQ1094"/>
      <c r="UZR1094"/>
      <c r="UZU1094"/>
      <c r="UZV1094"/>
      <c r="UZY1094"/>
      <c r="UZZ1094"/>
      <c r="VAC1094"/>
      <c r="VAD1094"/>
      <c r="VAG1094"/>
      <c r="VAH1094"/>
      <c r="VAK1094"/>
      <c r="VAL1094"/>
      <c r="VAO1094"/>
      <c r="VAP1094"/>
      <c r="VAS1094"/>
      <c r="VAT1094"/>
      <c r="VAW1094"/>
      <c r="VAX1094"/>
      <c r="VBA1094"/>
      <c r="VBB1094"/>
      <c r="VBE1094"/>
      <c r="VBF1094"/>
      <c r="VBI1094"/>
      <c r="VBJ1094"/>
      <c r="VBM1094"/>
      <c r="VBN1094"/>
      <c r="VBQ1094"/>
      <c r="VBR1094"/>
      <c r="VBU1094"/>
      <c r="VBV1094"/>
      <c r="VBY1094"/>
      <c r="VBZ1094"/>
      <c r="VCC1094"/>
      <c r="VCD1094"/>
      <c r="VCG1094"/>
      <c r="VCH1094"/>
      <c r="VCK1094"/>
      <c r="VCL1094"/>
      <c r="VCO1094"/>
      <c r="VCP1094"/>
      <c r="VCS1094"/>
      <c r="VCT1094"/>
      <c r="VCW1094"/>
      <c r="VCX1094"/>
      <c r="VDA1094"/>
      <c r="VDB1094"/>
      <c r="VDE1094"/>
      <c r="VDF1094"/>
      <c r="VDI1094"/>
      <c r="VDJ1094"/>
      <c r="VDM1094"/>
      <c r="VDN1094"/>
      <c r="VDQ1094"/>
      <c r="VDR1094"/>
      <c r="VDU1094"/>
      <c r="VDV1094"/>
      <c r="VDY1094"/>
      <c r="VDZ1094"/>
      <c r="VEC1094"/>
      <c r="VED1094"/>
      <c r="VEG1094"/>
      <c r="VEH1094"/>
      <c r="VEK1094"/>
      <c r="VEL1094"/>
      <c r="VEO1094"/>
      <c r="VEP1094"/>
      <c r="VES1094"/>
      <c r="VET1094"/>
      <c r="VEW1094"/>
      <c r="VEX1094"/>
      <c r="VFA1094"/>
      <c r="VFB1094"/>
      <c r="VFE1094"/>
      <c r="VFF1094"/>
      <c r="VFI1094"/>
      <c r="VFJ1094"/>
      <c r="VFM1094"/>
      <c r="VFN1094"/>
      <c r="VFQ1094"/>
      <c r="VFR1094"/>
      <c r="VFU1094"/>
      <c r="VFV1094"/>
      <c r="VFY1094"/>
      <c r="VFZ1094"/>
      <c r="VGC1094"/>
      <c r="VGD1094"/>
      <c r="VGG1094"/>
      <c r="VGH1094"/>
      <c r="VGK1094"/>
      <c r="VGL1094"/>
      <c r="VGO1094"/>
      <c r="VGP1094"/>
      <c r="VGS1094"/>
      <c r="VGT1094"/>
      <c r="VGW1094"/>
      <c r="VGX1094"/>
      <c r="VHA1094"/>
      <c r="VHB1094"/>
      <c r="VHE1094"/>
      <c r="VHF1094"/>
      <c r="VHI1094"/>
      <c r="VHJ1094"/>
      <c r="VHM1094"/>
      <c r="VHN1094"/>
      <c r="VHQ1094"/>
      <c r="VHR1094"/>
      <c r="VHU1094"/>
      <c r="VHV1094"/>
      <c r="VHY1094"/>
      <c r="VHZ1094"/>
      <c r="VIC1094"/>
      <c r="VID1094"/>
      <c r="VIG1094"/>
      <c r="VIH1094"/>
      <c r="VIK1094"/>
      <c r="VIL1094"/>
      <c r="VIO1094"/>
      <c r="VIP1094"/>
      <c r="VIS1094"/>
      <c r="VIT1094"/>
      <c r="VIW1094"/>
      <c r="VIX1094"/>
      <c r="VJA1094"/>
      <c r="VJB1094"/>
      <c r="VJE1094"/>
      <c r="VJF1094"/>
      <c r="VJI1094"/>
      <c r="VJJ1094"/>
      <c r="VJM1094"/>
      <c r="VJN1094"/>
      <c r="VJQ1094"/>
      <c r="VJR1094"/>
      <c r="VJU1094"/>
      <c r="VJV1094"/>
      <c r="VJY1094"/>
      <c r="VJZ1094"/>
      <c r="VKC1094"/>
      <c r="VKD1094"/>
      <c r="VKG1094"/>
      <c r="VKH1094"/>
      <c r="VKK1094"/>
      <c r="VKL1094"/>
      <c r="VKO1094"/>
      <c r="VKP1094"/>
      <c r="VKS1094"/>
      <c r="VKT1094"/>
      <c r="VKW1094"/>
      <c r="VKX1094"/>
      <c r="VLA1094"/>
      <c r="VLB1094"/>
      <c r="VLE1094"/>
      <c r="VLF1094"/>
      <c r="VLI1094"/>
      <c r="VLJ1094"/>
      <c r="VLM1094"/>
      <c r="VLN1094"/>
      <c r="VLQ1094"/>
      <c r="VLR1094"/>
      <c r="VLU1094"/>
      <c r="VLV1094"/>
      <c r="VLY1094"/>
      <c r="VLZ1094"/>
      <c r="VMC1094"/>
      <c r="VMD1094"/>
      <c r="VMG1094"/>
      <c r="VMH1094"/>
      <c r="VMK1094"/>
      <c r="VML1094"/>
      <c r="VMO1094"/>
      <c r="VMP1094"/>
      <c r="VMS1094"/>
      <c r="VMT1094"/>
      <c r="VMW1094"/>
      <c r="VMX1094"/>
      <c r="VNA1094"/>
      <c r="VNB1094"/>
      <c r="VNE1094"/>
      <c r="VNF1094"/>
      <c r="VNI1094"/>
      <c r="VNJ1094"/>
      <c r="VNM1094"/>
      <c r="VNN1094"/>
      <c r="VNQ1094"/>
      <c r="VNR1094"/>
      <c r="VNU1094"/>
      <c r="VNV1094"/>
      <c r="VNY1094"/>
      <c r="VNZ1094"/>
      <c r="VOC1094"/>
      <c r="VOD1094"/>
      <c r="VOG1094"/>
      <c r="VOH1094"/>
      <c r="VOK1094"/>
      <c r="VOL1094"/>
      <c r="VOO1094"/>
      <c r="VOP1094"/>
      <c r="VOS1094"/>
      <c r="VOT1094"/>
      <c r="VOW1094"/>
      <c r="VOX1094"/>
      <c r="VPA1094"/>
      <c r="VPB1094"/>
      <c r="VPE1094"/>
      <c r="VPF1094"/>
      <c r="VPI1094"/>
      <c r="VPJ1094"/>
      <c r="VPM1094"/>
      <c r="VPN1094"/>
      <c r="VPQ1094"/>
      <c r="VPR1094"/>
      <c r="VPU1094"/>
      <c r="VPV1094"/>
      <c r="VPY1094"/>
      <c r="VPZ1094"/>
      <c r="VQC1094"/>
      <c r="VQD1094"/>
      <c r="VQG1094"/>
      <c r="VQH1094"/>
      <c r="VQK1094"/>
      <c r="VQL1094"/>
      <c r="VQO1094"/>
      <c r="VQP1094"/>
      <c r="VQS1094"/>
      <c r="VQT1094"/>
      <c r="VQW1094"/>
      <c r="VQX1094"/>
      <c r="VRA1094"/>
      <c r="VRB1094"/>
      <c r="VRE1094"/>
      <c r="VRF1094"/>
      <c r="VRI1094"/>
      <c r="VRJ1094"/>
      <c r="VRM1094"/>
      <c r="VRN1094"/>
      <c r="VRQ1094"/>
      <c r="VRR1094"/>
      <c r="VRU1094"/>
      <c r="VRV1094"/>
      <c r="VRY1094"/>
      <c r="VRZ1094"/>
      <c r="VSC1094"/>
      <c r="VSD1094"/>
      <c r="VSG1094"/>
      <c r="VSH1094"/>
      <c r="VSK1094"/>
      <c r="VSL1094"/>
      <c r="VSO1094"/>
      <c r="VSP1094"/>
      <c r="VSS1094"/>
      <c r="VST1094"/>
      <c r="VSW1094"/>
      <c r="VSX1094"/>
      <c r="VTA1094"/>
      <c r="VTB1094"/>
      <c r="VTE1094"/>
      <c r="VTF1094"/>
      <c r="VTI1094"/>
      <c r="VTJ1094"/>
      <c r="VTM1094"/>
      <c r="VTN1094"/>
      <c r="VTQ1094"/>
      <c r="VTR1094"/>
      <c r="VTU1094"/>
      <c r="VTV1094"/>
      <c r="VTY1094"/>
      <c r="VTZ1094"/>
      <c r="VUC1094"/>
      <c r="VUD1094"/>
      <c r="VUG1094"/>
      <c r="VUH1094"/>
      <c r="VUK1094"/>
      <c r="VUL1094"/>
      <c r="VUO1094"/>
      <c r="VUP1094"/>
      <c r="VUS1094"/>
      <c r="VUT1094"/>
      <c r="VUW1094"/>
      <c r="VUX1094"/>
      <c r="VVA1094"/>
      <c r="VVB1094"/>
      <c r="VVE1094"/>
      <c r="VVF1094"/>
      <c r="VVI1094"/>
      <c r="VVJ1094"/>
      <c r="VVM1094"/>
      <c r="VVN1094"/>
      <c r="VVQ1094"/>
      <c r="VVR1094"/>
      <c r="VVU1094"/>
      <c r="VVV1094"/>
      <c r="VVY1094"/>
      <c r="VVZ1094"/>
      <c r="VWC1094"/>
      <c r="VWD1094"/>
      <c r="VWG1094"/>
      <c r="VWH1094"/>
      <c r="VWK1094"/>
      <c r="VWL1094"/>
      <c r="VWO1094"/>
      <c r="VWP1094"/>
      <c r="VWS1094"/>
      <c r="VWT1094"/>
      <c r="VWW1094"/>
      <c r="VWX1094"/>
      <c r="VXA1094"/>
      <c r="VXB1094"/>
      <c r="VXE1094"/>
      <c r="VXF1094"/>
      <c r="VXI1094"/>
      <c r="VXJ1094"/>
      <c r="VXM1094"/>
      <c r="VXN1094"/>
      <c r="VXQ1094"/>
      <c r="VXR1094"/>
      <c r="VXU1094"/>
      <c r="VXV1094"/>
      <c r="VXY1094"/>
      <c r="VXZ1094"/>
      <c r="VYC1094"/>
      <c r="VYD1094"/>
      <c r="VYG1094"/>
      <c r="VYH1094"/>
      <c r="VYK1094"/>
      <c r="VYL1094"/>
      <c r="VYO1094"/>
      <c r="VYP1094"/>
      <c r="VYS1094"/>
      <c r="VYT1094"/>
      <c r="VYW1094"/>
      <c r="VYX1094"/>
      <c r="VZA1094"/>
      <c r="VZB1094"/>
      <c r="VZE1094"/>
      <c r="VZF1094"/>
      <c r="VZI1094"/>
      <c r="VZJ1094"/>
      <c r="VZM1094"/>
      <c r="VZN1094"/>
      <c r="VZQ1094"/>
      <c r="VZR1094"/>
      <c r="VZU1094"/>
      <c r="VZV1094"/>
      <c r="VZY1094"/>
      <c r="VZZ1094"/>
      <c r="WAC1094"/>
      <c r="WAD1094"/>
      <c r="WAG1094"/>
      <c r="WAH1094"/>
      <c r="WAK1094"/>
      <c r="WAL1094"/>
      <c r="WAO1094"/>
      <c r="WAP1094"/>
      <c r="WAS1094"/>
      <c r="WAT1094"/>
      <c r="WAW1094"/>
      <c r="WAX1094"/>
      <c r="WBA1094"/>
      <c r="WBB1094"/>
      <c r="WBE1094"/>
      <c r="WBF1094"/>
      <c r="WBI1094"/>
      <c r="WBJ1094"/>
      <c r="WBM1094"/>
      <c r="WBN1094"/>
      <c r="WBQ1094"/>
      <c r="WBR1094"/>
      <c r="WBU1094"/>
      <c r="WBV1094"/>
      <c r="WBY1094"/>
      <c r="WBZ1094"/>
      <c r="WCC1094"/>
      <c r="WCD1094"/>
      <c r="WCG1094"/>
      <c r="WCH1094"/>
      <c r="WCK1094"/>
      <c r="WCL1094"/>
      <c r="WCO1094"/>
      <c r="WCP1094"/>
      <c r="WCS1094"/>
      <c r="WCT1094"/>
      <c r="WCW1094"/>
      <c r="WCX1094"/>
      <c r="WDA1094"/>
      <c r="WDB1094"/>
      <c r="WDE1094"/>
      <c r="WDF1094"/>
      <c r="WDI1094"/>
      <c r="WDJ1094"/>
      <c r="WDM1094"/>
      <c r="WDN1094"/>
      <c r="WDQ1094"/>
      <c r="WDR1094"/>
      <c r="WDU1094"/>
      <c r="WDV1094"/>
      <c r="WDY1094"/>
      <c r="WDZ1094"/>
      <c r="WEC1094"/>
      <c r="WED1094"/>
      <c r="WEG1094"/>
      <c r="WEH1094"/>
      <c r="WEK1094"/>
      <c r="WEL1094"/>
      <c r="WEO1094"/>
      <c r="WEP1094"/>
      <c r="WES1094"/>
      <c r="WET1094"/>
      <c r="WEW1094"/>
      <c r="WEX1094"/>
      <c r="WFA1094"/>
      <c r="WFB1094"/>
      <c r="WFE1094"/>
      <c r="WFF1094"/>
      <c r="WFI1094"/>
      <c r="WFJ1094"/>
      <c r="WFM1094"/>
      <c r="WFN1094"/>
      <c r="WFQ1094"/>
      <c r="WFR1094"/>
      <c r="WFU1094"/>
      <c r="WFV1094"/>
      <c r="WFY1094"/>
      <c r="WFZ1094"/>
      <c r="WGC1094"/>
      <c r="WGD1094"/>
      <c r="WGG1094"/>
      <c r="WGH1094"/>
      <c r="WGK1094"/>
      <c r="WGL1094"/>
      <c r="WGO1094"/>
      <c r="WGP1094"/>
      <c r="WGS1094"/>
      <c r="WGT1094"/>
      <c r="WGW1094"/>
      <c r="WGX1094"/>
      <c r="WHA1094"/>
      <c r="WHB1094"/>
      <c r="WHE1094"/>
      <c r="WHF1094"/>
      <c r="WHI1094"/>
      <c r="WHJ1094"/>
      <c r="WHM1094"/>
      <c r="WHN1094"/>
      <c r="WHQ1094"/>
      <c r="WHR1094"/>
      <c r="WHU1094"/>
      <c r="WHV1094"/>
      <c r="WHY1094"/>
      <c r="WHZ1094"/>
      <c r="WIC1094"/>
      <c r="WID1094"/>
      <c r="WIG1094"/>
      <c r="WIH1094"/>
      <c r="WIK1094"/>
      <c r="WIL1094"/>
      <c r="WIO1094"/>
      <c r="WIP1094"/>
      <c r="WIS1094"/>
      <c r="WIT1094"/>
      <c r="WIW1094"/>
      <c r="WIX1094"/>
      <c r="WJA1094"/>
      <c r="WJB1094"/>
      <c r="WJE1094"/>
      <c r="WJF1094"/>
      <c r="WJI1094"/>
      <c r="WJJ1094"/>
      <c r="WJM1094"/>
      <c r="WJN1094"/>
      <c r="WJQ1094"/>
      <c r="WJR1094"/>
      <c r="WJU1094"/>
      <c r="WJV1094"/>
      <c r="WJY1094"/>
      <c r="WJZ1094"/>
      <c r="WKC1094"/>
      <c r="WKD1094"/>
      <c r="WKG1094"/>
      <c r="WKH1094"/>
      <c r="WKK1094"/>
      <c r="WKL1094"/>
      <c r="WKO1094"/>
      <c r="WKP1094"/>
      <c r="WKS1094"/>
      <c r="WKT1094"/>
      <c r="WKW1094"/>
      <c r="WKX1094"/>
      <c r="WLA1094"/>
      <c r="WLB1094"/>
      <c r="WLE1094"/>
      <c r="WLF1094"/>
      <c r="WLI1094"/>
      <c r="WLJ1094"/>
      <c r="WLM1094"/>
      <c r="WLN1094"/>
      <c r="WLQ1094"/>
      <c r="WLR1094"/>
      <c r="WLU1094"/>
      <c r="WLV1094"/>
      <c r="WLY1094"/>
      <c r="WLZ1094"/>
      <c r="WMC1094"/>
      <c r="WMD1094"/>
      <c r="WMG1094"/>
      <c r="WMH1094"/>
      <c r="WMK1094"/>
      <c r="WML1094"/>
      <c r="WMO1094"/>
      <c r="WMP1094"/>
      <c r="WMS1094"/>
      <c r="WMT1094"/>
      <c r="WMW1094"/>
      <c r="WMX1094"/>
      <c r="WNA1094"/>
      <c r="WNB1094"/>
      <c r="WNE1094"/>
      <c r="WNF1094"/>
      <c r="WNI1094"/>
      <c r="WNJ1094"/>
      <c r="WNM1094"/>
      <c r="WNN1094"/>
      <c r="WNQ1094"/>
      <c r="WNR1094"/>
      <c r="WNU1094"/>
      <c r="WNV1094"/>
      <c r="WNY1094"/>
      <c r="WNZ1094"/>
      <c r="WOC1094"/>
      <c r="WOD1094"/>
      <c r="WOG1094"/>
      <c r="WOH1094"/>
      <c r="WOK1094"/>
      <c r="WOL1094"/>
      <c r="WOO1094"/>
      <c r="WOP1094"/>
      <c r="WOS1094"/>
      <c r="WOT1094"/>
      <c r="WOW1094"/>
      <c r="WOX1094"/>
      <c r="WPA1094"/>
      <c r="WPB1094"/>
      <c r="WPE1094"/>
      <c r="WPF1094"/>
      <c r="WPI1094"/>
      <c r="WPJ1094"/>
      <c r="WPM1094"/>
      <c r="WPN1094"/>
      <c r="WPQ1094"/>
      <c r="WPR1094"/>
      <c r="WPU1094"/>
      <c r="WPV1094"/>
      <c r="WPY1094"/>
      <c r="WPZ1094"/>
      <c r="WQC1094"/>
      <c r="WQD1094"/>
      <c r="WQG1094"/>
      <c r="WQH1094"/>
      <c r="WQK1094"/>
      <c r="WQL1094"/>
      <c r="WQO1094"/>
      <c r="WQP1094"/>
      <c r="WQS1094"/>
      <c r="WQT1094"/>
      <c r="WQW1094"/>
      <c r="WQX1094"/>
      <c r="WRA1094"/>
      <c r="WRB1094"/>
      <c r="WRE1094"/>
      <c r="WRF1094"/>
      <c r="WRI1094"/>
      <c r="WRJ1094"/>
      <c r="WRM1094"/>
      <c r="WRN1094"/>
      <c r="WRQ1094"/>
      <c r="WRR1094"/>
      <c r="WRU1094"/>
      <c r="WRV1094"/>
      <c r="WRY1094"/>
      <c r="WRZ1094"/>
      <c r="WSC1094"/>
      <c r="WSD1094"/>
      <c r="WSG1094"/>
      <c r="WSH1094"/>
      <c r="WSK1094"/>
      <c r="WSL1094"/>
      <c r="WSO1094"/>
      <c r="WSP1094"/>
      <c r="WSS1094"/>
      <c r="WST1094"/>
      <c r="WSW1094"/>
      <c r="WSX1094"/>
      <c r="WTA1094"/>
      <c r="WTB1094"/>
      <c r="WTE1094"/>
      <c r="WTF1094"/>
      <c r="WTI1094"/>
      <c r="WTJ1094"/>
      <c r="WTM1094"/>
      <c r="WTN1094"/>
      <c r="WTQ1094"/>
      <c r="WTR1094"/>
      <c r="WTU1094"/>
      <c r="WTV1094"/>
      <c r="WTY1094"/>
      <c r="WTZ1094"/>
      <c r="WUC1094"/>
      <c r="WUD1094"/>
      <c r="WUG1094"/>
      <c r="WUH1094"/>
      <c r="WUK1094"/>
      <c r="WUL1094"/>
      <c r="WUO1094"/>
      <c r="WUP1094"/>
      <c r="WUS1094"/>
      <c r="WUT1094"/>
      <c r="WUW1094"/>
      <c r="WUX1094"/>
      <c r="WVA1094"/>
      <c r="WVB1094"/>
      <c r="WVE1094"/>
      <c r="WVF1094"/>
      <c r="WVI1094"/>
      <c r="WVJ1094"/>
      <c r="WVM1094"/>
      <c r="WVN1094"/>
      <c r="WVQ1094"/>
      <c r="WVR1094"/>
      <c r="WVU1094"/>
      <c r="WVV1094"/>
      <c r="WVY1094"/>
      <c r="WVZ1094"/>
      <c r="WWC1094"/>
      <c r="WWD1094"/>
      <c r="WWG1094"/>
      <c r="WWH1094"/>
      <c r="WWK1094"/>
      <c r="WWL1094"/>
      <c r="WWO1094"/>
      <c r="WWP1094"/>
      <c r="WWS1094"/>
      <c r="WWT1094"/>
      <c r="WWW1094"/>
      <c r="WWX1094"/>
      <c r="WXA1094"/>
      <c r="WXB1094"/>
      <c r="WXE1094"/>
      <c r="WXF1094"/>
      <c r="WXI1094"/>
      <c r="WXJ1094"/>
      <c r="WXM1094"/>
      <c r="WXN1094"/>
      <c r="WXQ1094"/>
      <c r="WXR1094"/>
      <c r="WXU1094"/>
      <c r="WXV1094"/>
      <c r="WXY1094"/>
      <c r="WXZ1094"/>
      <c r="WYC1094"/>
      <c r="WYD1094"/>
      <c r="WYG1094"/>
      <c r="WYH1094"/>
      <c r="WYK1094"/>
      <c r="WYL1094"/>
      <c r="WYO1094"/>
      <c r="WYP1094"/>
      <c r="WYS1094"/>
      <c r="WYT1094"/>
      <c r="WYW1094"/>
      <c r="WYX1094"/>
      <c r="WZA1094"/>
      <c r="WZB1094"/>
      <c r="WZE1094"/>
      <c r="WZF1094"/>
      <c r="WZI1094"/>
      <c r="WZJ1094"/>
      <c r="WZM1094"/>
      <c r="WZN1094"/>
      <c r="WZQ1094"/>
      <c r="WZR1094"/>
      <c r="WZU1094"/>
      <c r="WZV1094"/>
      <c r="WZY1094"/>
      <c r="WZZ1094"/>
      <c r="XAC1094"/>
      <c r="XAD1094"/>
      <c r="XAG1094"/>
      <c r="XAH1094"/>
      <c r="XAK1094"/>
      <c r="XAL1094"/>
      <c r="XAO1094"/>
      <c r="XAP1094"/>
      <c r="XAS1094"/>
      <c r="XAT1094"/>
      <c r="XAW1094"/>
      <c r="XAX1094"/>
      <c r="XBA1094"/>
      <c r="XBB1094"/>
      <c r="XBE1094"/>
      <c r="XBF1094"/>
      <c r="XBI1094"/>
      <c r="XBJ1094"/>
      <c r="XBM1094"/>
      <c r="XBN1094"/>
      <c r="XBQ1094"/>
      <c r="XBR1094"/>
      <c r="XBU1094"/>
      <c r="XBV1094"/>
      <c r="XBY1094"/>
      <c r="XBZ1094"/>
      <c r="XCC1094"/>
      <c r="XCD1094"/>
      <c r="XCG1094"/>
      <c r="XCH1094"/>
      <c r="XCK1094"/>
      <c r="XCL1094"/>
      <c r="XCO1094"/>
      <c r="XCP1094"/>
      <c r="XCS1094"/>
      <c r="XCT1094"/>
      <c r="XCW1094"/>
      <c r="XCX1094"/>
      <c r="XDA1094"/>
      <c r="XDB1094"/>
      <c r="XDE1094"/>
      <c r="XDF1094"/>
      <c r="XDI1094"/>
      <c r="XDJ1094"/>
      <c r="XDM1094"/>
      <c r="XDN1094"/>
      <c r="XDQ1094"/>
      <c r="XDR1094"/>
      <c r="XDU1094"/>
      <c r="XDV1094"/>
      <c r="XDY1094"/>
      <c r="XDZ1094"/>
      <c r="XEC1094"/>
      <c r="XED1094"/>
      <c r="XEG1094"/>
      <c r="XEH1094"/>
      <c r="XEK1094"/>
      <c r="XEL1094"/>
      <c r="XEO1094"/>
      <c r="XEP1094"/>
      <c r="XES1094"/>
      <c r="XET1094"/>
      <c r="XEW1094"/>
      <c r="XEX1094"/>
      <c r="XFA1094"/>
      <c r="XFB1094"/>
    </row>
    <row r="1095" spans="1:1022 1025:2046 2049:3070 3073:4094 4097:5118 5121:6142 6145:7166 7169:8190 8193:9214 9217:10238 10241:11262 11265:12286 12289:13310 13313:14334 14337:15358 15361:16382" s="15" customFormat="1" outlineLevel="1" x14ac:dyDescent="0.3">
      <c r="A1095" t="s">
        <v>1818</v>
      </c>
      <c r="B1095" t="s">
        <v>266</v>
      </c>
      <c r="C1095" s="15" t="s">
        <v>10</v>
      </c>
      <c r="D1095" s="15" t="s">
        <v>1819</v>
      </c>
      <c r="E1095" t="s">
        <v>8522</v>
      </c>
      <c r="F1095"/>
      <c r="I1095"/>
      <c r="J1095" t="inlineStr">
        <is>
          <t>Storage</t>
        </is>
      </c>
      <c r="K1095" t="inlineStr">
        <is>
          <t>QNL/BF.jpg</t>
        </is>
      </c>
      <c r="L1095" t="inlineStr">
        <is>
          <t>SAME - screen and column D name the same room</t>
        </is>
      </c>
      <c r="N1095"/>
      <c r="Q1095"/>
      <c r="R1095"/>
      <c r="U1095"/>
      <c r="V1095"/>
      <c r="Y1095"/>
      <c r="Z1095"/>
      <c r="AC1095"/>
      <c r="AD1095"/>
      <c r="AG1095"/>
      <c r="AH1095"/>
      <c r="AK1095"/>
      <c r="AL1095"/>
      <c r="AO1095"/>
      <c r="AP1095"/>
      <c r="AS1095"/>
      <c r="AT1095"/>
      <c r="AW1095"/>
      <c r="AX1095"/>
      <c r="BA1095"/>
      <c r="BB1095"/>
      <c r="BE1095"/>
      <c r="BF1095"/>
      <c r="BI1095"/>
      <c r="BJ1095"/>
      <c r="BM1095"/>
      <c r="BN1095"/>
      <c r="BQ1095"/>
      <c r="BR1095"/>
      <c r="BU1095"/>
      <c r="BV1095"/>
      <c r="BY1095"/>
      <c r="BZ1095"/>
      <c r="CC1095"/>
      <c r="CD1095"/>
      <c r="CG1095"/>
      <c r="CH1095"/>
      <c r="CK1095"/>
      <c r="CL1095"/>
      <c r="CO1095"/>
      <c r="CP1095"/>
      <c r="CS1095"/>
      <c r="CT1095"/>
      <c r="CW1095"/>
      <c r="CX1095"/>
      <c r="DA1095"/>
      <c r="DB1095"/>
      <c r="DE1095"/>
      <c r="DF1095"/>
      <c r="DI1095"/>
      <c r="DJ1095"/>
      <c r="DM1095"/>
      <c r="DN1095"/>
      <c r="DQ1095"/>
      <c r="DR1095"/>
      <c r="DU1095"/>
      <c r="DV1095"/>
      <c r="DY1095"/>
      <c r="DZ1095"/>
      <c r="EC1095"/>
      <c r="ED1095"/>
      <c r="EG1095"/>
      <c r="EH1095"/>
      <c r="EK1095"/>
      <c r="EL1095"/>
      <c r="EO1095"/>
      <c r="EP1095"/>
      <c r="ES1095"/>
      <c r="ET1095"/>
      <c r="EW1095"/>
      <c r="EX1095"/>
      <c r="FA1095"/>
      <c r="FB1095"/>
      <c r="FE1095"/>
      <c r="FF1095"/>
      <c r="FI1095"/>
      <c r="FJ1095"/>
      <c r="FM1095"/>
      <c r="FN1095"/>
      <c r="FQ1095"/>
      <c r="FR1095"/>
      <c r="FU1095"/>
      <c r="FV1095"/>
      <c r="FY1095"/>
      <c r="FZ1095"/>
      <c r="GC1095"/>
      <c r="GD1095"/>
      <c r="GG1095"/>
      <c r="GH1095"/>
      <c r="GK1095"/>
      <c r="GL1095"/>
      <c r="GO1095"/>
      <c r="GP1095"/>
      <c r="GS1095"/>
      <c r="GT1095"/>
      <c r="GW1095"/>
      <c r="GX1095"/>
      <c r="HA1095"/>
      <c r="HB1095"/>
      <c r="HE1095"/>
      <c r="HF1095"/>
      <c r="HI1095"/>
      <c r="HJ1095"/>
      <c r="HM1095"/>
      <c r="HN1095"/>
      <c r="HQ1095"/>
      <c r="HR1095"/>
      <c r="HU1095"/>
      <c r="HV1095"/>
      <c r="HY1095"/>
      <c r="HZ1095"/>
      <c r="IC1095"/>
      <c r="ID1095"/>
      <c r="IG1095"/>
      <c r="IH1095"/>
      <c r="IK1095"/>
      <c r="IL1095"/>
      <c r="IO1095"/>
      <c r="IP1095"/>
      <c r="IS1095"/>
      <c r="IT1095"/>
      <c r="IW1095"/>
      <c r="IX1095"/>
      <c r="JA1095"/>
      <c r="JB1095"/>
      <c r="JE1095"/>
      <c r="JF1095"/>
      <c r="JI1095"/>
      <c r="JJ1095"/>
      <c r="JM1095"/>
      <c r="JN1095"/>
      <c r="JQ1095"/>
      <c r="JR1095"/>
      <c r="JU1095"/>
      <c r="JV1095"/>
      <c r="JY1095"/>
      <c r="JZ1095"/>
      <c r="KC1095"/>
      <c r="KD1095"/>
      <c r="KG1095"/>
      <c r="KH1095"/>
      <c r="KK1095"/>
      <c r="KL1095"/>
      <c r="KO1095"/>
      <c r="KP1095"/>
      <c r="KS1095"/>
      <c r="KT1095"/>
      <c r="KW1095"/>
      <c r="KX1095"/>
      <c r="LA1095"/>
      <c r="LB1095"/>
      <c r="LE1095"/>
      <c r="LF1095"/>
      <c r="LI1095"/>
      <c r="LJ1095"/>
      <c r="LM1095"/>
      <c r="LN1095"/>
      <c r="LQ1095"/>
      <c r="LR1095"/>
      <c r="LU1095"/>
      <c r="LV1095"/>
      <c r="LY1095"/>
      <c r="LZ1095"/>
      <c r="MC1095"/>
      <c r="MD1095"/>
      <c r="MG1095"/>
      <c r="MH1095"/>
      <c r="MK1095"/>
      <c r="ML1095"/>
      <c r="MO1095"/>
      <c r="MP1095"/>
      <c r="MS1095"/>
      <c r="MT1095"/>
      <c r="MW1095"/>
      <c r="MX1095"/>
      <c r="NA1095"/>
      <c r="NB1095"/>
      <c r="NE1095"/>
      <c r="NF1095"/>
      <c r="NI1095"/>
      <c r="NJ1095"/>
      <c r="NM1095"/>
      <c r="NN1095"/>
      <c r="NQ1095"/>
      <c r="NR1095"/>
      <c r="NU1095"/>
      <c r="NV1095"/>
      <c r="NY1095"/>
      <c r="NZ1095"/>
      <c r="OC1095"/>
      <c r="OD1095"/>
      <c r="OG1095"/>
      <c r="OH1095"/>
      <c r="OK1095"/>
      <c r="OL1095"/>
      <c r="OO1095"/>
      <c r="OP1095"/>
      <c r="OS1095"/>
      <c r="OT1095"/>
      <c r="OW1095"/>
      <c r="OX1095"/>
      <c r="PA1095"/>
      <c r="PB1095"/>
      <c r="PE1095"/>
      <c r="PF1095"/>
      <c r="PI1095"/>
      <c r="PJ1095"/>
      <c r="PM1095"/>
      <c r="PN1095"/>
      <c r="PQ1095"/>
      <c r="PR1095"/>
      <c r="PU1095"/>
      <c r="PV1095"/>
      <c r="PY1095"/>
      <c r="PZ1095"/>
      <c r="QC1095"/>
      <c r="QD1095"/>
      <c r="QG1095"/>
      <c r="QH1095"/>
      <c r="QK1095"/>
      <c r="QL1095"/>
      <c r="QO1095"/>
      <c r="QP1095"/>
      <c r="QS1095"/>
      <c r="QT1095"/>
      <c r="QW1095"/>
      <c r="QX1095"/>
      <c r="RA1095"/>
      <c r="RB1095"/>
      <c r="RE1095"/>
      <c r="RF1095"/>
      <c r="RI1095"/>
      <c r="RJ1095"/>
      <c r="RM1095"/>
      <c r="RN1095"/>
      <c r="RQ1095"/>
      <c r="RR1095"/>
      <c r="RU1095"/>
      <c r="RV1095"/>
      <c r="RY1095"/>
      <c r="RZ1095"/>
      <c r="SC1095"/>
      <c r="SD1095"/>
      <c r="SG1095"/>
      <c r="SH1095"/>
      <c r="SK1095"/>
      <c r="SL1095"/>
      <c r="SO1095"/>
      <c r="SP1095"/>
      <c r="SS1095"/>
      <c r="ST1095"/>
      <c r="SW1095"/>
      <c r="SX1095"/>
      <c r="TA1095"/>
      <c r="TB1095"/>
      <c r="TE1095"/>
      <c r="TF1095"/>
      <c r="TI1095"/>
      <c r="TJ1095"/>
      <c r="TM1095"/>
      <c r="TN1095"/>
      <c r="TQ1095"/>
      <c r="TR1095"/>
      <c r="TU1095"/>
      <c r="TV1095"/>
      <c r="TY1095"/>
      <c r="TZ1095"/>
      <c r="UC1095"/>
      <c r="UD1095"/>
      <c r="UG1095"/>
      <c r="UH1095"/>
      <c r="UK1095"/>
      <c r="UL1095"/>
      <c r="UO1095"/>
      <c r="UP1095"/>
      <c r="US1095"/>
      <c r="UT1095"/>
      <c r="UW1095"/>
      <c r="UX1095"/>
      <c r="VA1095"/>
      <c r="VB1095"/>
      <c r="VE1095"/>
      <c r="VF1095"/>
      <c r="VI1095"/>
      <c r="VJ1095"/>
      <c r="VM1095"/>
      <c r="VN1095"/>
      <c r="VQ1095"/>
      <c r="VR1095"/>
      <c r="VU1095"/>
      <c r="VV1095"/>
      <c r="VY1095"/>
      <c r="VZ1095"/>
      <c r="WC1095"/>
      <c r="WD1095"/>
      <c r="WG1095"/>
      <c r="WH1095"/>
      <c r="WK1095"/>
      <c r="WL1095"/>
      <c r="WO1095"/>
      <c r="WP1095"/>
      <c r="WS1095"/>
      <c r="WT1095"/>
      <c r="WW1095"/>
      <c r="WX1095"/>
      <c r="XA1095"/>
      <c r="XB1095"/>
      <c r="XE1095"/>
      <c r="XF1095"/>
      <c r="XI1095"/>
      <c r="XJ1095"/>
      <c r="XM1095"/>
      <c r="XN1095"/>
      <c r="XQ1095"/>
      <c r="XR1095"/>
      <c r="XU1095"/>
      <c r="XV1095"/>
      <c r="XY1095"/>
      <c r="XZ1095"/>
      <c r="YC1095"/>
      <c r="YD1095"/>
      <c r="YG1095"/>
      <c r="YH1095"/>
      <c r="YK1095"/>
      <c r="YL1095"/>
      <c r="YO1095"/>
      <c r="YP1095"/>
      <c r="YS1095"/>
      <c r="YT1095"/>
      <c r="YW1095"/>
      <c r="YX1095"/>
      <c r="ZA1095"/>
      <c r="ZB1095"/>
      <c r="ZE1095"/>
      <c r="ZF1095"/>
      <c r="ZI1095"/>
      <c r="ZJ1095"/>
      <c r="ZM1095"/>
      <c r="ZN1095"/>
      <c r="ZQ1095"/>
      <c r="ZR1095"/>
      <c r="ZU1095"/>
      <c r="ZV1095"/>
      <c r="ZY1095"/>
      <c r="ZZ1095"/>
      <c r="AAC1095"/>
      <c r="AAD1095"/>
      <c r="AAG1095"/>
      <c r="AAH1095"/>
      <c r="AAK1095"/>
      <c r="AAL1095"/>
      <c r="AAO1095"/>
      <c r="AAP1095"/>
      <c r="AAS1095"/>
      <c r="AAT1095"/>
      <c r="AAW1095"/>
      <c r="AAX1095"/>
      <c r="ABA1095"/>
      <c r="ABB1095"/>
      <c r="ABE1095"/>
      <c r="ABF1095"/>
      <c r="ABI1095"/>
      <c r="ABJ1095"/>
      <c r="ABM1095"/>
      <c r="ABN1095"/>
      <c r="ABQ1095"/>
      <c r="ABR1095"/>
      <c r="ABU1095"/>
      <c r="ABV1095"/>
      <c r="ABY1095"/>
      <c r="ABZ1095"/>
      <c r="ACC1095"/>
      <c r="ACD1095"/>
      <c r="ACG1095"/>
      <c r="ACH1095"/>
      <c r="ACK1095"/>
      <c r="ACL1095"/>
      <c r="ACO1095"/>
      <c r="ACP1095"/>
      <c r="ACS1095"/>
      <c r="ACT1095"/>
      <c r="ACW1095"/>
      <c r="ACX1095"/>
      <c r="ADA1095"/>
      <c r="ADB1095"/>
      <c r="ADE1095"/>
      <c r="ADF1095"/>
      <c r="ADI1095"/>
      <c r="ADJ1095"/>
      <c r="ADM1095"/>
      <c r="ADN1095"/>
      <c r="ADQ1095"/>
      <c r="ADR1095"/>
      <c r="ADU1095"/>
      <c r="ADV1095"/>
      <c r="ADY1095"/>
      <c r="ADZ1095"/>
      <c r="AEC1095"/>
      <c r="AED1095"/>
      <c r="AEG1095"/>
      <c r="AEH1095"/>
      <c r="AEK1095"/>
      <c r="AEL1095"/>
      <c r="AEO1095"/>
      <c r="AEP1095"/>
      <c r="AES1095"/>
      <c r="AET1095"/>
      <c r="AEW1095"/>
      <c r="AEX1095"/>
      <c r="AFA1095"/>
      <c r="AFB1095"/>
      <c r="AFE1095"/>
      <c r="AFF1095"/>
      <c r="AFI1095"/>
      <c r="AFJ1095"/>
      <c r="AFM1095"/>
      <c r="AFN1095"/>
      <c r="AFQ1095"/>
      <c r="AFR1095"/>
      <c r="AFU1095"/>
      <c r="AFV1095"/>
      <c r="AFY1095"/>
      <c r="AFZ1095"/>
      <c r="AGC1095"/>
      <c r="AGD1095"/>
      <c r="AGG1095"/>
      <c r="AGH1095"/>
      <c r="AGK1095"/>
      <c r="AGL1095"/>
      <c r="AGO1095"/>
      <c r="AGP1095"/>
      <c r="AGS1095"/>
      <c r="AGT1095"/>
      <c r="AGW1095"/>
      <c r="AGX1095"/>
      <c r="AHA1095"/>
      <c r="AHB1095"/>
      <c r="AHE1095"/>
      <c r="AHF1095"/>
      <c r="AHI1095"/>
      <c r="AHJ1095"/>
      <c r="AHM1095"/>
      <c r="AHN1095"/>
      <c r="AHQ1095"/>
      <c r="AHR1095"/>
      <c r="AHU1095"/>
      <c r="AHV1095"/>
      <c r="AHY1095"/>
      <c r="AHZ1095"/>
      <c r="AIC1095"/>
      <c r="AID1095"/>
      <c r="AIG1095"/>
      <c r="AIH1095"/>
      <c r="AIK1095"/>
      <c r="AIL1095"/>
      <c r="AIO1095"/>
      <c r="AIP1095"/>
      <c r="AIS1095"/>
      <c r="AIT1095"/>
      <c r="AIW1095"/>
      <c r="AIX1095"/>
      <c r="AJA1095"/>
      <c r="AJB1095"/>
      <c r="AJE1095"/>
      <c r="AJF1095"/>
      <c r="AJI1095"/>
      <c r="AJJ1095"/>
      <c r="AJM1095"/>
      <c r="AJN1095"/>
      <c r="AJQ1095"/>
      <c r="AJR1095"/>
      <c r="AJU1095"/>
      <c r="AJV1095"/>
      <c r="AJY1095"/>
      <c r="AJZ1095"/>
      <c r="AKC1095"/>
      <c r="AKD1095"/>
      <c r="AKG1095"/>
      <c r="AKH1095"/>
      <c r="AKK1095"/>
      <c r="AKL1095"/>
      <c r="AKO1095"/>
      <c r="AKP1095"/>
      <c r="AKS1095"/>
      <c r="AKT1095"/>
      <c r="AKW1095"/>
      <c r="AKX1095"/>
      <c r="ALA1095"/>
      <c r="ALB1095"/>
      <c r="ALE1095"/>
      <c r="ALF1095"/>
      <c r="ALI1095"/>
      <c r="ALJ1095"/>
      <c r="ALM1095"/>
      <c r="ALN1095"/>
      <c r="ALQ1095"/>
      <c r="ALR1095"/>
      <c r="ALU1095"/>
      <c r="ALV1095"/>
      <c r="ALY1095"/>
      <c r="ALZ1095"/>
      <c r="AMC1095"/>
      <c r="AMD1095"/>
      <c r="AMG1095"/>
      <c r="AMH1095"/>
      <c r="AMK1095"/>
      <c r="AML1095"/>
      <c r="AMO1095"/>
      <c r="AMP1095"/>
      <c r="AMS1095"/>
      <c r="AMT1095"/>
      <c r="AMW1095"/>
      <c r="AMX1095"/>
      <c r="ANA1095"/>
      <c r="ANB1095"/>
      <c r="ANE1095"/>
      <c r="ANF1095"/>
      <c r="ANI1095"/>
      <c r="ANJ1095"/>
      <c r="ANM1095"/>
      <c r="ANN1095"/>
      <c r="ANQ1095"/>
      <c r="ANR1095"/>
      <c r="ANU1095"/>
      <c r="ANV1095"/>
      <c r="ANY1095"/>
      <c r="ANZ1095"/>
      <c r="AOC1095"/>
      <c r="AOD1095"/>
      <c r="AOG1095"/>
      <c r="AOH1095"/>
      <c r="AOK1095"/>
      <c r="AOL1095"/>
      <c r="AOO1095"/>
      <c r="AOP1095"/>
      <c r="AOS1095"/>
      <c r="AOT1095"/>
      <c r="AOW1095"/>
      <c r="AOX1095"/>
      <c r="APA1095"/>
      <c r="APB1095"/>
      <c r="APE1095"/>
      <c r="APF1095"/>
      <c r="API1095"/>
      <c r="APJ1095"/>
      <c r="APM1095"/>
      <c r="APN1095"/>
      <c r="APQ1095"/>
      <c r="APR1095"/>
      <c r="APU1095"/>
      <c r="APV1095"/>
      <c r="APY1095"/>
      <c r="APZ1095"/>
      <c r="AQC1095"/>
      <c r="AQD1095"/>
      <c r="AQG1095"/>
      <c r="AQH1095"/>
      <c r="AQK1095"/>
      <c r="AQL1095"/>
      <c r="AQO1095"/>
      <c r="AQP1095"/>
      <c r="AQS1095"/>
      <c r="AQT1095"/>
      <c r="AQW1095"/>
      <c r="AQX1095"/>
      <c r="ARA1095"/>
      <c r="ARB1095"/>
      <c r="ARE1095"/>
      <c r="ARF1095"/>
      <c r="ARI1095"/>
      <c r="ARJ1095"/>
      <c r="ARM1095"/>
      <c r="ARN1095"/>
      <c r="ARQ1095"/>
      <c r="ARR1095"/>
      <c r="ARU1095"/>
      <c r="ARV1095"/>
      <c r="ARY1095"/>
      <c r="ARZ1095"/>
      <c r="ASC1095"/>
      <c r="ASD1095"/>
      <c r="ASG1095"/>
      <c r="ASH1095"/>
      <c r="ASK1095"/>
      <c r="ASL1095"/>
      <c r="ASO1095"/>
      <c r="ASP1095"/>
      <c r="ASS1095"/>
      <c r="AST1095"/>
      <c r="ASW1095"/>
      <c r="ASX1095"/>
      <c r="ATA1095"/>
      <c r="ATB1095"/>
      <c r="ATE1095"/>
      <c r="ATF1095"/>
      <c r="ATI1095"/>
      <c r="ATJ1095"/>
      <c r="ATM1095"/>
      <c r="ATN1095"/>
      <c r="ATQ1095"/>
      <c r="ATR1095"/>
      <c r="ATU1095"/>
      <c r="ATV1095"/>
      <c r="ATY1095"/>
      <c r="ATZ1095"/>
      <c r="AUC1095"/>
      <c r="AUD1095"/>
      <c r="AUG1095"/>
      <c r="AUH1095"/>
      <c r="AUK1095"/>
      <c r="AUL1095"/>
      <c r="AUO1095"/>
      <c r="AUP1095"/>
      <c r="AUS1095"/>
      <c r="AUT1095"/>
      <c r="AUW1095"/>
      <c r="AUX1095"/>
      <c r="AVA1095"/>
      <c r="AVB1095"/>
      <c r="AVE1095"/>
      <c r="AVF1095"/>
      <c r="AVI1095"/>
      <c r="AVJ1095"/>
      <c r="AVM1095"/>
      <c r="AVN1095"/>
      <c r="AVQ1095"/>
      <c r="AVR1095"/>
      <c r="AVU1095"/>
      <c r="AVV1095"/>
      <c r="AVY1095"/>
      <c r="AVZ1095"/>
      <c r="AWC1095"/>
      <c r="AWD1095"/>
      <c r="AWG1095"/>
      <c r="AWH1095"/>
      <c r="AWK1095"/>
      <c r="AWL1095"/>
      <c r="AWO1095"/>
      <c r="AWP1095"/>
      <c r="AWS1095"/>
      <c r="AWT1095"/>
      <c r="AWW1095"/>
      <c r="AWX1095"/>
      <c r="AXA1095"/>
      <c r="AXB1095"/>
      <c r="AXE1095"/>
      <c r="AXF1095"/>
      <c r="AXI1095"/>
      <c r="AXJ1095"/>
      <c r="AXM1095"/>
      <c r="AXN1095"/>
      <c r="AXQ1095"/>
      <c r="AXR1095"/>
      <c r="AXU1095"/>
      <c r="AXV1095"/>
      <c r="AXY1095"/>
      <c r="AXZ1095"/>
      <c r="AYC1095"/>
      <c r="AYD1095"/>
      <c r="AYG1095"/>
      <c r="AYH1095"/>
      <c r="AYK1095"/>
      <c r="AYL1095"/>
      <c r="AYO1095"/>
      <c r="AYP1095"/>
      <c r="AYS1095"/>
      <c r="AYT1095"/>
      <c r="AYW1095"/>
      <c r="AYX1095"/>
      <c r="AZA1095"/>
      <c r="AZB1095"/>
      <c r="AZE1095"/>
      <c r="AZF1095"/>
      <c r="AZI1095"/>
      <c r="AZJ1095"/>
      <c r="AZM1095"/>
      <c r="AZN1095"/>
      <c r="AZQ1095"/>
      <c r="AZR1095"/>
      <c r="AZU1095"/>
      <c r="AZV1095"/>
      <c r="AZY1095"/>
      <c r="AZZ1095"/>
      <c r="BAC1095"/>
      <c r="BAD1095"/>
      <c r="BAG1095"/>
      <c r="BAH1095"/>
      <c r="BAK1095"/>
      <c r="BAL1095"/>
      <c r="BAO1095"/>
      <c r="BAP1095"/>
      <c r="BAS1095"/>
      <c r="BAT1095"/>
      <c r="BAW1095"/>
      <c r="BAX1095"/>
      <c r="BBA1095"/>
      <c r="BBB1095"/>
      <c r="BBE1095"/>
      <c r="BBF1095"/>
      <c r="BBI1095"/>
      <c r="BBJ1095"/>
      <c r="BBM1095"/>
      <c r="BBN1095"/>
      <c r="BBQ1095"/>
      <c r="BBR1095"/>
      <c r="BBU1095"/>
      <c r="BBV1095"/>
      <c r="BBY1095"/>
      <c r="BBZ1095"/>
      <c r="BCC1095"/>
      <c r="BCD1095"/>
      <c r="BCG1095"/>
      <c r="BCH1095"/>
      <c r="BCK1095"/>
      <c r="BCL1095"/>
      <c r="BCO1095"/>
      <c r="BCP1095"/>
      <c r="BCS1095"/>
      <c r="BCT1095"/>
      <c r="BCW1095"/>
      <c r="BCX1095"/>
      <c r="BDA1095"/>
      <c r="BDB1095"/>
      <c r="BDE1095"/>
      <c r="BDF1095"/>
      <c r="BDI1095"/>
      <c r="BDJ1095"/>
      <c r="BDM1095"/>
      <c r="BDN1095"/>
      <c r="BDQ1095"/>
      <c r="BDR1095"/>
      <c r="BDU1095"/>
      <c r="BDV1095"/>
      <c r="BDY1095"/>
      <c r="BDZ1095"/>
      <c r="BEC1095"/>
      <c r="BED1095"/>
      <c r="BEG1095"/>
      <c r="BEH1095"/>
      <c r="BEK1095"/>
      <c r="BEL1095"/>
      <c r="BEO1095"/>
      <c r="BEP1095"/>
      <c r="BES1095"/>
      <c r="BET1095"/>
      <c r="BEW1095"/>
      <c r="BEX1095"/>
      <c r="BFA1095"/>
      <c r="BFB1095"/>
      <c r="BFE1095"/>
      <c r="BFF1095"/>
      <c r="BFI1095"/>
      <c r="BFJ1095"/>
      <c r="BFM1095"/>
      <c r="BFN1095"/>
      <c r="BFQ1095"/>
      <c r="BFR1095"/>
      <c r="BFU1095"/>
      <c r="BFV1095"/>
      <c r="BFY1095"/>
      <c r="BFZ1095"/>
      <c r="BGC1095"/>
      <c r="BGD1095"/>
      <c r="BGG1095"/>
      <c r="BGH1095"/>
      <c r="BGK1095"/>
      <c r="BGL1095"/>
      <c r="BGO1095"/>
      <c r="BGP1095"/>
      <c r="BGS1095"/>
      <c r="BGT1095"/>
      <c r="BGW1095"/>
      <c r="BGX1095"/>
      <c r="BHA1095"/>
      <c r="BHB1095"/>
      <c r="BHE1095"/>
      <c r="BHF1095"/>
      <c r="BHI1095"/>
      <c r="BHJ1095"/>
      <c r="BHM1095"/>
      <c r="BHN1095"/>
      <c r="BHQ1095"/>
      <c r="BHR1095"/>
      <c r="BHU1095"/>
      <c r="BHV1095"/>
      <c r="BHY1095"/>
      <c r="BHZ1095"/>
      <c r="BIC1095"/>
      <c r="BID1095"/>
      <c r="BIG1095"/>
      <c r="BIH1095"/>
      <c r="BIK1095"/>
      <c r="BIL1095"/>
      <c r="BIO1095"/>
      <c r="BIP1095"/>
      <c r="BIS1095"/>
      <c r="BIT1095"/>
      <c r="BIW1095"/>
      <c r="BIX1095"/>
      <c r="BJA1095"/>
      <c r="BJB1095"/>
      <c r="BJE1095"/>
      <c r="BJF1095"/>
      <c r="BJI1095"/>
      <c r="BJJ1095"/>
      <c r="BJM1095"/>
      <c r="BJN1095"/>
      <c r="BJQ1095"/>
      <c r="BJR1095"/>
      <c r="BJU1095"/>
      <c r="BJV1095"/>
      <c r="BJY1095"/>
      <c r="BJZ1095"/>
      <c r="BKC1095"/>
      <c r="BKD1095"/>
      <c r="BKG1095"/>
      <c r="BKH1095"/>
      <c r="BKK1095"/>
      <c r="BKL1095"/>
      <c r="BKO1095"/>
      <c r="BKP1095"/>
      <c r="BKS1095"/>
      <c r="BKT1095"/>
      <c r="BKW1095"/>
      <c r="BKX1095"/>
      <c r="BLA1095"/>
      <c r="BLB1095"/>
      <c r="BLE1095"/>
      <c r="BLF1095"/>
      <c r="BLI1095"/>
      <c r="BLJ1095"/>
      <c r="BLM1095"/>
      <c r="BLN1095"/>
      <c r="BLQ1095"/>
      <c r="BLR1095"/>
      <c r="BLU1095"/>
      <c r="BLV1095"/>
      <c r="BLY1095"/>
      <c r="BLZ1095"/>
      <c r="BMC1095"/>
      <c r="BMD1095"/>
      <c r="BMG1095"/>
      <c r="BMH1095"/>
      <c r="BMK1095"/>
      <c r="BML1095"/>
      <c r="BMO1095"/>
      <c r="BMP1095"/>
      <c r="BMS1095"/>
      <c r="BMT1095"/>
      <c r="BMW1095"/>
      <c r="BMX1095"/>
      <c r="BNA1095"/>
      <c r="BNB1095"/>
      <c r="BNE1095"/>
      <c r="BNF1095"/>
      <c r="BNI1095"/>
      <c r="BNJ1095"/>
      <c r="BNM1095"/>
      <c r="BNN1095"/>
      <c r="BNQ1095"/>
      <c r="BNR1095"/>
      <c r="BNU1095"/>
      <c r="BNV1095"/>
      <c r="BNY1095"/>
      <c r="BNZ1095"/>
      <c r="BOC1095"/>
      <c r="BOD1095"/>
      <c r="BOG1095"/>
      <c r="BOH1095"/>
      <c r="BOK1095"/>
      <c r="BOL1095"/>
      <c r="BOO1095"/>
      <c r="BOP1095"/>
      <c r="BOS1095"/>
      <c r="BOT1095"/>
      <c r="BOW1095"/>
      <c r="BOX1095"/>
      <c r="BPA1095"/>
      <c r="BPB1095"/>
      <c r="BPE1095"/>
      <c r="BPF1095"/>
      <c r="BPI1095"/>
      <c r="BPJ1095"/>
      <c r="BPM1095"/>
      <c r="BPN1095"/>
      <c r="BPQ1095"/>
      <c r="BPR1095"/>
      <c r="BPU1095"/>
      <c r="BPV1095"/>
      <c r="BPY1095"/>
      <c r="BPZ1095"/>
      <c r="BQC1095"/>
      <c r="BQD1095"/>
      <c r="BQG1095"/>
      <c r="BQH1095"/>
      <c r="BQK1095"/>
      <c r="BQL1095"/>
      <c r="BQO1095"/>
      <c r="BQP1095"/>
      <c r="BQS1095"/>
      <c r="BQT1095"/>
      <c r="BQW1095"/>
      <c r="BQX1095"/>
      <c r="BRA1095"/>
      <c r="BRB1095"/>
      <c r="BRE1095"/>
      <c r="BRF1095"/>
      <c r="BRI1095"/>
      <c r="BRJ1095"/>
      <c r="BRM1095"/>
      <c r="BRN1095"/>
      <c r="BRQ1095"/>
      <c r="BRR1095"/>
      <c r="BRU1095"/>
      <c r="BRV1095"/>
      <c r="BRY1095"/>
      <c r="BRZ1095"/>
      <c r="BSC1095"/>
      <c r="BSD1095"/>
      <c r="BSG1095"/>
      <c r="BSH1095"/>
      <c r="BSK1095"/>
      <c r="BSL1095"/>
      <c r="BSO1095"/>
      <c r="BSP1095"/>
      <c r="BSS1095"/>
      <c r="BST1095"/>
      <c r="BSW1095"/>
      <c r="BSX1095"/>
      <c r="BTA1095"/>
      <c r="BTB1095"/>
      <c r="BTE1095"/>
      <c r="BTF1095"/>
      <c r="BTI1095"/>
      <c r="BTJ1095"/>
      <c r="BTM1095"/>
      <c r="BTN1095"/>
      <c r="BTQ1095"/>
      <c r="BTR1095"/>
      <c r="BTU1095"/>
      <c r="BTV1095"/>
      <c r="BTY1095"/>
      <c r="BTZ1095"/>
      <c r="BUC1095"/>
      <c r="BUD1095"/>
      <c r="BUG1095"/>
      <c r="BUH1095"/>
      <c r="BUK1095"/>
      <c r="BUL1095"/>
      <c r="BUO1095"/>
      <c r="BUP1095"/>
      <c r="BUS1095"/>
      <c r="BUT1095"/>
      <c r="BUW1095"/>
      <c r="BUX1095"/>
      <c r="BVA1095"/>
      <c r="BVB1095"/>
      <c r="BVE1095"/>
      <c r="BVF1095"/>
      <c r="BVI1095"/>
      <c r="BVJ1095"/>
      <c r="BVM1095"/>
      <c r="BVN1095"/>
      <c r="BVQ1095"/>
      <c r="BVR1095"/>
      <c r="BVU1095"/>
      <c r="BVV1095"/>
      <c r="BVY1095"/>
      <c r="BVZ1095"/>
      <c r="BWC1095"/>
      <c r="BWD1095"/>
      <c r="BWG1095"/>
      <c r="BWH1095"/>
      <c r="BWK1095"/>
      <c r="BWL1095"/>
      <c r="BWO1095"/>
      <c r="BWP1095"/>
      <c r="BWS1095"/>
      <c r="BWT1095"/>
      <c r="BWW1095"/>
      <c r="BWX1095"/>
      <c r="BXA1095"/>
      <c r="BXB1095"/>
      <c r="BXE1095"/>
      <c r="BXF1095"/>
      <c r="BXI1095"/>
      <c r="BXJ1095"/>
      <c r="BXM1095"/>
      <c r="BXN1095"/>
      <c r="BXQ1095"/>
      <c r="BXR1095"/>
      <c r="BXU1095"/>
      <c r="BXV1095"/>
      <c r="BXY1095"/>
      <c r="BXZ1095"/>
      <c r="BYC1095"/>
      <c r="BYD1095"/>
      <c r="BYG1095"/>
      <c r="BYH1095"/>
      <c r="BYK1095"/>
      <c r="BYL1095"/>
      <c r="BYO1095"/>
      <c r="BYP1095"/>
      <c r="BYS1095"/>
      <c r="BYT1095"/>
      <c r="BYW1095"/>
      <c r="BYX1095"/>
      <c r="BZA1095"/>
      <c r="BZB1095"/>
      <c r="BZE1095"/>
      <c r="BZF1095"/>
      <c r="BZI1095"/>
      <c r="BZJ1095"/>
      <c r="BZM1095"/>
      <c r="BZN1095"/>
      <c r="BZQ1095"/>
      <c r="BZR1095"/>
      <c r="BZU1095"/>
      <c r="BZV1095"/>
      <c r="BZY1095"/>
      <c r="BZZ1095"/>
      <c r="CAC1095"/>
      <c r="CAD1095"/>
      <c r="CAG1095"/>
      <c r="CAH1095"/>
      <c r="CAK1095"/>
      <c r="CAL1095"/>
      <c r="CAO1095"/>
      <c r="CAP1095"/>
      <c r="CAS1095"/>
      <c r="CAT1095"/>
      <c r="CAW1095"/>
      <c r="CAX1095"/>
      <c r="CBA1095"/>
      <c r="CBB1095"/>
      <c r="CBE1095"/>
      <c r="CBF1095"/>
      <c r="CBI1095"/>
      <c r="CBJ1095"/>
      <c r="CBM1095"/>
      <c r="CBN1095"/>
      <c r="CBQ1095"/>
      <c r="CBR1095"/>
      <c r="CBU1095"/>
      <c r="CBV1095"/>
      <c r="CBY1095"/>
      <c r="CBZ1095"/>
      <c r="CCC1095"/>
      <c r="CCD1095"/>
      <c r="CCG1095"/>
      <c r="CCH1095"/>
      <c r="CCK1095"/>
      <c r="CCL1095"/>
      <c r="CCO1095"/>
      <c r="CCP1095"/>
      <c r="CCS1095"/>
      <c r="CCT1095"/>
      <c r="CCW1095"/>
      <c r="CCX1095"/>
      <c r="CDA1095"/>
      <c r="CDB1095"/>
      <c r="CDE1095"/>
      <c r="CDF1095"/>
      <c r="CDI1095"/>
      <c r="CDJ1095"/>
      <c r="CDM1095"/>
      <c r="CDN1095"/>
      <c r="CDQ1095"/>
      <c r="CDR1095"/>
      <c r="CDU1095"/>
      <c r="CDV1095"/>
      <c r="CDY1095"/>
      <c r="CDZ1095"/>
      <c r="CEC1095"/>
      <c r="CED1095"/>
      <c r="CEG1095"/>
      <c r="CEH1095"/>
      <c r="CEK1095"/>
      <c r="CEL1095"/>
      <c r="CEO1095"/>
      <c r="CEP1095"/>
      <c r="CES1095"/>
      <c r="CET1095"/>
      <c r="CEW1095"/>
      <c r="CEX1095"/>
      <c r="CFA1095"/>
      <c r="CFB1095"/>
      <c r="CFE1095"/>
      <c r="CFF1095"/>
      <c r="CFI1095"/>
      <c r="CFJ1095"/>
      <c r="CFM1095"/>
      <c r="CFN1095"/>
      <c r="CFQ1095"/>
      <c r="CFR1095"/>
      <c r="CFU1095"/>
      <c r="CFV1095"/>
      <c r="CFY1095"/>
      <c r="CFZ1095"/>
      <c r="CGC1095"/>
      <c r="CGD1095"/>
      <c r="CGG1095"/>
      <c r="CGH1095"/>
      <c r="CGK1095"/>
      <c r="CGL1095"/>
      <c r="CGO1095"/>
      <c r="CGP1095"/>
      <c r="CGS1095"/>
      <c r="CGT1095"/>
      <c r="CGW1095"/>
      <c r="CGX1095"/>
      <c r="CHA1095"/>
      <c r="CHB1095"/>
      <c r="CHE1095"/>
      <c r="CHF1095"/>
      <c r="CHI1095"/>
      <c r="CHJ1095"/>
      <c r="CHM1095"/>
      <c r="CHN1095"/>
      <c r="CHQ1095"/>
      <c r="CHR1095"/>
      <c r="CHU1095"/>
      <c r="CHV1095"/>
      <c r="CHY1095"/>
      <c r="CHZ1095"/>
      <c r="CIC1095"/>
      <c r="CID1095"/>
      <c r="CIG1095"/>
      <c r="CIH1095"/>
      <c r="CIK1095"/>
      <c r="CIL1095"/>
      <c r="CIO1095"/>
      <c r="CIP1095"/>
      <c r="CIS1095"/>
      <c r="CIT1095"/>
      <c r="CIW1095"/>
      <c r="CIX1095"/>
      <c r="CJA1095"/>
      <c r="CJB1095"/>
      <c r="CJE1095"/>
      <c r="CJF1095"/>
      <c r="CJI1095"/>
      <c r="CJJ1095"/>
      <c r="CJM1095"/>
      <c r="CJN1095"/>
      <c r="CJQ1095"/>
      <c r="CJR1095"/>
      <c r="CJU1095"/>
      <c r="CJV1095"/>
      <c r="CJY1095"/>
      <c r="CJZ1095"/>
      <c r="CKC1095"/>
      <c r="CKD1095"/>
      <c r="CKG1095"/>
      <c r="CKH1095"/>
      <c r="CKK1095"/>
      <c r="CKL1095"/>
      <c r="CKO1095"/>
      <c r="CKP1095"/>
      <c r="CKS1095"/>
      <c r="CKT1095"/>
      <c r="CKW1095"/>
      <c r="CKX1095"/>
      <c r="CLA1095"/>
      <c r="CLB1095"/>
      <c r="CLE1095"/>
      <c r="CLF1095"/>
      <c r="CLI1095"/>
      <c r="CLJ1095"/>
      <c r="CLM1095"/>
      <c r="CLN1095"/>
      <c r="CLQ1095"/>
      <c r="CLR1095"/>
      <c r="CLU1095"/>
      <c r="CLV1095"/>
      <c r="CLY1095"/>
      <c r="CLZ1095"/>
      <c r="CMC1095"/>
      <c r="CMD1095"/>
      <c r="CMG1095"/>
      <c r="CMH1095"/>
      <c r="CMK1095"/>
      <c r="CML1095"/>
      <c r="CMO1095"/>
      <c r="CMP1095"/>
      <c r="CMS1095"/>
      <c r="CMT1095"/>
      <c r="CMW1095"/>
      <c r="CMX1095"/>
      <c r="CNA1095"/>
      <c r="CNB1095"/>
      <c r="CNE1095"/>
      <c r="CNF1095"/>
      <c r="CNI1095"/>
      <c r="CNJ1095"/>
      <c r="CNM1095"/>
      <c r="CNN1095"/>
      <c r="CNQ1095"/>
      <c r="CNR1095"/>
      <c r="CNU1095"/>
      <c r="CNV1095"/>
      <c r="CNY1095"/>
      <c r="CNZ1095"/>
      <c r="COC1095"/>
      <c r="COD1095"/>
      <c r="COG1095"/>
      <c r="COH1095"/>
      <c r="COK1095"/>
      <c r="COL1095"/>
      <c r="COO1095"/>
      <c r="COP1095"/>
      <c r="COS1095"/>
      <c r="COT1095"/>
      <c r="COW1095"/>
      <c r="COX1095"/>
      <c r="CPA1095"/>
      <c r="CPB1095"/>
      <c r="CPE1095"/>
      <c r="CPF1095"/>
      <c r="CPI1095"/>
      <c r="CPJ1095"/>
      <c r="CPM1095"/>
      <c r="CPN1095"/>
      <c r="CPQ1095"/>
      <c r="CPR1095"/>
      <c r="CPU1095"/>
      <c r="CPV1095"/>
      <c r="CPY1095"/>
      <c r="CPZ1095"/>
      <c r="CQC1095"/>
      <c r="CQD1095"/>
      <c r="CQG1095"/>
      <c r="CQH1095"/>
      <c r="CQK1095"/>
      <c r="CQL1095"/>
      <c r="CQO1095"/>
      <c r="CQP1095"/>
      <c r="CQS1095"/>
      <c r="CQT1095"/>
      <c r="CQW1095"/>
      <c r="CQX1095"/>
      <c r="CRA1095"/>
      <c r="CRB1095"/>
      <c r="CRE1095"/>
      <c r="CRF1095"/>
      <c r="CRI1095"/>
      <c r="CRJ1095"/>
      <c r="CRM1095"/>
      <c r="CRN1095"/>
      <c r="CRQ1095"/>
      <c r="CRR1095"/>
      <c r="CRU1095"/>
      <c r="CRV1095"/>
      <c r="CRY1095"/>
      <c r="CRZ1095"/>
      <c r="CSC1095"/>
      <c r="CSD1095"/>
      <c r="CSG1095"/>
      <c r="CSH1095"/>
      <c r="CSK1095"/>
      <c r="CSL1095"/>
      <c r="CSO1095"/>
      <c r="CSP1095"/>
      <c r="CSS1095"/>
      <c r="CST1095"/>
      <c r="CSW1095"/>
      <c r="CSX1095"/>
      <c r="CTA1095"/>
      <c r="CTB1095"/>
      <c r="CTE1095"/>
      <c r="CTF1095"/>
      <c r="CTI1095"/>
      <c r="CTJ1095"/>
      <c r="CTM1095"/>
      <c r="CTN1095"/>
      <c r="CTQ1095"/>
      <c r="CTR1095"/>
      <c r="CTU1095"/>
      <c r="CTV1095"/>
      <c r="CTY1095"/>
      <c r="CTZ1095"/>
      <c r="CUC1095"/>
      <c r="CUD1095"/>
      <c r="CUG1095"/>
      <c r="CUH1095"/>
      <c r="CUK1095"/>
      <c r="CUL1095"/>
      <c r="CUO1095"/>
      <c r="CUP1095"/>
      <c r="CUS1095"/>
      <c r="CUT1095"/>
      <c r="CUW1095"/>
      <c r="CUX1095"/>
      <c r="CVA1095"/>
      <c r="CVB1095"/>
      <c r="CVE1095"/>
      <c r="CVF1095"/>
      <c r="CVI1095"/>
      <c r="CVJ1095"/>
      <c r="CVM1095"/>
      <c r="CVN1095"/>
      <c r="CVQ1095"/>
      <c r="CVR1095"/>
      <c r="CVU1095"/>
      <c r="CVV1095"/>
      <c r="CVY1095"/>
      <c r="CVZ1095"/>
      <c r="CWC1095"/>
      <c r="CWD1095"/>
      <c r="CWG1095"/>
      <c r="CWH1095"/>
      <c r="CWK1095"/>
      <c r="CWL1095"/>
      <c r="CWO1095"/>
      <c r="CWP1095"/>
      <c r="CWS1095"/>
      <c r="CWT1095"/>
      <c r="CWW1095"/>
      <c r="CWX1095"/>
      <c r="CXA1095"/>
      <c r="CXB1095"/>
      <c r="CXE1095"/>
      <c r="CXF1095"/>
      <c r="CXI1095"/>
      <c r="CXJ1095"/>
      <c r="CXM1095"/>
      <c r="CXN1095"/>
      <c r="CXQ1095"/>
      <c r="CXR1095"/>
      <c r="CXU1095"/>
      <c r="CXV1095"/>
      <c r="CXY1095"/>
      <c r="CXZ1095"/>
      <c r="CYC1095"/>
      <c r="CYD1095"/>
      <c r="CYG1095"/>
      <c r="CYH1095"/>
      <c r="CYK1095"/>
      <c r="CYL1095"/>
      <c r="CYO1095"/>
      <c r="CYP1095"/>
      <c r="CYS1095"/>
      <c r="CYT1095"/>
      <c r="CYW1095"/>
      <c r="CYX1095"/>
      <c r="CZA1095"/>
      <c r="CZB1095"/>
      <c r="CZE1095"/>
      <c r="CZF1095"/>
      <c r="CZI1095"/>
      <c r="CZJ1095"/>
      <c r="CZM1095"/>
      <c r="CZN1095"/>
      <c r="CZQ1095"/>
      <c r="CZR1095"/>
      <c r="CZU1095"/>
      <c r="CZV1095"/>
      <c r="CZY1095"/>
      <c r="CZZ1095"/>
      <c r="DAC1095"/>
      <c r="DAD1095"/>
      <c r="DAG1095"/>
      <c r="DAH1095"/>
      <c r="DAK1095"/>
      <c r="DAL1095"/>
      <c r="DAO1095"/>
      <c r="DAP1095"/>
      <c r="DAS1095"/>
      <c r="DAT1095"/>
      <c r="DAW1095"/>
      <c r="DAX1095"/>
      <c r="DBA1095"/>
      <c r="DBB1095"/>
      <c r="DBE1095"/>
      <c r="DBF1095"/>
      <c r="DBI1095"/>
      <c r="DBJ1095"/>
      <c r="DBM1095"/>
      <c r="DBN1095"/>
      <c r="DBQ1095"/>
      <c r="DBR1095"/>
      <c r="DBU1095"/>
      <c r="DBV1095"/>
      <c r="DBY1095"/>
      <c r="DBZ1095"/>
      <c r="DCC1095"/>
      <c r="DCD1095"/>
      <c r="DCG1095"/>
      <c r="DCH1095"/>
      <c r="DCK1095"/>
      <c r="DCL1095"/>
      <c r="DCO1095"/>
      <c r="DCP1095"/>
      <c r="DCS1095"/>
      <c r="DCT1095"/>
      <c r="DCW1095"/>
      <c r="DCX1095"/>
      <c r="DDA1095"/>
      <c r="DDB1095"/>
      <c r="DDE1095"/>
      <c r="DDF1095"/>
      <c r="DDI1095"/>
      <c r="DDJ1095"/>
      <c r="DDM1095"/>
      <c r="DDN1095"/>
      <c r="DDQ1095"/>
      <c r="DDR1095"/>
      <c r="DDU1095"/>
      <c r="DDV1095"/>
      <c r="DDY1095"/>
      <c r="DDZ1095"/>
      <c r="DEC1095"/>
      <c r="DED1095"/>
      <c r="DEG1095"/>
      <c r="DEH1095"/>
      <c r="DEK1095"/>
      <c r="DEL1095"/>
      <c r="DEO1095"/>
      <c r="DEP1095"/>
      <c r="DES1095"/>
      <c r="DET1095"/>
      <c r="DEW1095"/>
      <c r="DEX1095"/>
      <c r="DFA1095"/>
      <c r="DFB1095"/>
      <c r="DFE1095"/>
      <c r="DFF1095"/>
      <c r="DFI1095"/>
      <c r="DFJ1095"/>
      <c r="DFM1095"/>
      <c r="DFN1095"/>
      <c r="DFQ1095"/>
      <c r="DFR1095"/>
      <c r="DFU1095"/>
      <c r="DFV1095"/>
      <c r="DFY1095"/>
      <c r="DFZ1095"/>
      <c r="DGC1095"/>
      <c r="DGD1095"/>
      <c r="DGG1095"/>
      <c r="DGH1095"/>
      <c r="DGK1095"/>
      <c r="DGL1095"/>
      <c r="DGO1095"/>
      <c r="DGP1095"/>
      <c r="DGS1095"/>
      <c r="DGT1095"/>
      <c r="DGW1095"/>
      <c r="DGX1095"/>
      <c r="DHA1095"/>
      <c r="DHB1095"/>
      <c r="DHE1095"/>
      <c r="DHF1095"/>
      <c r="DHI1095"/>
      <c r="DHJ1095"/>
      <c r="DHM1095"/>
      <c r="DHN1095"/>
      <c r="DHQ1095"/>
      <c r="DHR1095"/>
      <c r="DHU1095"/>
      <c r="DHV1095"/>
      <c r="DHY1095"/>
      <c r="DHZ1095"/>
      <c r="DIC1095"/>
      <c r="DID1095"/>
      <c r="DIG1095"/>
      <c r="DIH1095"/>
      <c r="DIK1095"/>
      <c r="DIL1095"/>
      <c r="DIO1095"/>
      <c r="DIP1095"/>
      <c r="DIS1095"/>
      <c r="DIT1095"/>
      <c r="DIW1095"/>
      <c r="DIX1095"/>
      <c r="DJA1095"/>
      <c r="DJB1095"/>
      <c r="DJE1095"/>
      <c r="DJF1095"/>
      <c r="DJI1095"/>
      <c r="DJJ1095"/>
      <c r="DJM1095"/>
      <c r="DJN1095"/>
      <c r="DJQ1095"/>
      <c r="DJR1095"/>
      <c r="DJU1095"/>
      <c r="DJV1095"/>
      <c r="DJY1095"/>
      <c r="DJZ1095"/>
      <c r="DKC1095"/>
      <c r="DKD1095"/>
      <c r="DKG1095"/>
      <c r="DKH1095"/>
      <c r="DKK1095"/>
      <c r="DKL1095"/>
      <c r="DKO1095"/>
      <c r="DKP1095"/>
      <c r="DKS1095"/>
      <c r="DKT1095"/>
      <c r="DKW1095"/>
      <c r="DKX1095"/>
      <c r="DLA1095"/>
      <c r="DLB1095"/>
      <c r="DLE1095"/>
      <c r="DLF1095"/>
      <c r="DLI1095"/>
      <c r="DLJ1095"/>
      <c r="DLM1095"/>
      <c r="DLN1095"/>
      <c r="DLQ1095"/>
      <c r="DLR1095"/>
      <c r="DLU1095"/>
      <c r="DLV1095"/>
      <c r="DLY1095"/>
      <c r="DLZ1095"/>
      <c r="DMC1095"/>
      <c r="DMD1095"/>
      <c r="DMG1095"/>
      <c r="DMH1095"/>
      <c r="DMK1095"/>
      <c r="DML1095"/>
      <c r="DMO1095"/>
      <c r="DMP1095"/>
      <c r="DMS1095"/>
      <c r="DMT1095"/>
      <c r="DMW1095"/>
      <c r="DMX1095"/>
      <c r="DNA1095"/>
      <c r="DNB1095"/>
      <c r="DNE1095"/>
      <c r="DNF1095"/>
      <c r="DNI1095"/>
      <c r="DNJ1095"/>
      <c r="DNM1095"/>
      <c r="DNN1095"/>
      <c r="DNQ1095"/>
      <c r="DNR1095"/>
      <c r="DNU1095"/>
      <c r="DNV1095"/>
      <c r="DNY1095"/>
      <c r="DNZ1095"/>
      <c r="DOC1095"/>
      <c r="DOD1095"/>
      <c r="DOG1095"/>
      <c r="DOH1095"/>
      <c r="DOK1095"/>
      <c r="DOL1095"/>
      <c r="DOO1095"/>
      <c r="DOP1095"/>
      <c r="DOS1095"/>
      <c r="DOT1095"/>
      <c r="DOW1095"/>
      <c r="DOX1095"/>
      <c r="DPA1095"/>
      <c r="DPB1095"/>
      <c r="DPE1095"/>
      <c r="DPF1095"/>
      <c r="DPI1095"/>
      <c r="DPJ1095"/>
      <c r="DPM1095"/>
      <c r="DPN1095"/>
      <c r="DPQ1095"/>
      <c r="DPR1095"/>
      <c r="DPU1095"/>
      <c r="DPV1095"/>
      <c r="DPY1095"/>
      <c r="DPZ1095"/>
      <c r="DQC1095"/>
      <c r="DQD1095"/>
      <c r="DQG1095"/>
      <c r="DQH1095"/>
      <c r="DQK1095"/>
      <c r="DQL1095"/>
      <c r="DQO1095"/>
      <c r="DQP1095"/>
      <c r="DQS1095"/>
      <c r="DQT1095"/>
      <c r="DQW1095"/>
      <c r="DQX1095"/>
      <c r="DRA1095"/>
      <c r="DRB1095"/>
      <c r="DRE1095"/>
      <c r="DRF1095"/>
      <c r="DRI1095"/>
      <c r="DRJ1095"/>
      <c r="DRM1095"/>
      <c r="DRN1095"/>
      <c r="DRQ1095"/>
      <c r="DRR1095"/>
      <c r="DRU1095"/>
      <c r="DRV1095"/>
      <c r="DRY1095"/>
      <c r="DRZ1095"/>
      <c r="DSC1095"/>
      <c r="DSD1095"/>
      <c r="DSG1095"/>
      <c r="DSH1095"/>
      <c r="DSK1095"/>
      <c r="DSL1095"/>
      <c r="DSO1095"/>
      <c r="DSP1095"/>
      <c r="DSS1095"/>
      <c r="DST1095"/>
      <c r="DSW1095"/>
      <c r="DSX1095"/>
      <c r="DTA1095"/>
      <c r="DTB1095"/>
      <c r="DTE1095"/>
      <c r="DTF1095"/>
      <c r="DTI1095"/>
      <c r="DTJ1095"/>
      <c r="DTM1095"/>
      <c r="DTN1095"/>
      <c r="DTQ1095"/>
      <c r="DTR1095"/>
      <c r="DTU1095"/>
      <c r="DTV1095"/>
      <c r="DTY1095"/>
      <c r="DTZ1095"/>
      <c r="DUC1095"/>
      <c r="DUD1095"/>
      <c r="DUG1095"/>
      <c r="DUH1095"/>
      <c r="DUK1095"/>
      <c r="DUL1095"/>
      <c r="DUO1095"/>
      <c r="DUP1095"/>
      <c r="DUS1095"/>
      <c r="DUT1095"/>
      <c r="DUW1095"/>
      <c r="DUX1095"/>
      <c r="DVA1095"/>
      <c r="DVB1095"/>
      <c r="DVE1095"/>
      <c r="DVF1095"/>
      <c r="DVI1095"/>
      <c r="DVJ1095"/>
      <c r="DVM1095"/>
      <c r="DVN1095"/>
      <c r="DVQ1095"/>
      <c r="DVR1095"/>
      <c r="DVU1095"/>
      <c r="DVV1095"/>
      <c r="DVY1095"/>
      <c r="DVZ1095"/>
      <c r="DWC1095"/>
      <c r="DWD1095"/>
      <c r="DWG1095"/>
      <c r="DWH1095"/>
      <c r="DWK1095"/>
      <c r="DWL1095"/>
      <c r="DWO1095"/>
      <c r="DWP1095"/>
      <c r="DWS1095"/>
      <c r="DWT1095"/>
      <c r="DWW1095"/>
      <c r="DWX1095"/>
      <c r="DXA1095"/>
      <c r="DXB1095"/>
      <c r="DXE1095"/>
      <c r="DXF1095"/>
      <c r="DXI1095"/>
      <c r="DXJ1095"/>
      <c r="DXM1095"/>
      <c r="DXN1095"/>
      <c r="DXQ1095"/>
      <c r="DXR1095"/>
      <c r="DXU1095"/>
      <c r="DXV1095"/>
      <c r="DXY1095"/>
      <c r="DXZ1095"/>
      <c r="DYC1095"/>
      <c r="DYD1095"/>
      <c r="DYG1095"/>
      <c r="DYH1095"/>
      <c r="DYK1095"/>
      <c r="DYL1095"/>
      <c r="DYO1095"/>
      <c r="DYP1095"/>
      <c r="DYS1095"/>
      <c r="DYT1095"/>
      <c r="DYW1095"/>
      <c r="DYX1095"/>
      <c r="DZA1095"/>
      <c r="DZB1095"/>
      <c r="DZE1095"/>
      <c r="DZF1095"/>
      <c r="DZI1095"/>
      <c r="DZJ1095"/>
      <c r="DZM1095"/>
      <c r="DZN1095"/>
      <c r="DZQ1095"/>
      <c r="DZR1095"/>
      <c r="DZU1095"/>
      <c r="DZV1095"/>
      <c r="DZY1095"/>
      <c r="DZZ1095"/>
      <c r="EAC1095"/>
      <c r="EAD1095"/>
      <c r="EAG1095"/>
      <c r="EAH1095"/>
      <c r="EAK1095"/>
      <c r="EAL1095"/>
      <c r="EAO1095"/>
      <c r="EAP1095"/>
      <c r="EAS1095"/>
      <c r="EAT1095"/>
      <c r="EAW1095"/>
      <c r="EAX1095"/>
      <c r="EBA1095"/>
      <c r="EBB1095"/>
      <c r="EBE1095"/>
      <c r="EBF1095"/>
      <c r="EBI1095"/>
      <c r="EBJ1095"/>
      <c r="EBM1095"/>
      <c r="EBN1095"/>
      <c r="EBQ1095"/>
      <c r="EBR1095"/>
      <c r="EBU1095"/>
      <c r="EBV1095"/>
      <c r="EBY1095"/>
      <c r="EBZ1095"/>
      <c r="ECC1095"/>
      <c r="ECD1095"/>
      <c r="ECG1095"/>
      <c r="ECH1095"/>
      <c r="ECK1095"/>
      <c r="ECL1095"/>
      <c r="ECO1095"/>
      <c r="ECP1095"/>
      <c r="ECS1095"/>
      <c r="ECT1095"/>
      <c r="ECW1095"/>
      <c r="ECX1095"/>
      <c r="EDA1095"/>
      <c r="EDB1095"/>
      <c r="EDE1095"/>
      <c r="EDF1095"/>
      <c r="EDI1095"/>
      <c r="EDJ1095"/>
      <c r="EDM1095"/>
      <c r="EDN1095"/>
      <c r="EDQ1095"/>
      <c r="EDR1095"/>
      <c r="EDU1095"/>
      <c r="EDV1095"/>
      <c r="EDY1095"/>
      <c r="EDZ1095"/>
      <c r="EEC1095"/>
      <c r="EED1095"/>
      <c r="EEG1095"/>
      <c r="EEH1095"/>
      <c r="EEK1095"/>
      <c r="EEL1095"/>
      <c r="EEO1095"/>
      <c r="EEP1095"/>
      <c r="EES1095"/>
      <c r="EET1095"/>
      <c r="EEW1095"/>
      <c r="EEX1095"/>
      <c r="EFA1095"/>
      <c r="EFB1095"/>
      <c r="EFE1095"/>
      <c r="EFF1095"/>
      <c r="EFI1095"/>
      <c r="EFJ1095"/>
      <c r="EFM1095"/>
      <c r="EFN1095"/>
      <c r="EFQ1095"/>
      <c r="EFR1095"/>
      <c r="EFU1095"/>
      <c r="EFV1095"/>
      <c r="EFY1095"/>
      <c r="EFZ1095"/>
      <c r="EGC1095"/>
      <c r="EGD1095"/>
      <c r="EGG1095"/>
      <c r="EGH1095"/>
      <c r="EGK1095"/>
      <c r="EGL1095"/>
      <c r="EGO1095"/>
      <c r="EGP1095"/>
      <c r="EGS1095"/>
      <c r="EGT1095"/>
      <c r="EGW1095"/>
      <c r="EGX1095"/>
      <c r="EHA1095"/>
      <c r="EHB1095"/>
      <c r="EHE1095"/>
      <c r="EHF1095"/>
      <c r="EHI1095"/>
      <c r="EHJ1095"/>
      <c r="EHM1095"/>
      <c r="EHN1095"/>
      <c r="EHQ1095"/>
      <c r="EHR1095"/>
      <c r="EHU1095"/>
      <c r="EHV1095"/>
      <c r="EHY1095"/>
      <c r="EHZ1095"/>
      <c r="EIC1095"/>
      <c r="EID1095"/>
      <c r="EIG1095"/>
      <c r="EIH1095"/>
      <c r="EIK1095"/>
      <c r="EIL1095"/>
      <c r="EIO1095"/>
      <c r="EIP1095"/>
      <c r="EIS1095"/>
      <c r="EIT1095"/>
      <c r="EIW1095"/>
      <c r="EIX1095"/>
      <c r="EJA1095"/>
      <c r="EJB1095"/>
      <c r="EJE1095"/>
      <c r="EJF1095"/>
      <c r="EJI1095"/>
      <c r="EJJ1095"/>
      <c r="EJM1095"/>
      <c r="EJN1095"/>
      <c r="EJQ1095"/>
      <c r="EJR1095"/>
      <c r="EJU1095"/>
      <c r="EJV1095"/>
      <c r="EJY1095"/>
      <c r="EJZ1095"/>
      <c r="EKC1095"/>
      <c r="EKD1095"/>
      <c r="EKG1095"/>
      <c r="EKH1095"/>
      <c r="EKK1095"/>
      <c r="EKL1095"/>
      <c r="EKO1095"/>
      <c r="EKP1095"/>
      <c r="EKS1095"/>
      <c r="EKT1095"/>
      <c r="EKW1095"/>
      <c r="EKX1095"/>
      <c r="ELA1095"/>
      <c r="ELB1095"/>
      <c r="ELE1095"/>
      <c r="ELF1095"/>
      <c r="ELI1095"/>
      <c r="ELJ1095"/>
      <c r="ELM1095"/>
      <c r="ELN1095"/>
      <c r="ELQ1095"/>
      <c r="ELR1095"/>
      <c r="ELU1095"/>
      <c r="ELV1095"/>
      <c r="ELY1095"/>
      <c r="ELZ1095"/>
      <c r="EMC1095"/>
      <c r="EMD1095"/>
      <c r="EMG1095"/>
      <c r="EMH1095"/>
      <c r="EMK1095"/>
      <c r="EML1095"/>
      <c r="EMO1095"/>
      <c r="EMP1095"/>
      <c r="EMS1095"/>
      <c r="EMT1095"/>
      <c r="EMW1095"/>
      <c r="EMX1095"/>
      <c r="ENA1095"/>
      <c r="ENB1095"/>
      <c r="ENE1095"/>
      <c r="ENF1095"/>
      <c r="ENI1095"/>
      <c r="ENJ1095"/>
      <c r="ENM1095"/>
      <c r="ENN1095"/>
      <c r="ENQ1095"/>
      <c r="ENR1095"/>
      <c r="ENU1095"/>
      <c r="ENV1095"/>
      <c r="ENY1095"/>
      <c r="ENZ1095"/>
      <c r="EOC1095"/>
      <c r="EOD1095"/>
      <c r="EOG1095"/>
      <c r="EOH1095"/>
      <c r="EOK1095"/>
      <c r="EOL1095"/>
      <c r="EOO1095"/>
      <c r="EOP1095"/>
      <c r="EOS1095"/>
      <c r="EOT1095"/>
      <c r="EOW1095"/>
      <c r="EOX1095"/>
      <c r="EPA1095"/>
      <c r="EPB1095"/>
      <c r="EPE1095"/>
      <c r="EPF1095"/>
      <c r="EPI1095"/>
      <c r="EPJ1095"/>
      <c r="EPM1095"/>
      <c r="EPN1095"/>
      <c r="EPQ1095"/>
      <c r="EPR1095"/>
      <c r="EPU1095"/>
      <c r="EPV1095"/>
      <c r="EPY1095"/>
      <c r="EPZ1095"/>
      <c r="EQC1095"/>
      <c r="EQD1095"/>
      <c r="EQG1095"/>
      <c r="EQH1095"/>
      <c r="EQK1095"/>
      <c r="EQL1095"/>
      <c r="EQO1095"/>
      <c r="EQP1095"/>
      <c r="EQS1095"/>
      <c r="EQT1095"/>
      <c r="EQW1095"/>
      <c r="EQX1095"/>
      <c r="ERA1095"/>
      <c r="ERB1095"/>
      <c r="ERE1095"/>
      <c r="ERF1095"/>
      <c r="ERI1095"/>
      <c r="ERJ1095"/>
      <c r="ERM1095"/>
      <c r="ERN1095"/>
      <c r="ERQ1095"/>
      <c r="ERR1095"/>
      <c r="ERU1095"/>
      <c r="ERV1095"/>
      <c r="ERY1095"/>
      <c r="ERZ1095"/>
      <c r="ESC1095"/>
      <c r="ESD1095"/>
      <c r="ESG1095"/>
      <c r="ESH1095"/>
      <c r="ESK1095"/>
      <c r="ESL1095"/>
      <c r="ESO1095"/>
      <c r="ESP1095"/>
      <c r="ESS1095"/>
      <c r="EST1095"/>
      <c r="ESW1095"/>
      <c r="ESX1095"/>
      <c r="ETA1095"/>
      <c r="ETB1095"/>
      <c r="ETE1095"/>
      <c r="ETF1095"/>
      <c r="ETI1095"/>
      <c r="ETJ1095"/>
      <c r="ETM1095"/>
      <c r="ETN1095"/>
      <c r="ETQ1095"/>
      <c r="ETR1095"/>
      <c r="ETU1095"/>
      <c r="ETV1095"/>
      <c r="ETY1095"/>
      <c r="ETZ1095"/>
      <c r="EUC1095"/>
      <c r="EUD1095"/>
      <c r="EUG1095"/>
      <c r="EUH1095"/>
      <c r="EUK1095"/>
      <c r="EUL1095"/>
      <c r="EUO1095"/>
      <c r="EUP1095"/>
      <c r="EUS1095"/>
      <c r="EUT1095"/>
      <c r="EUW1095"/>
      <c r="EUX1095"/>
      <c r="EVA1095"/>
      <c r="EVB1095"/>
      <c r="EVE1095"/>
      <c r="EVF1095"/>
      <c r="EVI1095"/>
      <c r="EVJ1095"/>
      <c r="EVM1095"/>
      <c r="EVN1095"/>
      <c r="EVQ1095"/>
      <c r="EVR1095"/>
      <c r="EVU1095"/>
      <c r="EVV1095"/>
      <c r="EVY1095"/>
      <c r="EVZ1095"/>
      <c r="EWC1095"/>
      <c r="EWD1095"/>
      <c r="EWG1095"/>
      <c r="EWH1095"/>
      <c r="EWK1095"/>
      <c r="EWL1095"/>
      <c r="EWO1095"/>
      <c r="EWP1095"/>
      <c r="EWS1095"/>
      <c r="EWT1095"/>
      <c r="EWW1095"/>
      <c r="EWX1095"/>
      <c r="EXA1095"/>
      <c r="EXB1095"/>
      <c r="EXE1095"/>
      <c r="EXF1095"/>
      <c r="EXI1095"/>
      <c r="EXJ1095"/>
      <c r="EXM1095"/>
      <c r="EXN1095"/>
      <c r="EXQ1095"/>
      <c r="EXR1095"/>
      <c r="EXU1095"/>
      <c r="EXV1095"/>
      <c r="EXY1095"/>
      <c r="EXZ1095"/>
      <c r="EYC1095"/>
      <c r="EYD1095"/>
      <c r="EYG1095"/>
      <c r="EYH1095"/>
      <c r="EYK1095"/>
      <c r="EYL1095"/>
      <c r="EYO1095"/>
      <c r="EYP1095"/>
      <c r="EYS1095"/>
      <c r="EYT1095"/>
      <c r="EYW1095"/>
      <c r="EYX1095"/>
      <c r="EZA1095"/>
      <c r="EZB1095"/>
      <c r="EZE1095"/>
      <c r="EZF1095"/>
      <c r="EZI1095"/>
      <c r="EZJ1095"/>
      <c r="EZM1095"/>
      <c r="EZN1095"/>
      <c r="EZQ1095"/>
      <c r="EZR1095"/>
      <c r="EZU1095"/>
      <c r="EZV1095"/>
      <c r="EZY1095"/>
      <c r="EZZ1095"/>
      <c r="FAC1095"/>
      <c r="FAD1095"/>
      <c r="FAG1095"/>
      <c r="FAH1095"/>
      <c r="FAK1095"/>
      <c r="FAL1095"/>
      <c r="FAO1095"/>
      <c r="FAP1095"/>
      <c r="FAS1095"/>
      <c r="FAT1095"/>
      <c r="FAW1095"/>
      <c r="FAX1095"/>
      <c r="FBA1095"/>
      <c r="FBB1095"/>
      <c r="FBE1095"/>
      <c r="FBF1095"/>
      <c r="FBI1095"/>
      <c r="FBJ1095"/>
      <c r="FBM1095"/>
      <c r="FBN1095"/>
      <c r="FBQ1095"/>
      <c r="FBR1095"/>
      <c r="FBU1095"/>
      <c r="FBV1095"/>
      <c r="FBY1095"/>
      <c r="FBZ1095"/>
      <c r="FCC1095"/>
      <c r="FCD1095"/>
      <c r="FCG1095"/>
      <c r="FCH1095"/>
      <c r="FCK1095"/>
      <c r="FCL1095"/>
      <c r="FCO1095"/>
      <c r="FCP1095"/>
      <c r="FCS1095"/>
      <c r="FCT1095"/>
      <c r="FCW1095"/>
      <c r="FCX1095"/>
      <c r="FDA1095"/>
      <c r="FDB1095"/>
      <c r="FDE1095"/>
      <c r="FDF1095"/>
      <c r="FDI1095"/>
      <c r="FDJ1095"/>
      <c r="FDM1095"/>
      <c r="FDN1095"/>
      <c r="FDQ1095"/>
      <c r="FDR1095"/>
      <c r="FDU1095"/>
      <c r="FDV1095"/>
      <c r="FDY1095"/>
      <c r="FDZ1095"/>
      <c r="FEC1095"/>
      <c r="FED1095"/>
      <c r="FEG1095"/>
      <c r="FEH1095"/>
      <c r="FEK1095"/>
      <c r="FEL1095"/>
      <c r="FEO1095"/>
      <c r="FEP1095"/>
      <c r="FES1095"/>
      <c r="FET1095"/>
      <c r="FEW1095"/>
      <c r="FEX1095"/>
      <c r="FFA1095"/>
      <c r="FFB1095"/>
      <c r="FFE1095"/>
      <c r="FFF1095"/>
      <c r="FFI1095"/>
      <c r="FFJ1095"/>
      <c r="FFM1095"/>
      <c r="FFN1095"/>
      <c r="FFQ1095"/>
      <c r="FFR1095"/>
      <c r="FFU1095"/>
      <c r="FFV1095"/>
      <c r="FFY1095"/>
      <c r="FFZ1095"/>
      <c r="FGC1095"/>
      <c r="FGD1095"/>
      <c r="FGG1095"/>
      <c r="FGH1095"/>
      <c r="FGK1095"/>
      <c r="FGL1095"/>
      <c r="FGO1095"/>
      <c r="FGP1095"/>
      <c r="FGS1095"/>
      <c r="FGT1095"/>
      <c r="FGW1095"/>
      <c r="FGX1095"/>
      <c r="FHA1095"/>
      <c r="FHB1095"/>
      <c r="FHE1095"/>
      <c r="FHF1095"/>
      <c r="FHI1095"/>
      <c r="FHJ1095"/>
      <c r="FHM1095"/>
      <c r="FHN1095"/>
      <c r="FHQ1095"/>
      <c r="FHR1095"/>
      <c r="FHU1095"/>
      <c r="FHV1095"/>
      <c r="FHY1095"/>
      <c r="FHZ1095"/>
      <c r="FIC1095"/>
      <c r="FID1095"/>
      <c r="FIG1095"/>
      <c r="FIH1095"/>
      <c r="FIK1095"/>
      <c r="FIL1095"/>
      <c r="FIO1095"/>
      <c r="FIP1095"/>
      <c r="FIS1095"/>
      <c r="FIT1095"/>
      <c r="FIW1095"/>
      <c r="FIX1095"/>
      <c r="FJA1095"/>
      <c r="FJB1095"/>
      <c r="FJE1095"/>
      <c r="FJF1095"/>
      <c r="FJI1095"/>
      <c r="FJJ1095"/>
      <c r="FJM1095"/>
      <c r="FJN1095"/>
      <c r="FJQ1095"/>
      <c r="FJR1095"/>
      <c r="FJU1095"/>
      <c r="FJV1095"/>
      <c r="FJY1095"/>
      <c r="FJZ1095"/>
      <c r="FKC1095"/>
      <c r="FKD1095"/>
      <c r="FKG1095"/>
      <c r="FKH1095"/>
      <c r="FKK1095"/>
      <c r="FKL1095"/>
      <c r="FKO1095"/>
      <c r="FKP1095"/>
      <c r="FKS1095"/>
      <c r="FKT1095"/>
      <c r="FKW1095"/>
      <c r="FKX1095"/>
      <c r="FLA1095"/>
      <c r="FLB1095"/>
      <c r="FLE1095"/>
      <c r="FLF1095"/>
      <c r="FLI1095"/>
      <c r="FLJ1095"/>
      <c r="FLM1095"/>
      <c r="FLN1095"/>
      <c r="FLQ1095"/>
      <c r="FLR1095"/>
      <c r="FLU1095"/>
      <c r="FLV1095"/>
      <c r="FLY1095"/>
      <c r="FLZ1095"/>
      <c r="FMC1095"/>
      <c r="FMD1095"/>
      <c r="FMG1095"/>
      <c r="FMH1095"/>
      <c r="FMK1095"/>
      <c r="FML1095"/>
      <c r="FMO1095"/>
      <c r="FMP1095"/>
      <c r="FMS1095"/>
      <c r="FMT1095"/>
      <c r="FMW1095"/>
      <c r="FMX1095"/>
      <c r="FNA1095"/>
      <c r="FNB1095"/>
      <c r="FNE1095"/>
      <c r="FNF1095"/>
      <c r="FNI1095"/>
      <c r="FNJ1095"/>
      <c r="FNM1095"/>
      <c r="FNN1095"/>
      <c r="FNQ1095"/>
      <c r="FNR1095"/>
      <c r="FNU1095"/>
      <c r="FNV1095"/>
      <c r="FNY1095"/>
      <c r="FNZ1095"/>
      <c r="FOC1095"/>
      <c r="FOD1095"/>
      <c r="FOG1095"/>
      <c r="FOH1095"/>
      <c r="FOK1095"/>
      <c r="FOL1095"/>
      <c r="FOO1095"/>
      <c r="FOP1095"/>
      <c r="FOS1095"/>
      <c r="FOT1095"/>
      <c r="FOW1095"/>
      <c r="FOX1095"/>
      <c r="FPA1095"/>
      <c r="FPB1095"/>
      <c r="FPE1095"/>
      <c r="FPF1095"/>
      <c r="FPI1095"/>
      <c r="FPJ1095"/>
      <c r="FPM1095"/>
      <c r="FPN1095"/>
      <c r="FPQ1095"/>
      <c r="FPR1095"/>
      <c r="FPU1095"/>
      <c r="FPV1095"/>
      <c r="FPY1095"/>
      <c r="FPZ1095"/>
      <c r="FQC1095"/>
      <c r="FQD1095"/>
      <c r="FQG1095"/>
      <c r="FQH1095"/>
      <c r="FQK1095"/>
      <c r="FQL1095"/>
      <c r="FQO1095"/>
      <c r="FQP1095"/>
      <c r="FQS1095"/>
      <c r="FQT1095"/>
      <c r="FQW1095"/>
      <c r="FQX1095"/>
      <c r="FRA1095"/>
      <c r="FRB1095"/>
      <c r="FRE1095"/>
      <c r="FRF1095"/>
      <c r="FRI1095"/>
      <c r="FRJ1095"/>
      <c r="FRM1095"/>
      <c r="FRN1095"/>
      <c r="FRQ1095"/>
      <c r="FRR1095"/>
      <c r="FRU1095"/>
      <c r="FRV1095"/>
      <c r="FRY1095"/>
      <c r="FRZ1095"/>
      <c r="FSC1095"/>
      <c r="FSD1095"/>
      <c r="FSG1095"/>
      <c r="FSH1095"/>
      <c r="FSK1095"/>
      <c r="FSL1095"/>
      <c r="FSO1095"/>
      <c r="FSP1095"/>
      <c r="FSS1095"/>
      <c r="FST1095"/>
      <c r="FSW1095"/>
      <c r="FSX1095"/>
      <c r="FTA1095"/>
      <c r="FTB1095"/>
      <c r="FTE1095"/>
      <c r="FTF1095"/>
      <c r="FTI1095"/>
      <c r="FTJ1095"/>
      <c r="FTM1095"/>
      <c r="FTN1095"/>
      <c r="FTQ1095"/>
      <c r="FTR1095"/>
      <c r="FTU1095"/>
      <c r="FTV1095"/>
      <c r="FTY1095"/>
      <c r="FTZ1095"/>
      <c r="FUC1095"/>
      <c r="FUD1095"/>
      <c r="FUG1095"/>
      <c r="FUH1095"/>
      <c r="FUK1095"/>
      <c r="FUL1095"/>
      <c r="FUO1095"/>
      <c r="FUP1095"/>
      <c r="FUS1095"/>
      <c r="FUT1095"/>
      <c r="FUW1095"/>
      <c r="FUX1095"/>
      <c r="FVA1095"/>
      <c r="FVB1095"/>
      <c r="FVE1095"/>
      <c r="FVF1095"/>
      <c r="FVI1095"/>
      <c r="FVJ1095"/>
      <c r="FVM1095"/>
      <c r="FVN1095"/>
      <c r="FVQ1095"/>
      <c r="FVR1095"/>
      <c r="FVU1095"/>
      <c r="FVV1095"/>
      <c r="FVY1095"/>
      <c r="FVZ1095"/>
      <c r="FWC1095"/>
      <c r="FWD1095"/>
      <c r="FWG1095"/>
      <c r="FWH1095"/>
      <c r="FWK1095"/>
      <c r="FWL1095"/>
      <c r="FWO1095"/>
      <c r="FWP1095"/>
      <c r="FWS1095"/>
      <c r="FWT1095"/>
      <c r="FWW1095"/>
      <c r="FWX1095"/>
      <c r="FXA1095"/>
      <c r="FXB1095"/>
      <c r="FXE1095"/>
      <c r="FXF1095"/>
      <c r="FXI1095"/>
      <c r="FXJ1095"/>
      <c r="FXM1095"/>
      <c r="FXN1095"/>
      <c r="FXQ1095"/>
      <c r="FXR1095"/>
      <c r="FXU1095"/>
      <c r="FXV1095"/>
      <c r="FXY1095"/>
      <c r="FXZ1095"/>
      <c r="FYC1095"/>
      <c r="FYD1095"/>
      <c r="FYG1095"/>
      <c r="FYH1095"/>
      <c r="FYK1095"/>
      <c r="FYL1095"/>
      <c r="FYO1095"/>
      <c r="FYP1095"/>
      <c r="FYS1095"/>
      <c r="FYT1095"/>
      <c r="FYW1095"/>
      <c r="FYX1095"/>
      <c r="FZA1095"/>
      <c r="FZB1095"/>
      <c r="FZE1095"/>
      <c r="FZF1095"/>
      <c r="FZI1095"/>
      <c r="FZJ1095"/>
      <c r="FZM1095"/>
      <c r="FZN1095"/>
      <c r="FZQ1095"/>
      <c r="FZR1095"/>
      <c r="FZU1095"/>
      <c r="FZV1095"/>
      <c r="FZY1095"/>
      <c r="FZZ1095"/>
      <c r="GAC1095"/>
      <c r="GAD1095"/>
      <c r="GAG1095"/>
      <c r="GAH1095"/>
      <c r="GAK1095"/>
      <c r="GAL1095"/>
      <c r="GAO1095"/>
      <c r="GAP1095"/>
      <c r="GAS1095"/>
      <c r="GAT1095"/>
      <c r="GAW1095"/>
      <c r="GAX1095"/>
      <c r="GBA1095"/>
      <c r="GBB1095"/>
      <c r="GBE1095"/>
      <c r="GBF1095"/>
      <c r="GBI1095"/>
      <c r="GBJ1095"/>
      <c r="GBM1095"/>
      <c r="GBN1095"/>
      <c r="GBQ1095"/>
      <c r="GBR1095"/>
      <c r="GBU1095"/>
      <c r="GBV1095"/>
      <c r="GBY1095"/>
      <c r="GBZ1095"/>
      <c r="GCC1095"/>
      <c r="GCD1095"/>
      <c r="GCG1095"/>
      <c r="GCH1095"/>
      <c r="GCK1095"/>
      <c r="GCL1095"/>
      <c r="GCO1095"/>
      <c r="GCP1095"/>
      <c r="GCS1095"/>
      <c r="GCT1095"/>
      <c r="GCW1095"/>
      <c r="GCX1095"/>
      <c r="GDA1095"/>
      <c r="GDB1095"/>
      <c r="GDE1095"/>
      <c r="GDF1095"/>
      <c r="GDI1095"/>
      <c r="GDJ1095"/>
      <c r="GDM1095"/>
      <c r="GDN1095"/>
      <c r="GDQ1095"/>
      <c r="GDR1095"/>
      <c r="GDU1095"/>
      <c r="GDV1095"/>
      <c r="GDY1095"/>
      <c r="GDZ1095"/>
      <c r="GEC1095"/>
      <c r="GED1095"/>
      <c r="GEG1095"/>
      <c r="GEH1095"/>
      <c r="GEK1095"/>
      <c r="GEL1095"/>
      <c r="GEO1095"/>
      <c r="GEP1095"/>
      <c r="GES1095"/>
      <c r="GET1095"/>
      <c r="GEW1095"/>
      <c r="GEX1095"/>
      <c r="GFA1095"/>
      <c r="GFB1095"/>
      <c r="GFE1095"/>
      <c r="GFF1095"/>
      <c r="GFI1095"/>
      <c r="GFJ1095"/>
      <c r="GFM1095"/>
      <c r="GFN1095"/>
      <c r="GFQ1095"/>
      <c r="GFR1095"/>
      <c r="GFU1095"/>
      <c r="GFV1095"/>
      <c r="GFY1095"/>
      <c r="GFZ1095"/>
      <c r="GGC1095"/>
      <c r="GGD1095"/>
      <c r="GGG1095"/>
      <c r="GGH1095"/>
      <c r="GGK1095"/>
      <c r="GGL1095"/>
      <c r="GGO1095"/>
      <c r="GGP1095"/>
      <c r="GGS1095"/>
      <c r="GGT1095"/>
      <c r="GGW1095"/>
      <c r="GGX1095"/>
      <c r="GHA1095"/>
      <c r="GHB1095"/>
      <c r="GHE1095"/>
      <c r="GHF1095"/>
      <c r="GHI1095"/>
      <c r="GHJ1095"/>
      <c r="GHM1095"/>
      <c r="GHN1095"/>
      <c r="GHQ1095"/>
      <c r="GHR1095"/>
      <c r="GHU1095"/>
      <c r="GHV1095"/>
      <c r="GHY1095"/>
      <c r="GHZ1095"/>
      <c r="GIC1095"/>
      <c r="GID1095"/>
      <c r="GIG1095"/>
      <c r="GIH1095"/>
      <c r="GIK1095"/>
      <c r="GIL1095"/>
      <c r="GIO1095"/>
      <c r="GIP1095"/>
      <c r="GIS1095"/>
      <c r="GIT1095"/>
      <c r="GIW1095"/>
      <c r="GIX1095"/>
      <c r="GJA1095"/>
      <c r="GJB1095"/>
      <c r="GJE1095"/>
      <c r="GJF1095"/>
      <c r="GJI1095"/>
      <c r="GJJ1095"/>
      <c r="GJM1095"/>
      <c r="GJN1095"/>
      <c r="GJQ1095"/>
      <c r="GJR1095"/>
      <c r="GJU1095"/>
      <c r="GJV1095"/>
      <c r="GJY1095"/>
      <c r="GJZ1095"/>
      <c r="GKC1095"/>
      <c r="GKD1095"/>
      <c r="GKG1095"/>
      <c r="GKH1095"/>
      <c r="GKK1095"/>
      <c r="GKL1095"/>
      <c r="GKO1095"/>
      <c r="GKP1095"/>
      <c r="GKS1095"/>
      <c r="GKT1095"/>
      <c r="GKW1095"/>
      <c r="GKX1095"/>
      <c r="GLA1095"/>
      <c r="GLB1095"/>
      <c r="GLE1095"/>
      <c r="GLF1095"/>
      <c r="GLI1095"/>
      <c r="GLJ1095"/>
      <c r="GLM1095"/>
      <c r="GLN1095"/>
      <c r="GLQ1095"/>
      <c r="GLR1095"/>
      <c r="GLU1095"/>
      <c r="GLV1095"/>
      <c r="GLY1095"/>
      <c r="GLZ1095"/>
      <c r="GMC1095"/>
      <c r="GMD1095"/>
      <c r="GMG1095"/>
      <c r="GMH1095"/>
      <c r="GMK1095"/>
      <c r="GML1095"/>
      <c r="GMO1095"/>
      <c r="GMP1095"/>
      <c r="GMS1095"/>
      <c r="GMT1095"/>
      <c r="GMW1095"/>
      <c r="GMX1095"/>
      <c r="GNA1095"/>
      <c r="GNB1095"/>
      <c r="GNE1095"/>
      <c r="GNF1095"/>
      <c r="GNI1095"/>
      <c r="GNJ1095"/>
      <c r="GNM1095"/>
      <c r="GNN1095"/>
      <c r="GNQ1095"/>
      <c r="GNR1095"/>
      <c r="GNU1095"/>
      <c r="GNV1095"/>
      <c r="GNY1095"/>
      <c r="GNZ1095"/>
      <c r="GOC1095"/>
      <c r="GOD1095"/>
      <c r="GOG1095"/>
      <c r="GOH1095"/>
      <c r="GOK1095"/>
      <c r="GOL1095"/>
      <c r="GOO1095"/>
      <c r="GOP1095"/>
      <c r="GOS1095"/>
      <c r="GOT1095"/>
      <c r="GOW1095"/>
      <c r="GOX1095"/>
      <c r="GPA1095"/>
      <c r="GPB1095"/>
      <c r="GPE1095"/>
      <c r="GPF1095"/>
      <c r="GPI1095"/>
      <c r="GPJ1095"/>
      <c r="GPM1095"/>
      <c r="GPN1095"/>
      <c r="GPQ1095"/>
      <c r="GPR1095"/>
      <c r="GPU1095"/>
      <c r="GPV1095"/>
      <c r="GPY1095"/>
      <c r="GPZ1095"/>
      <c r="GQC1095"/>
      <c r="GQD1095"/>
      <c r="GQG1095"/>
      <c r="GQH1095"/>
      <c r="GQK1095"/>
      <c r="GQL1095"/>
      <c r="GQO1095"/>
      <c r="GQP1095"/>
      <c r="GQS1095"/>
      <c r="GQT1095"/>
      <c r="GQW1095"/>
      <c r="GQX1095"/>
      <c r="GRA1095"/>
      <c r="GRB1095"/>
      <c r="GRE1095"/>
      <c r="GRF1095"/>
      <c r="GRI1095"/>
      <c r="GRJ1095"/>
      <c r="GRM1095"/>
      <c r="GRN1095"/>
      <c r="GRQ1095"/>
      <c r="GRR1095"/>
      <c r="GRU1095"/>
      <c r="GRV1095"/>
      <c r="GRY1095"/>
      <c r="GRZ1095"/>
      <c r="GSC1095"/>
      <c r="GSD1095"/>
      <c r="GSG1095"/>
      <c r="GSH1095"/>
      <c r="GSK1095"/>
      <c r="GSL1095"/>
      <c r="GSO1095"/>
      <c r="GSP1095"/>
      <c r="GSS1095"/>
      <c r="GST1095"/>
      <c r="GSW1095"/>
      <c r="GSX1095"/>
      <c r="GTA1095"/>
      <c r="GTB1095"/>
      <c r="GTE1095"/>
      <c r="GTF1095"/>
      <c r="GTI1095"/>
      <c r="GTJ1095"/>
      <c r="GTM1095"/>
      <c r="GTN1095"/>
      <c r="GTQ1095"/>
      <c r="GTR1095"/>
      <c r="GTU1095"/>
      <c r="GTV1095"/>
      <c r="GTY1095"/>
      <c r="GTZ1095"/>
      <c r="GUC1095"/>
      <c r="GUD1095"/>
      <c r="GUG1095"/>
      <c r="GUH1095"/>
      <c r="GUK1095"/>
      <c r="GUL1095"/>
      <c r="GUO1095"/>
      <c r="GUP1095"/>
      <c r="GUS1095"/>
      <c r="GUT1095"/>
      <c r="GUW1095"/>
      <c r="GUX1095"/>
      <c r="GVA1095"/>
      <c r="GVB1095"/>
      <c r="GVE1095"/>
      <c r="GVF1095"/>
      <c r="GVI1095"/>
      <c r="GVJ1095"/>
      <c r="GVM1095"/>
      <c r="GVN1095"/>
      <c r="GVQ1095"/>
      <c r="GVR1095"/>
      <c r="GVU1095"/>
      <c r="GVV1095"/>
      <c r="GVY1095"/>
      <c r="GVZ1095"/>
      <c r="GWC1095"/>
      <c r="GWD1095"/>
      <c r="GWG1095"/>
      <c r="GWH1095"/>
      <c r="GWK1095"/>
      <c r="GWL1095"/>
      <c r="GWO1095"/>
      <c r="GWP1095"/>
      <c r="GWS1095"/>
      <c r="GWT1095"/>
      <c r="GWW1095"/>
      <c r="GWX1095"/>
      <c r="GXA1095"/>
      <c r="GXB1095"/>
      <c r="GXE1095"/>
      <c r="GXF1095"/>
      <c r="GXI1095"/>
      <c r="GXJ1095"/>
      <c r="GXM1095"/>
      <c r="GXN1095"/>
      <c r="GXQ1095"/>
      <c r="GXR1095"/>
      <c r="GXU1095"/>
      <c r="GXV1095"/>
      <c r="GXY1095"/>
      <c r="GXZ1095"/>
      <c r="GYC1095"/>
      <c r="GYD1095"/>
      <c r="GYG1095"/>
      <c r="GYH1095"/>
      <c r="GYK1095"/>
      <c r="GYL1095"/>
      <c r="GYO1095"/>
      <c r="GYP1095"/>
      <c r="GYS1095"/>
      <c r="GYT1095"/>
      <c r="GYW1095"/>
      <c r="GYX1095"/>
      <c r="GZA1095"/>
      <c r="GZB1095"/>
      <c r="GZE1095"/>
      <c r="GZF1095"/>
      <c r="GZI1095"/>
      <c r="GZJ1095"/>
      <c r="GZM1095"/>
      <c r="GZN1095"/>
      <c r="GZQ1095"/>
      <c r="GZR1095"/>
      <c r="GZU1095"/>
      <c r="GZV1095"/>
      <c r="GZY1095"/>
      <c r="GZZ1095"/>
      <c r="HAC1095"/>
      <c r="HAD1095"/>
      <c r="HAG1095"/>
      <c r="HAH1095"/>
      <c r="HAK1095"/>
      <c r="HAL1095"/>
      <c r="HAO1095"/>
      <c r="HAP1095"/>
      <c r="HAS1095"/>
      <c r="HAT1095"/>
      <c r="HAW1095"/>
      <c r="HAX1095"/>
      <c r="HBA1095"/>
      <c r="HBB1095"/>
      <c r="HBE1095"/>
      <c r="HBF1095"/>
      <c r="HBI1095"/>
      <c r="HBJ1095"/>
      <c r="HBM1095"/>
      <c r="HBN1095"/>
      <c r="HBQ1095"/>
      <c r="HBR1095"/>
      <c r="HBU1095"/>
      <c r="HBV1095"/>
      <c r="HBY1095"/>
      <c r="HBZ1095"/>
      <c r="HCC1095"/>
      <c r="HCD1095"/>
      <c r="HCG1095"/>
      <c r="HCH1095"/>
      <c r="HCK1095"/>
      <c r="HCL1095"/>
      <c r="HCO1095"/>
      <c r="HCP1095"/>
      <c r="HCS1095"/>
      <c r="HCT1095"/>
      <c r="HCW1095"/>
      <c r="HCX1095"/>
      <c r="HDA1095"/>
      <c r="HDB1095"/>
      <c r="HDE1095"/>
      <c r="HDF1095"/>
      <c r="HDI1095"/>
      <c r="HDJ1095"/>
      <c r="HDM1095"/>
      <c r="HDN1095"/>
      <c r="HDQ1095"/>
      <c r="HDR1095"/>
      <c r="HDU1095"/>
      <c r="HDV1095"/>
      <c r="HDY1095"/>
      <c r="HDZ1095"/>
      <c r="HEC1095"/>
      <c r="HED1095"/>
      <c r="HEG1095"/>
      <c r="HEH1095"/>
      <c r="HEK1095"/>
      <c r="HEL1095"/>
      <c r="HEO1095"/>
      <c r="HEP1095"/>
      <c r="HES1095"/>
      <c r="HET1095"/>
      <c r="HEW1095"/>
      <c r="HEX1095"/>
      <c r="HFA1095"/>
      <c r="HFB1095"/>
      <c r="HFE1095"/>
      <c r="HFF1095"/>
      <c r="HFI1095"/>
      <c r="HFJ1095"/>
      <c r="HFM1095"/>
      <c r="HFN1095"/>
      <c r="HFQ1095"/>
      <c r="HFR1095"/>
      <c r="HFU1095"/>
      <c r="HFV1095"/>
      <c r="HFY1095"/>
      <c r="HFZ1095"/>
      <c r="HGC1095"/>
      <c r="HGD1095"/>
      <c r="HGG1095"/>
      <c r="HGH1095"/>
      <c r="HGK1095"/>
      <c r="HGL1095"/>
      <c r="HGO1095"/>
      <c r="HGP1095"/>
      <c r="HGS1095"/>
      <c r="HGT1095"/>
      <c r="HGW1095"/>
      <c r="HGX1095"/>
      <c r="HHA1095"/>
      <c r="HHB1095"/>
      <c r="HHE1095"/>
      <c r="HHF1095"/>
      <c r="HHI1095"/>
      <c r="HHJ1095"/>
      <c r="HHM1095"/>
      <c r="HHN1095"/>
      <c r="HHQ1095"/>
      <c r="HHR1095"/>
      <c r="HHU1095"/>
      <c r="HHV1095"/>
      <c r="HHY1095"/>
      <c r="HHZ1095"/>
      <c r="HIC1095"/>
      <c r="HID1095"/>
      <c r="HIG1095"/>
      <c r="HIH1095"/>
      <c r="HIK1095"/>
      <c r="HIL1095"/>
      <c r="HIO1095"/>
      <c r="HIP1095"/>
      <c r="HIS1095"/>
      <c r="HIT1095"/>
      <c r="HIW1095"/>
      <c r="HIX1095"/>
      <c r="HJA1095"/>
      <c r="HJB1095"/>
      <c r="HJE1095"/>
      <c r="HJF1095"/>
      <c r="HJI1095"/>
      <c r="HJJ1095"/>
      <c r="HJM1095"/>
      <c r="HJN1095"/>
      <c r="HJQ1095"/>
      <c r="HJR1095"/>
      <c r="HJU1095"/>
      <c r="HJV1095"/>
      <c r="HJY1095"/>
      <c r="HJZ1095"/>
      <c r="HKC1095"/>
      <c r="HKD1095"/>
      <c r="HKG1095"/>
      <c r="HKH1095"/>
      <c r="HKK1095"/>
      <c r="HKL1095"/>
      <c r="HKO1095"/>
      <c r="HKP1095"/>
      <c r="HKS1095"/>
      <c r="HKT1095"/>
      <c r="HKW1095"/>
      <c r="HKX1095"/>
      <c r="HLA1095"/>
      <c r="HLB1095"/>
      <c r="HLE1095"/>
      <c r="HLF1095"/>
      <c r="HLI1095"/>
      <c r="HLJ1095"/>
      <c r="HLM1095"/>
      <c r="HLN1095"/>
      <c r="HLQ1095"/>
      <c r="HLR1095"/>
      <c r="HLU1095"/>
      <c r="HLV1095"/>
      <c r="HLY1095"/>
      <c r="HLZ1095"/>
      <c r="HMC1095"/>
      <c r="HMD1095"/>
      <c r="HMG1095"/>
      <c r="HMH1095"/>
      <c r="HMK1095"/>
      <c r="HML1095"/>
      <c r="HMO1095"/>
      <c r="HMP1095"/>
      <c r="HMS1095"/>
      <c r="HMT1095"/>
      <c r="HMW1095"/>
      <c r="HMX1095"/>
      <c r="HNA1095"/>
      <c r="HNB1095"/>
      <c r="HNE1095"/>
      <c r="HNF1095"/>
      <c r="HNI1095"/>
      <c r="HNJ1095"/>
      <c r="HNM1095"/>
      <c r="HNN1095"/>
      <c r="HNQ1095"/>
      <c r="HNR1095"/>
      <c r="HNU1095"/>
      <c r="HNV1095"/>
      <c r="HNY1095"/>
      <c r="HNZ1095"/>
      <c r="HOC1095"/>
      <c r="HOD1095"/>
      <c r="HOG1095"/>
      <c r="HOH1095"/>
      <c r="HOK1095"/>
      <c r="HOL1095"/>
      <c r="HOO1095"/>
      <c r="HOP1095"/>
      <c r="HOS1095"/>
      <c r="HOT1095"/>
      <c r="HOW1095"/>
      <c r="HOX1095"/>
      <c r="HPA1095"/>
      <c r="HPB1095"/>
      <c r="HPE1095"/>
      <c r="HPF1095"/>
      <c r="HPI1095"/>
      <c r="HPJ1095"/>
      <c r="HPM1095"/>
      <c r="HPN1095"/>
      <c r="HPQ1095"/>
      <c r="HPR1095"/>
      <c r="HPU1095"/>
      <c r="HPV1095"/>
      <c r="HPY1095"/>
      <c r="HPZ1095"/>
      <c r="HQC1095"/>
      <c r="HQD1095"/>
      <c r="HQG1095"/>
      <c r="HQH1095"/>
      <c r="HQK1095"/>
      <c r="HQL1095"/>
      <c r="HQO1095"/>
      <c r="HQP1095"/>
      <c r="HQS1095"/>
      <c r="HQT1095"/>
      <c r="HQW1095"/>
      <c r="HQX1095"/>
      <c r="HRA1095"/>
      <c r="HRB1095"/>
      <c r="HRE1095"/>
      <c r="HRF1095"/>
      <c r="HRI1095"/>
      <c r="HRJ1095"/>
      <c r="HRM1095"/>
      <c r="HRN1095"/>
      <c r="HRQ1095"/>
      <c r="HRR1095"/>
      <c r="HRU1095"/>
      <c r="HRV1095"/>
      <c r="HRY1095"/>
      <c r="HRZ1095"/>
      <c r="HSC1095"/>
      <c r="HSD1095"/>
      <c r="HSG1095"/>
      <c r="HSH1095"/>
      <c r="HSK1095"/>
      <c r="HSL1095"/>
      <c r="HSO1095"/>
      <c r="HSP1095"/>
      <c r="HSS1095"/>
      <c r="HST1095"/>
      <c r="HSW1095"/>
      <c r="HSX1095"/>
      <c r="HTA1095"/>
      <c r="HTB1095"/>
      <c r="HTE1095"/>
      <c r="HTF1095"/>
      <c r="HTI1095"/>
      <c r="HTJ1095"/>
      <c r="HTM1095"/>
      <c r="HTN1095"/>
      <c r="HTQ1095"/>
      <c r="HTR1095"/>
      <c r="HTU1095"/>
      <c r="HTV1095"/>
      <c r="HTY1095"/>
      <c r="HTZ1095"/>
      <c r="HUC1095"/>
      <c r="HUD1095"/>
      <c r="HUG1095"/>
      <c r="HUH1095"/>
      <c r="HUK1095"/>
      <c r="HUL1095"/>
      <c r="HUO1095"/>
      <c r="HUP1095"/>
      <c r="HUS1095"/>
      <c r="HUT1095"/>
      <c r="HUW1095"/>
      <c r="HUX1095"/>
      <c r="HVA1095"/>
      <c r="HVB1095"/>
      <c r="HVE1095"/>
      <c r="HVF1095"/>
      <c r="HVI1095"/>
      <c r="HVJ1095"/>
      <c r="HVM1095"/>
      <c r="HVN1095"/>
      <c r="HVQ1095"/>
      <c r="HVR1095"/>
      <c r="HVU1095"/>
      <c r="HVV1095"/>
      <c r="HVY1095"/>
      <c r="HVZ1095"/>
      <c r="HWC1095"/>
      <c r="HWD1095"/>
      <c r="HWG1095"/>
      <c r="HWH1095"/>
      <c r="HWK1095"/>
      <c r="HWL1095"/>
      <c r="HWO1095"/>
      <c r="HWP1095"/>
      <c r="HWS1095"/>
      <c r="HWT1095"/>
      <c r="HWW1095"/>
      <c r="HWX1095"/>
      <c r="HXA1095"/>
      <c r="HXB1095"/>
      <c r="HXE1095"/>
      <c r="HXF1095"/>
      <c r="HXI1095"/>
      <c r="HXJ1095"/>
      <c r="HXM1095"/>
      <c r="HXN1095"/>
      <c r="HXQ1095"/>
      <c r="HXR1095"/>
      <c r="HXU1095"/>
      <c r="HXV1095"/>
      <c r="HXY1095"/>
      <c r="HXZ1095"/>
      <c r="HYC1095"/>
      <c r="HYD1095"/>
      <c r="HYG1095"/>
      <c r="HYH1095"/>
      <c r="HYK1095"/>
      <c r="HYL1095"/>
      <c r="HYO1095"/>
      <c r="HYP1095"/>
      <c r="HYS1095"/>
      <c r="HYT1095"/>
      <c r="HYW1095"/>
      <c r="HYX1095"/>
      <c r="HZA1095"/>
      <c r="HZB1095"/>
      <c r="HZE1095"/>
      <c r="HZF1095"/>
      <c r="HZI1095"/>
      <c r="HZJ1095"/>
      <c r="HZM1095"/>
      <c r="HZN1095"/>
      <c r="HZQ1095"/>
      <c r="HZR1095"/>
      <c r="HZU1095"/>
      <c r="HZV1095"/>
      <c r="HZY1095"/>
      <c r="HZZ1095"/>
      <c r="IAC1095"/>
      <c r="IAD1095"/>
      <c r="IAG1095"/>
      <c r="IAH1095"/>
      <c r="IAK1095"/>
      <c r="IAL1095"/>
      <c r="IAO1095"/>
      <c r="IAP1095"/>
      <c r="IAS1095"/>
      <c r="IAT1095"/>
      <c r="IAW1095"/>
      <c r="IAX1095"/>
      <c r="IBA1095"/>
      <c r="IBB1095"/>
      <c r="IBE1095"/>
      <c r="IBF1095"/>
      <c r="IBI1095"/>
      <c r="IBJ1095"/>
      <c r="IBM1095"/>
      <c r="IBN1095"/>
      <c r="IBQ1095"/>
      <c r="IBR1095"/>
      <c r="IBU1095"/>
      <c r="IBV1095"/>
      <c r="IBY1095"/>
      <c r="IBZ1095"/>
      <c r="ICC1095"/>
      <c r="ICD1095"/>
      <c r="ICG1095"/>
      <c r="ICH1095"/>
      <c r="ICK1095"/>
      <c r="ICL1095"/>
      <c r="ICO1095"/>
      <c r="ICP1095"/>
      <c r="ICS1095"/>
      <c r="ICT1095"/>
      <c r="ICW1095"/>
      <c r="ICX1095"/>
      <c r="IDA1095"/>
      <c r="IDB1095"/>
      <c r="IDE1095"/>
      <c r="IDF1095"/>
      <c r="IDI1095"/>
      <c r="IDJ1095"/>
      <c r="IDM1095"/>
      <c r="IDN1095"/>
      <c r="IDQ1095"/>
      <c r="IDR1095"/>
      <c r="IDU1095"/>
      <c r="IDV1095"/>
      <c r="IDY1095"/>
      <c r="IDZ1095"/>
      <c r="IEC1095"/>
      <c r="IED1095"/>
      <c r="IEG1095"/>
      <c r="IEH1095"/>
      <c r="IEK1095"/>
      <c r="IEL1095"/>
      <c r="IEO1095"/>
      <c r="IEP1095"/>
      <c r="IES1095"/>
      <c r="IET1095"/>
      <c r="IEW1095"/>
      <c r="IEX1095"/>
      <c r="IFA1095"/>
      <c r="IFB1095"/>
      <c r="IFE1095"/>
      <c r="IFF1095"/>
      <c r="IFI1095"/>
      <c r="IFJ1095"/>
      <c r="IFM1095"/>
      <c r="IFN1095"/>
      <c r="IFQ1095"/>
      <c r="IFR1095"/>
      <c r="IFU1095"/>
      <c r="IFV1095"/>
      <c r="IFY1095"/>
      <c r="IFZ1095"/>
      <c r="IGC1095"/>
      <c r="IGD1095"/>
      <c r="IGG1095"/>
      <c r="IGH1095"/>
      <c r="IGK1095"/>
      <c r="IGL1095"/>
      <c r="IGO1095"/>
      <c r="IGP1095"/>
      <c r="IGS1095"/>
      <c r="IGT1095"/>
      <c r="IGW1095"/>
      <c r="IGX1095"/>
      <c r="IHA1095"/>
      <c r="IHB1095"/>
      <c r="IHE1095"/>
      <c r="IHF1095"/>
      <c r="IHI1095"/>
      <c r="IHJ1095"/>
      <c r="IHM1095"/>
      <c r="IHN1095"/>
      <c r="IHQ1095"/>
      <c r="IHR1095"/>
      <c r="IHU1095"/>
      <c r="IHV1095"/>
      <c r="IHY1095"/>
      <c r="IHZ1095"/>
      <c r="IIC1095"/>
      <c r="IID1095"/>
      <c r="IIG1095"/>
      <c r="IIH1095"/>
      <c r="IIK1095"/>
      <c r="IIL1095"/>
      <c r="IIO1095"/>
      <c r="IIP1095"/>
      <c r="IIS1095"/>
      <c r="IIT1095"/>
      <c r="IIW1095"/>
      <c r="IIX1095"/>
      <c r="IJA1095"/>
      <c r="IJB1095"/>
      <c r="IJE1095"/>
      <c r="IJF1095"/>
      <c r="IJI1095"/>
      <c r="IJJ1095"/>
      <c r="IJM1095"/>
      <c r="IJN1095"/>
      <c r="IJQ1095"/>
      <c r="IJR1095"/>
      <c r="IJU1095"/>
      <c r="IJV1095"/>
      <c r="IJY1095"/>
      <c r="IJZ1095"/>
      <c r="IKC1095"/>
      <c r="IKD1095"/>
      <c r="IKG1095"/>
      <c r="IKH1095"/>
      <c r="IKK1095"/>
      <c r="IKL1095"/>
      <c r="IKO1095"/>
      <c r="IKP1095"/>
      <c r="IKS1095"/>
      <c r="IKT1095"/>
      <c r="IKW1095"/>
      <c r="IKX1095"/>
      <c r="ILA1095"/>
      <c r="ILB1095"/>
      <c r="ILE1095"/>
      <c r="ILF1095"/>
      <c r="ILI1095"/>
      <c r="ILJ1095"/>
      <c r="ILM1095"/>
      <c r="ILN1095"/>
      <c r="ILQ1095"/>
      <c r="ILR1095"/>
      <c r="ILU1095"/>
      <c r="ILV1095"/>
      <c r="ILY1095"/>
      <c r="ILZ1095"/>
      <c r="IMC1095"/>
      <c r="IMD1095"/>
      <c r="IMG1095"/>
      <c r="IMH1095"/>
      <c r="IMK1095"/>
      <c r="IML1095"/>
      <c r="IMO1095"/>
      <c r="IMP1095"/>
      <c r="IMS1095"/>
      <c r="IMT1095"/>
      <c r="IMW1095"/>
      <c r="IMX1095"/>
      <c r="INA1095"/>
      <c r="INB1095"/>
      <c r="INE1095"/>
      <c r="INF1095"/>
      <c r="INI1095"/>
      <c r="INJ1095"/>
      <c r="INM1095"/>
      <c r="INN1095"/>
      <c r="INQ1095"/>
      <c r="INR1095"/>
      <c r="INU1095"/>
      <c r="INV1095"/>
      <c r="INY1095"/>
      <c r="INZ1095"/>
      <c r="IOC1095"/>
      <c r="IOD1095"/>
      <c r="IOG1095"/>
      <c r="IOH1095"/>
      <c r="IOK1095"/>
      <c r="IOL1095"/>
      <c r="IOO1095"/>
      <c r="IOP1095"/>
      <c r="IOS1095"/>
      <c r="IOT1095"/>
      <c r="IOW1095"/>
      <c r="IOX1095"/>
      <c r="IPA1095"/>
      <c r="IPB1095"/>
      <c r="IPE1095"/>
      <c r="IPF1095"/>
      <c r="IPI1095"/>
      <c r="IPJ1095"/>
      <c r="IPM1095"/>
      <c r="IPN1095"/>
      <c r="IPQ1095"/>
      <c r="IPR1095"/>
      <c r="IPU1095"/>
      <c r="IPV1095"/>
      <c r="IPY1095"/>
      <c r="IPZ1095"/>
      <c r="IQC1095"/>
      <c r="IQD1095"/>
      <c r="IQG1095"/>
      <c r="IQH1095"/>
      <c r="IQK1095"/>
      <c r="IQL1095"/>
      <c r="IQO1095"/>
      <c r="IQP1095"/>
      <c r="IQS1095"/>
      <c r="IQT1095"/>
      <c r="IQW1095"/>
      <c r="IQX1095"/>
      <c r="IRA1095"/>
      <c r="IRB1095"/>
      <c r="IRE1095"/>
      <c r="IRF1095"/>
      <c r="IRI1095"/>
      <c r="IRJ1095"/>
      <c r="IRM1095"/>
      <c r="IRN1095"/>
      <c r="IRQ1095"/>
      <c r="IRR1095"/>
      <c r="IRU1095"/>
      <c r="IRV1095"/>
      <c r="IRY1095"/>
      <c r="IRZ1095"/>
      <c r="ISC1095"/>
      <c r="ISD1095"/>
      <c r="ISG1095"/>
      <c r="ISH1095"/>
      <c r="ISK1095"/>
      <c r="ISL1095"/>
      <c r="ISO1095"/>
      <c r="ISP1095"/>
      <c r="ISS1095"/>
      <c r="IST1095"/>
      <c r="ISW1095"/>
      <c r="ISX1095"/>
      <c r="ITA1095"/>
      <c r="ITB1095"/>
      <c r="ITE1095"/>
      <c r="ITF1095"/>
      <c r="ITI1095"/>
      <c r="ITJ1095"/>
      <c r="ITM1095"/>
      <c r="ITN1095"/>
      <c r="ITQ1095"/>
      <c r="ITR1095"/>
      <c r="ITU1095"/>
      <c r="ITV1095"/>
      <c r="ITY1095"/>
      <c r="ITZ1095"/>
      <c r="IUC1095"/>
      <c r="IUD1095"/>
      <c r="IUG1095"/>
      <c r="IUH1095"/>
      <c r="IUK1095"/>
      <c r="IUL1095"/>
      <c r="IUO1095"/>
      <c r="IUP1095"/>
      <c r="IUS1095"/>
      <c r="IUT1095"/>
      <c r="IUW1095"/>
      <c r="IUX1095"/>
      <c r="IVA1095"/>
      <c r="IVB1095"/>
      <c r="IVE1095"/>
      <c r="IVF1095"/>
      <c r="IVI1095"/>
      <c r="IVJ1095"/>
      <c r="IVM1095"/>
      <c r="IVN1095"/>
      <c r="IVQ1095"/>
      <c r="IVR1095"/>
      <c r="IVU1095"/>
      <c r="IVV1095"/>
      <c r="IVY1095"/>
      <c r="IVZ1095"/>
      <c r="IWC1095"/>
      <c r="IWD1095"/>
      <c r="IWG1095"/>
      <c r="IWH1095"/>
      <c r="IWK1095"/>
      <c r="IWL1095"/>
      <c r="IWO1095"/>
      <c r="IWP1095"/>
      <c r="IWS1095"/>
      <c r="IWT1095"/>
      <c r="IWW1095"/>
      <c r="IWX1095"/>
      <c r="IXA1095"/>
      <c r="IXB1095"/>
      <c r="IXE1095"/>
      <c r="IXF1095"/>
      <c r="IXI1095"/>
      <c r="IXJ1095"/>
      <c r="IXM1095"/>
      <c r="IXN1095"/>
      <c r="IXQ1095"/>
      <c r="IXR1095"/>
      <c r="IXU1095"/>
      <c r="IXV1095"/>
      <c r="IXY1095"/>
      <c r="IXZ1095"/>
      <c r="IYC1095"/>
      <c r="IYD1095"/>
      <c r="IYG1095"/>
      <c r="IYH1095"/>
      <c r="IYK1095"/>
      <c r="IYL1095"/>
      <c r="IYO1095"/>
      <c r="IYP1095"/>
      <c r="IYS1095"/>
      <c r="IYT1095"/>
      <c r="IYW1095"/>
      <c r="IYX1095"/>
      <c r="IZA1095"/>
      <c r="IZB1095"/>
      <c r="IZE1095"/>
      <c r="IZF1095"/>
      <c r="IZI1095"/>
      <c r="IZJ1095"/>
      <c r="IZM1095"/>
      <c r="IZN1095"/>
      <c r="IZQ1095"/>
      <c r="IZR1095"/>
      <c r="IZU1095"/>
      <c r="IZV1095"/>
      <c r="IZY1095"/>
      <c r="IZZ1095"/>
      <c r="JAC1095"/>
      <c r="JAD1095"/>
      <c r="JAG1095"/>
      <c r="JAH1095"/>
      <c r="JAK1095"/>
      <c r="JAL1095"/>
      <c r="JAO1095"/>
      <c r="JAP1095"/>
      <c r="JAS1095"/>
      <c r="JAT1095"/>
      <c r="JAW1095"/>
      <c r="JAX1095"/>
      <c r="JBA1095"/>
      <c r="JBB1095"/>
      <c r="JBE1095"/>
      <c r="JBF1095"/>
      <c r="JBI1095"/>
      <c r="JBJ1095"/>
      <c r="JBM1095"/>
      <c r="JBN1095"/>
      <c r="JBQ1095"/>
      <c r="JBR1095"/>
      <c r="JBU1095"/>
      <c r="JBV1095"/>
      <c r="JBY1095"/>
      <c r="JBZ1095"/>
      <c r="JCC1095"/>
      <c r="JCD1095"/>
      <c r="JCG1095"/>
      <c r="JCH1095"/>
      <c r="JCK1095"/>
      <c r="JCL1095"/>
      <c r="JCO1095"/>
      <c r="JCP1095"/>
      <c r="JCS1095"/>
      <c r="JCT1095"/>
      <c r="JCW1095"/>
      <c r="JCX1095"/>
      <c r="JDA1095"/>
      <c r="JDB1095"/>
      <c r="JDE1095"/>
      <c r="JDF1095"/>
      <c r="JDI1095"/>
      <c r="JDJ1095"/>
      <c r="JDM1095"/>
      <c r="JDN1095"/>
      <c r="JDQ1095"/>
      <c r="JDR1095"/>
      <c r="JDU1095"/>
      <c r="JDV1095"/>
      <c r="JDY1095"/>
      <c r="JDZ1095"/>
      <c r="JEC1095"/>
      <c r="JED1095"/>
      <c r="JEG1095"/>
      <c r="JEH1095"/>
      <c r="JEK1095"/>
      <c r="JEL1095"/>
      <c r="JEO1095"/>
      <c r="JEP1095"/>
      <c r="JES1095"/>
      <c r="JET1095"/>
      <c r="JEW1095"/>
      <c r="JEX1095"/>
      <c r="JFA1095"/>
      <c r="JFB1095"/>
      <c r="JFE1095"/>
      <c r="JFF1095"/>
      <c r="JFI1095"/>
      <c r="JFJ1095"/>
      <c r="JFM1095"/>
      <c r="JFN1095"/>
      <c r="JFQ1095"/>
      <c r="JFR1095"/>
      <c r="JFU1095"/>
      <c r="JFV1095"/>
      <c r="JFY1095"/>
      <c r="JFZ1095"/>
      <c r="JGC1095"/>
      <c r="JGD1095"/>
      <c r="JGG1095"/>
      <c r="JGH1095"/>
      <c r="JGK1095"/>
      <c r="JGL1095"/>
      <c r="JGO1095"/>
      <c r="JGP1095"/>
      <c r="JGS1095"/>
      <c r="JGT1095"/>
      <c r="JGW1095"/>
      <c r="JGX1095"/>
      <c r="JHA1095"/>
      <c r="JHB1095"/>
      <c r="JHE1095"/>
      <c r="JHF1095"/>
      <c r="JHI1095"/>
      <c r="JHJ1095"/>
      <c r="JHM1095"/>
      <c r="JHN1095"/>
      <c r="JHQ1095"/>
      <c r="JHR1095"/>
      <c r="JHU1095"/>
      <c r="JHV1095"/>
      <c r="JHY1095"/>
      <c r="JHZ1095"/>
      <c r="JIC1095"/>
      <c r="JID1095"/>
      <c r="JIG1095"/>
      <c r="JIH1095"/>
      <c r="JIK1095"/>
      <c r="JIL1095"/>
      <c r="JIO1095"/>
      <c r="JIP1095"/>
      <c r="JIS1095"/>
      <c r="JIT1095"/>
      <c r="JIW1095"/>
      <c r="JIX1095"/>
      <c r="JJA1095"/>
      <c r="JJB1095"/>
      <c r="JJE1095"/>
      <c r="JJF1095"/>
      <c r="JJI1095"/>
      <c r="JJJ1095"/>
      <c r="JJM1095"/>
      <c r="JJN1095"/>
      <c r="JJQ1095"/>
      <c r="JJR1095"/>
      <c r="JJU1095"/>
      <c r="JJV1095"/>
      <c r="JJY1095"/>
      <c r="JJZ1095"/>
      <c r="JKC1095"/>
      <c r="JKD1095"/>
      <c r="JKG1095"/>
      <c r="JKH1095"/>
      <c r="JKK1095"/>
      <c r="JKL1095"/>
      <c r="JKO1095"/>
      <c r="JKP1095"/>
      <c r="JKS1095"/>
      <c r="JKT1095"/>
      <c r="JKW1095"/>
      <c r="JKX1095"/>
      <c r="JLA1095"/>
      <c r="JLB1095"/>
      <c r="JLE1095"/>
      <c r="JLF1095"/>
      <c r="JLI1095"/>
      <c r="JLJ1095"/>
      <c r="JLM1095"/>
      <c r="JLN1095"/>
      <c r="JLQ1095"/>
      <c r="JLR1095"/>
      <c r="JLU1095"/>
      <c r="JLV1095"/>
      <c r="JLY1095"/>
      <c r="JLZ1095"/>
      <c r="JMC1095"/>
      <c r="JMD1095"/>
      <c r="JMG1095"/>
      <c r="JMH1095"/>
      <c r="JMK1095"/>
      <c r="JML1095"/>
      <c r="JMO1095"/>
      <c r="JMP1095"/>
      <c r="JMS1095"/>
      <c r="JMT1095"/>
      <c r="JMW1095"/>
      <c r="JMX1095"/>
      <c r="JNA1095"/>
      <c r="JNB1095"/>
      <c r="JNE1095"/>
      <c r="JNF1095"/>
      <c r="JNI1095"/>
      <c r="JNJ1095"/>
      <c r="JNM1095"/>
      <c r="JNN1095"/>
      <c r="JNQ1095"/>
      <c r="JNR1095"/>
      <c r="JNU1095"/>
      <c r="JNV1095"/>
      <c r="JNY1095"/>
      <c r="JNZ1095"/>
      <c r="JOC1095"/>
      <c r="JOD1095"/>
      <c r="JOG1095"/>
      <c r="JOH1095"/>
      <c r="JOK1095"/>
      <c r="JOL1095"/>
      <c r="JOO1095"/>
      <c r="JOP1095"/>
      <c r="JOS1095"/>
      <c r="JOT1095"/>
      <c r="JOW1095"/>
      <c r="JOX1095"/>
      <c r="JPA1095"/>
      <c r="JPB1095"/>
      <c r="JPE1095"/>
      <c r="JPF1095"/>
      <c r="JPI1095"/>
      <c r="JPJ1095"/>
      <c r="JPM1095"/>
      <c r="JPN1095"/>
      <c r="JPQ1095"/>
      <c r="JPR1095"/>
      <c r="JPU1095"/>
      <c r="JPV1095"/>
      <c r="JPY1095"/>
      <c r="JPZ1095"/>
      <c r="JQC1095"/>
      <c r="JQD1095"/>
      <c r="JQG1095"/>
      <c r="JQH1095"/>
      <c r="JQK1095"/>
      <c r="JQL1095"/>
      <c r="JQO1095"/>
      <c r="JQP1095"/>
      <c r="JQS1095"/>
      <c r="JQT1095"/>
      <c r="JQW1095"/>
      <c r="JQX1095"/>
      <c r="JRA1095"/>
      <c r="JRB1095"/>
      <c r="JRE1095"/>
      <c r="JRF1095"/>
      <c r="JRI1095"/>
      <c r="JRJ1095"/>
      <c r="JRM1095"/>
      <c r="JRN1095"/>
      <c r="JRQ1095"/>
      <c r="JRR1095"/>
      <c r="JRU1095"/>
      <c r="JRV1095"/>
      <c r="JRY1095"/>
      <c r="JRZ1095"/>
      <c r="JSC1095"/>
      <c r="JSD1095"/>
      <c r="JSG1095"/>
      <c r="JSH1095"/>
      <c r="JSK1095"/>
      <c r="JSL1095"/>
      <c r="JSO1095"/>
      <c r="JSP1095"/>
      <c r="JSS1095"/>
      <c r="JST1095"/>
      <c r="JSW1095"/>
      <c r="JSX1095"/>
      <c r="JTA1095"/>
      <c r="JTB1095"/>
      <c r="JTE1095"/>
      <c r="JTF1095"/>
      <c r="JTI1095"/>
      <c r="JTJ1095"/>
      <c r="JTM1095"/>
      <c r="JTN1095"/>
      <c r="JTQ1095"/>
      <c r="JTR1095"/>
      <c r="JTU1095"/>
      <c r="JTV1095"/>
      <c r="JTY1095"/>
      <c r="JTZ1095"/>
      <c r="JUC1095"/>
      <c r="JUD1095"/>
      <c r="JUG1095"/>
      <c r="JUH1095"/>
      <c r="JUK1095"/>
      <c r="JUL1095"/>
      <c r="JUO1095"/>
      <c r="JUP1095"/>
      <c r="JUS1095"/>
      <c r="JUT1095"/>
      <c r="JUW1095"/>
      <c r="JUX1095"/>
      <c r="JVA1095"/>
      <c r="JVB1095"/>
      <c r="JVE1095"/>
      <c r="JVF1095"/>
      <c r="JVI1095"/>
      <c r="JVJ1095"/>
      <c r="JVM1095"/>
      <c r="JVN1095"/>
      <c r="JVQ1095"/>
      <c r="JVR1095"/>
      <c r="JVU1095"/>
      <c r="JVV1095"/>
      <c r="JVY1095"/>
      <c r="JVZ1095"/>
      <c r="JWC1095"/>
      <c r="JWD1095"/>
      <c r="JWG1095"/>
      <c r="JWH1095"/>
      <c r="JWK1095"/>
      <c r="JWL1095"/>
      <c r="JWO1095"/>
      <c r="JWP1095"/>
      <c r="JWS1095"/>
      <c r="JWT1095"/>
      <c r="JWW1095"/>
      <c r="JWX1095"/>
      <c r="JXA1095"/>
      <c r="JXB1095"/>
      <c r="JXE1095"/>
      <c r="JXF1095"/>
      <c r="JXI1095"/>
      <c r="JXJ1095"/>
      <c r="JXM1095"/>
      <c r="JXN1095"/>
      <c r="JXQ1095"/>
      <c r="JXR1095"/>
      <c r="JXU1095"/>
      <c r="JXV1095"/>
      <c r="JXY1095"/>
      <c r="JXZ1095"/>
      <c r="JYC1095"/>
      <c r="JYD1095"/>
      <c r="JYG1095"/>
      <c r="JYH1095"/>
      <c r="JYK1095"/>
      <c r="JYL1095"/>
      <c r="JYO1095"/>
      <c r="JYP1095"/>
      <c r="JYS1095"/>
      <c r="JYT1095"/>
      <c r="JYW1095"/>
      <c r="JYX1095"/>
      <c r="JZA1095"/>
      <c r="JZB1095"/>
      <c r="JZE1095"/>
      <c r="JZF1095"/>
      <c r="JZI1095"/>
      <c r="JZJ1095"/>
      <c r="JZM1095"/>
      <c r="JZN1095"/>
      <c r="JZQ1095"/>
      <c r="JZR1095"/>
      <c r="JZU1095"/>
      <c r="JZV1095"/>
      <c r="JZY1095"/>
      <c r="JZZ1095"/>
      <c r="KAC1095"/>
      <c r="KAD1095"/>
      <c r="KAG1095"/>
      <c r="KAH1095"/>
      <c r="KAK1095"/>
      <c r="KAL1095"/>
      <c r="KAO1095"/>
      <c r="KAP1095"/>
      <c r="KAS1095"/>
      <c r="KAT1095"/>
      <c r="KAW1095"/>
      <c r="KAX1095"/>
      <c r="KBA1095"/>
      <c r="KBB1095"/>
      <c r="KBE1095"/>
      <c r="KBF1095"/>
      <c r="KBI1095"/>
      <c r="KBJ1095"/>
      <c r="KBM1095"/>
      <c r="KBN1095"/>
      <c r="KBQ1095"/>
      <c r="KBR1095"/>
      <c r="KBU1095"/>
      <c r="KBV1095"/>
      <c r="KBY1095"/>
      <c r="KBZ1095"/>
      <c r="KCC1095"/>
      <c r="KCD1095"/>
      <c r="KCG1095"/>
      <c r="KCH1095"/>
      <c r="KCK1095"/>
      <c r="KCL1095"/>
      <c r="KCO1095"/>
      <c r="KCP1095"/>
      <c r="KCS1095"/>
      <c r="KCT1095"/>
      <c r="KCW1095"/>
      <c r="KCX1095"/>
      <c r="KDA1095"/>
      <c r="KDB1095"/>
      <c r="KDE1095"/>
      <c r="KDF1095"/>
      <c r="KDI1095"/>
      <c r="KDJ1095"/>
      <c r="KDM1095"/>
      <c r="KDN1095"/>
      <c r="KDQ1095"/>
      <c r="KDR1095"/>
      <c r="KDU1095"/>
      <c r="KDV1095"/>
      <c r="KDY1095"/>
      <c r="KDZ1095"/>
      <c r="KEC1095"/>
      <c r="KED1095"/>
      <c r="KEG1095"/>
      <c r="KEH1095"/>
      <c r="KEK1095"/>
      <c r="KEL1095"/>
      <c r="KEO1095"/>
      <c r="KEP1095"/>
      <c r="KES1095"/>
      <c r="KET1095"/>
      <c r="KEW1095"/>
      <c r="KEX1095"/>
      <c r="KFA1095"/>
      <c r="KFB1095"/>
      <c r="KFE1095"/>
      <c r="KFF1095"/>
      <c r="KFI1095"/>
      <c r="KFJ1095"/>
      <c r="KFM1095"/>
      <c r="KFN1095"/>
      <c r="KFQ1095"/>
      <c r="KFR1095"/>
      <c r="KFU1095"/>
      <c r="KFV1095"/>
      <c r="KFY1095"/>
      <c r="KFZ1095"/>
      <c r="KGC1095"/>
      <c r="KGD1095"/>
      <c r="KGG1095"/>
      <c r="KGH1095"/>
      <c r="KGK1095"/>
      <c r="KGL1095"/>
      <c r="KGO1095"/>
      <c r="KGP1095"/>
      <c r="KGS1095"/>
      <c r="KGT1095"/>
      <c r="KGW1095"/>
      <c r="KGX1095"/>
      <c r="KHA1095"/>
      <c r="KHB1095"/>
      <c r="KHE1095"/>
      <c r="KHF1095"/>
      <c r="KHI1095"/>
      <c r="KHJ1095"/>
      <c r="KHM1095"/>
      <c r="KHN1095"/>
      <c r="KHQ1095"/>
      <c r="KHR1095"/>
      <c r="KHU1095"/>
      <c r="KHV1095"/>
      <c r="KHY1095"/>
      <c r="KHZ1095"/>
      <c r="KIC1095"/>
      <c r="KID1095"/>
      <c r="KIG1095"/>
      <c r="KIH1095"/>
      <c r="KIK1095"/>
      <c r="KIL1095"/>
      <c r="KIO1095"/>
      <c r="KIP1095"/>
      <c r="KIS1095"/>
      <c r="KIT1095"/>
      <c r="KIW1095"/>
      <c r="KIX1095"/>
      <c r="KJA1095"/>
      <c r="KJB1095"/>
      <c r="KJE1095"/>
      <c r="KJF1095"/>
      <c r="KJI1095"/>
      <c r="KJJ1095"/>
      <c r="KJM1095"/>
      <c r="KJN1095"/>
      <c r="KJQ1095"/>
      <c r="KJR1095"/>
      <c r="KJU1095"/>
      <c r="KJV1095"/>
      <c r="KJY1095"/>
      <c r="KJZ1095"/>
      <c r="KKC1095"/>
      <c r="KKD1095"/>
      <c r="KKG1095"/>
      <c r="KKH1095"/>
      <c r="KKK1095"/>
      <c r="KKL1095"/>
      <c r="KKO1095"/>
      <c r="KKP1095"/>
      <c r="KKS1095"/>
      <c r="KKT1095"/>
      <c r="KKW1095"/>
      <c r="KKX1095"/>
      <c r="KLA1095"/>
      <c r="KLB1095"/>
      <c r="KLE1095"/>
      <c r="KLF1095"/>
      <c r="KLI1095"/>
      <c r="KLJ1095"/>
      <c r="KLM1095"/>
      <c r="KLN1095"/>
      <c r="KLQ1095"/>
      <c r="KLR1095"/>
      <c r="KLU1095"/>
      <c r="KLV1095"/>
      <c r="KLY1095"/>
      <c r="KLZ1095"/>
      <c r="KMC1095"/>
      <c r="KMD1095"/>
      <c r="KMG1095"/>
      <c r="KMH1095"/>
      <c r="KMK1095"/>
      <c r="KML1095"/>
      <c r="KMO1095"/>
      <c r="KMP1095"/>
      <c r="KMS1095"/>
      <c r="KMT1095"/>
      <c r="KMW1095"/>
      <c r="KMX1095"/>
      <c r="KNA1095"/>
      <c r="KNB1095"/>
      <c r="KNE1095"/>
      <c r="KNF1095"/>
      <c r="KNI1095"/>
      <c r="KNJ1095"/>
      <c r="KNM1095"/>
      <c r="KNN1095"/>
      <c r="KNQ1095"/>
      <c r="KNR1095"/>
      <c r="KNU1095"/>
      <c r="KNV1095"/>
      <c r="KNY1095"/>
      <c r="KNZ1095"/>
      <c r="KOC1095"/>
      <c r="KOD1095"/>
      <c r="KOG1095"/>
      <c r="KOH1095"/>
      <c r="KOK1095"/>
      <c r="KOL1095"/>
      <c r="KOO1095"/>
      <c r="KOP1095"/>
      <c r="KOS1095"/>
      <c r="KOT1095"/>
      <c r="KOW1095"/>
      <c r="KOX1095"/>
      <c r="KPA1095"/>
      <c r="KPB1095"/>
      <c r="KPE1095"/>
      <c r="KPF1095"/>
      <c r="KPI1095"/>
      <c r="KPJ1095"/>
      <c r="KPM1095"/>
      <c r="KPN1095"/>
      <c r="KPQ1095"/>
      <c r="KPR1095"/>
      <c r="KPU1095"/>
      <c r="KPV1095"/>
      <c r="KPY1095"/>
      <c r="KPZ1095"/>
      <c r="KQC1095"/>
      <c r="KQD1095"/>
      <c r="KQG1095"/>
      <c r="KQH1095"/>
      <c r="KQK1095"/>
      <c r="KQL1095"/>
      <c r="KQO1095"/>
      <c r="KQP1095"/>
      <c r="KQS1095"/>
      <c r="KQT1095"/>
      <c r="KQW1095"/>
      <c r="KQX1095"/>
      <c r="KRA1095"/>
      <c r="KRB1095"/>
      <c r="KRE1095"/>
      <c r="KRF1095"/>
      <c r="KRI1095"/>
      <c r="KRJ1095"/>
      <c r="KRM1095"/>
      <c r="KRN1095"/>
      <c r="KRQ1095"/>
      <c r="KRR1095"/>
      <c r="KRU1095"/>
      <c r="KRV1095"/>
      <c r="KRY1095"/>
      <c r="KRZ1095"/>
      <c r="KSC1095"/>
      <c r="KSD1095"/>
      <c r="KSG1095"/>
      <c r="KSH1095"/>
      <c r="KSK1095"/>
      <c r="KSL1095"/>
      <c r="KSO1095"/>
      <c r="KSP1095"/>
      <c r="KSS1095"/>
      <c r="KST1095"/>
      <c r="KSW1095"/>
      <c r="KSX1095"/>
      <c r="KTA1095"/>
      <c r="KTB1095"/>
      <c r="KTE1095"/>
      <c r="KTF1095"/>
      <c r="KTI1095"/>
      <c r="KTJ1095"/>
      <c r="KTM1095"/>
      <c r="KTN1095"/>
      <c r="KTQ1095"/>
      <c r="KTR1095"/>
      <c r="KTU1095"/>
      <c r="KTV1095"/>
      <c r="KTY1095"/>
      <c r="KTZ1095"/>
      <c r="KUC1095"/>
      <c r="KUD1095"/>
      <c r="KUG1095"/>
      <c r="KUH1095"/>
      <c r="KUK1095"/>
      <c r="KUL1095"/>
      <c r="KUO1095"/>
      <c r="KUP1095"/>
      <c r="KUS1095"/>
      <c r="KUT1095"/>
      <c r="KUW1095"/>
      <c r="KUX1095"/>
      <c r="KVA1095"/>
      <c r="KVB1095"/>
      <c r="KVE1095"/>
      <c r="KVF1095"/>
      <c r="KVI1095"/>
      <c r="KVJ1095"/>
      <c r="KVM1095"/>
      <c r="KVN1095"/>
      <c r="KVQ1095"/>
      <c r="KVR1095"/>
      <c r="KVU1095"/>
      <c r="KVV1095"/>
      <c r="KVY1095"/>
      <c r="KVZ1095"/>
      <c r="KWC1095"/>
      <c r="KWD1095"/>
      <c r="KWG1095"/>
      <c r="KWH1095"/>
      <c r="KWK1095"/>
      <c r="KWL1095"/>
      <c r="KWO1095"/>
      <c r="KWP1095"/>
      <c r="KWS1095"/>
      <c r="KWT1095"/>
      <c r="KWW1095"/>
      <c r="KWX1095"/>
      <c r="KXA1095"/>
      <c r="KXB1095"/>
      <c r="KXE1095"/>
      <c r="KXF1095"/>
      <c r="KXI1095"/>
      <c r="KXJ1095"/>
      <c r="KXM1095"/>
      <c r="KXN1095"/>
      <c r="KXQ1095"/>
      <c r="KXR1095"/>
      <c r="KXU1095"/>
      <c r="KXV1095"/>
      <c r="KXY1095"/>
      <c r="KXZ1095"/>
      <c r="KYC1095"/>
      <c r="KYD1095"/>
      <c r="KYG1095"/>
      <c r="KYH1095"/>
      <c r="KYK1095"/>
      <c r="KYL1095"/>
      <c r="KYO1095"/>
      <c r="KYP1095"/>
      <c r="KYS1095"/>
      <c r="KYT1095"/>
      <c r="KYW1095"/>
      <c r="KYX1095"/>
      <c r="KZA1095"/>
      <c r="KZB1095"/>
      <c r="KZE1095"/>
      <c r="KZF1095"/>
      <c r="KZI1095"/>
      <c r="KZJ1095"/>
      <c r="KZM1095"/>
      <c r="KZN1095"/>
      <c r="KZQ1095"/>
      <c r="KZR1095"/>
      <c r="KZU1095"/>
      <c r="KZV1095"/>
      <c r="KZY1095"/>
      <c r="KZZ1095"/>
      <c r="LAC1095"/>
      <c r="LAD1095"/>
      <c r="LAG1095"/>
      <c r="LAH1095"/>
      <c r="LAK1095"/>
      <c r="LAL1095"/>
      <c r="LAO1095"/>
      <c r="LAP1095"/>
      <c r="LAS1095"/>
      <c r="LAT1095"/>
      <c r="LAW1095"/>
      <c r="LAX1095"/>
      <c r="LBA1095"/>
      <c r="LBB1095"/>
      <c r="LBE1095"/>
      <c r="LBF1095"/>
      <c r="LBI1095"/>
      <c r="LBJ1095"/>
      <c r="LBM1095"/>
      <c r="LBN1095"/>
      <c r="LBQ1095"/>
      <c r="LBR1095"/>
      <c r="LBU1095"/>
      <c r="LBV1095"/>
      <c r="LBY1095"/>
      <c r="LBZ1095"/>
      <c r="LCC1095"/>
      <c r="LCD1095"/>
      <c r="LCG1095"/>
      <c r="LCH1095"/>
      <c r="LCK1095"/>
      <c r="LCL1095"/>
      <c r="LCO1095"/>
      <c r="LCP1095"/>
      <c r="LCS1095"/>
      <c r="LCT1095"/>
      <c r="LCW1095"/>
      <c r="LCX1095"/>
      <c r="LDA1095"/>
      <c r="LDB1095"/>
      <c r="LDE1095"/>
      <c r="LDF1095"/>
      <c r="LDI1095"/>
      <c r="LDJ1095"/>
      <c r="LDM1095"/>
      <c r="LDN1095"/>
      <c r="LDQ1095"/>
      <c r="LDR1095"/>
      <c r="LDU1095"/>
      <c r="LDV1095"/>
      <c r="LDY1095"/>
      <c r="LDZ1095"/>
      <c r="LEC1095"/>
      <c r="LED1095"/>
      <c r="LEG1095"/>
      <c r="LEH1095"/>
      <c r="LEK1095"/>
      <c r="LEL1095"/>
      <c r="LEO1095"/>
      <c r="LEP1095"/>
      <c r="LES1095"/>
      <c r="LET1095"/>
      <c r="LEW1095"/>
      <c r="LEX1095"/>
      <c r="LFA1095"/>
      <c r="LFB1095"/>
      <c r="LFE1095"/>
      <c r="LFF1095"/>
      <c r="LFI1095"/>
      <c r="LFJ1095"/>
      <c r="LFM1095"/>
      <c r="LFN1095"/>
      <c r="LFQ1095"/>
      <c r="LFR1095"/>
      <c r="LFU1095"/>
      <c r="LFV1095"/>
      <c r="LFY1095"/>
      <c r="LFZ1095"/>
      <c r="LGC1095"/>
      <c r="LGD1095"/>
      <c r="LGG1095"/>
      <c r="LGH1095"/>
      <c r="LGK1095"/>
      <c r="LGL1095"/>
      <c r="LGO1095"/>
      <c r="LGP1095"/>
      <c r="LGS1095"/>
      <c r="LGT1095"/>
      <c r="LGW1095"/>
      <c r="LGX1095"/>
      <c r="LHA1095"/>
      <c r="LHB1095"/>
      <c r="LHE1095"/>
      <c r="LHF1095"/>
      <c r="LHI1095"/>
      <c r="LHJ1095"/>
      <c r="LHM1095"/>
      <c r="LHN1095"/>
      <c r="LHQ1095"/>
      <c r="LHR1095"/>
      <c r="LHU1095"/>
      <c r="LHV1095"/>
      <c r="LHY1095"/>
      <c r="LHZ1095"/>
      <c r="LIC1095"/>
      <c r="LID1095"/>
      <c r="LIG1095"/>
      <c r="LIH1095"/>
      <c r="LIK1095"/>
      <c r="LIL1095"/>
      <c r="LIO1095"/>
      <c r="LIP1095"/>
      <c r="LIS1095"/>
      <c r="LIT1095"/>
      <c r="LIW1095"/>
      <c r="LIX1095"/>
      <c r="LJA1095"/>
      <c r="LJB1095"/>
      <c r="LJE1095"/>
      <c r="LJF1095"/>
      <c r="LJI1095"/>
      <c r="LJJ1095"/>
      <c r="LJM1095"/>
      <c r="LJN1095"/>
      <c r="LJQ1095"/>
      <c r="LJR1095"/>
      <c r="LJU1095"/>
      <c r="LJV1095"/>
      <c r="LJY1095"/>
      <c r="LJZ1095"/>
      <c r="LKC1095"/>
      <c r="LKD1095"/>
      <c r="LKG1095"/>
      <c r="LKH1095"/>
      <c r="LKK1095"/>
      <c r="LKL1095"/>
      <c r="LKO1095"/>
      <c r="LKP1095"/>
      <c r="LKS1095"/>
      <c r="LKT1095"/>
      <c r="LKW1095"/>
      <c r="LKX1095"/>
      <c r="LLA1095"/>
      <c r="LLB1095"/>
      <c r="LLE1095"/>
      <c r="LLF1095"/>
      <c r="LLI1095"/>
      <c r="LLJ1095"/>
      <c r="LLM1095"/>
      <c r="LLN1095"/>
      <c r="LLQ1095"/>
      <c r="LLR1095"/>
      <c r="LLU1095"/>
      <c r="LLV1095"/>
      <c r="LLY1095"/>
      <c r="LLZ1095"/>
      <c r="LMC1095"/>
      <c r="LMD1095"/>
      <c r="LMG1095"/>
      <c r="LMH1095"/>
      <c r="LMK1095"/>
      <c r="LML1095"/>
      <c r="LMO1095"/>
      <c r="LMP1095"/>
      <c r="LMS1095"/>
      <c r="LMT1095"/>
      <c r="LMW1095"/>
      <c r="LMX1095"/>
      <c r="LNA1095"/>
      <c r="LNB1095"/>
      <c r="LNE1095"/>
      <c r="LNF1095"/>
      <c r="LNI1095"/>
      <c r="LNJ1095"/>
      <c r="LNM1095"/>
      <c r="LNN1095"/>
      <c r="LNQ1095"/>
      <c r="LNR1095"/>
      <c r="LNU1095"/>
      <c r="LNV1095"/>
      <c r="LNY1095"/>
      <c r="LNZ1095"/>
      <c r="LOC1095"/>
      <c r="LOD1095"/>
      <c r="LOG1095"/>
      <c r="LOH1095"/>
      <c r="LOK1095"/>
      <c r="LOL1095"/>
      <c r="LOO1095"/>
      <c r="LOP1095"/>
      <c r="LOS1095"/>
      <c r="LOT1095"/>
      <c r="LOW1095"/>
      <c r="LOX1095"/>
      <c r="LPA1095"/>
      <c r="LPB1095"/>
      <c r="LPE1095"/>
      <c r="LPF1095"/>
      <c r="LPI1095"/>
      <c r="LPJ1095"/>
      <c r="LPM1095"/>
      <c r="LPN1095"/>
      <c r="LPQ1095"/>
      <c r="LPR1095"/>
      <c r="LPU1095"/>
      <c r="LPV1095"/>
      <c r="LPY1095"/>
      <c r="LPZ1095"/>
      <c r="LQC1095"/>
      <c r="LQD1095"/>
      <c r="LQG1095"/>
      <c r="LQH1095"/>
      <c r="LQK1095"/>
      <c r="LQL1095"/>
      <c r="LQO1095"/>
      <c r="LQP1095"/>
      <c r="LQS1095"/>
      <c r="LQT1095"/>
      <c r="LQW1095"/>
      <c r="LQX1095"/>
      <c r="LRA1095"/>
      <c r="LRB1095"/>
      <c r="LRE1095"/>
      <c r="LRF1095"/>
      <c r="LRI1095"/>
      <c r="LRJ1095"/>
      <c r="LRM1095"/>
      <c r="LRN1095"/>
      <c r="LRQ1095"/>
      <c r="LRR1095"/>
      <c r="LRU1095"/>
      <c r="LRV1095"/>
      <c r="LRY1095"/>
      <c r="LRZ1095"/>
      <c r="LSC1095"/>
      <c r="LSD1095"/>
      <c r="LSG1095"/>
      <c r="LSH1095"/>
      <c r="LSK1095"/>
      <c r="LSL1095"/>
      <c r="LSO1095"/>
      <c r="LSP1095"/>
      <c r="LSS1095"/>
      <c r="LST1095"/>
      <c r="LSW1095"/>
      <c r="LSX1095"/>
      <c r="LTA1095"/>
      <c r="LTB1095"/>
      <c r="LTE1095"/>
      <c r="LTF1095"/>
      <c r="LTI1095"/>
      <c r="LTJ1095"/>
      <c r="LTM1095"/>
      <c r="LTN1095"/>
      <c r="LTQ1095"/>
      <c r="LTR1095"/>
      <c r="LTU1095"/>
      <c r="LTV1095"/>
      <c r="LTY1095"/>
      <c r="LTZ1095"/>
      <c r="LUC1095"/>
      <c r="LUD1095"/>
      <c r="LUG1095"/>
      <c r="LUH1095"/>
      <c r="LUK1095"/>
      <c r="LUL1095"/>
      <c r="LUO1095"/>
      <c r="LUP1095"/>
      <c r="LUS1095"/>
      <c r="LUT1095"/>
      <c r="LUW1095"/>
      <c r="LUX1095"/>
      <c r="LVA1095"/>
      <c r="LVB1095"/>
      <c r="LVE1095"/>
      <c r="LVF1095"/>
      <c r="LVI1095"/>
      <c r="LVJ1095"/>
      <c r="LVM1095"/>
      <c r="LVN1095"/>
      <c r="LVQ1095"/>
      <c r="LVR1095"/>
      <c r="LVU1095"/>
      <c r="LVV1095"/>
      <c r="LVY1095"/>
      <c r="LVZ1095"/>
      <c r="LWC1095"/>
      <c r="LWD1095"/>
      <c r="LWG1095"/>
      <c r="LWH1095"/>
      <c r="LWK1095"/>
      <c r="LWL1095"/>
      <c r="LWO1095"/>
      <c r="LWP1095"/>
      <c r="LWS1095"/>
      <c r="LWT1095"/>
      <c r="LWW1095"/>
      <c r="LWX1095"/>
      <c r="LXA1095"/>
      <c r="LXB1095"/>
      <c r="LXE1095"/>
      <c r="LXF1095"/>
      <c r="LXI1095"/>
      <c r="LXJ1095"/>
      <c r="LXM1095"/>
      <c r="LXN1095"/>
      <c r="LXQ1095"/>
      <c r="LXR1095"/>
      <c r="LXU1095"/>
      <c r="LXV1095"/>
      <c r="LXY1095"/>
      <c r="LXZ1095"/>
      <c r="LYC1095"/>
      <c r="LYD1095"/>
      <c r="LYG1095"/>
      <c r="LYH1095"/>
      <c r="LYK1095"/>
      <c r="LYL1095"/>
      <c r="LYO1095"/>
      <c r="LYP1095"/>
      <c r="LYS1095"/>
      <c r="LYT1095"/>
      <c r="LYW1095"/>
      <c r="LYX1095"/>
      <c r="LZA1095"/>
      <c r="LZB1095"/>
      <c r="LZE1095"/>
      <c r="LZF1095"/>
      <c r="LZI1095"/>
      <c r="LZJ1095"/>
      <c r="LZM1095"/>
      <c r="LZN1095"/>
      <c r="LZQ1095"/>
      <c r="LZR1095"/>
      <c r="LZU1095"/>
      <c r="LZV1095"/>
      <c r="LZY1095"/>
      <c r="LZZ1095"/>
      <c r="MAC1095"/>
      <c r="MAD1095"/>
      <c r="MAG1095"/>
      <c r="MAH1095"/>
      <c r="MAK1095"/>
      <c r="MAL1095"/>
      <c r="MAO1095"/>
      <c r="MAP1095"/>
      <c r="MAS1095"/>
      <c r="MAT1095"/>
      <c r="MAW1095"/>
      <c r="MAX1095"/>
      <c r="MBA1095"/>
      <c r="MBB1095"/>
      <c r="MBE1095"/>
      <c r="MBF1095"/>
      <c r="MBI1095"/>
      <c r="MBJ1095"/>
      <c r="MBM1095"/>
      <c r="MBN1095"/>
      <c r="MBQ1095"/>
      <c r="MBR1095"/>
      <c r="MBU1095"/>
      <c r="MBV1095"/>
      <c r="MBY1095"/>
      <c r="MBZ1095"/>
      <c r="MCC1095"/>
      <c r="MCD1095"/>
      <c r="MCG1095"/>
      <c r="MCH1095"/>
      <c r="MCK1095"/>
      <c r="MCL1095"/>
      <c r="MCO1095"/>
      <c r="MCP1095"/>
      <c r="MCS1095"/>
      <c r="MCT1095"/>
      <c r="MCW1095"/>
      <c r="MCX1095"/>
      <c r="MDA1095"/>
      <c r="MDB1095"/>
      <c r="MDE1095"/>
      <c r="MDF1095"/>
      <c r="MDI1095"/>
      <c r="MDJ1095"/>
      <c r="MDM1095"/>
      <c r="MDN1095"/>
      <c r="MDQ1095"/>
      <c r="MDR1095"/>
      <c r="MDU1095"/>
      <c r="MDV1095"/>
      <c r="MDY1095"/>
      <c r="MDZ1095"/>
      <c r="MEC1095"/>
      <c r="MED1095"/>
      <c r="MEG1095"/>
      <c r="MEH1095"/>
      <c r="MEK1095"/>
      <c r="MEL1095"/>
      <c r="MEO1095"/>
      <c r="MEP1095"/>
      <c r="MES1095"/>
      <c r="MET1095"/>
      <c r="MEW1095"/>
      <c r="MEX1095"/>
      <c r="MFA1095"/>
      <c r="MFB1095"/>
      <c r="MFE1095"/>
      <c r="MFF1095"/>
      <c r="MFI1095"/>
      <c r="MFJ1095"/>
      <c r="MFM1095"/>
      <c r="MFN1095"/>
      <c r="MFQ1095"/>
      <c r="MFR1095"/>
      <c r="MFU1095"/>
      <c r="MFV1095"/>
      <c r="MFY1095"/>
      <c r="MFZ1095"/>
      <c r="MGC1095"/>
      <c r="MGD1095"/>
      <c r="MGG1095"/>
      <c r="MGH1095"/>
      <c r="MGK1095"/>
      <c r="MGL1095"/>
      <c r="MGO1095"/>
      <c r="MGP1095"/>
      <c r="MGS1095"/>
      <c r="MGT1095"/>
      <c r="MGW1095"/>
      <c r="MGX1095"/>
      <c r="MHA1095"/>
      <c r="MHB1095"/>
      <c r="MHE1095"/>
      <c r="MHF1095"/>
      <c r="MHI1095"/>
      <c r="MHJ1095"/>
      <c r="MHM1095"/>
      <c r="MHN1095"/>
      <c r="MHQ1095"/>
      <c r="MHR1095"/>
      <c r="MHU1095"/>
      <c r="MHV1095"/>
      <c r="MHY1095"/>
      <c r="MHZ1095"/>
      <c r="MIC1095"/>
      <c r="MID1095"/>
      <c r="MIG1095"/>
      <c r="MIH1095"/>
      <c r="MIK1095"/>
      <c r="MIL1095"/>
      <c r="MIO1095"/>
      <c r="MIP1095"/>
      <c r="MIS1095"/>
      <c r="MIT1095"/>
      <c r="MIW1095"/>
      <c r="MIX1095"/>
      <c r="MJA1095"/>
      <c r="MJB1095"/>
      <c r="MJE1095"/>
      <c r="MJF1095"/>
      <c r="MJI1095"/>
      <c r="MJJ1095"/>
      <c r="MJM1095"/>
      <c r="MJN1095"/>
      <c r="MJQ1095"/>
      <c r="MJR1095"/>
      <c r="MJU1095"/>
      <c r="MJV1095"/>
      <c r="MJY1095"/>
      <c r="MJZ1095"/>
      <c r="MKC1095"/>
      <c r="MKD1095"/>
      <c r="MKG1095"/>
      <c r="MKH1095"/>
      <c r="MKK1095"/>
      <c r="MKL1095"/>
      <c r="MKO1095"/>
      <c r="MKP1095"/>
      <c r="MKS1095"/>
      <c r="MKT1095"/>
      <c r="MKW1095"/>
      <c r="MKX1095"/>
      <c r="MLA1095"/>
      <c r="MLB1095"/>
      <c r="MLE1095"/>
      <c r="MLF1095"/>
      <c r="MLI1095"/>
      <c r="MLJ1095"/>
      <c r="MLM1095"/>
      <c r="MLN1095"/>
      <c r="MLQ1095"/>
      <c r="MLR1095"/>
      <c r="MLU1095"/>
      <c r="MLV1095"/>
      <c r="MLY1095"/>
      <c r="MLZ1095"/>
      <c r="MMC1095"/>
      <c r="MMD1095"/>
      <c r="MMG1095"/>
      <c r="MMH1095"/>
      <c r="MMK1095"/>
      <c r="MML1095"/>
      <c r="MMO1095"/>
      <c r="MMP1095"/>
      <c r="MMS1095"/>
      <c r="MMT1095"/>
      <c r="MMW1095"/>
      <c r="MMX1095"/>
      <c r="MNA1095"/>
      <c r="MNB1095"/>
      <c r="MNE1095"/>
      <c r="MNF1095"/>
      <c r="MNI1095"/>
      <c r="MNJ1095"/>
      <c r="MNM1095"/>
      <c r="MNN1095"/>
      <c r="MNQ1095"/>
      <c r="MNR1095"/>
      <c r="MNU1095"/>
      <c r="MNV1095"/>
      <c r="MNY1095"/>
      <c r="MNZ1095"/>
      <c r="MOC1095"/>
      <c r="MOD1095"/>
      <c r="MOG1095"/>
      <c r="MOH1095"/>
      <c r="MOK1095"/>
      <c r="MOL1095"/>
      <c r="MOO1095"/>
      <c r="MOP1095"/>
      <c r="MOS1095"/>
      <c r="MOT1095"/>
      <c r="MOW1095"/>
      <c r="MOX1095"/>
      <c r="MPA1095"/>
      <c r="MPB1095"/>
      <c r="MPE1095"/>
      <c r="MPF1095"/>
      <c r="MPI1095"/>
      <c r="MPJ1095"/>
      <c r="MPM1095"/>
      <c r="MPN1095"/>
      <c r="MPQ1095"/>
      <c r="MPR1095"/>
      <c r="MPU1095"/>
      <c r="MPV1095"/>
      <c r="MPY1095"/>
      <c r="MPZ1095"/>
      <c r="MQC1095"/>
      <c r="MQD1095"/>
      <c r="MQG1095"/>
      <c r="MQH1095"/>
      <c r="MQK1095"/>
      <c r="MQL1095"/>
      <c r="MQO1095"/>
      <c r="MQP1095"/>
      <c r="MQS1095"/>
      <c r="MQT1095"/>
      <c r="MQW1095"/>
      <c r="MQX1095"/>
      <c r="MRA1095"/>
      <c r="MRB1095"/>
      <c r="MRE1095"/>
      <c r="MRF1095"/>
      <c r="MRI1095"/>
      <c r="MRJ1095"/>
      <c r="MRM1095"/>
      <c r="MRN1095"/>
      <c r="MRQ1095"/>
      <c r="MRR1095"/>
      <c r="MRU1095"/>
      <c r="MRV1095"/>
      <c r="MRY1095"/>
      <c r="MRZ1095"/>
      <c r="MSC1095"/>
      <c r="MSD1095"/>
      <c r="MSG1095"/>
      <c r="MSH1095"/>
      <c r="MSK1095"/>
      <c r="MSL1095"/>
      <c r="MSO1095"/>
      <c r="MSP1095"/>
      <c r="MSS1095"/>
      <c r="MST1095"/>
      <c r="MSW1095"/>
      <c r="MSX1095"/>
      <c r="MTA1095"/>
      <c r="MTB1095"/>
      <c r="MTE1095"/>
      <c r="MTF1095"/>
      <c r="MTI1095"/>
      <c r="MTJ1095"/>
      <c r="MTM1095"/>
      <c r="MTN1095"/>
      <c r="MTQ1095"/>
      <c r="MTR1095"/>
      <c r="MTU1095"/>
      <c r="MTV1095"/>
      <c r="MTY1095"/>
      <c r="MTZ1095"/>
      <c r="MUC1095"/>
      <c r="MUD1095"/>
      <c r="MUG1095"/>
      <c r="MUH1095"/>
      <c r="MUK1095"/>
      <c r="MUL1095"/>
      <c r="MUO1095"/>
      <c r="MUP1095"/>
      <c r="MUS1095"/>
      <c r="MUT1095"/>
      <c r="MUW1095"/>
      <c r="MUX1095"/>
      <c r="MVA1095"/>
      <c r="MVB1095"/>
      <c r="MVE1095"/>
      <c r="MVF1095"/>
      <c r="MVI1095"/>
      <c r="MVJ1095"/>
      <c r="MVM1095"/>
      <c r="MVN1095"/>
      <c r="MVQ1095"/>
      <c r="MVR1095"/>
      <c r="MVU1095"/>
      <c r="MVV1095"/>
      <c r="MVY1095"/>
      <c r="MVZ1095"/>
      <c r="MWC1095"/>
      <c r="MWD1095"/>
      <c r="MWG1095"/>
      <c r="MWH1095"/>
      <c r="MWK1095"/>
      <c r="MWL1095"/>
      <c r="MWO1095"/>
      <c r="MWP1095"/>
      <c r="MWS1095"/>
      <c r="MWT1095"/>
      <c r="MWW1095"/>
      <c r="MWX1095"/>
      <c r="MXA1095"/>
      <c r="MXB1095"/>
      <c r="MXE1095"/>
      <c r="MXF1095"/>
      <c r="MXI1095"/>
      <c r="MXJ1095"/>
      <c r="MXM1095"/>
      <c r="MXN1095"/>
      <c r="MXQ1095"/>
      <c r="MXR1095"/>
      <c r="MXU1095"/>
      <c r="MXV1095"/>
      <c r="MXY1095"/>
      <c r="MXZ1095"/>
      <c r="MYC1095"/>
      <c r="MYD1095"/>
      <c r="MYG1095"/>
      <c r="MYH1095"/>
      <c r="MYK1095"/>
      <c r="MYL1095"/>
      <c r="MYO1095"/>
      <c r="MYP1095"/>
      <c r="MYS1095"/>
      <c r="MYT1095"/>
      <c r="MYW1095"/>
      <c r="MYX1095"/>
      <c r="MZA1095"/>
      <c r="MZB1095"/>
      <c r="MZE1095"/>
      <c r="MZF1095"/>
      <c r="MZI1095"/>
      <c r="MZJ1095"/>
      <c r="MZM1095"/>
      <c r="MZN1095"/>
      <c r="MZQ1095"/>
      <c r="MZR1095"/>
      <c r="MZU1095"/>
      <c r="MZV1095"/>
      <c r="MZY1095"/>
      <c r="MZZ1095"/>
      <c r="NAC1095"/>
      <c r="NAD1095"/>
      <c r="NAG1095"/>
      <c r="NAH1095"/>
      <c r="NAK1095"/>
      <c r="NAL1095"/>
      <c r="NAO1095"/>
      <c r="NAP1095"/>
      <c r="NAS1095"/>
      <c r="NAT1095"/>
      <c r="NAW1095"/>
      <c r="NAX1095"/>
      <c r="NBA1095"/>
      <c r="NBB1095"/>
      <c r="NBE1095"/>
      <c r="NBF1095"/>
      <c r="NBI1095"/>
      <c r="NBJ1095"/>
      <c r="NBM1095"/>
      <c r="NBN1095"/>
      <c r="NBQ1095"/>
      <c r="NBR1095"/>
      <c r="NBU1095"/>
      <c r="NBV1095"/>
      <c r="NBY1095"/>
      <c r="NBZ1095"/>
      <c r="NCC1095"/>
      <c r="NCD1095"/>
      <c r="NCG1095"/>
      <c r="NCH1095"/>
      <c r="NCK1095"/>
      <c r="NCL1095"/>
      <c r="NCO1095"/>
      <c r="NCP1095"/>
      <c r="NCS1095"/>
      <c r="NCT1095"/>
      <c r="NCW1095"/>
      <c r="NCX1095"/>
      <c r="NDA1095"/>
      <c r="NDB1095"/>
      <c r="NDE1095"/>
      <c r="NDF1095"/>
      <c r="NDI1095"/>
      <c r="NDJ1095"/>
      <c r="NDM1095"/>
      <c r="NDN1095"/>
      <c r="NDQ1095"/>
      <c r="NDR1095"/>
      <c r="NDU1095"/>
      <c r="NDV1095"/>
      <c r="NDY1095"/>
      <c r="NDZ1095"/>
      <c r="NEC1095"/>
      <c r="NED1095"/>
      <c r="NEG1095"/>
      <c r="NEH1095"/>
      <c r="NEK1095"/>
      <c r="NEL1095"/>
      <c r="NEO1095"/>
      <c r="NEP1095"/>
      <c r="NES1095"/>
      <c r="NET1095"/>
      <c r="NEW1095"/>
      <c r="NEX1095"/>
      <c r="NFA1095"/>
      <c r="NFB1095"/>
      <c r="NFE1095"/>
      <c r="NFF1095"/>
      <c r="NFI1095"/>
      <c r="NFJ1095"/>
      <c r="NFM1095"/>
      <c r="NFN1095"/>
      <c r="NFQ1095"/>
      <c r="NFR1095"/>
      <c r="NFU1095"/>
      <c r="NFV1095"/>
      <c r="NFY1095"/>
      <c r="NFZ1095"/>
      <c r="NGC1095"/>
      <c r="NGD1095"/>
      <c r="NGG1095"/>
      <c r="NGH1095"/>
      <c r="NGK1095"/>
      <c r="NGL1095"/>
      <c r="NGO1095"/>
      <c r="NGP1095"/>
      <c r="NGS1095"/>
      <c r="NGT1095"/>
      <c r="NGW1095"/>
      <c r="NGX1095"/>
      <c r="NHA1095"/>
      <c r="NHB1095"/>
      <c r="NHE1095"/>
      <c r="NHF1095"/>
      <c r="NHI1095"/>
      <c r="NHJ1095"/>
      <c r="NHM1095"/>
      <c r="NHN1095"/>
      <c r="NHQ1095"/>
      <c r="NHR1095"/>
      <c r="NHU1095"/>
      <c r="NHV1095"/>
      <c r="NHY1095"/>
      <c r="NHZ1095"/>
      <c r="NIC1095"/>
      <c r="NID1095"/>
      <c r="NIG1095"/>
      <c r="NIH1095"/>
      <c r="NIK1095"/>
      <c r="NIL1095"/>
      <c r="NIO1095"/>
      <c r="NIP1095"/>
      <c r="NIS1095"/>
      <c r="NIT1095"/>
      <c r="NIW1095"/>
      <c r="NIX1095"/>
      <c r="NJA1095"/>
      <c r="NJB1095"/>
      <c r="NJE1095"/>
      <c r="NJF1095"/>
      <c r="NJI1095"/>
      <c r="NJJ1095"/>
      <c r="NJM1095"/>
      <c r="NJN1095"/>
      <c r="NJQ1095"/>
      <c r="NJR1095"/>
      <c r="NJU1095"/>
      <c r="NJV1095"/>
      <c r="NJY1095"/>
      <c r="NJZ1095"/>
      <c r="NKC1095"/>
      <c r="NKD1095"/>
      <c r="NKG1095"/>
      <c r="NKH1095"/>
      <c r="NKK1095"/>
      <c r="NKL1095"/>
      <c r="NKO1095"/>
      <c r="NKP1095"/>
      <c r="NKS1095"/>
      <c r="NKT1095"/>
      <c r="NKW1095"/>
      <c r="NKX1095"/>
      <c r="NLA1095"/>
      <c r="NLB1095"/>
      <c r="NLE1095"/>
      <c r="NLF1095"/>
      <c r="NLI1095"/>
      <c r="NLJ1095"/>
      <c r="NLM1095"/>
      <c r="NLN1095"/>
      <c r="NLQ1095"/>
      <c r="NLR1095"/>
      <c r="NLU1095"/>
      <c r="NLV1095"/>
      <c r="NLY1095"/>
      <c r="NLZ1095"/>
      <c r="NMC1095"/>
      <c r="NMD1095"/>
      <c r="NMG1095"/>
      <c r="NMH1095"/>
      <c r="NMK1095"/>
      <c r="NML1095"/>
      <c r="NMO1095"/>
      <c r="NMP1095"/>
      <c r="NMS1095"/>
      <c r="NMT1095"/>
      <c r="NMW1095"/>
      <c r="NMX1095"/>
      <c r="NNA1095"/>
      <c r="NNB1095"/>
      <c r="NNE1095"/>
      <c r="NNF1095"/>
      <c r="NNI1095"/>
      <c r="NNJ1095"/>
      <c r="NNM1095"/>
      <c r="NNN1095"/>
      <c r="NNQ1095"/>
      <c r="NNR1095"/>
      <c r="NNU1095"/>
      <c r="NNV1095"/>
      <c r="NNY1095"/>
      <c r="NNZ1095"/>
      <c r="NOC1095"/>
      <c r="NOD1095"/>
      <c r="NOG1095"/>
      <c r="NOH1095"/>
      <c r="NOK1095"/>
      <c r="NOL1095"/>
      <c r="NOO1095"/>
      <c r="NOP1095"/>
      <c r="NOS1095"/>
      <c r="NOT1095"/>
      <c r="NOW1095"/>
      <c r="NOX1095"/>
      <c r="NPA1095"/>
      <c r="NPB1095"/>
      <c r="NPE1095"/>
      <c r="NPF1095"/>
      <c r="NPI1095"/>
      <c r="NPJ1095"/>
      <c r="NPM1095"/>
      <c r="NPN1095"/>
      <c r="NPQ1095"/>
      <c r="NPR1095"/>
      <c r="NPU1095"/>
      <c r="NPV1095"/>
      <c r="NPY1095"/>
      <c r="NPZ1095"/>
      <c r="NQC1095"/>
      <c r="NQD1095"/>
      <c r="NQG1095"/>
      <c r="NQH1095"/>
      <c r="NQK1095"/>
      <c r="NQL1095"/>
      <c r="NQO1095"/>
      <c r="NQP1095"/>
      <c r="NQS1095"/>
      <c r="NQT1095"/>
      <c r="NQW1095"/>
      <c r="NQX1095"/>
      <c r="NRA1095"/>
      <c r="NRB1095"/>
      <c r="NRE1095"/>
      <c r="NRF1095"/>
      <c r="NRI1095"/>
      <c r="NRJ1095"/>
      <c r="NRM1095"/>
      <c r="NRN1095"/>
      <c r="NRQ1095"/>
      <c r="NRR1095"/>
      <c r="NRU1095"/>
      <c r="NRV1095"/>
      <c r="NRY1095"/>
      <c r="NRZ1095"/>
      <c r="NSC1095"/>
      <c r="NSD1095"/>
      <c r="NSG1095"/>
      <c r="NSH1095"/>
      <c r="NSK1095"/>
      <c r="NSL1095"/>
      <c r="NSO1095"/>
      <c r="NSP1095"/>
      <c r="NSS1095"/>
      <c r="NST1095"/>
      <c r="NSW1095"/>
      <c r="NSX1095"/>
      <c r="NTA1095"/>
      <c r="NTB1095"/>
      <c r="NTE1095"/>
      <c r="NTF1095"/>
      <c r="NTI1095"/>
      <c r="NTJ1095"/>
      <c r="NTM1095"/>
      <c r="NTN1095"/>
      <c r="NTQ1095"/>
      <c r="NTR1095"/>
      <c r="NTU1095"/>
      <c r="NTV1095"/>
      <c r="NTY1095"/>
      <c r="NTZ1095"/>
      <c r="NUC1095"/>
      <c r="NUD1095"/>
      <c r="NUG1095"/>
      <c r="NUH1095"/>
      <c r="NUK1095"/>
      <c r="NUL1095"/>
      <c r="NUO1095"/>
      <c r="NUP1095"/>
      <c r="NUS1095"/>
      <c r="NUT1095"/>
      <c r="NUW1095"/>
      <c r="NUX1095"/>
      <c r="NVA1095"/>
      <c r="NVB1095"/>
      <c r="NVE1095"/>
      <c r="NVF1095"/>
      <c r="NVI1095"/>
      <c r="NVJ1095"/>
      <c r="NVM1095"/>
      <c r="NVN1095"/>
      <c r="NVQ1095"/>
      <c r="NVR1095"/>
      <c r="NVU1095"/>
      <c r="NVV1095"/>
      <c r="NVY1095"/>
      <c r="NVZ1095"/>
      <c r="NWC1095"/>
      <c r="NWD1095"/>
      <c r="NWG1095"/>
      <c r="NWH1095"/>
      <c r="NWK1095"/>
      <c r="NWL1095"/>
      <c r="NWO1095"/>
      <c r="NWP1095"/>
      <c r="NWS1095"/>
      <c r="NWT1095"/>
      <c r="NWW1095"/>
      <c r="NWX1095"/>
      <c r="NXA1095"/>
      <c r="NXB1095"/>
      <c r="NXE1095"/>
      <c r="NXF1095"/>
      <c r="NXI1095"/>
      <c r="NXJ1095"/>
      <c r="NXM1095"/>
      <c r="NXN1095"/>
      <c r="NXQ1095"/>
      <c r="NXR1095"/>
      <c r="NXU1095"/>
      <c r="NXV1095"/>
      <c r="NXY1095"/>
      <c r="NXZ1095"/>
      <c r="NYC1095"/>
      <c r="NYD1095"/>
      <c r="NYG1095"/>
      <c r="NYH1095"/>
      <c r="NYK1095"/>
      <c r="NYL1095"/>
      <c r="NYO1095"/>
      <c r="NYP1095"/>
      <c r="NYS1095"/>
      <c r="NYT1095"/>
      <c r="NYW1095"/>
      <c r="NYX1095"/>
      <c r="NZA1095"/>
      <c r="NZB1095"/>
      <c r="NZE1095"/>
      <c r="NZF1095"/>
      <c r="NZI1095"/>
      <c r="NZJ1095"/>
      <c r="NZM1095"/>
      <c r="NZN1095"/>
      <c r="NZQ1095"/>
      <c r="NZR1095"/>
      <c r="NZU1095"/>
      <c r="NZV1095"/>
      <c r="NZY1095"/>
      <c r="NZZ1095"/>
      <c r="OAC1095"/>
      <c r="OAD1095"/>
      <c r="OAG1095"/>
      <c r="OAH1095"/>
      <c r="OAK1095"/>
      <c r="OAL1095"/>
      <c r="OAO1095"/>
      <c r="OAP1095"/>
      <c r="OAS1095"/>
      <c r="OAT1095"/>
      <c r="OAW1095"/>
      <c r="OAX1095"/>
      <c r="OBA1095"/>
      <c r="OBB1095"/>
      <c r="OBE1095"/>
      <c r="OBF1095"/>
      <c r="OBI1095"/>
      <c r="OBJ1095"/>
      <c r="OBM1095"/>
      <c r="OBN1095"/>
      <c r="OBQ1095"/>
      <c r="OBR1095"/>
      <c r="OBU1095"/>
      <c r="OBV1095"/>
      <c r="OBY1095"/>
      <c r="OBZ1095"/>
      <c r="OCC1095"/>
      <c r="OCD1095"/>
      <c r="OCG1095"/>
      <c r="OCH1095"/>
      <c r="OCK1095"/>
      <c r="OCL1095"/>
      <c r="OCO1095"/>
      <c r="OCP1095"/>
      <c r="OCS1095"/>
      <c r="OCT1095"/>
      <c r="OCW1095"/>
      <c r="OCX1095"/>
      <c r="ODA1095"/>
      <c r="ODB1095"/>
      <c r="ODE1095"/>
      <c r="ODF1095"/>
      <c r="ODI1095"/>
      <c r="ODJ1095"/>
      <c r="ODM1095"/>
      <c r="ODN1095"/>
      <c r="ODQ1095"/>
      <c r="ODR1095"/>
      <c r="ODU1095"/>
      <c r="ODV1095"/>
      <c r="ODY1095"/>
      <c r="ODZ1095"/>
      <c r="OEC1095"/>
      <c r="OED1095"/>
      <c r="OEG1095"/>
      <c r="OEH1095"/>
      <c r="OEK1095"/>
      <c r="OEL1095"/>
      <c r="OEO1095"/>
      <c r="OEP1095"/>
      <c r="OES1095"/>
      <c r="OET1095"/>
      <c r="OEW1095"/>
      <c r="OEX1095"/>
      <c r="OFA1095"/>
      <c r="OFB1095"/>
      <c r="OFE1095"/>
      <c r="OFF1095"/>
      <c r="OFI1095"/>
      <c r="OFJ1095"/>
      <c r="OFM1095"/>
      <c r="OFN1095"/>
      <c r="OFQ1095"/>
      <c r="OFR1095"/>
      <c r="OFU1095"/>
      <c r="OFV1095"/>
      <c r="OFY1095"/>
      <c r="OFZ1095"/>
      <c r="OGC1095"/>
      <c r="OGD1095"/>
      <c r="OGG1095"/>
      <c r="OGH1095"/>
      <c r="OGK1095"/>
      <c r="OGL1095"/>
      <c r="OGO1095"/>
      <c r="OGP1095"/>
      <c r="OGS1095"/>
      <c r="OGT1095"/>
      <c r="OGW1095"/>
      <c r="OGX1095"/>
      <c r="OHA1095"/>
      <c r="OHB1095"/>
      <c r="OHE1095"/>
      <c r="OHF1095"/>
      <c r="OHI1095"/>
      <c r="OHJ1095"/>
      <c r="OHM1095"/>
      <c r="OHN1095"/>
      <c r="OHQ1095"/>
      <c r="OHR1095"/>
      <c r="OHU1095"/>
      <c r="OHV1095"/>
      <c r="OHY1095"/>
      <c r="OHZ1095"/>
      <c r="OIC1095"/>
      <c r="OID1095"/>
      <c r="OIG1095"/>
      <c r="OIH1095"/>
      <c r="OIK1095"/>
      <c r="OIL1095"/>
      <c r="OIO1095"/>
      <c r="OIP1095"/>
      <c r="OIS1095"/>
      <c r="OIT1095"/>
      <c r="OIW1095"/>
      <c r="OIX1095"/>
      <c r="OJA1095"/>
      <c r="OJB1095"/>
      <c r="OJE1095"/>
      <c r="OJF1095"/>
      <c r="OJI1095"/>
      <c r="OJJ1095"/>
      <c r="OJM1095"/>
      <c r="OJN1095"/>
      <c r="OJQ1095"/>
      <c r="OJR1095"/>
      <c r="OJU1095"/>
      <c r="OJV1095"/>
      <c r="OJY1095"/>
      <c r="OJZ1095"/>
      <c r="OKC1095"/>
      <c r="OKD1095"/>
      <c r="OKG1095"/>
      <c r="OKH1095"/>
      <c r="OKK1095"/>
      <c r="OKL1095"/>
      <c r="OKO1095"/>
      <c r="OKP1095"/>
      <c r="OKS1095"/>
      <c r="OKT1095"/>
      <c r="OKW1095"/>
      <c r="OKX1095"/>
      <c r="OLA1095"/>
      <c r="OLB1095"/>
      <c r="OLE1095"/>
      <c r="OLF1095"/>
      <c r="OLI1095"/>
      <c r="OLJ1095"/>
      <c r="OLM1095"/>
      <c r="OLN1095"/>
      <c r="OLQ1095"/>
      <c r="OLR1095"/>
      <c r="OLU1095"/>
      <c r="OLV1095"/>
      <c r="OLY1095"/>
      <c r="OLZ1095"/>
      <c r="OMC1095"/>
      <c r="OMD1095"/>
      <c r="OMG1095"/>
      <c r="OMH1095"/>
      <c r="OMK1095"/>
      <c r="OML1095"/>
      <c r="OMO1095"/>
      <c r="OMP1095"/>
      <c r="OMS1095"/>
      <c r="OMT1095"/>
      <c r="OMW1095"/>
      <c r="OMX1095"/>
      <c r="ONA1095"/>
      <c r="ONB1095"/>
      <c r="ONE1095"/>
      <c r="ONF1095"/>
      <c r="ONI1095"/>
      <c r="ONJ1095"/>
      <c r="ONM1095"/>
      <c r="ONN1095"/>
      <c r="ONQ1095"/>
      <c r="ONR1095"/>
      <c r="ONU1095"/>
      <c r="ONV1095"/>
      <c r="ONY1095"/>
      <c r="ONZ1095"/>
      <c r="OOC1095"/>
      <c r="OOD1095"/>
      <c r="OOG1095"/>
      <c r="OOH1095"/>
      <c r="OOK1095"/>
      <c r="OOL1095"/>
      <c r="OOO1095"/>
      <c r="OOP1095"/>
      <c r="OOS1095"/>
      <c r="OOT1095"/>
      <c r="OOW1095"/>
      <c r="OOX1095"/>
      <c r="OPA1095"/>
      <c r="OPB1095"/>
      <c r="OPE1095"/>
      <c r="OPF1095"/>
      <c r="OPI1095"/>
      <c r="OPJ1095"/>
      <c r="OPM1095"/>
      <c r="OPN1095"/>
      <c r="OPQ1095"/>
      <c r="OPR1095"/>
      <c r="OPU1095"/>
      <c r="OPV1095"/>
      <c r="OPY1095"/>
      <c r="OPZ1095"/>
      <c r="OQC1095"/>
      <c r="OQD1095"/>
      <c r="OQG1095"/>
      <c r="OQH1095"/>
      <c r="OQK1095"/>
      <c r="OQL1095"/>
      <c r="OQO1095"/>
      <c r="OQP1095"/>
      <c r="OQS1095"/>
      <c r="OQT1095"/>
      <c r="OQW1095"/>
      <c r="OQX1095"/>
      <c r="ORA1095"/>
      <c r="ORB1095"/>
      <c r="ORE1095"/>
      <c r="ORF1095"/>
      <c r="ORI1095"/>
      <c r="ORJ1095"/>
      <c r="ORM1095"/>
      <c r="ORN1095"/>
      <c r="ORQ1095"/>
      <c r="ORR1095"/>
      <c r="ORU1095"/>
      <c r="ORV1095"/>
      <c r="ORY1095"/>
      <c r="ORZ1095"/>
      <c r="OSC1095"/>
      <c r="OSD1095"/>
      <c r="OSG1095"/>
      <c r="OSH1095"/>
      <c r="OSK1095"/>
      <c r="OSL1095"/>
      <c r="OSO1095"/>
      <c r="OSP1095"/>
      <c r="OSS1095"/>
      <c r="OST1095"/>
      <c r="OSW1095"/>
      <c r="OSX1095"/>
      <c r="OTA1095"/>
      <c r="OTB1095"/>
      <c r="OTE1095"/>
      <c r="OTF1095"/>
      <c r="OTI1095"/>
      <c r="OTJ1095"/>
      <c r="OTM1095"/>
      <c r="OTN1095"/>
      <c r="OTQ1095"/>
      <c r="OTR1095"/>
      <c r="OTU1095"/>
      <c r="OTV1095"/>
      <c r="OTY1095"/>
      <c r="OTZ1095"/>
      <c r="OUC1095"/>
      <c r="OUD1095"/>
      <c r="OUG1095"/>
      <c r="OUH1095"/>
      <c r="OUK1095"/>
      <c r="OUL1095"/>
      <c r="OUO1095"/>
      <c r="OUP1095"/>
      <c r="OUS1095"/>
      <c r="OUT1095"/>
      <c r="OUW1095"/>
      <c r="OUX1095"/>
      <c r="OVA1095"/>
      <c r="OVB1095"/>
      <c r="OVE1095"/>
      <c r="OVF1095"/>
      <c r="OVI1095"/>
      <c r="OVJ1095"/>
      <c r="OVM1095"/>
      <c r="OVN1095"/>
      <c r="OVQ1095"/>
      <c r="OVR1095"/>
      <c r="OVU1095"/>
      <c r="OVV1095"/>
      <c r="OVY1095"/>
      <c r="OVZ1095"/>
      <c r="OWC1095"/>
      <c r="OWD1095"/>
      <c r="OWG1095"/>
      <c r="OWH1095"/>
      <c r="OWK1095"/>
      <c r="OWL1095"/>
      <c r="OWO1095"/>
      <c r="OWP1095"/>
      <c r="OWS1095"/>
      <c r="OWT1095"/>
      <c r="OWW1095"/>
      <c r="OWX1095"/>
      <c r="OXA1095"/>
      <c r="OXB1095"/>
      <c r="OXE1095"/>
      <c r="OXF1095"/>
      <c r="OXI1095"/>
      <c r="OXJ1095"/>
      <c r="OXM1095"/>
      <c r="OXN1095"/>
      <c r="OXQ1095"/>
      <c r="OXR1095"/>
      <c r="OXU1095"/>
      <c r="OXV1095"/>
      <c r="OXY1095"/>
      <c r="OXZ1095"/>
      <c r="OYC1095"/>
      <c r="OYD1095"/>
      <c r="OYG1095"/>
      <c r="OYH1095"/>
      <c r="OYK1095"/>
      <c r="OYL1095"/>
      <c r="OYO1095"/>
      <c r="OYP1095"/>
      <c r="OYS1095"/>
      <c r="OYT1095"/>
      <c r="OYW1095"/>
      <c r="OYX1095"/>
      <c r="OZA1095"/>
      <c r="OZB1095"/>
      <c r="OZE1095"/>
      <c r="OZF1095"/>
      <c r="OZI1095"/>
      <c r="OZJ1095"/>
      <c r="OZM1095"/>
      <c r="OZN1095"/>
      <c r="OZQ1095"/>
      <c r="OZR1095"/>
      <c r="OZU1095"/>
      <c r="OZV1095"/>
      <c r="OZY1095"/>
      <c r="OZZ1095"/>
      <c r="PAC1095"/>
      <c r="PAD1095"/>
      <c r="PAG1095"/>
      <c r="PAH1095"/>
      <c r="PAK1095"/>
      <c r="PAL1095"/>
      <c r="PAO1095"/>
      <c r="PAP1095"/>
      <c r="PAS1095"/>
      <c r="PAT1095"/>
      <c r="PAW1095"/>
      <c r="PAX1095"/>
      <c r="PBA1095"/>
      <c r="PBB1095"/>
      <c r="PBE1095"/>
      <c r="PBF1095"/>
      <c r="PBI1095"/>
      <c r="PBJ1095"/>
      <c r="PBM1095"/>
      <c r="PBN1095"/>
      <c r="PBQ1095"/>
      <c r="PBR1095"/>
      <c r="PBU1095"/>
      <c r="PBV1095"/>
      <c r="PBY1095"/>
      <c r="PBZ1095"/>
      <c r="PCC1095"/>
      <c r="PCD1095"/>
      <c r="PCG1095"/>
      <c r="PCH1095"/>
      <c r="PCK1095"/>
      <c r="PCL1095"/>
      <c r="PCO1095"/>
      <c r="PCP1095"/>
      <c r="PCS1095"/>
      <c r="PCT1095"/>
      <c r="PCW1095"/>
      <c r="PCX1095"/>
      <c r="PDA1095"/>
      <c r="PDB1095"/>
      <c r="PDE1095"/>
      <c r="PDF1095"/>
      <c r="PDI1095"/>
      <c r="PDJ1095"/>
      <c r="PDM1095"/>
      <c r="PDN1095"/>
      <c r="PDQ1095"/>
      <c r="PDR1095"/>
      <c r="PDU1095"/>
      <c r="PDV1095"/>
      <c r="PDY1095"/>
      <c r="PDZ1095"/>
      <c r="PEC1095"/>
      <c r="PED1095"/>
      <c r="PEG1095"/>
      <c r="PEH1095"/>
      <c r="PEK1095"/>
      <c r="PEL1095"/>
      <c r="PEO1095"/>
      <c r="PEP1095"/>
      <c r="PES1095"/>
      <c r="PET1095"/>
      <c r="PEW1095"/>
      <c r="PEX1095"/>
      <c r="PFA1095"/>
      <c r="PFB1095"/>
      <c r="PFE1095"/>
      <c r="PFF1095"/>
      <c r="PFI1095"/>
      <c r="PFJ1095"/>
      <c r="PFM1095"/>
      <c r="PFN1095"/>
      <c r="PFQ1095"/>
      <c r="PFR1095"/>
      <c r="PFU1095"/>
      <c r="PFV1095"/>
      <c r="PFY1095"/>
      <c r="PFZ1095"/>
      <c r="PGC1095"/>
      <c r="PGD1095"/>
      <c r="PGG1095"/>
      <c r="PGH1095"/>
      <c r="PGK1095"/>
      <c r="PGL1095"/>
      <c r="PGO1095"/>
      <c r="PGP1095"/>
      <c r="PGS1095"/>
      <c r="PGT1095"/>
      <c r="PGW1095"/>
      <c r="PGX1095"/>
      <c r="PHA1095"/>
      <c r="PHB1095"/>
      <c r="PHE1095"/>
      <c r="PHF1095"/>
      <c r="PHI1095"/>
      <c r="PHJ1095"/>
      <c r="PHM1095"/>
      <c r="PHN1095"/>
      <c r="PHQ1095"/>
      <c r="PHR1095"/>
      <c r="PHU1095"/>
      <c r="PHV1095"/>
      <c r="PHY1095"/>
      <c r="PHZ1095"/>
      <c r="PIC1095"/>
      <c r="PID1095"/>
      <c r="PIG1095"/>
      <c r="PIH1095"/>
      <c r="PIK1095"/>
      <c r="PIL1095"/>
      <c r="PIO1095"/>
      <c r="PIP1095"/>
      <c r="PIS1095"/>
      <c r="PIT1095"/>
      <c r="PIW1095"/>
      <c r="PIX1095"/>
      <c r="PJA1095"/>
      <c r="PJB1095"/>
      <c r="PJE1095"/>
      <c r="PJF1095"/>
      <c r="PJI1095"/>
      <c r="PJJ1095"/>
      <c r="PJM1095"/>
      <c r="PJN1095"/>
      <c r="PJQ1095"/>
      <c r="PJR1095"/>
      <c r="PJU1095"/>
      <c r="PJV1095"/>
      <c r="PJY1095"/>
      <c r="PJZ1095"/>
      <c r="PKC1095"/>
      <c r="PKD1095"/>
      <c r="PKG1095"/>
      <c r="PKH1095"/>
      <c r="PKK1095"/>
      <c r="PKL1095"/>
      <c r="PKO1095"/>
      <c r="PKP1095"/>
      <c r="PKS1095"/>
      <c r="PKT1095"/>
      <c r="PKW1095"/>
      <c r="PKX1095"/>
      <c r="PLA1095"/>
      <c r="PLB1095"/>
      <c r="PLE1095"/>
      <c r="PLF1095"/>
      <c r="PLI1095"/>
      <c r="PLJ1095"/>
      <c r="PLM1095"/>
      <c r="PLN1095"/>
      <c r="PLQ1095"/>
      <c r="PLR1095"/>
      <c r="PLU1095"/>
      <c r="PLV1095"/>
      <c r="PLY1095"/>
      <c r="PLZ1095"/>
      <c r="PMC1095"/>
      <c r="PMD1095"/>
      <c r="PMG1095"/>
      <c r="PMH1095"/>
      <c r="PMK1095"/>
      <c r="PML1095"/>
      <c r="PMO1095"/>
      <c r="PMP1095"/>
      <c r="PMS1095"/>
      <c r="PMT1095"/>
      <c r="PMW1095"/>
      <c r="PMX1095"/>
      <c r="PNA1095"/>
      <c r="PNB1095"/>
      <c r="PNE1095"/>
      <c r="PNF1095"/>
      <c r="PNI1095"/>
      <c r="PNJ1095"/>
      <c r="PNM1095"/>
      <c r="PNN1095"/>
      <c r="PNQ1095"/>
      <c r="PNR1095"/>
      <c r="PNU1095"/>
      <c r="PNV1095"/>
      <c r="PNY1095"/>
      <c r="PNZ1095"/>
      <c r="POC1095"/>
      <c r="POD1095"/>
      <c r="POG1095"/>
      <c r="POH1095"/>
      <c r="POK1095"/>
      <c r="POL1095"/>
      <c r="POO1095"/>
      <c r="POP1095"/>
      <c r="POS1095"/>
      <c r="POT1095"/>
      <c r="POW1095"/>
      <c r="POX1095"/>
      <c r="PPA1095"/>
      <c r="PPB1095"/>
      <c r="PPE1095"/>
      <c r="PPF1095"/>
      <c r="PPI1095"/>
      <c r="PPJ1095"/>
      <c r="PPM1095"/>
      <c r="PPN1095"/>
      <c r="PPQ1095"/>
      <c r="PPR1095"/>
      <c r="PPU1095"/>
      <c r="PPV1095"/>
      <c r="PPY1095"/>
      <c r="PPZ1095"/>
      <c r="PQC1095"/>
      <c r="PQD1095"/>
      <c r="PQG1095"/>
      <c r="PQH1095"/>
      <c r="PQK1095"/>
      <c r="PQL1095"/>
      <c r="PQO1095"/>
      <c r="PQP1095"/>
      <c r="PQS1095"/>
      <c r="PQT1095"/>
      <c r="PQW1095"/>
      <c r="PQX1095"/>
      <c r="PRA1095"/>
      <c r="PRB1095"/>
      <c r="PRE1095"/>
      <c r="PRF1095"/>
      <c r="PRI1095"/>
      <c r="PRJ1095"/>
      <c r="PRM1095"/>
      <c r="PRN1095"/>
      <c r="PRQ1095"/>
      <c r="PRR1095"/>
      <c r="PRU1095"/>
      <c r="PRV1095"/>
      <c r="PRY1095"/>
      <c r="PRZ1095"/>
      <c r="PSC1095"/>
      <c r="PSD1095"/>
      <c r="PSG1095"/>
      <c r="PSH1095"/>
      <c r="PSK1095"/>
      <c r="PSL1095"/>
      <c r="PSO1095"/>
      <c r="PSP1095"/>
      <c r="PSS1095"/>
      <c r="PST1095"/>
      <c r="PSW1095"/>
      <c r="PSX1095"/>
      <c r="PTA1095"/>
      <c r="PTB1095"/>
      <c r="PTE1095"/>
      <c r="PTF1095"/>
      <c r="PTI1095"/>
      <c r="PTJ1095"/>
      <c r="PTM1095"/>
      <c r="PTN1095"/>
      <c r="PTQ1095"/>
      <c r="PTR1095"/>
      <c r="PTU1095"/>
      <c r="PTV1095"/>
      <c r="PTY1095"/>
      <c r="PTZ1095"/>
      <c r="PUC1095"/>
      <c r="PUD1095"/>
      <c r="PUG1095"/>
      <c r="PUH1095"/>
      <c r="PUK1095"/>
      <c r="PUL1095"/>
      <c r="PUO1095"/>
      <c r="PUP1095"/>
      <c r="PUS1095"/>
      <c r="PUT1095"/>
      <c r="PUW1095"/>
      <c r="PUX1095"/>
      <c r="PVA1095"/>
      <c r="PVB1095"/>
      <c r="PVE1095"/>
      <c r="PVF1095"/>
      <c r="PVI1095"/>
      <c r="PVJ1095"/>
      <c r="PVM1095"/>
      <c r="PVN1095"/>
      <c r="PVQ1095"/>
      <c r="PVR1095"/>
      <c r="PVU1095"/>
      <c r="PVV1095"/>
      <c r="PVY1095"/>
      <c r="PVZ1095"/>
      <c r="PWC1095"/>
      <c r="PWD1095"/>
      <c r="PWG1095"/>
      <c r="PWH1095"/>
      <c r="PWK1095"/>
      <c r="PWL1095"/>
      <c r="PWO1095"/>
      <c r="PWP1095"/>
      <c r="PWS1095"/>
      <c r="PWT1095"/>
      <c r="PWW1095"/>
      <c r="PWX1095"/>
      <c r="PXA1095"/>
      <c r="PXB1095"/>
      <c r="PXE1095"/>
      <c r="PXF1095"/>
      <c r="PXI1095"/>
      <c r="PXJ1095"/>
      <c r="PXM1095"/>
      <c r="PXN1095"/>
      <c r="PXQ1095"/>
      <c r="PXR1095"/>
      <c r="PXU1095"/>
      <c r="PXV1095"/>
      <c r="PXY1095"/>
      <c r="PXZ1095"/>
      <c r="PYC1095"/>
      <c r="PYD1095"/>
      <c r="PYG1095"/>
      <c r="PYH1095"/>
      <c r="PYK1095"/>
      <c r="PYL1095"/>
      <c r="PYO1095"/>
      <c r="PYP1095"/>
      <c r="PYS1095"/>
      <c r="PYT1095"/>
      <c r="PYW1095"/>
      <c r="PYX1095"/>
      <c r="PZA1095"/>
      <c r="PZB1095"/>
      <c r="PZE1095"/>
      <c r="PZF1095"/>
      <c r="PZI1095"/>
      <c r="PZJ1095"/>
      <c r="PZM1095"/>
      <c r="PZN1095"/>
      <c r="PZQ1095"/>
      <c r="PZR1095"/>
      <c r="PZU1095"/>
      <c r="PZV1095"/>
      <c r="PZY1095"/>
      <c r="PZZ1095"/>
      <c r="QAC1095"/>
      <c r="QAD1095"/>
      <c r="QAG1095"/>
      <c r="QAH1095"/>
      <c r="QAK1095"/>
      <c r="QAL1095"/>
      <c r="QAO1095"/>
      <c r="QAP1095"/>
      <c r="QAS1095"/>
      <c r="QAT1095"/>
      <c r="QAW1095"/>
      <c r="QAX1095"/>
      <c r="QBA1095"/>
      <c r="QBB1095"/>
      <c r="QBE1095"/>
      <c r="QBF1095"/>
      <c r="QBI1095"/>
      <c r="QBJ1095"/>
      <c r="QBM1095"/>
      <c r="QBN1095"/>
      <c r="QBQ1095"/>
      <c r="QBR1095"/>
      <c r="QBU1095"/>
      <c r="QBV1095"/>
      <c r="QBY1095"/>
      <c r="QBZ1095"/>
      <c r="QCC1095"/>
      <c r="QCD1095"/>
      <c r="QCG1095"/>
      <c r="QCH1095"/>
      <c r="QCK1095"/>
      <c r="QCL1095"/>
      <c r="QCO1095"/>
      <c r="QCP1095"/>
      <c r="QCS1095"/>
      <c r="QCT1095"/>
      <c r="QCW1095"/>
      <c r="QCX1095"/>
      <c r="QDA1095"/>
      <c r="QDB1095"/>
      <c r="QDE1095"/>
      <c r="QDF1095"/>
      <c r="QDI1095"/>
      <c r="QDJ1095"/>
      <c r="QDM1095"/>
      <c r="QDN1095"/>
      <c r="QDQ1095"/>
      <c r="QDR1095"/>
      <c r="QDU1095"/>
      <c r="QDV1095"/>
      <c r="QDY1095"/>
      <c r="QDZ1095"/>
      <c r="QEC1095"/>
      <c r="QED1095"/>
      <c r="QEG1095"/>
      <c r="QEH1095"/>
      <c r="QEK1095"/>
      <c r="QEL1095"/>
      <c r="QEO1095"/>
      <c r="QEP1095"/>
      <c r="QES1095"/>
      <c r="QET1095"/>
      <c r="QEW1095"/>
      <c r="QEX1095"/>
      <c r="QFA1095"/>
      <c r="QFB1095"/>
      <c r="QFE1095"/>
      <c r="QFF1095"/>
      <c r="QFI1095"/>
      <c r="QFJ1095"/>
      <c r="QFM1095"/>
      <c r="QFN1095"/>
      <c r="QFQ1095"/>
      <c r="QFR1095"/>
      <c r="QFU1095"/>
      <c r="QFV1095"/>
      <c r="QFY1095"/>
      <c r="QFZ1095"/>
      <c r="QGC1095"/>
      <c r="QGD1095"/>
      <c r="QGG1095"/>
      <c r="QGH1095"/>
      <c r="QGK1095"/>
      <c r="QGL1095"/>
      <c r="QGO1095"/>
      <c r="QGP1095"/>
      <c r="QGS1095"/>
      <c r="QGT1095"/>
      <c r="QGW1095"/>
      <c r="QGX1095"/>
      <c r="QHA1095"/>
      <c r="QHB1095"/>
      <c r="QHE1095"/>
      <c r="QHF1095"/>
      <c r="QHI1095"/>
      <c r="QHJ1095"/>
      <c r="QHM1095"/>
      <c r="QHN1095"/>
      <c r="QHQ1095"/>
      <c r="QHR1095"/>
      <c r="QHU1095"/>
      <c r="QHV1095"/>
      <c r="QHY1095"/>
      <c r="QHZ1095"/>
      <c r="QIC1095"/>
      <c r="QID1095"/>
      <c r="QIG1095"/>
      <c r="QIH1095"/>
      <c r="QIK1095"/>
      <c r="QIL1095"/>
      <c r="QIO1095"/>
      <c r="QIP1095"/>
      <c r="QIS1095"/>
      <c r="QIT1095"/>
      <c r="QIW1095"/>
      <c r="QIX1095"/>
      <c r="QJA1095"/>
      <c r="QJB1095"/>
      <c r="QJE1095"/>
      <c r="QJF1095"/>
      <c r="QJI1095"/>
      <c r="QJJ1095"/>
      <c r="QJM1095"/>
      <c r="QJN1095"/>
      <c r="QJQ1095"/>
      <c r="QJR1095"/>
      <c r="QJU1095"/>
      <c r="QJV1095"/>
      <c r="QJY1095"/>
      <c r="QJZ1095"/>
      <c r="QKC1095"/>
      <c r="QKD1095"/>
      <c r="QKG1095"/>
      <c r="QKH1095"/>
      <c r="QKK1095"/>
      <c r="QKL1095"/>
      <c r="QKO1095"/>
      <c r="QKP1095"/>
      <c r="QKS1095"/>
      <c r="QKT1095"/>
      <c r="QKW1095"/>
      <c r="QKX1095"/>
      <c r="QLA1095"/>
      <c r="QLB1095"/>
      <c r="QLE1095"/>
      <c r="QLF1095"/>
      <c r="QLI1095"/>
      <c r="QLJ1095"/>
      <c r="QLM1095"/>
      <c r="QLN1095"/>
      <c r="QLQ1095"/>
      <c r="QLR1095"/>
      <c r="QLU1095"/>
      <c r="QLV1095"/>
      <c r="QLY1095"/>
      <c r="QLZ1095"/>
      <c r="QMC1095"/>
      <c r="QMD1095"/>
      <c r="QMG1095"/>
      <c r="QMH1095"/>
      <c r="QMK1095"/>
      <c r="QML1095"/>
      <c r="QMO1095"/>
      <c r="QMP1095"/>
      <c r="QMS1095"/>
      <c r="QMT1095"/>
      <c r="QMW1095"/>
      <c r="QMX1095"/>
      <c r="QNA1095"/>
      <c r="QNB1095"/>
      <c r="QNE1095"/>
      <c r="QNF1095"/>
      <c r="QNI1095"/>
      <c r="QNJ1095"/>
      <c r="QNM1095"/>
      <c r="QNN1095"/>
      <c r="QNQ1095"/>
      <c r="QNR1095"/>
      <c r="QNU1095"/>
      <c r="QNV1095"/>
      <c r="QNY1095"/>
      <c r="QNZ1095"/>
      <c r="QOC1095"/>
      <c r="QOD1095"/>
      <c r="QOG1095"/>
      <c r="QOH1095"/>
      <c r="QOK1095"/>
      <c r="QOL1095"/>
      <c r="QOO1095"/>
      <c r="QOP1095"/>
      <c r="QOS1095"/>
      <c r="QOT1095"/>
      <c r="QOW1095"/>
      <c r="QOX1095"/>
      <c r="QPA1095"/>
      <c r="QPB1095"/>
      <c r="QPE1095"/>
      <c r="QPF1095"/>
      <c r="QPI1095"/>
      <c r="QPJ1095"/>
      <c r="QPM1095"/>
      <c r="QPN1095"/>
      <c r="QPQ1095"/>
      <c r="QPR1095"/>
      <c r="QPU1095"/>
      <c r="QPV1095"/>
      <c r="QPY1095"/>
      <c r="QPZ1095"/>
      <c r="QQC1095"/>
      <c r="QQD1095"/>
      <c r="QQG1095"/>
      <c r="QQH1095"/>
      <c r="QQK1095"/>
      <c r="QQL1095"/>
      <c r="QQO1095"/>
      <c r="QQP1095"/>
      <c r="QQS1095"/>
      <c r="QQT1095"/>
      <c r="QQW1095"/>
      <c r="QQX1095"/>
      <c r="QRA1095"/>
      <c r="QRB1095"/>
      <c r="QRE1095"/>
      <c r="QRF1095"/>
      <c r="QRI1095"/>
      <c r="QRJ1095"/>
      <c r="QRM1095"/>
      <c r="QRN1095"/>
      <c r="QRQ1095"/>
      <c r="QRR1095"/>
      <c r="QRU1095"/>
      <c r="QRV1095"/>
      <c r="QRY1095"/>
      <c r="QRZ1095"/>
      <c r="QSC1095"/>
      <c r="QSD1095"/>
      <c r="QSG1095"/>
      <c r="QSH1095"/>
      <c r="QSK1095"/>
      <c r="QSL1095"/>
      <c r="QSO1095"/>
      <c r="QSP1095"/>
      <c r="QSS1095"/>
      <c r="QST1095"/>
      <c r="QSW1095"/>
      <c r="QSX1095"/>
      <c r="QTA1095"/>
      <c r="QTB1095"/>
      <c r="QTE1095"/>
      <c r="QTF1095"/>
      <c r="QTI1095"/>
      <c r="QTJ1095"/>
      <c r="QTM1095"/>
      <c r="QTN1095"/>
      <c r="QTQ1095"/>
      <c r="QTR1095"/>
      <c r="QTU1095"/>
      <c r="QTV1095"/>
      <c r="QTY1095"/>
      <c r="QTZ1095"/>
      <c r="QUC1095"/>
      <c r="QUD1095"/>
      <c r="QUG1095"/>
      <c r="QUH1095"/>
      <c r="QUK1095"/>
      <c r="QUL1095"/>
      <c r="QUO1095"/>
      <c r="QUP1095"/>
      <c r="QUS1095"/>
      <c r="QUT1095"/>
      <c r="QUW1095"/>
      <c r="QUX1095"/>
      <c r="QVA1095"/>
      <c r="QVB1095"/>
      <c r="QVE1095"/>
      <c r="QVF1095"/>
      <c r="QVI1095"/>
      <c r="QVJ1095"/>
      <c r="QVM1095"/>
      <c r="QVN1095"/>
      <c r="QVQ1095"/>
      <c r="QVR1095"/>
      <c r="QVU1095"/>
      <c r="QVV1095"/>
      <c r="QVY1095"/>
      <c r="QVZ1095"/>
      <c r="QWC1095"/>
      <c r="QWD1095"/>
      <c r="QWG1095"/>
      <c r="QWH1095"/>
      <c r="QWK1095"/>
      <c r="QWL1095"/>
      <c r="QWO1095"/>
      <c r="QWP1095"/>
      <c r="QWS1095"/>
      <c r="QWT1095"/>
      <c r="QWW1095"/>
      <c r="QWX1095"/>
      <c r="QXA1095"/>
      <c r="QXB1095"/>
      <c r="QXE1095"/>
      <c r="QXF1095"/>
      <c r="QXI1095"/>
      <c r="QXJ1095"/>
      <c r="QXM1095"/>
      <c r="QXN1095"/>
      <c r="QXQ1095"/>
      <c r="QXR1095"/>
      <c r="QXU1095"/>
      <c r="QXV1095"/>
      <c r="QXY1095"/>
      <c r="QXZ1095"/>
      <c r="QYC1095"/>
      <c r="QYD1095"/>
      <c r="QYG1095"/>
      <c r="QYH1095"/>
      <c r="QYK1095"/>
      <c r="QYL1095"/>
      <c r="QYO1095"/>
      <c r="QYP1095"/>
      <c r="QYS1095"/>
      <c r="QYT1095"/>
      <c r="QYW1095"/>
      <c r="QYX1095"/>
      <c r="QZA1095"/>
      <c r="QZB1095"/>
      <c r="QZE1095"/>
      <c r="QZF1095"/>
      <c r="QZI1095"/>
      <c r="QZJ1095"/>
      <c r="QZM1095"/>
      <c r="QZN1095"/>
      <c r="QZQ1095"/>
      <c r="QZR1095"/>
      <c r="QZU1095"/>
      <c r="QZV1095"/>
      <c r="QZY1095"/>
      <c r="QZZ1095"/>
      <c r="RAC1095"/>
      <c r="RAD1095"/>
      <c r="RAG1095"/>
      <c r="RAH1095"/>
      <c r="RAK1095"/>
      <c r="RAL1095"/>
      <c r="RAO1095"/>
      <c r="RAP1095"/>
      <c r="RAS1095"/>
      <c r="RAT1095"/>
      <c r="RAW1095"/>
      <c r="RAX1095"/>
      <c r="RBA1095"/>
      <c r="RBB1095"/>
      <c r="RBE1095"/>
      <c r="RBF1095"/>
      <c r="RBI1095"/>
      <c r="RBJ1095"/>
      <c r="RBM1095"/>
      <c r="RBN1095"/>
      <c r="RBQ1095"/>
      <c r="RBR1095"/>
      <c r="RBU1095"/>
      <c r="RBV1095"/>
      <c r="RBY1095"/>
      <c r="RBZ1095"/>
      <c r="RCC1095"/>
      <c r="RCD1095"/>
      <c r="RCG1095"/>
      <c r="RCH1095"/>
      <c r="RCK1095"/>
      <c r="RCL1095"/>
      <c r="RCO1095"/>
      <c r="RCP1095"/>
      <c r="RCS1095"/>
      <c r="RCT1095"/>
      <c r="RCW1095"/>
      <c r="RCX1095"/>
      <c r="RDA1095"/>
      <c r="RDB1095"/>
      <c r="RDE1095"/>
      <c r="RDF1095"/>
      <c r="RDI1095"/>
      <c r="RDJ1095"/>
      <c r="RDM1095"/>
      <c r="RDN1095"/>
      <c r="RDQ1095"/>
      <c r="RDR1095"/>
      <c r="RDU1095"/>
      <c r="RDV1095"/>
      <c r="RDY1095"/>
      <c r="RDZ1095"/>
      <c r="REC1095"/>
      <c r="RED1095"/>
      <c r="REG1095"/>
      <c r="REH1095"/>
      <c r="REK1095"/>
      <c r="REL1095"/>
      <c r="REO1095"/>
      <c r="REP1095"/>
      <c r="RES1095"/>
      <c r="RET1095"/>
      <c r="REW1095"/>
      <c r="REX1095"/>
      <c r="RFA1095"/>
      <c r="RFB1095"/>
      <c r="RFE1095"/>
      <c r="RFF1095"/>
      <c r="RFI1095"/>
      <c r="RFJ1095"/>
      <c r="RFM1095"/>
      <c r="RFN1095"/>
      <c r="RFQ1095"/>
      <c r="RFR1095"/>
      <c r="RFU1095"/>
      <c r="RFV1095"/>
      <c r="RFY1095"/>
      <c r="RFZ1095"/>
      <c r="RGC1095"/>
      <c r="RGD1095"/>
      <c r="RGG1095"/>
      <c r="RGH1095"/>
      <c r="RGK1095"/>
      <c r="RGL1095"/>
      <c r="RGO1095"/>
      <c r="RGP1095"/>
      <c r="RGS1095"/>
      <c r="RGT1095"/>
      <c r="RGW1095"/>
      <c r="RGX1095"/>
      <c r="RHA1095"/>
      <c r="RHB1095"/>
      <c r="RHE1095"/>
      <c r="RHF1095"/>
      <c r="RHI1095"/>
      <c r="RHJ1095"/>
      <c r="RHM1095"/>
      <c r="RHN1095"/>
      <c r="RHQ1095"/>
      <c r="RHR1095"/>
      <c r="RHU1095"/>
      <c r="RHV1095"/>
      <c r="RHY1095"/>
      <c r="RHZ1095"/>
      <c r="RIC1095"/>
      <c r="RID1095"/>
      <c r="RIG1095"/>
      <c r="RIH1095"/>
      <c r="RIK1095"/>
      <c r="RIL1095"/>
      <c r="RIO1095"/>
      <c r="RIP1095"/>
      <c r="RIS1095"/>
      <c r="RIT1095"/>
      <c r="RIW1095"/>
      <c r="RIX1095"/>
      <c r="RJA1095"/>
      <c r="RJB1095"/>
      <c r="RJE1095"/>
      <c r="RJF1095"/>
      <c r="RJI1095"/>
      <c r="RJJ1095"/>
      <c r="RJM1095"/>
      <c r="RJN1095"/>
      <c r="RJQ1095"/>
      <c r="RJR1095"/>
      <c r="RJU1095"/>
      <c r="RJV1095"/>
      <c r="RJY1095"/>
      <c r="RJZ1095"/>
      <c r="RKC1095"/>
      <c r="RKD1095"/>
      <c r="RKG1095"/>
      <c r="RKH1095"/>
      <c r="RKK1095"/>
      <c r="RKL1095"/>
      <c r="RKO1095"/>
      <c r="RKP1095"/>
      <c r="RKS1095"/>
      <c r="RKT1095"/>
      <c r="RKW1095"/>
      <c r="RKX1095"/>
      <c r="RLA1095"/>
      <c r="RLB1095"/>
      <c r="RLE1095"/>
      <c r="RLF1095"/>
      <c r="RLI1095"/>
      <c r="RLJ1095"/>
      <c r="RLM1095"/>
      <c r="RLN1095"/>
      <c r="RLQ1095"/>
      <c r="RLR1095"/>
      <c r="RLU1095"/>
      <c r="RLV1095"/>
      <c r="RLY1095"/>
      <c r="RLZ1095"/>
      <c r="RMC1095"/>
      <c r="RMD1095"/>
      <c r="RMG1095"/>
      <c r="RMH1095"/>
      <c r="RMK1095"/>
      <c r="RML1095"/>
      <c r="RMO1095"/>
      <c r="RMP1095"/>
      <c r="RMS1095"/>
      <c r="RMT1095"/>
      <c r="RMW1095"/>
      <c r="RMX1095"/>
      <c r="RNA1095"/>
      <c r="RNB1095"/>
      <c r="RNE1095"/>
      <c r="RNF1095"/>
      <c r="RNI1095"/>
      <c r="RNJ1095"/>
      <c r="RNM1095"/>
      <c r="RNN1095"/>
      <c r="RNQ1095"/>
      <c r="RNR1095"/>
      <c r="RNU1095"/>
      <c r="RNV1095"/>
      <c r="RNY1095"/>
      <c r="RNZ1095"/>
      <c r="ROC1095"/>
      <c r="ROD1095"/>
      <c r="ROG1095"/>
      <c r="ROH1095"/>
      <c r="ROK1095"/>
      <c r="ROL1095"/>
      <c r="ROO1095"/>
      <c r="ROP1095"/>
      <c r="ROS1095"/>
      <c r="ROT1095"/>
      <c r="ROW1095"/>
      <c r="ROX1095"/>
      <c r="RPA1095"/>
      <c r="RPB1095"/>
      <c r="RPE1095"/>
      <c r="RPF1095"/>
      <c r="RPI1095"/>
      <c r="RPJ1095"/>
      <c r="RPM1095"/>
      <c r="RPN1095"/>
      <c r="RPQ1095"/>
      <c r="RPR1095"/>
      <c r="RPU1095"/>
      <c r="RPV1095"/>
      <c r="RPY1095"/>
      <c r="RPZ1095"/>
      <c r="RQC1095"/>
      <c r="RQD1095"/>
      <c r="RQG1095"/>
      <c r="RQH1095"/>
      <c r="RQK1095"/>
      <c r="RQL1095"/>
      <c r="RQO1095"/>
      <c r="RQP1095"/>
      <c r="RQS1095"/>
      <c r="RQT1095"/>
      <c r="RQW1095"/>
      <c r="RQX1095"/>
      <c r="RRA1095"/>
      <c r="RRB1095"/>
      <c r="RRE1095"/>
      <c r="RRF1095"/>
      <c r="RRI1095"/>
      <c r="RRJ1095"/>
      <c r="RRM1095"/>
      <c r="RRN1095"/>
      <c r="RRQ1095"/>
      <c r="RRR1095"/>
      <c r="RRU1095"/>
      <c r="RRV1095"/>
      <c r="RRY1095"/>
      <c r="RRZ1095"/>
      <c r="RSC1095"/>
      <c r="RSD1095"/>
      <c r="RSG1095"/>
      <c r="RSH1095"/>
      <c r="RSK1095"/>
      <c r="RSL1095"/>
      <c r="RSO1095"/>
      <c r="RSP1095"/>
      <c r="RSS1095"/>
      <c r="RST1095"/>
      <c r="RSW1095"/>
      <c r="RSX1095"/>
      <c r="RTA1095"/>
      <c r="RTB1095"/>
      <c r="RTE1095"/>
      <c r="RTF1095"/>
      <c r="RTI1095"/>
      <c r="RTJ1095"/>
      <c r="RTM1095"/>
      <c r="RTN1095"/>
      <c r="RTQ1095"/>
      <c r="RTR1095"/>
      <c r="RTU1095"/>
      <c r="RTV1095"/>
      <c r="RTY1095"/>
      <c r="RTZ1095"/>
      <c r="RUC1095"/>
      <c r="RUD1095"/>
      <c r="RUG1095"/>
      <c r="RUH1095"/>
      <c r="RUK1095"/>
      <c r="RUL1095"/>
      <c r="RUO1095"/>
      <c r="RUP1095"/>
      <c r="RUS1095"/>
      <c r="RUT1095"/>
      <c r="RUW1095"/>
      <c r="RUX1095"/>
      <c r="RVA1095"/>
      <c r="RVB1095"/>
      <c r="RVE1095"/>
      <c r="RVF1095"/>
      <c r="RVI1095"/>
      <c r="RVJ1095"/>
      <c r="RVM1095"/>
      <c r="RVN1095"/>
      <c r="RVQ1095"/>
      <c r="RVR1095"/>
      <c r="RVU1095"/>
      <c r="RVV1095"/>
      <c r="RVY1095"/>
      <c r="RVZ1095"/>
      <c r="RWC1095"/>
      <c r="RWD1095"/>
      <c r="RWG1095"/>
      <c r="RWH1095"/>
      <c r="RWK1095"/>
      <c r="RWL1095"/>
      <c r="RWO1095"/>
      <c r="RWP1095"/>
      <c r="RWS1095"/>
      <c r="RWT1095"/>
      <c r="RWW1095"/>
      <c r="RWX1095"/>
      <c r="RXA1095"/>
      <c r="RXB1095"/>
      <c r="RXE1095"/>
      <c r="RXF1095"/>
      <c r="RXI1095"/>
      <c r="RXJ1095"/>
      <c r="RXM1095"/>
      <c r="RXN1095"/>
      <c r="RXQ1095"/>
      <c r="RXR1095"/>
      <c r="RXU1095"/>
      <c r="RXV1095"/>
      <c r="RXY1095"/>
      <c r="RXZ1095"/>
      <c r="RYC1095"/>
      <c r="RYD1095"/>
      <c r="RYG1095"/>
      <c r="RYH1095"/>
      <c r="RYK1095"/>
      <c r="RYL1095"/>
      <c r="RYO1095"/>
      <c r="RYP1095"/>
      <c r="RYS1095"/>
      <c r="RYT1095"/>
      <c r="RYW1095"/>
      <c r="RYX1095"/>
      <c r="RZA1095"/>
      <c r="RZB1095"/>
      <c r="RZE1095"/>
      <c r="RZF1095"/>
      <c r="RZI1095"/>
      <c r="RZJ1095"/>
      <c r="RZM1095"/>
      <c r="RZN1095"/>
      <c r="RZQ1095"/>
      <c r="RZR1095"/>
      <c r="RZU1095"/>
      <c r="RZV1095"/>
      <c r="RZY1095"/>
      <c r="RZZ1095"/>
      <c r="SAC1095"/>
      <c r="SAD1095"/>
      <c r="SAG1095"/>
      <c r="SAH1095"/>
      <c r="SAK1095"/>
      <c r="SAL1095"/>
      <c r="SAO1095"/>
      <c r="SAP1095"/>
      <c r="SAS1095"/>
      <c r="SAT1095"/>
      <c r="SAW1095"/>
      <c r="SAX1095"/>
      <c r="SBA1095"/>
      <c r="SBB1095"/>
      <c r="SBE1095"/>
      <c r="SBF1095"/>
      <c r="SBI1095"/>
      <c r="SBJ1095"/>
      <c r="SBM1095"/>
      <c r="SBN1095"/>
      <c r="SBQ1095"/>
      <c r="SBR1095"/>
      <c r="SBU1095"/>
      <c r="SBV1095"/>
      <c r="SBY1095"/>
      <c r="SBZ1095"/>
      <c r="SCC1095"/>
      <c r="SCD1095"/>
      <c r="SCG1095"/>
      <c r="SCH1095"/>
      <c r="SCK1095"/>
      <c r="SCL1095"/>
      <c r="SCO1095"/>
      <c r="SCP1095"/>
      <c r="SCS1095"/>
      <c r="SCT1095"/>
      <c r="SCW1095"/>
      <c r="SCX1095"/>
      <c r="SDA1095"/>
      <c r="SDB1095"/>
      <c r="SDE1095"/>
      <c r="SDF1095"/>
      <c r="SDI1095"/>
      <c r="SDJ1095"/>
      <c r="SDM1095"/>
      <c r="SDN1095"/>
      <c r="SDQ1095"/>
      <c r="SDR1095"/>
      <c r="SDU1095"/>
      <c r="SDV1095"/>
      <c r="SDY1095"/>
      <c r="SDZ1095"/>
      <c r="SEC1095"/>
      <c r="SED1095"/>
      <c r="SEG1095"/>
      <c r="SEH1095"/>
      <c r="SEK1095"/>
      <c r="SEL1095"/>
      <c r="SEO1095"/>
      <c r="SEP1095"/>
      <c r="SES1095"/>
      <c r="SET1095"/>
      <c r="SEW1095"/>
      <c r="SEX1095"/>
      <c r="SFA1095"/>
      <c r="SFB1095"/>
      <c r="SFE1095"/>
      <c r="SFF1095"/>
      <c r="SFI1095"/>
      <c r="SFJ1095"/>
      <c r="SFM1095"/>
      <c r="SFN1095"/>
      <c r="SFQ1095"/>
      <c r="SFR1095"/>
      <c r="SFU1095"/>
      <c r="SFV1095"/>
      <c r="SFY1095"/>
      <c r="SFZ1095"/>
      <c r="SGC1095"/>
      <c r="SGD1095"/>
      <c r="SGG1095"/>
      <c r="SGH1095"/>
      <c r="SGK1095"/>
      <c r="SGL1095"/>
      <c r="SGO1095"/>
      <c r="SGP1095"/>
      <c r="SGS1095"/>
      <c r="SGT1095"/>
      <c r="SGW1095"/>
      <c r="SGX1095"/>
      <c r="SHA1095"/>
      <c r="SHB1095"/>
      <c r="SHE1095"/>
      <c r="SHF1095"/>
      <c r="SHI1095"/>
      <c r="SHJ1095"/>
      <c r="SHM1095"/>
      <c r="SHN1095"/>
      <c r="SHQ1095"/>
      <c r="SHR1095"/>
      <c r="SHU1095"/>
      <c r="SHV1095"/>
      <c r="SHY1095"/>
      <c r="SHZ1095"/>
      <c r="SIC1095"/>
      <c r="SID1095"/>
      <c r="SIG1095"/>
      <c r="SIH1095"/>
      <c r="SIK1095"/>
      <c r="SIL1095"/>
      <c r="SIO1095"/>
      <c r="SIP1095"/>
      <c r="SIS1095"/>
      <c r="SIT1095"/>
      <c r="SIW1095"/>
      <c r="SIX1095"/>
      <c r="SJA1095"/>
      <c r="SJB1095"/>
      <c r="SJE1095"/>
      <c r="SJF1095"/>
      <c r="SJI1095"/>
      <c r="SJJ1095"/>
      <c r="SJM1095"/>
      <c r="SJN1095"/>
      <c r="SJQ1095"/>
      <c r="SJR1095"/>
      <c r="SJU1095"/>
      <c r="SJV1095"/>
      <c r="SJY1095"/>
      <c r="SJZ1095"/>
      <c r="SKC1095"/>
      <c r="SKD1095"/>
      <c r="SKG1095"/>
      <c r="SKH1095"/>
      <c r="SKK1095"/>
      <c r="SKL1095"/>
      <c r="SKO1095"/>
      <c r="SKP1095"/>
      <c r="SKS1095"/>
      <c r="SKT1095"/>
      <c r="SKW1095"/>
      <c r="SKX1095"/>
      <c r="SLA1095"/>
      <c r="SLB1095"/>
      <c r="SLE1095"/>
      <c r="SLF1095"/>
      <c r="SLI1095"/>
      <c r="SLJ1095"/>
      <c r="SLM1095"/>
      <c r="SLN1095"/>
      <c r="SLQ1095"/>
      <c r="SLR1095"/>
      <c r="SLU1095"/>
      <c r="SLV1095"/>
      <c r="SLY1095"/>
      <c r="SLZ1095"/>
      <c r="SMC1095"/>
      <c r="SMD1095"/>
      <c r="SMG1095"/>
      <c r="SMH1095"/>
      <c r="SMK1095"/>
      <c r="SML1095"/>
      <c r="SMO1095"/>
      <c r="SMP1095"/>
      <c r="SMS1095"/>
      <c r="SMT1095"/>
      <c r="SMW1095"/>
      <c r="SMX1095"/>
      <c r="SNA1095"/>
      <c r="SNB1095"/>
      <c r="SNE1095"/>
      <c r="SNF1095"/>
      <c r="SNI1095"/>
      <c r="SNJ1095"/>
      <c r="SNM1095"/>
      <c r="SNN1095"/>
      <c r="SNQ1095"/>
      <c r="SNR1095"/>
      <c r="SNU1095"/>
      <c r="SNV1095"/>
      <c r="SNY1095"/>
      <c r="SNZ1095"/>
      <c r="SOC1095"/>
      <c r="SOD1095"/>
      <c r="SOG1095"/>
      <c r="SOH1095"/>
      <c r="SOK1095"/>
      <c r="SOL1095"/>
      <c r="SOO1095"/>
      <c r="SOP1095"/>
      <c r="SOS1095"/>
      <c r="SOT1095"/>
      <c r="SOW1095"/>
      <c r="SOX1095"/>
      <c r="SPA1095"/>
      <c r="SPB1095"/>
      <c r="SPE1095"/>
      <c r="SPF1095"/>
      <c r="SPI1095"/>
      <c r="SPJ1095"/>
      <c r="SPM1095"/>
      <c r="SPN1095"/>
      <c r="SPQ1095"/>
      <c r="SPR1095"/>
      <c r="SPU1095"/>
      <c r="SPV1095"/>
      <c r="SPY1095"/>
      <c r="SPZ1095"/>
      <c r="SQC1095"/>
      <c r="SQD1095"/>
      <c r="SQG1095"/>
      <c r="SQH1095"/>
      <c r="SQK1095"/>
      <c r="SQL1095"/>
      <c r="SQO1095"/>
      <c r="SQP1095"/>
      <c r="SQS1095"/>
      <c r="SQT1095"/>
      <c r="SQW1095"/>
      <c r="SQX1095"/>
      <c r="SRA1095"/>
      <c r="SRB1095"/>
      <c r="SRE1095"/>
      <c r="SRF1095"/>
      <c r="SRI1095"/>
      <c r="SRJ1095"/>
      <c r="SRM1095"/>
      <c r="SRN1095"/>
      <c r="SRQ1095"/>
      <c r="SRR1095"/>
      <c r="SRU1095"/>
      <c r="SRV1095"/>
      <c r="SRY1095"/>
      <c r="SRZ1095"/>
      <c r="SSC1095"/>
      <c r="SSD1095"/>
      <c r="SSG1095"/>
      <c r="SSH1095"/>
      <c r="SSK1095"/>
      <c r="SSL1095"/>
      <c r="SSO1095"/>
      <c r="SSP1095"/>
      <c r="SSS1095"/>
      <c r="SST1095"/>
      <c r="SSW1095"/>
      <c r="SSX1095"/>
      <c r="STA1095"/>
      <c r="STB1095"/>
      <c r="STE1095"/>
      <c r="STF1095"/>
      <c r="STI1095"/>
      <c r="STJ1095"/>
      <c r="STM1095"/>
      <c r="STN1095"/>
      <c r="STQ1095"/>
      <c r="STR1095"/>
      <c r="STU1095"/>
      <c r="STV1095"/>
      <c r="STY1095"/>
      <c r="STZ1095"/>
      <c r="SUC1095"/>
      <c r="SUD1095"/>
      <c r="SUG1095"/>
      <c r="SUH1095"/>
      <c r="SUK1095"/>
      <c r="SUL1095"/>
      <c r="SUO1095"/>
      <c r="SUP1095"/>
      <c r="SUS1095"/>
      <c r="SUT1095"/>
      <c r="SUW1095"/>
      <c r="SUX1095"/>
      <c r="SVA1095"/>
      <c r="SVB1095"/>
      <c r="SVE1095"/>
      <c r="SVF1095"/>
      <c r="SVI1095"/>
      <c r="SVJ1095"/>
      <c r="SVM1095"/>
      <c r="SVN1095"/>
      <c r="SVQ1095"/>
      <c r="SVR1095"/>
      <c r="SVU1095"/>
      <c r="SVV1095"/>
      <c r="SVY1095"/>
      <c r="SVZ1095"/>
      <c r="SWC1095"/>
      <c r="SWD1095"/>
      <c r="SWG1095"/>
      <c r="SWH1095"/>
      <c r="SWK1095"/>
      <c r="SWL1095"/>
      <c r="SWO1095"/>
      <c r="SWP1095"/>
      <c r="SWS1095"/>
      <c r="SWT1095"/>
      <c r="SWW1095"/>
      <c r="SWX1095"/>
      <c r="SXA1095"/>
      <c r="SXB1095"/>
      <c r="SXE1095"/>
      <c r="SXF1095"/>
      <c r="SXI1095"/>
      <c r="SXJ1095"/>
      <c r="SXM1095"/>
      <c r="SXN1095"/>
      <c r="SXQ1095"/>
      <c r="SXR1095"/>
      <c r="SXU1095"/>
      <c r="SXV1095"/>
      <c r="SXY1095"/>
      <c r="SXZ1095"/>
      <c r="SYC1095"/>
      <c r="SYD1095"/>
      <c r="SYG1095"/>
      <c r="SYH1095"/>
      <c r="SYK1095"/>
      <c r="SYL1095"/>
      <c r="SYO1095"/>
      <c r="SYP1095"/>
      <c r="SYS1095"/>
      <c r="SYT1095"/>
      <c r="SYW1095"/>
      <c r="SYX1095"/>
      <c r="SZA1095"/>
      <c r="SZB1095"/>
      <c r="SZE1095"/>
      <c r="SZF1095"/>
      <c r="SZI1095"/>
      <c r="SZJ1095"/>
      <c r="SZM1095"/>
      <c r="SZN1095"/>
      <c r="SZQ1095"/>
      <c r="SZR1095"/>
      <c r="SZU1095"/>
      <c r="SZV1095"/>
      <c r="SZY1095"/>
      <c r="SZZ1095"/>
      <c r="TAC1095"/>
      <c r="TAD1095"/>
      <c r="TAG1095"/>
      <c r="TAH1095"/>
      <c r="TAK1095"/>
      <c r="TAL1095"/>
      <c r="TAO1095"/>
      <c r="TAP1095"/>
      <c r="TAS1095"/>
      <c r="TAT1095"/>
      <c r="TAW1095"/>
      <c r="TAX1095"/>
      <c r="TBA1095"/>
      <c r="TBB1095"/>
      <c r="TBE1095"/>
      <c r="TBF1095"/>
      <c r="TBI1095"/>
      <c r="TBJ1095"/>
      <c r="TBM1095"/>
      <c r="TBN1095"/>
      <c r="TBQ1095"/>
      <c r="TBR1095"/>
      <c r="TBU1095"/>
      <c r="TBV1095"/>
      <c r="TBY1095"/>
      <c r="TBZ1095"/>
      <c r="TCC1095"/>
      <c r="TCD1095"/>
      <c r="TCG1095"/>
      <c r="TCH1095"/>
      <c r="TCK1095"/>
      <c r="TCL1095"/>
      <c r="TCO1095"/>
      <c r="TCP1095"/>
      <c r="TCS1095"/>
      <c r="TCT1095"/>
      <c r="TCW1095"/>
      <c r="TCX1095"/>
      <c r="TDA1095"/>
      <c r="TDB1095"/>
      <c r="TDE1095"/>
      <c r="TDF1095"/>
      <c r="TDI1095"/>
      <c r="TDJ1095"/>
      <c r="TDM1095"/>
      <c r="TDN1095"/>
      <c r="TDQ1095"/>
      <c r="TDR1095"/>
      <c r="TDU1095"/>
      <c r="TDV1095"/>
      <c r="TDY1095"/>
      <c r="TDZ1095"/>
      <c r="TEC1095"/>
      <c r="TED1095"/>
      <c r="TEG1095"/>
      <c r="TEH1095"/>
      <c r="TEK1095"/>
      <c r="TEL1095"/>
      <c r="TEO1095"/>
      <c r="TEP1095"/>
      <c r="TES1095"/>
      <c r="TET1095"/>
      <c r="TEW1095"/>
      <c r="TEX1095"/>
      <c r="TFA1095"/>
      <c r="TFB1095"/>
      <c r="TFE1095"/>
      <c r="TFF1095"/>
      <c r="TFI1095"/>
      <c r="TFJ1095"/>
      <c r="TFM1095"/>
      <c r="TFN1095"/>
      <c r="TFQ1095"/>
      <c r="TFR1095"/>
      <c r="TFU1095"/>
      <c r="TFV1095"/>
      <c r="TFY1095"/>
      <c r="TFZ1095"/>
      <c r="TGC1095"/>
      <c r="TGD1095"/>
      <c r="TGG1095"/>
      <c r="TGH1095"/>
      <c r="TGK1095"/>
      <c r="TGL1095"/>
      <c r="TGO1095"/>
      <c r="TGP1095"/>
      <c r="TGS1095"/>
      <c r="TGT1095"/>
      <c r="TGW1095"/>
      <c r="TGX1095"/>
      <c r="THA1095"/>
      <c r="THB1095"/>
      <c r="THE1095"/>
      <c r="THF1095"/>
      <c r="THI1095"/>
      <c r="THJ1095"/>
      <c r="THM1095"/>
      <c r="THN1095"/>
      <c r="THQ1095"/>
      <c r="THR1095"/>
      <c r="THU1095"/>
      <c r="THV1095"/>
      <c r="THY1095"/>
      <c r="THZ1095"/>
      <c r="TIC1095"/>
      <c r="TID1095"/>
      <c r="TIG1095"/>
      <c r="TIH1095"/>
      <c r="TIK1095"/>
      <c r="TIL1095"/>
      <c r="TIO1095"/>
      <c r="TIP1095"/>
      <c r="TIS1095"/>
      <c r="TIT1095"/>
      <c r="TIW1095"/>
      <c r="TIX1095"/>
      <c r="TJA1095"/>
      <c r="TJB1095"/>
      <c r="TJE1095"/>
      <c r="TJF1095"/>
      <c r="TJI1095"/>
      <c r="TJJ1095"/>
      <c r="TJM1095"/>
      <c r="TJN1095"/>
      <c r="TJQ1095"/>
      <c r="TJR1095"/>
      <c r="TJU1095"/>
      <c r="TJV1095"/>
      <c r="TJY1095"/>
      <c r="TJZ1095"/>
      <c r="TKC1095"/>
      <c r="TKD1095"/>
      <c r="TKG1095"/>
      <c r="TKH1095"/>
      <c r="TKK1095"/>
      <c r="TKL1095"/>
      <c r="TKO1095"/>
      <c r="TKP1095"/>
      <c r="TKS1095"/>
      <c r="TKT1095"/>
      <c r="TKW1095"/>
      <c r="TKX1095"/>
      <c r="TLA1095"/>
      <c r="TLB1095"/>
      <c r="TLE1095"/>
      <c r="TLF1095"/>
      <c r="TLI1095"/>
      <c r="TLJ1095"/>
      <c r="TLM1095"/>
      <c r="TLN1095"/>
      <c r="TLQ1095"/>
      <c r="TLR1095"/>
      <c r="TLU1095"/>
      <c r="TLV1095"/>
      <c r="TLY1095"/>
      <c r="TLZ1095"/>
      <c r="TMC1095"/>
      <c r="TMD1095"/>
      <c r="TMG1095"/>
      <c r="TMH1095"/>
      <c r="TMK1095"/>
      <c r="TML1095"/>
      <c r="TMO1095"/>
      <c r="TMP1095"/>
      <c r="TMS1095"/>
      <c r="TMT1095"/>
      <c r="TMW1095"/>
      <c r="TMX1095"/>
      <c r="TNA1095"/>
      <c r="TNB1095"/>
      <c r="TNE1095"/>
      <c r="TNF1095"/>
      <c r="TNI1095"/>
      <c r="TNJ1095"/>
      <c r="TNM1095"/>
      <c r="TNN1095"/>
      <c r="TNQ1095"/>
      <c r="TNR1095"/>
      <c r="TNU1095"/>
      <c r="TNV1095"/>
      <c r="TNY1095"/>
      <c r="TNZ1095"/>
      <c r="TOC1095"/>
      <c r="TOD1095"/>
      <c r="TOG1095"/>
      <c r="TOH1095"/>
      <c r="TOK1095"/>
      <c r="TOL1095"/>
      <c r="TOO1095"/>
      <c r="TOP1095"/>
      <c r="TOS1095"/>
      <c r="TOT1095"/>
      <c r="TOW1095"/>
      <c r="TOX1095"/>
      <c r="TPA1095"/>
      <c r="TPB1095"/>
      <c r="TPE1095"/>
      <c r="TPF1095"/>
      <c r="TPI1095"/>
      <c r="TPJ1095"/>
      <c r="TPM1095"/>
      <c r="TPN1095"/>
      <c r="TPQ1095"/>
      <c r="TPR1095"/>
      <c r="TPU1095"/>
      <c r="TPV1095"/>
      <c r="TPY1095"/>
      <c r="TPZ1095"/>
      <c r="TQC1095"/>
      <c r="TQD1095"/>
      <c r="TQG1095"/>
      <c r="TQH1095"/>
      <c r="TQK1095"/>
      <c r="TQL1095"/>
      <c r="TQO1095"/>
      <c r="TQP1095"/>
      <c r="TQS1095"/>
      <c r="TQT1095"/>
      <c r="TQW1095"/>
      <c r="TQX1095"/>
      <c r="TRA1095"/>
      <c r="TRB1095"/>
      <c r="TRE1095"/>
      <c r="TRF1095"/>
      <c r="TRI1095"/>
      <c r="TRJ1095"/>
      <c r="TRM1095"/>
      <c r="TRN1095"/>
      <c r="TRQ1095"/>
      <c r="TRR1095"/>
      <c r="TRU1095"/>
      <c r="TRV1095"/>
      <c r="TRY1095"/>
      <c r="TRZ1095"/>
      <c r="TSC1095"/>
      <c r="TSD1095"/>
      <c r="TSG1095"/>
      <c r="TSH1095"/>
      <c r="TSK1095"/>
      <c r="TSL1095"/>
      <c r="TSO1095"/>
      <c r="TSP1095"/>
      <c r="TSS1095"/>
      <c r="TST1095"/>
      <c r="TSW1095"/>
      <c r="TSX1095"/>
      <c r="TTA1095"/>
      <c r="TTB1095"/>
      <c r="TTE1095"/>
      <c r="TTF1095"/>
      <c r="TTI1095"/>
      <c r="TTJ1095"/>
      <c r="TTM1095"/>
      <c r="TTN1095"/>
      <c r="TTQ1095"/>
      <c r="TTR1095"/>
      <c r="TTU1095"/>
      <c r="TTV1095"/>
      <c r="TTY1095"/>
      <c r="TTZ1095"/>
      <c r="TUC1095"/>
      <c r="TUD1095"/>
      <c r="TUG1095"/>
      <c r="TUH1095"/>
      <c r="TUK1095"/>
      <c r="TUL1095"/>
      <c r="TUO1095"/>
      <c r="TUP1095"/>
      <c r="TUS1095"/>
      <c r="TUT1095"/>
      <c r="TUW1095"/>
      <c r="TUX1095"/>
      <c r="TVA1095"/>
      <c r="TVB1095"/>
      <c r="TVE1095"/>
      <c r="TVF1095"/>
      <c r="TVI1095"/>
      <c r="TVJ1095"/>
      <c r="TVM1095"/>
      <c r="TVN1095"/>
      <c r="TVQ1095"/>
      <c r="TVR1095"/>
      <c r="TVU1095"/>
      <c r="TVV1095"/>
      <c r="TVY1095"/>
      <c r="TVZ1095"/>
      <c r="TWC1095"/>
      <c r="TWD1095"/>
      <c r="TWG1095"/>
      <c r="TWH1095"/>
      <c r="TWK1095"/>
      <c r="TWL1095"/>
      <c r="TWO1095"/>
      <c r="TWP1095"/>
      <c r="TWS1095"/>
      <c r="TWT1095"/>
      <c r="TWW1095"/>
      <c r="TWX1095"/>
      <c r="TXA1095"/>
      <c r="TXB1095"/>
      <c r="TXE1095"/>
      <c r="TXF1095"/>
      <c r="TXI1095"/>
      <c r="TXJ1095"/>
      <c r="TXM1095"/>
      <c r="TXN1095"/>
      <c r="TXQ1095"/>
      <c r="TXR1095"/>
      <c r="TXU1095"/>
      <c r="TXV1095"/>
      <c r="TXY1095"/>
      <c r="TXZ1095"/>
      <c r="TYC1095"/>
      <c r="TYD1095"/>
      <c r="TYG1095"/>
      <c r="TYH1095"/>
      <c r="TYK1095"/>
      <c r="TYL1095"/>
      <c r="TYO1095"/>
      <c r="TYP1095"/>
      <c r="TYS1095"/>
      <c r="TYT1095"/>
      <c r="TYW1095"/>
      <c r="TYX1095"/>
      <c r="TZA1095"/>
      <c r="TZB1095"/>
      <c r="TZE1095"/>
      <c r="TZF1095"/>
      <c r="TZI1095"/>
      <c r="TZJ1095"/>
      <c r="TZM1095"/>
      <c r="TZN1095"/>
      <c r="TZQ1095"/>
      <c r="TZR1095"/>
      <c r="TZU1095"/>
      <c r="TZV1095"/>
      <c r="TZY1095"/>
      <c r="TZZ1095"/>
      <c r="UAC1095"/>
      <c r="UAD1095"/>
      <c r="UAG1095"/>
      <c r="UAH1095"/>
      <c r="UAK1095"/>
      <c r="UAL1095"/>
      <c r="UAO1095"/>
      <c r="UAP1095"/>
      <c r="UAS1095"/>
      <c r="UAT1095"/>
      <c r="UAW1095"/>
      <c r="UAX1095"/>
      <c r="UBA1095"/>
      <c r="UBB1095"/>
      <c r="UBE1095"/>
      <c r="UBF1095"/>
      <c r="UBI1095"/>
      <c r="UBJ1095"/>
      <c r="UBM1095"/>
      <c r="UBN1095"/>
      <c r="UBQ1095"/>
      <c r="UBR1095"/>
      <c r="UBU1095"/>
      <c r="UBV1095"/>
      <c r="UBY1095"/>
      <c r="UBZ1095"/>
      <c r="UCC1095"/>
      <c r="UCD1095"/>
      <c r="UCG1095"/>
      <c r="UCH1095"/>
      <c r="UCK1095"/>
      <c r="UCL1095"/>
      <c r="UCO1095"/>
      <c r="UCP1095"/>
      <c r="UCS1095"/>
      <c r="UCT1095"/>
      <c r="UCW1095"/>
      <c r="UCX1095"/>
      <c r="UDA1095"/>
      <c r="UDB1095"/>
      <c r="UDE1095"/>
      <c r="UDF1095"/>
      <c r="UDI1095"/>
      <c r="UDJ1095"/>
      <c r="UDM1095"/>
      <c r="UDN1095"/>
      <c r="UDQ1095"/>
      <c r="UDR1095"/>
      <c r="UDU1095"/>
      <c r="UDV1095"/>
      <c r="UDY1095"/>
      <c r="UDZ1095"/>
      <c r="UEC1095"/>
      <c r="UED1095"/>
      <c r="UEG1095"/>
      <c r="UEH1095"/>
      <c r="UEK1095"/>
      <c r="UEL1095"/>
      <c r="UEO1095"/>
      <c r="UEP1095"/>
      <c r="UES1095"/>
      <c r="UET1095"/>
      <c r="UEW1095"/>
      <c r="UEX1095"/>
      <c r="UFA1095"/>
      <c r="UFB1095"/>
      <c r="UFE1095"/>
      <c r="UFF1095"/>
      <c r="UFI1095"/>
      <c r="UFJ1095"/>
      <c r="UFM1095"/>
      <c r="UFN1095"/>
      <c r="UFQ1095"/>
      <c r="UFR1095"/>
      <c r="UFU1095"/>
      <c r="UFV1095"/>
      <c r="UFY1095"/>
      <c r="UFZ1095"/>
      <c r="UGC1095"/>
      <c r="UGD1095"/>
      <c r="UGG1095"/>
      <c r="UGH1095"/>
      <c r="UGK1095"/>
      <c r="UGL1095"/>
      <c r="UGO1095"/>
      <c r="UGP1095"/>
      <c r="UGS1095"/>
      <c r="UGT1095"/>
      <c r="UGW1095"/>
      <c r="UGX1095"/>
      <c r="UHA1095"/>
      <c r="UHB1095"/>
      <c r="UHE1095"/>
      <c r="UHF1095"/>
      <c r="UHI1095"/>
      <c r="UHJ1095"/>
      <c r="UHM1095"/>
      <c r="UHN1095"/>
      <c r="UHQ1095"/>
      <c r="UHR1095"/>
      <c r="UHU1095"/>
      <c r="UHV1095"/>
      <c r="UHY1095"/>
      <c r="UHZ1095"/>
      <c r="UIC1095"/>
      <c r="UID1095"/>
      <c r="UIG1095"/>
      <c r="UIH1095"/>
      <c r="UIK1095"/>
      <c r="UIL1095"/>
      <c r="UIO1095"/>
      <c r="UIP1095"/>
      <c r="UIS1095"/>
      <c r="UIT1095"/>
      <c r="UIW1095"/>
      <c r="UIX1095"/>
      <c r="UJA1095"/>
      <c r="UJB1095"/>
      <c r="UJE1095"/>
      <c r="UJF1095"/>
      <c r="UJI1095"/>
      <c r="UJJ1095"/>
      <c r="UJM1095"/>
      <c r="UJN1095"/>
      <c r="UJQ1095"/>
      <c r="UJR1095"/>
      <c r="UJU1095"/>
      <c r="UJV1095"/>
      <c r="UJY1095"/>
      <c r="UJZ1095"/>
      <c r="UKC1095"/>
      <c r="UKD1095"/>
      <c r="UKG1095"/>
      <c r="UKH1095"/>
      <c r="UKK1095"/>
      <c r="UKL1095"/>
      <c r="UKO1095"/>
      <c r="UKP1095"/>
      <c r="UKS1095"/>
      <c r="UKT1095"/>
      <c r="UKW1095"/>
      <c r="UKX1095"/>
      <c r="ULA1095"/>
      <c r="ULB1095"/>
      <c r="ULE1095"/>
      <c r="ULF1095"/>
      <c r="ULI1095"/>
      <c r="ULJ1095"/>
      <c r="ULM1095"/>
      <c r="ULN1095"/>
      <c r="ULQ1095"/>
      <c r="ULR1095"/>
      <c r="ULU1095"/>
      <c r="ULV1095"/>
      <c r="ULY1095"/>
      <c r="ULZ1095"/>
      <c r="UMC1095"/>
      <c r="UMD1095"/>
      <c r="UMG1095"/>
      <c r="UMH1095"/>
      <c r="UMK1095"/>
      <c r="UML1095"/>
      <c r="UMO1095"/>
      <c r="UMP1095"/>
      <c r="UMS1095"/>
      <c r="UMT1095"/>
      <c r="UMW1095"/>
      <c r="UMX1095"/>
      <c r="UNA1095"/>
      <c r="UNB1095"/>
      <c r="UNE1095"/>
      <c r="UNF1095"/>
      <c r="UNI1095"/>
      <c r="UNJ1095"/>
      <c r="UNM1095"/>
      <c r="UNN1095"/>
      <c r="UNQ1095"/>
      <c r="UNR1095"/>
      <c r="UNU1095"/>
      <c r="UNV1095"/>
      <c r="UNY1095"/>
      <c r="UNZ1095"/>
      <c r="UOC1095"/>
      <c r="UOD1095"/>
      <c r="UOG1095"/>
      <c r="UOH1095"/>
      <c r="UOK1095"/>
      <c r="UOL1095"/>
      <c r="UOO1095"/>
      <c r="UOP1095"/>
      <c r="UOS1095"/>
      <c r="UOT1095"/>
      <c r="UOW1095"/>
      <c r="UOX1095"/>
      <c r="UPA1095"/>
      <c r="UPB1095"/>
      <c r="UPE1095"/>
      <c r="UPF1095"/>
      <c r="UPI1095"/>
      <c r="UPJ1095"/>
      <c r="UPM1095"/>
      <c r="UPN1095"/>
      <c r="UPQ1095"/>
      <c r="UPR1095"/>
      <c r="UPU1095"/>
      <c r="UPV1095"/>
      <c r="UPY1095"/>
      <c r="UPZ1095"/>
      <c r="UQC1095"/>
      <c r="UQD1095"/>
      <c r="UQG1095"/>
      <c r="UQH1095"/>
      <c r="UQK1095"/>
      <c r="UQL1095"/>
      <c r="UQO1095"/>
      <c r="UQP1095"/>
      <c r="UQS1095"/>
      <c r="UQT1095"/>
      <c r="UQW1095"/>
      <c r="UQX1095"/>
      <c r="URA1095"/>
      <c r="URB1095"/>
      <c r="URE1095"/>
      <c r="URF1095"/>
      <c r="URI1095"/>
      <c r="URJ1095"/>
      <c r="URM1095"/>
      <c r="URN1095"/>
      <c r="URQ1095"/>
      <c r="URR1095"/>
      <c r="URU1095"/>
      <c r="URV1095"/>
      <c r="URY1095"/>
      <c r="URZ1095"/>
      <c r="USC1095"/>
      <c r="USD1095"/>
      <c r="USG1095"/>
      <c r="USH1095"/>
      <c r="USK1095"/>
      <c r="USL1095"/>
      <c r="USO1095"/>
      <c r="USP1095"/>
      <c r="USS1095"/>
      <c r="UST1095"/>
      <c r="USW1095"/>
      <c r="USX1095"/>
      <c r="UTA1095"/>
      <c r="UTB1095"/>
      <c r="UTE1095"/>
      <c r="UTF1095"/>
      <c r="UTI1095"/>
      <c r="UTJ1095"/>
      <c r="UTM1095"/>
      <c r="UTN1095"/>
      <c r="UTQ1095"/>
      <c r="UTR1095"/>
      <c r="UTU1095"/>
      <c r="UTV1095"/>
      <c r="UTY1095"/>
      <c r="UTZ1095"/>
      <c r="UUC1095"/>
      <c r="UUD1095"/>
      <c r="UUG1095"/>
      <c r="UUH1095"/>
      <c r="UUK1095"/>
      <c r="UUL1095"/>
      <c r="UUO1095"/>
      <c r="UUP1095"/>
      <c r="UUS1095"/>
      <c r="UUT1095"/>
      <c r="UUW1095"/>
      <c r="UUX1095"/>
      <c r="UVA1095"/>
      <c r="UVB1095"/>
      <c r="UVE1095"/>
      <c r="UVF1095"/>
      <c r="UVI1095"/>
      <c r="UVJ1095"/>
      <c r="UVM1095"/>
      <c r="UVN1095"/>
      <c r="UVQ1095"/>
      <c r="UVR1095"/>
      <c r="UVU1095"/>
      <c r="UVV1095"/>
      <c r="UVY1095"/>
      <c r="UVZ1095"/>
      <c r="UWC1095"/>
      <c r="UWD1095"/>
      <c r="UWG1095"/>
      <c r="UWH1095"/>
      <c r="UWK1095"/>
      <c r="UWL1095"/>
      <c r="UWO1095"/>
      <c r="UWP1095"/>
      <c r="UWS1095"/>
      <c r="UWT1095"/>
      <c r="UWW1095"/>
      <c r="UWX1095"/>
      <c r="UXA1095"/>
      <c r="UXB1095"/>
      <c r="UXE1095"/>
      <c r="UXF1095"/>
      <c r="UXI1095"/>
      <c r="UXJ1095"/>
      <c r="UXM1095"/>
      <c r="UXN1095"/>
      <c r="UXQ1095"/>
      <c r="UXR1095"/>
      <c r="UXU1095"/>
      <c r="UXV1095"/>
      <c r="UXY1095"/>
      <c r="UXZ1095"/>
      <c r="UYC1095"/>
      <c r="UYD1095"/>
      <c r="UYG1095"/>
      <c r="UYH1095"/>
      <c r="UYK1095"/>
      <c r="UYL1095"/>
      <c r="UYO1095"/>
      <c r="UYP1095"/>
      <c r="UYS1095"/>
      <c r="UYT1095"/>
      <c r="UYW1095"/>
      <c r="UYX1095"/>
      <c r="UZA1095"/>
      <c r="UZB1095"/>
      <c r="UZE1095"/>
      <c r="UZF1095"/>
      <c r="UZI1095"/>
      <c r="UZJ1095"/>
      <c r="UZM1095"/>
      <c r="UZN1095"/>
      <c r="UZQ1095"/>
      <c r="UZR1095"/>
      <c r="UZU1095"/>
      <c r="UZV1095"/>
      <c r="UZY1095"/>
      <c r="UZZ1095"/>
      <c r="VAC1095"/>
      <c r="VAD1095"/>
      <c r="VAG1095"/>
      <c r="VAH1095"/>
      <c r="VAK1095"/>
      <c r="VAL1095"/>
      <c r="VAO1095"/>
      <c r="VAP1095"/>
      <c r="VAS1095"/>
      <c r="VAT1095"/>
      <c r="VAW1095"/>
      <c r="VAX1095"/>
      <c r="VBA1095"/>
      <c r="VBB1095"/>
      <c r="VBE1095"/>
      <c r="VBF1095"/>
      <c r="VBI1095"/>
      <c r="VBJ1095"/>
      <c r="VBM1095"/>
      <c r="VBN1095"/>
      <c r="VBQ1095"/>
      <c r="VBR1095"/>
      <c r="VBU1095"/>
      <c r="VBV1095"/>
      <c r="VBY1095"/>
      <c r="VBZ1095"/>
      <c r="VCC1095"/>
      <c r="VCD1095"/>
      <c r="VCG1095"/>
      <c r="VCH1095"/>
      <c r="VCK1095"/>
      <c r="VCL1095"/>
      <c r="VCO1095"/>
      <c r="VCP1095"/>
      <c r="VCS1095"/>
      <c r="VCT1095"/>
      <c r="VCW1095"/>
      <c r="VCX1095"/>
      <c r="VDA1095"/>
      <c r="VDB1095"/>
      <c r="VDE1095"/>
      <c r="VDF1095"/>
      <c r="VDI1095"/>
      <c r="VDJ1095"/>
      <c r="VDM1095"/>
      <c r="VDN1095"/>
      <c r="VDQ1095"/>
      <c r="VDR1095"/>
      <c r="VDU1095"/>
      <c r="VDV1095"/>
      <c r="VDY1095"/>
      <c r="VDZ1095"/>
      <c r="VEC1095"/>
      <c r="VED1095"/>
      <c r="VEG1095"/>
      <c r="VEH1095"/>
      <c r="VEK1095"/>
      <c r="VEL1095"/>
      <c r="VEO1095"/>
      <c r="VEP1095"/>
      <c r="VES1095"/>
      <c r="VET1095"/>
      <c r="VEW1095"/>
      <c r="VEX1095"/>
      <c r="VFA1095"/>
      <c r="VFB1095"/>
      <c r="VFE1095"/>
      <c r="VFF1095"/>
      <c r="VFI1095"/>
      <c r="VFJ1095"/>
      <c r="VFM1095"/>
      <c r="VFN1095"/>
      <c r="VFQ1095"/>
      <c r="VFR1095"/>
      <c r="VFU1095"/>
      <c r="VFV1095"/>
      <c r="VFY1095"/>
      <c r="VFZ1095"/>
      <c r="VGC1095"/>
      <c r="VGD1095"/>
      <c r="VGG1095"/>
      <c r="VGH1095"/>
      <c r="VGK1095"/>
      <c r="VGL1095"/>
      <c r="VGO1095"/>
      <c r="VGP1095"/>
      <c r="VGS1095"/>
      <c r="VGT1095"/>
      <c r="VGW1095"/>
      <c r="VGX1095"/>
      <c r="VHA1095"/>
      <c r="VHB1095"/>
      <c r="VHE1095"/>
      <c r="VHF1095"/>
      <c r="VHI1095"/>
      <c r="VHJ1095"/>
      <c r="VHM1095"/>
      <c r="VHN1095"/>
      <c r="VHQ1095"/>
      <c r="VHR1095"/>
      <c r="VHU1095"/>
      <c r="VHV1095"/>
      <c r="VHY1095"/>
      <c r="VHZ1095"/>
      <c r="VIC1095"/>
      <c r="VID1095"/>
      <c r="VIG1095"/>
      <c r="VIH1095"/>
      <c r="VIK1095"/>
      <c r="VIL1095"/>
      <c r="VIO1095"/>
      <c r="VIP1095"/>
      <c r="VIS1095"/>
      <c r="VIT1095"/>
      <c r="VIW1095"/>
      <c r="VIX1095"/>
      <c r="VJA1095"/>
      <c r="VJB1095"/>
      <c r="VJE1095"/>
      <c r="VJF1095"/>
      <c r="VJI1095"/>
      <c r="VJJ1095"/>
      <c r="VJM1095"/>
      <c r="VJN1095"/>
      <c r="VJQ1095"/>
      <c r="VJR1095"/>
      <c r="VJU1095"/>
      <c r="VJV1095"/>
      <c r="VJY1095"/>
      <c r="VJZ1095"/>
      <c r="VKC1095"/>
      <c r="VKD1095"/>
      <c r="VKG1095"/>
      <c r="VKH1095"/>
      <c r="VKK1095"/>
      <c r="VKL1095"/>
      <c r="VKO1095"/>
      <c r="VKP1095"/>
      <c r="VKS1095"/>
      <c r="VKT1095"/>
      <c r="VKW1095"/>
      <c r="VKX1095"/>
      <c r="VLA1095"/>
      <c r="VLB1095"/>
      <c r="VLE1095"/>
      <c r="VLF1095"/>
      <c r="VLI1095"/>
      <c r="VLJ1095"/>
      <c r="VLM1095"/>
      <c r="VLN1095"/>
      <c r="VLQ1095"/>
      <c r="VLR1095"/>
      <c r="VLU1095"/>
      <c r="VLV1095"/>
      <c r="VLY1095"/>
      <c r="VLZ1095"/>
      <c r="VMC1095"/>
      <c r="VMD1095"/>
      <c r="VMG1095"/>
      <c r="VMH1095"/>
      <c r="VMK1095"/>
      <c r="VML1095"/>
      <c r="VMO1095"/>
      <c r="VMP1095"/>
      <c r="VMS1095"/>
      <c r="VMT1095"/>
      <c r="VMW1095"/>
      <c r="VMX1095"/>
      <c r="VNA1095"/>
      <c r="VNB1095"/>
      <c r="VNE1095"/>
      <c r="VNF1095"/>
      <c r="VNI1095"/>
      <c r="VNJ1095"/>
      <c r="VNM1095"/>
      <c r="VNN1095"/>
      <c r="VNQ1095"/>
      <c r="VNR1095"/>
      <c r="VNU1095"/>
      <c r="VNV1095"/>
      <c r="VNY1095"/>
      <c r="VNZ1095"/>
      <c r="VOC1095"/>
      <c r="VOD1095"/>
      <c r="VOG1095"/>
      <c r="VOH1095"/>
      <c r="VOK1095"/>
      <c r="VOL1095"/>
      <c r="VOO1095"/>
      <c r="VOP1095"/>
      <c r="VOS1095"/>
      <c r="VOT1095"/>
      <c r="VOW1095"/>
      <c r="VOX1095"/>
      <c r="VPA1095"/>
      <c r="VPB1095"/>
      <c r="VPE1095"/>
      <c r="VPF1095"/>
      <c r="VPI1095"/>
      <c r="VPJ1095"/>
      <c r="VPM1095"/>
      <c r="VPN1095"/>
      <c r="VPQ1095"/>
      <c r="VPR1095"/>
      <c r="VPU1095"/>
      <c r="VPV1095"/>
      <c r="VPY1095"/>
      <c r="VPZ1095"/>
      <c r="VQC1095"/>
      <c r="VQD1095"/>
      <c r="VQG1095"/>
      <c r="VQH1095"/>
      <c r="VQK1095"/>
      <c r="VQL1095"/>
      <c r="VQO1095"/>
      <c r="VQP1095"/>
      <c r="VQS1095"/>
      <c r="VQT1095"/>
      <c r="VQW1095"/>
      <c r="VQX1095"/>
      <c r="VRA1095"/>
      <c r="VRB1095"/>
      <c r="VRE1095"/>
      <c r="VRF1095"/>
      <c r="VRI1095"/>
      <c r="VRJ1095"/>
      <c r="VRM1095"/>
      <c r="VRN1095"/>
      <c r="VRQ1095"/>
      <c r="VRR1095"/>
      <c r="VRU1095"/>
      <c r="VRV1095"/>
      <c r="VRY1095"/>
      <c r="VRZ1095"/>
      <c r="VSC1095"/>
      <c r="VSD1095"/>
      <c r="VSG1095"/>
      <c r="VSH1095"/>
      <c r="VSK1095"/>
      <c r="VSL1095"/>
      <c r="VSO1095"/>
      <c r="VSP1095"/>
      <c r="VSS1095"/>
      <c r="VST1095"/>
      <c r="VSW1095"/>
      <c r="VSX1095"/>
      <c r="VTA1095"/>
      <c r="VTB1095"/>
      <c r="VTE1095"/>
      <c r="VTF1095"/>
      <c r="VTI1095"/>
      <c r="VTJ1095"/>
      <c r="VTM1095"/>
      <c r="VTN1095"/>
      <c r="VTQ1095"/>
      <c r="VTR1095"/>
      <c r="VTU1095"/>
      <c r="VTV1095"/>
      <c r="VTY1095"/>
      <c r="VTZ1095"/>
      <c r="VUC1095"/>
      <c r="VUD1095"/>
      <c r="VUG1095"/>
      <c r="VUH1095"/>
      <c r="VUK1095"/>
      <c r="VUL1095"/>
      <c r="VUO1095"/>
      <c r="VUP1095"/>
      <c r="VUS1095"/>
      <c r="VUT1095"/>
      <c r="VUW1095"/>
      <c r="VUX1095"/>
      <c r="VVA1095"/>
      <c r="VVB1095"/>
      <c r="VVE1095"/>
      <c r="VVF1095"/>
      <c r="VVI1095"/>
      <c r="VVJ1095"/>
      <c r="VVM1095"/>
      <c r="VVN1095"/>
      <c r="VVQ1095"/>
      <c r="VVR1095"/>
      <c r="VVU1095"/>
      <c r="VVV1095"/>
      <c r="VVY1095"/>
      <c r="VVZ1095"/>
      <c r="VWC1095"/>
      <c r="VWD1095"/>
      <c r="VWG1095"/>
      <c r="VWH1095"/>
      <c r="VWK1095"/>
      <c r="VWL1095"/>
      <c r="VWO1095"/>
      <c r="VWP1095"/>
      <c r="VWS1095"/>
      <c r="VWT1095"/>
      <c r="VWW1095"/>
      <c r="VWX1095"/>
      <c r="VXA1095"/>
      <c r="VXB1095"/>
      <c r="VXE1095"/>
      <c r="VXF1095"/>
      <c r="VXI1095"/>
      <c r="VXJ1095"/>
      <c r="VXM1095"/>
      <c r="VXN1095"/>
      <c r="VXQ1095"/>
      <c r="VXR1095"/>
      <c r="VXU1095"/>
      <c r="VXV1095"/>
      <c r="VXY1095"/>
      <c r="VXZ1095"/>
      <c r="VYC1095"/>
      <c r="VYD1095"/>
      <c r="VYG1095"/>
      <c r="VYH1095"/>
      <c r="VYK1095"/>
      <c r="VYL1095"/>
      <c r="VYO1095"/>
      <c r="VYP1095"/>
      <c r="VYS1095"/>
      <c r="VYT1095"/>
      <c r="VYW1095"/>
      <c r="VYX1095"/>
      <c r="VZA1095"/>
      <c r="VZB1095"/>
      <c r="VZE1095"/>
      <c r="VZF1095"/>
      <c r="VZI1095"/>
      <c r="VZJ1095"/>
      <c r="VZM1095"/>
      <c r="VZN1095"/>
      <c r="VZQ1095"/>
      <c r="VZR1095"/>
      <c r="VZU1095"/>
      <c r="VZV1095"/>
      <c r="VZY1095"/>
      <c r="VZZ1095"/>
      <c r="WAC1095"/>
      <c r="WAD1095"/>
      <c r="WAG1095"/>
      <c r="WAH1095"/>
      <c r="WAK1095"/>
      <c r="WAL1095"/>
      <c r="WAO1095"/>
      <c r="WAP1095"/>
      <c r="WAS1095"/>
      <c r="WAT1095"/>
      <c r="WAW1095"/>
      <c r="WAX1095"/>
      <c r="WBA1095"/>
      <c r="WBB1095"/>
      <c r="WBE1095"/>
      <c r="WBF1095"/>
      <c r="WBI1095"/>
      <c r="WBJ1095"/>
      <c r="WBM1095"/>
      <c r="WBN1095"/>
      <c r="WBQ1095"/>
      <c r="WBR1095"/>
      <c r="WBU1095"/>
      <c r="WBV1095"/>
      <c r="WBY1095"/>
      <c r="WBZ1095"/>
      <c r="WCC1095"/>
      <c r="WCD1095"/>
      <c r="WCG1095"/>
      <c r="WCH1095"/>
      <c r="WCK1095"/>
      <c r="WCL1095"/>
      <c r="WCO1095"/>
      <c r="WCP1095"/>
      <c r="WCS1095"/>
      <c r="WCT1095"/>
      <c r="WCW1095"/>
      <c r="WCX1095"/>
      <c r="WDA1095"/>
      <c r="WDB1095"/>
      <c r="WDE1095"/>
      <c r="WDF1095"/>
      <c r="WDI1095"/>
      <c r="WDJ1095"/>
      <c r="WDM1095"/>
      <c r="WDN1095"/>
      <c r="WDQ1095"/>
      <c r="WDR1095"/>
      <c r="WDU1095"/>
      <c r="WDV1095"/>
      <c r="WDY1095"/>
      <c r="WDZ1095"/>
      <c r="WEC1095"/>
      <c r="WED1095"/>
      <c r="WEG1095"/>
      <c r="WEH1095"/>
      <c r="WEK1095"/>
      <c r="WEL1095"/>
      <c r="WEO1095"/>
      <c r="WEP1095"/>
      <c r="WES1095"/>
      <c r="WET1095"/>
      <c r="WEW1095"/>
      <c r="WEX1095"/>
      <c r="WFA1095"/>
      <c r="WFB1095"/>
      <c r="WFE1095"/>
      <c r="WFF1095"/>
      <c r="WFI1095"/>
      <c r="WFJ1095"/>
      <c r="WFM1095"/>
      <c r="WFN1095"/>
      <c r="WFQ1095"/>
      <c r="WFR1095"/>
      <c r="WFU1095"/>
      <c r="WFV1095"/>
      <c r="WFY1095"/>
      <c r="WFZ1095"/>
      <c r="WGC1095"/>
      <c r="WGD1095"/>
      <c r="WGG1095"/>
      <c r="WGH1095"/>
      <c r="WGK1095"/>
      <c r="WGL1095"/>
      <c r="WGO1095"/>
      <c r="WGP1095"/>
      <c r="WGS1095"/>
      <c r="WGT1095"/>
      <c r="WGW1095"/>
      <c r="WGX1095"/>
      <c r="WHA1095"/>
      <c r="WHB1095"/>
      <c r="WHE1095"/>
      <c r="WHF1095"/>
      <c r="WHI1095"/>
      <c r="WHJ1095"/>
      <c r="WHM1095"/>
      <c r="WHN1095"/>
      <c r="WHQ1095"/>
      <c r="WHR1095"/>
      <c r="WHU1095"/>
      <c r="WHV1095"/>
      <c r="WHY1095"/>
      <c r="WHZ1095"/>
      <c r="WIC1095"/>
      <c r="WID1095"/>
      <c r="WIG1095"/>
      <c r="WIH1095"/>
      <c r="WIK1095"/>
      <c r="WIL1095"/>
      <c r="WIO1095"/>
      <c r="WIP1095"/>
      <c r="WIS1095"/>
      <c r="WIT1095"/>
      <c r="WIW1095"/>
      <c r="WIX1095"/>
      <c r="WJA1095"/>
      <c r="WJB1095"/>
      <c r="WJE1095"/>
      <c r="WJF1095"/>
      <c r="WJI1095"/>
      <c r="WJJ1095"/>
      <c r="WJM1095"/>
      <c r="WJN1095"/>
      <c r="WJQ1095"/>
      <c r="WJR1095"/>
      <c r="WJU1095"/>
      <c r="WJV1095"/>
      <c r="WJY1095"/>
      <c r="WJZ1095"/>
      <c r="WKC1095"/>
      <c r="WKD1095"/>
      <c r="WKG1095"/>
      <c r="WKH1095"/>
      <c r="WKK1095"/>
      <c r="WKL1095"/>
      <c r="WKO1095"/>
      <c r="WKP1095"/>
      <c r="WKS1095"/>
      <c r="WKT1095"/>
      <c r="WKW1095"/>
      <c r="WKX1095"/>
      <c r="WLA1095"/>
      <c r="WLB1095"/>
      <c r="WLE1095"/>
      <c r="WLF1095"/>
      <c r="WLI1095"/>
      <c r="WLJ1095"/>
      <c r="WLM1095"/>
      <c r="WLN1095"/>
      <c r="WLQ1095"/>
      <c r="WLR1095"/>
      <c r="WLU1095"/>
      <c r="WLV1095"/>
      <c r="WLY1095"/>
      <c r="WLZ1095"/>
      <c r="WMC1095"/>
      <c r="WMD1095"/>
      <c r="WMG1095"/>
      <c r="WMH1095"/>
      <c r="WMK1095"/>
      <c r="WML1095"/>
      <c r="WMO1095"/>
      <c r="WMP1095"/>
      <c r="WMS1095"/>
      <c r="WMT1095"/>
      <c r="WMW1095"/>
      <c r="WMX1095"/>
      <c r="WNA1095"/>
      <c r="WNB1095"/>
      <c r="WNE1095"/>
      <c r="WNF1095"/>
      <c r="WNI1095"/>
      <c r="WNJ1095"/>
      <c r="WNM1095"/>
      <c r="WNN1095"/>
      <c r="WNQ1095"/>
      <c r="WNR1095"/>
      <c r="WNU1095"/>
      <c r="WNV1095"/>
      <c r="WNY1095"/>
      <c r="WNZ1095"/>
      <c r="WOC1095"/>
      <c r="WOD1095"/>
      <c r="WOG1095"/>
      <c r="WOH1095"/>
      <c r="WOK1095"/>
      <c r="WOL1095"/>
      <c r="WOO1095"/>
      <c r="WOP1095"/>
      <c r="WOS1095"/>
      <c r="WOT1095"/>
      <c r="WOW1095"/>
      <c r="WOX1095"/>
      <c r="WPA1095"/>
      <c r="WPB1095"/>
      <c r="WPE1095"/>
      <c r="WPF1095"/>
      <c r="WPI1095"/>
      <c r="WPJ1095"/>
      <c r="WPM1095"/>
      <c r="WPN1095"/>
      <c r="WPQ1095"/>
      <c r="WPR1095"/>
      <c r="WPU1095"/>
      <c r="WPV1095"/>
      <c r="WPY1095"/>
      <c r="WPZ1095"/>
      <c r="WQC1095"/>
      <c r="WQD1095"/>
      <c r="WQG1095"/>
      <c r="WQH1095"/>
      <c r="WQK1095"/>
      <c r="WQL1095"/>
      <c r="WQO1095"/>
      <c r="WQP1095"/>
      <c r="WQS1095"/>
      <c r="WQT1095"/>
      <c r="WQW1095"/>
      <c r="WQX1095"/>
      <c r="WRA1095"/>
      <c r="WRB1095"/>
      <c r="WRE1095"/>
      <c r="WRF1095"/>
      <c r="WRI1095"/>
      <c r="WRJ1095"/>
      <c r="WRM1095"/>
      <c r="WRN1095"/>
      <c r="WRQ1095"/>
      <c r="WRR1095"/>
      <c r="WRU1095"/>
      <c r="WRV1095"/>
      <c r="WRY1095"/>
      <c r="WRZ1095"/>
      <c r="WSC1095"/>
      <c r="WSD1095"/>
      <c r="WSG1095"/>
      <c r="WSH1095"/>
      <c r="WSK1095"/>
      <c r="WSL1095"/>
      <c r="WSO1095"/>
      <c r="WSP1095"/>
      <c r="WSS1095"/>
      <c r="WST1095"/>
      <c r="WSW1095"/>
      <c r="WSX1095"/>
      <c r="WTA1095"/>
      <c r="WTB1095"/>
      <c r="WTE1095"/>
      <c r="WTF1095"/>
      <c r="WTI1095"/>
      <c r="WTJ1095"/>
      <c r="WTM1095"/>
      <c r="WTN1095"/>
      <c r="WTQ1095"/>
      <c r="WTR1095"/>
      <c r="WTU1095"/>
      <c r="WTV1095"/>
      <c r="WTY1095"/>
      <c r="WTZ1095"/>
      <c r="WUC1095"/>
      <c r="WUD1095"/>
      <c r="WUG1095"/>
      <c r="WUH1095"/>
      <c r="WUK1095"/>
      <c r="WUL1095"/>
      <c r="WUO1095"/>
      <c r="WUP1095"/>
      <c r="WUS1095"/>
      <c r="WUT1095"/>
      <c r="WUW1095"/>
      <c r="WUX1095"/>
      <c r="WVA1095"/>
      <c r="WVB1095"/>
      <c r="WVE1095"/>
      <c r="WVF1095"/>
      <c r="WVI1095"/>
      <c r="WVJ1095"/>
      <c r="WVM1095"/>
      <c r="WVN1095"/>
      <c r="WVQ1095"/>
      <c r="WVR1095"/>
      <c r="WVU1095"/>
      <c r="WVV1095"/>
      <c r="WVY1095"/>
      <c r="WVZ1095"/>
      <c r="WWC1095"/>
      <c r="WWD1095"/>
      <c r="WWG1095"/>
      <c r="WWH1095"/>
      <c r="WWK1095"/>
      <c r="WWL1095"/>
      <c r="WWO1095"/>
      <c r="WWP1095"/>
      <c r="WWS1095"/>
      <c r="WWT1095"/>
      <c r="WWW1095"/>
      <c r="WWX1095"/>
      <c r="WXA1095"/>
      <c r="WXB1095"/>
      <c r="WXE1095"/>
      <c r="WXF1095"/>
      <c r="WXI1095"/>
      <c r="WXJ1095"/>
      <c r="WXM1095"/>
      <c r="WXN1095"/>
      <c r="WXQ1095"/>
      <c r="WXR1095"/>
      <c r="WXU1095"/>
      <c r="WXV1095"/>
      <c r="WXY1095"/>
      <c r="WXZ1095"/>
      <c r="WYC1095"/>
      <c r="WYD1095"/>
      <c r="WYG1095"/>
      <c r="WYH1095"/>
      <c r="WYK1095"/>
      <c r="WYL1095"/>
      <c r="WYO1095"/>
      <c r="WYP1095"/>
      <c r="WYS1095"/>
      <c r="WYT1095"/>
      <c r="WYW1095"/>
      <c r="WYX1095"/>
      <c r="WZA1095"/>
      <c r="WZB1095"/>
      <c r="WZE1095"/>
      <c r="WZF1095"/>
      <c r="WZI1095"/>
      <c r="WZJ1095"/>
      <c r="WZM1095"/>
      <c r="WZN1095"/>
      <c r="WZQ1095"/>
      <c r="WZR1095"/>
      <c r="WZU1095"/>
      <c r="WZV1095"/>
      <c r="WZY1095"/>
      <c r="WZZ1095"/>
      <c r="XAC1095"/>
      <c r="XAD1095"/>
      <c r="XAG1095"/>
      <c r="XAH1095"/>
      <c r="XAK1095"/>
      <c r="XAL1095"/>
      <c r="XAO1095"/>
      <c r="XAP1095"/>
      <c r="XAS1095"/>
      <c r="XAT1095"/>
      <c r="XAW1095"/>
      <c r="XAX1095"/>
      <c r="XBA1095"/>
      <c r="XBB1095"/>
      <c r="XBE1095"/>
      <c r="XBF1095"/>
      <c r="XBI1095"/>
      <c r="XBJ1095"/>
      <c r="XBM1095"/>
      <c r="XBN1095"/>
      <c r="XBQ1095"/>
      <c r="XBR1095"/>
      <c r="XBU1095"/>
      <c r="XBV1095"/>
      <c r="XBY1095"/>
      <c r="XBZ1095"/>
      <c r="XCC1095"/>
      <c r="XCD1095"/>
      <c r="XCG1095"/>
      <c r="XCH1095"/>
      <c r="XCK1095"/>
      <c r="XCL1095"/>
      <c r="XCO1095"/>
      <c r="XCP1095"/>
      <c r="XCS1095"/>
      <c r="XCT1095"/>
      <c r="XCW1095"/>
      <c r="XCX1095"/>
      <c r="XDA1095"/>
      <c r="XDB1095"/>
      <c r="XDE1095"/>
      <c r="XDF1095"/>
      <c r="XDI1095"/>
      <c r="XDJ1095"/>
      <c r="XDM1095"/>
      <c r="XDN1095"/>
      <c r="XDQ1095"/>
      <c r="XDR1095"/>
      <c r="XDU1095"/>
      <c r="XDV1095"/>
      <c r="XDY1095"/>
      <c r="XDZ1095"/>
      <c r="XEC1095"/>
      <c r="XED1095"/>
      <c r="XEG1095"/>
      <c r="XEH1095"/>
      <c r="XEK1095"/>
      <c r="XEL1095"/>
      <c r="XEO1095"/>
      <c r="XEP1095"/>
      <c r="XES1095"/>
      <c r="XET1095"/>
      <c r="XEW1095"/>
      <c r="XEX1095"/>
      <c r="XFA1095"/>
      <c r="XFB1095"/>
    </row>
    <row r="1096" spans="1:1022 1025:2046 2049:3070 3073:4094 4097:5118 5121:6142 6145:7166 7169:8190 8193:9214 9217:10238 10241:11262 11265:12286 12289:13310 13313:14334 14337:15358 15361:16382" s="15" customFormat="1" outlineLevel="1" x14ac:dyDescent="0.3">
      <c s="45" r="A1096" t="s">
        <v>1820</v>
      </c>
      <c s="45" r="B1096" t="s">
        <v>266</v>
      </c>
      <c r="C1096" s="46" t="s">
        <v>8</v>
      </c>
      <c r="D1096" s="46" t="s">
        <v>1821</v>
      </c>
      <c s="45" r="E1096" t="s">
        <v>8475</v>
      </c>
      <c s="45" r="F1096"/>
      <c r="G1096" s="45"/>
      <c r="H1096" s="45"/>
      <c s="45" r="I1096"/>
      <c s="45" r="J1096" t="inlineStr">
        <is>
          <t>Finance Cooridinator &amp; Business Support officer</t>
        </is>
      </c>
      <c s="45" r="K1096" t="inlineStr">
        <is>
          <t>QNL/BF.jpg</t>
        </is>
      </c>
      <c r="L1096" t="inlineStr">
        <is>
          <t>DIFF - the screen puts this unit somewhere column D does not</t>
        </is>
      </c>
      <c r="N1096"/>
      <c r="Q1096"/>
      <c r="R1096"/>
      <c r="U1096"/>
      <c r="V1096"/>
      <c r="Y1096"/>
      <c r="Z1096"/>
      <c r="AC1096"/>
      <c r="AD1096"/>
      <c r="AG1096"/>
      <c r="AH1096"/>
      <c r="AK1096"/>
      <c r="AL1096"/>
      <c r="AO1096"/>
      <c r="AP1096"/>
      <c r="AS1096"/>
      <c r="AT1096"/>
      <c r="AW1096"/>
      <c r="AX1096"/>
      <c r="BA1096"/>
      <c r="BB1096"/>
      <c r="BE1096"/>
      <c r="BF1096"/>
      <c r="BI1096"/>
      <c r="BJ1096"/>
      <c r="BM1096"/>
      <c r="BN1096"/>
      <c r="BQ1096"/>
      <c r="BR1096"/>
      <c r="BU1096"/>
      <c r="BV1096"/>
      <c r="BY1096"/>
      <c r="BZ1096"/>
      <c r="CC1096"/>
      <c s="45" r="CD1096"/>
      <c r="CG1096"/>
      <c r="CH1096"/>
      <c r="CK1096"/>
      <c r="CL1096"/>
      <c r="CO1096"/>
      <c r="CP1096"/>
      <c r="CS1096"/>
      <c r="CT1096"/>
      <c r="CW1096"/>
      <c r="CX1096"/>
      <c r="DA1096"/>
      <c r="DB1096"/>
      <c s="45" r="DE1096"/>
      <c r="DF1096"/>
      <c r="DI1096"/>
      <c r="DJ1096"/>
      <c r="DM1096"/>
      <c r="DN1096"/>
      <c r="DQ1096"/>
      <c r="DR1096"/>
      <c r="DU1096"/>
      <c r="DV1096"/>
      <c r="DY1096"/>
      <c r="DZ1096"/>
      <c r="EC1096"/>
      <c r="ED1096"/>
      <c r="EG1096"/>
      <c r="EH1096"/>
      <c r="EK1096"/>
      <c r="EL1096"/>
      <c r="EO1096"/>
      <c r="EP1096"/>
      <c r="ES1096"/>
      <c r="ET1096"/>
      <c r="EW1096"/>
      <c r="EX1096"/>
      <c r="FA1096"/>
      <c r="FB1096"/>
      <c r="FE1096"/>
      <c r="FF1096"/>
      <c r="FI1096"/>
      <c r="FJ1096"/>
      <c r="FM1096"/>
      <c r="FN1096"/>
      <c r="FQ1096"/>
      <c r="FR1096"/>
      <c r="FU1096"/>
      <c r="FV1096"/>
      <c r="FY1096"/>
      <c r="FZ1096"/>
      <c r="GC1096"/>
      <c r="GD1096"/>
      <c r="GG1096"/>
      <c s="45" r="GH1096"/>
      <c r="GK1096"/>
      <c r="GL1096"/>
      <c r="GO1096"/>
      <c r="GP1096"/>
      <c r="GS1096"/>
      <c r="GT1096"/>
      <c r="GW1096"/>
      <c r="GX1096"/>
      <c r="HA1096"/>
      <c r="HB1096"/>
      <c r="HE1096"/>
      <c r="HF1096"/>
      <c s="45" r="HI1096"/>
      <c r="HJ1096"/>
      <c r="HM1096"/>
      <c r="HN1096"/>
      <c r="HQ1096"/>
      <c r="HR1096"/>
      <c r="HU1096"/>
      <c r="HV1096"/>
      <c r="HY1096"/>
      <c r="HZ1096"/>
      <c r="IC1096"/>
      <c r="ID1096"/>
      <c r="IG1096"/>
      <c r="IH1096"/>
      <c r="IK1096"/>
      <c r="IL1096"/>
      <c r="IO1096"/>
      <c r="IP1096"/>
      <c r="IS1096"/>
      <c r="IT1096"/>
      <c r="IW1096"/>
      <c r="IX1096"/>
      <c r="JA1096"/>
      <c r="JB1096"/>
      <c r="JE1096"/>
      <c r="JF1096"/>
      <c r="JI1096"/>
      <c r="JJ1096"/>
      <c r="JM1096"/>
      <c r="JN1096"/>
      <c r="JQ1096"/>
      <c r="JR1096"/>
      <c r="JU1096"/>
      <c r="JV1096"/>
      <c r="JY1096"/>
      <c r="JZ1096"/>
      <c r="KC1096"/>
      <c r="KD1096"/>
      <c r="KG1096"/>
      <c r="KH1096"/>
      <c r="KK1096"/>
      <c r="KL1096"/>
      <c r="KO1096"/>
      <c r="KP1096"/>
      <c r="KS1096"/>
      <c r="KT1096"/>
      <c r="KW1096"/>
      <c r="KX1096"/>
      <c r="LA1096"/>
      <c r="LB1096"/>
      <c r="LE1096"/>
      <c r="LF1096"/>
      <c r="LI1096"/>
      <c r="LJ1096"/>
      <c r="LM1096"/>
      <c r="LN1096"/>
      <c r="LQ1096"/>
      <c r="LR1096"/>
      <c r="LU1096"/>
      <c r="LV1096"/>
      <c r="LY1096"/>
      <c r="LZ1096"/>
      <c r="MC1096"/>
      <c r="MD1096"/>
      <c r="MG1096"/>
      <c r="MH1096"/>
      <c r="MK1096"/>
      <c r="ML1096"/>
      <c r="MO1096"/>
      <c r="MP1096"/>
      <c r="MS1096"/>
      <c r="MT1096"/>
      <c r="MW1096"/>
      <c r="MX1096"/>
      <c r="NA1096"/>
      <c r="NB1096"/>
      <c r="NE1096"/>
      <c r="NF1096"/>
      <c r="NI1096"/>
      <c r="NJ1096"/>
      <c r="NM1096"/>
      <c r="NN1096"/>
      <c r="NQ1096"/>
      <c r="NR1096"/>
      <c r="NU1096"/>
      <c r="NV1096"/>
      <c r="NY1096"/>
      <c r="NZ1096"/>
      <c r="OC1096"/>
      <c r="OD1096"/>
      <c r="OG1096"/>
      <c r="OH1096"/>
      <c r="OK1096"/>
      <c r="OL1096"/>
      <c r="OO1096"/>
      <c r="OP1096"/>
      <c r="OS1096"/>
      <c r="OT1096"/>
      <c r="OW1096"/>
      <c r="OX1096"/>
      <c r="PA1096"/>
      <c r="PB1096"/>
      <c r="PE1096"/>
      <c r="PF1096"/>
      <c r="PI1096"/>
      <c r="PJ1096"/>
      <c r="PM1096"/>
      <c r="PN1096"/>
      <c r="PQ1096"/>
      <c r="PR1096"/>
      <c r="PU1096"/>
      <c r="PV1096"/>
      <c r="PY1096"/>
      <c r="PZ1096"/>
      <c r="QC1096"/>
      <c r="QD1096"/>
      <c r="QG1096"/>
      <c r="QH1096"/>
      <c r="QK1096"/>
      <c r="QL1096"/>
      <c r="QO1096"/>
      <c r="QP1096"/>
      <c r="QS1096"/>
      <c r="QT1096"/>
      <c r="QW1096"/>
      <c r="QX1096"/>
      <c r="RA1096"/>
      <c r="RB1096"/>
      <c r="RE1096"/>
      <c r="RF1096"/>
      <c r="RI1096"/>
      <c r="RJ1096"/>
      <c r="RM1096"/>
      <c r="RN1096"/>
      <c r="RQ1096"/>
      <c r="RR1096"/>
      <c r="RU1096"/>
      <c r="RV1096"/>
      <c r="RY1096"/>
      <c r="RZ1096"/>
      <c r="SC1096"/>
      <c r="SD1096"/>
      <c r="SG1096"/>
      <c r="SH1096"/>
      <c r="SK1096"/>
      <c r="SL1096"/>
      <c r="SO1096"/>
      <c r="SP1096"/>
      <c r="SS1096"/>
      <c r="ST1096"/>
      <c r="SW1096"/>
      <c r="SX1096"/>
      <c r="TA1096"/>
      <c r="TB1096"/>
      <c r="TE1096"/>
      <c r="TF1096"/>
      <c r="TI1096"/>
      <c r="TJ1096"/>
      <c r="TM1096"/>
      <c r="TN1096"/>
      <c r="TQ1096"/>
      <c r="TR1096"/>
      <c r="TU1096"/>
      <c r="TV1096"/>
      <c r="TY1096"/>
      <c r="TZ1096"/>
      <c r="UC1096"/>
      <c r="UD1096"/>
      <c r="UG1096"/>
      <c r="UH1096"/>
      <c r="UK1096"/>
      <c r="UL1096"/>
      <c r="UO1096"/>
      <c r="UP1096"/>
      <c r="US1096"/>
      <c r="UT1096"/>
      <c r="UW1096"/>
      <c r="UX1096"/>
      <c r="VA1096"/>
      <c r="VB1096"/>
      <c r="VE1096"/>
      <c r="VF1096"/>
      <c r="VI1096"/>
      <c r="VJ1096"/>
      <c r="VM1096"/>
      <c r="VN1096"/>
      <c r="VQ1096"/>
      <c r="VR1096"/>
      <c r="VU1096"/>
      <c r="VV1096"/>
      <c r="VY1096"/>
      <c r="VZ1096"/>
      <c r="WC1096"/>
      <c r="WD1096"/>
      <c r="WG1096"/>
      <c r="WH1096"/>
      <c r="WK1096"/>
      <c r="WL1096"/>
      <c r="WO1096"/>
      <c r="WP1096"/>
      <c r="WS1096"/>
      <c r="WT1096"/>
      <c r="WW1096"/>
      <c r="WX1096"/>
      <c r="XA1096"/>
      <c r="XB1096"/>
      <c r="XE1096"/>
      <c r="XF1096"/>
      <c r="XI1096"/>
      <c r="XJ1096"/>
      <c r="XM1096"/>
      <c r="XN1096"/>
      <c r="XQ1096"/>
      <c r="XR1096"/>
      <c r="XU1096"/>
      <c r="XV1096"/>
      <c r="XY1096"/>
      <c r="XZ1096"/>
      <c r="YC1096"/>
      <c r="YD1096"/>
      <c r="YG1096"/>
      <c r="YH1096"/>
      <c r="YK1096"/>
      <c r="YL1096"/>
      <c r="YO1096"/>
      <c r="YP1096"/>
      <c r="YS1096"/>
      <c r="YT1096"/>
      <c r="YW1096"/>
      <c r="YX1096"/>
      <c r="ZA1096"/>
      <c r="ZB1096"/>
      <c r="ZE1096"/>
      <c r="ZF1096"/>
      <c r="ZI1096"/>
      <c r="ZJ1096"/>
      <c r="ZM1096"/>
      <c r="ZN1096"/>
      <c r="ZQ1096"/>
      <c r="ZR1096"/>
      <c r="ZU1096"/>
      <c r="ZV1096"/>
      <c r="ZY1096"/>
      <c r="ZZ1096"/>
      <c r="AAC1096"/>
      <c r="AAD1096"/>
      <c r="AAG1096"/>
      <c r="AAH1096"/>
      <c r="AAK1096"/>
      <c r="AAL1096"/>
      <c r="AAO1096"/>
      <c r="AAP1096"/>
      <c r="AAS1096"/>
      <c r="AAT1096"/>
      <c r="AAW1096"/>
      <c r="AAX1096"/>
      <c r="ABA1096"/>
      <c r="ABB1096"/>
      <c r="ABE1096"/>
      <c r="ABF1096"/>
      <c r="ABI1096"/>
      <c r="ABJ1096"/>
      <c r="ABM1096"/>
      <c r="ABN1096"/>
      <c r="ABQ1096"/>
      <c r="ABR1096"/>
      <c r="ABU1096"/>
      <c r="ABV1096"/>
      <c r="ABY1096"/>
      <c r="ABZ1096"/>
      <c r="ACC1096"/>
      <c r="ACD1096"/>
      <c r="ACG1096"/>
      <c r="ACH1096"/>
      <c r="ACK1096"/>
      <c r="ACL1096"/>
      <c r="ACO1096"/>
      <c r="ACP1096"/>
      <c r="ACS1096"/>
      <c r="ACT1096"/>
      <c r="ACW1096"/>
      <c r="ACX1096"/>
      <c r="ADA1096"/>
      <c r="ADB1096"/>
      <c r="ADE1096"/>
      <c r="ADF1096"/>
      <c r="ADI1096"/>
      <c r="ADJ1096"/>
      <c r="ADM1096"/>
      <c r="ADN1096"/>
      <c r="ADQ1096"/>
      <c r="ADR1096"/>
      <c r="ADU1096"/>
      <c r="ADV1096"/>
      <c r="ADY1096"/>
      <c r="ADZ1096"/>
      <c r="AEC1096"/>
      <c r="AED1096"/>
      <c r="AEG1096"/>
      <c r="AEH1096"/>
      <c r="AEK1096"/>
      <c r="AEL1096"/>
      <c r="AEO1096"/>
      <c r="AEP1096"/>
      <c r="AES1096"/>
      <c r="AET1096"/>
      <c r="AEW1096"/>
      <c r="AEX1096"/>
      <c r="AFA1096"/>
      <c r="AFB1096"/>
      <c r="AFE1096"/>
      <c r="AFF1096"/>
      <c r="AFI1096"/>
      <c r="AFJ1096"/>
      <c r="AFM1096"/>
      <c r="AFN1096"/>
      <c r="AFQ1096"/>
      <c r="AFR1096"/>
      <c r="AFU1096"/>
      <c r="AFV1096"/>
      <c r="AFY1096"/>
      <c r="AFZ1096"/>
      <c r="AGC1096"/>
      <c r="AGD1096"/>
      <c r="AGG1096"/>
      <c r="AGH1096"/>
      <c r="AGK1096"/>
      <c r="AGL1096"/>
      <c r="AGO1096"/>
      <c r="AGP1096"/>
      <c r="AGS1096"/>
      <c r="AGT1096"/>
      <c r="AGW1096"/>
      <c r="AGX1096"/>
      <c r="AHA1096"/>
      <c r="AHB1096"/>
      <c r="AHE1096"/>
      <c r="AHF1096"/>
      <c r="AHI1096"/>
      <c r="AHJ1096"/>
      <c r="AHM1096"/>
      <c r="AHN1096"/>
      <c r="AHQ1096"/>
      <c r="AHR1096"/>
      <c r="AHU1096"/>
      <c r="AHV1096"/>
      <c r="AHY1096"/>
      <c r="AHZ1096"/>
      <c r="AIC1096"/>
      <c r="AID1096"/>
      <c r="AIG1096"/>
      <c r="AIH1096"/>
      <c r="AIK1096"/>
      <c r="AIL1096"/>
      <c r="AIO1096"/>
      <c r="AIP1096"/>
      <c r="AIS1096"/>
      <c r="AIT1096"/>
      <c r="AIW1096"/>
      <c r="AIX1096"/>
      <c r="AJA1096"/>
      <c r="AJB1096"/>
      <c r="AJE1096"/>
      <c r="AJF1096"/>
      <c r="AJI1096"/>
      <c r="AJJ1096"/>
      <c r="AJM1096"/>
      <c r="AJN1096"/>
      <c r="AJQ1096"/>
      <c r="AJR1096"/>
      <c r="AJU1096"/>
      <c r="AJV1096"/>
      <c r="AJY1096"/>
      <c r="AJZ1096"/>
      <c r="AKC1096"/>
      <c r="AKD1096"/>
      <c r="AKG1096"/>
      <c r="AKH1096"/>
      <c r="AKK1096"/>
      <c r="AKL1096"/>
      <c r="AKO1096"/>
      <c r="AKP1096"/>
      <c r="AKS1096"/>
      <c r="AKT1096"/>
      <c r="AKW1096"/>
      <c r="AKX1096"/>
      <c r="ALA1096"/>
      <c r="ALB1096"/>
      <c r="ALE1096"/>
      <c r="ALF1096"/>
      <c r="ALI1096"/>
      <c r="ALJ1096"/>
      <c r="ALM1096"/>
      <c r="ALN1096"/>
      <c r="ALQ1096"/>
      <c r="ALR1096"/>
      <c r="ALU1096"/>
      <c r="ALV1096"/>
      <c r="ALY1096"/>
      <c r="ALZ1096"/>
      <c r="AMC1096"/>
      <c r="AMD1096"/>
      <c r="AMG1096"/>
      <c r="AMH1096"/>
      <c r="AMK1096"/>
      <c r="AML1096"/>
      <c r="AMO1096"/>
      <c r="AMP1096"/>
      <c r="AMS1096"/>
      <c r="AMT1096"/>
      <c r="AMW1096"/>
      <c r="AMX1096"/>
      <c r="ANA1096"/>
      <c r="ANB1096"/>
      <c r="ANE1096"/>
      <c r="ANF1096"/>
      <c r="ANI1096"/>
      <c r="ANJ1096"/>
      <c r="ANM1096"/>
      <c r="ANN1096"/>
      <c r="ANQ1096"/>
      <c r="ANR1096"/>
      <c r="ANU1096"/>
      <c r="ANV1096"/>
      <c r="ANY1096"/>
      <c r="ANZ1096"/>
      <c r="AOC1096"/>
      <c r="AOD1096"/>
      <c r="AOG1096"/>
      <c r="AOH1096"/>
      <c r="AOK1096"/>
      <c r="AOL1096"/>
      <c r="AOO1096"/>
      <c r="AOP1096"/>
      <c r="AOS1096"/>
      <c r="AOT1096"/>
      <c r="AOW1096"/>
      <c r="AOX1096"/>
      <c r="APA1096"/>
      <c r="APB1096"/>
      <c r="APE1096"/>
      <c r="APF1096"/>
      <c r="API1096"/>
      <c r="APJ1096"/>
      <c r="APM1096"/>
      <c r="APN1096"/>
      <c r="APQ1096"/>
      <c r="APR1096"/>
      <c r="APU1096"/>
      <c r="APV1096"/>
      <c r="APY1096"/>
      <c r="APZ1096"/>
      <c r="AQC1096"/>
      <c r="AQD1096"/>
      <c r="AQG1096"/>
      <c r="AQH1096"/>
      <c r="AQK1096"/>
      <c r="AQL1096"/>
      <c r="AQO1096"/>
      <c r="AQP1096"/>
      <c r="AQS1096"/>
      <c r="AQT1096"/>
      <c r="AQW1096"/>
      <c r="AQX1096"/>
      <c r="ARA1096"/>
      <c r="ARB1096"/>
      <c r="ARE1096"/>
      <c r="ARF1096"/>
      <c r="ARI1096"/>
      <c r="ARJ1096"/>
      <c r="ARM1096"/>
      <c r="ARN1096"/>
      <c r="ARQ1096"/>
      <c r="ARR1096"/>
      <c r="ARU1096"/>
      <c r="ARV1096"/>
      <c r="ARY1096"/>
      <c r="ARZ1096"/>
      <c r="ASC1096"/>
      <c r="ASD1096"/>
      <c r="ASG1096"/>
      <c r="ASH1096"/>
      <c r="ASK1096"/>
      <c r="ASL1096"/>
      <c r="ASO1096"/>
      <c r="ASP1096"/>
      <c r="ASS1096"/>
      <c r="AST1096"/>
      <c r="ASW1096"/>
      <c r="ASX1096"/>
      <c r="ATA1096"/>
      <c r="ATB1096"/>
      <c r="ATE1096"/>
      <c r="ATF1096"/>
      <c r="ATI1096"/>
      <c r="ATJ1096"/>
      <c r="ATM1096"/>
      <c r="ATN1096"/>
      <c r="ATQ1096"/>
      <c r="ATR1096"/>
      <c r="ATU1096"/>
      <c r="ATV1096"/>
      <c r="ATY1096"/>
      <c r="ATZ1096"/>
      <c r="AUC1096"/>
      <c r="AUD1096"/>
      <c r="AUG1096"/>
      <c r="AUH1096"/>
      <c r="AUK1096"/>
      <c r="AUL1096"/>
      <c r="AUO1096"/>
      <c r="AUP1096"/>
      <c r="AUS1096"/>
      <c r="AUT1096"/>
      <c r="AUW1096"/>
      <c r="AUX1096"/>
      <c r="AVA1096"/>
      <c r="AVB1096"/>
      <c r="AVE1096"/>
      <c r="AVF1096"/>
      <c r="AVI1096"/>
      <c r="AVJ1096"/>
      <c r="AVM1096"/>
      <c r="AVN1096"/>
      <c r="AVQ1096"/>
      <c r="AVR1096"/>
      <c r="AVU1096"/>
      <c r="AVV1096"/>
      <c r="AVY1096"/>
      <c r="AVZ1096"/>
      <c r="AWC1096"/>
      <c r="AWD1096"/>
      <c r="AWG1096"/>
      <c r="AWH1096"/>
      <c r="AWK1096"/>
      <c r="AWL1096"/>
      <c r="AWO1096"/>
      <c r="AWP1096"/>
      <c r="AWS1096"/>
      <c r="AWT1096"/>
      <c r="AWW1096"/>
      <c r="AWX1096"/>
      <c r="AXA1096"/>
      <c r="AXB1096"/>
      <c r="AXE1096"/>
      <c r="AXF1096"/>
      <c r="AXI1096"/>
      <c r="AXJ1096"/>
      <c r="AXM1096"/>
      <c r="AXN1096"/>
      <c r="AXQ1096"/>
      <c r="AXR1096"/>
      <c r="AXU1096"/>
      <c r="AXV1096"/>
      <c r="AXY1096"/>
      <c r="AXZ1096"/>
      <c r="AYC1096"/>
      <c r="AYD1096"/>
      <c r="AYG1096"/>
      <c r="AYH1096"/>
      <c r="AYK1096"/>
      <c r="AYL1096"/>
      <c r="AYO1096"/>
      <c r="AYP1096"/>
      <c r="AYS1096"/>
      <c r="AYT1096"/>
      <c r="AYW1096"/>
      <c r="AYX1096"/>
      <c r="AZA1096"/>
      <c r="AZB1096"/>
      <c r="AZE1096"/>
      <c r="AZF1096"/>
      <c r="AZI1096"/>
      <c r="AZJ1096"/>
      <c r="AZM1096"/>
      <c r="AZN1096"/>
      <c r="AZQ1096"/>
      <c r="AZR1096"/>
      <c r="AZU1096"/>
      <c r="AZV1096"/>
      <c r="AZY1096"/>
      <c r="AZZ1096"/>
      <c r="BAC1096"/>
      <c r="BAD1096"/>
      <c r="BAG1096"/>
      <c r="BAH1096"/>
      <c r="BAK1096"/>
      <c r="BAL1096"/>
      <c r="BAO1096"/>
      <c r="BAP1096"/>
      <c r="BAS1096"/>
      <c r="BAT1096"/>
      <c r="BAW1096"/>
      <c r="BAX1096"/>
      <c r="BBA1096"/>
      <c r="BBB1096"/>
      <c r="BBE1096"/>
      <c r="BBF1096"/>
      <c r="BBI1096"/>
      <c r="BBJ1096"/>
      <c r="BBM1096"/>
      <c r="BBN1096"/>
      <c r="BBQ1096"/>
      <c r="BBR1096"/>
      <c r="BBU1096"/>
      <c r="BBV1096"/>
      <c r="BBY1096"/>
      <c r="BBZ1096"/>
      <c r="BCC1096"/>
      <c s="45" r="BCD1096"/>
      <c r="BCG1096"/>
      <c r="BCH1096"/>
      <c r="BCK1096"/>
      <c r="BCL1096"/>
      <c r="BCO1096"/>
      <c r="BCP1096"/>
      <c r="BCS1096"/>
      <c r="BCT1096"/>
      <c r="BCW1096"/>
      <c r="BCX1096"/>
      <c r="BDA1096"/>
      <c r="BDB1096"/>
      <c r="BDE1096"/>
      <c r="BDF1096"/>
      <c r="BDI1096"/>
      <c r="BDJ1096"/>
      <c r="BDM1096"/>
      <c r="BDN1096"/>
      <c r="BDQ1096"/>
      <c r="BDR1096"/>
      <c r="BDU1096"/>
      <c r="BDV1096"/>
      <c r="BDY1096"/>
      <c r="BDZ1096"/>
      <c r="BEC1096"/>
      <c r="BED1096"/>
      <c r="BEG1096"/>
      <c r="BEH1096"/>
      <c r="BEK1096"/>
      <c r="BEL1096"/>
      <c r="BEO1096"/>
      <c r="BEP1096"/>
      <c r="BES1096"/>
      <c r="BET1096"/>
      <c r="BEW1096"/>
      <c r="BEX1096"/>
      <c r="BFA1096"/>
      <c r="BFB1096"/>
      <c r="BFE1096"/>
      <c r="BFF1096"/>
      <c r="BFI1096"/>
      <c r="BFJ1096"/>
      <c r="BFM1096"/>
      <c r="BFN1096"/>
      <c r="BFQ1096"/>
      <c r="BFR1096"/>
      <c r="BFU1096"/>
      <c r="BFV1096"/>
      <c r="BFY1096"/>
      <c r="BFZ1096"/>
      <c r="BGC1096"/>
      <c r="BGD1096"/>
      <c r="BGG1096"/>
      <c r="BGH1096"/>
      <c r="BGK1096"/>
      <c r="BGL1096"/>
      <c r="BGO1096"/>
      <c r="BGP1096"/>
      <c r="BGS1096"/>
      <c r="BGT1096"/>
      <c r="BGW1096"/>
      <c r="BGX1096"/>
      <c r="BHA1096"/>
      <c r="BHB1096"/>
      <c r="BHE1096"/>
      <c r="BHF1096"/>
      <c r="BHI1096"/>
      <c r="BHJ1096"/>
      <c r="BHM1096"/>
      <c r="BHN1096"/>
      <c r="BHQ1096"/>
      <c r="BHR1096"/>
      <c r="BHU1096"/>
      <c r="BHV1096"/>
      <c r="BHY1096"/>
      <c r="BHZ1096"/>
      <c r="BIC1096"/>
      <c r="BID1096"/>
      <c r="BIG1096"/>
      <c r="BIH1096"/>
      <c r="BIK1096"/>
      <c r="BIL1096"/>
      <c r="BIO1096"/>
      <c r="BIP1096"/>
      <c r="BIS1096"/>
      <c r="BIT1096"/>
      <c r="BIW1096"/>
      <c r="BIX1096"/>
      <c r="BJA1096"/>
      <c r="BJB1096"/>
      <c r="BJE1096"/>
      <c r="BJF1096"/>
      <c r="BJI1096"/>
      <c r="BJJ1096"/>
      <c r="BJM1096"/>
      <c r="BJN1096"/>
      <c r="BJQ1096"/>
      <c r="BJR1096"/>
      <c r="BJU1096"/>
      <c r="BJV1096"/>
      <c r="BJY1096"/>
      <c r="BJZ1096"/>
      <c r="BKC1096"/>
      <c r="BKD1096"/>
      <c r="BKG1096"/>
      <c r="BKH1096"/>
      <c r="BKK1096"/>
      <c r="BKL1096"/>
      <c r="BKO1096"/>
      <c r="BKP1096"/>
      <c r="BKS1096"/>
      <c r="BKT1096"/>
      <c r="BKW1096"/>
      <c r="BKX1096"/>
      <c r="BLA1096"/>
      <c r="BLB1096"/>
      <c r="BLE1096"/>
      <c r="BLF1096"/>
      <c r="BLI1096"/>
      <c r="BLJ1096"/>
      <c r="BLM1096"/>
      <c r="BLN1096"/>
      <c r="BLQ1096"/>
      <c r="BLR1096"/>
      <c r="BLU1096"/>
      <c r="BLV1096"/>
      <c r="BLY1096"/>
      <c r="BLZ1096"/>
      <c r="BMC1096"/>
      <c r="BMD1096"/>
      <c r="BMG1096"/>
      <c r="BMH1096"/>
      <c r="BMK1096"/>
      <c r="BML1096"/>
      <c r="BMO1096"/>
      <c r="BMP1096"/>
      <c r="BMS1096"/>
      <c r="BMT1096"/>
      <c r="BMW1096"/>
      <c r="BMX1096"/>
      <c r="BNA1096"/>
      <c r="BNB1096"/>
      <c r="BNE1096"/>
      <c r="BNF1096"/>
      <c r="BNI1096"/>
      <c r="BNJ1096"/>
      <c r="BNM1096"/>
      <c r="BNN1096"/>
      <c r="BNQ1096"/>
      <c r="BNR1096"/>
      <c r="BNU1096"/>
      <c r="BNV1096"/>
      <c r="BNY1096"/>
      <c r="BNZ1096"/>
      <c r="BOC1096"/>
      <c r="BOD1096"/>
      <c r="BOG1096"/>
      <c r="BOH1096"/>
      <c r="BOK1096"/>
      <c r="BOL1096"/>
      <c r="BOO1096"/>
      <c r="BOP1096"/>
      <c r="BOS1096"/>
      <c r="BOT1096"/>
      <c r="BOW1096"/>
      <c r="BOX1096"/>
      <c r="BPA1096"/>
      <c r="BPB1096"/>
      <c r="BPE1096"/>
      <c r="BPF1096"/>
      <c r="BPI1096"/>
      <c r="BPJ1096"/>
      <c r="BPM1096"/>
      <c r="BPN1096"/>
      <c r="BPQ1096"/>
      <c r="BPR1096"/>
      <c r="BPU1096"/>
      <c r="BPV1096"/>
      <c r="BPY1096"/>
      <c r="BPZ1096"/>
      <c r="BQC1096"/>
      <c r="BQD1096"/>
      <c r="BQG1096"/>
      <c r="BQH1096"/>
      <c r="BQK1096"/>
      <c r="BQL1096"/>
      <c r="BQO1096"/>
      <c r="BQP1096"/>
      <c r="BQS1096"/>
      <c r="BQT1096"/>
      <c r="BQW1096"/>
      <c r="BQX1096"/>
      <c r="BRA1096"/>
      <c r="BRB1096"/>
      <c r="BRE1096"/>
      <c r="BRF1096"/>
      <c r="BRI1096"/>
      <c r="BRJ1096"/>
      <c r="BRM1096"/>
      <c r="BRN1096"/>
      <c r="BRQ1096"/>
      <c r="BRR1096"/>
      <c r="BRU1096"/>
      <c r="BRV1096"/>
      <c r="BRY1096"/>
      <c r="BRZ1096"/>
      <c r="BSC1096"/>
      <c r="BSD1096"/>
      <c r="BSG1096"/>
      <c r="BSH1096"/>
      <c r="BSK1096"/>
      <c r="BSL1096"/>
      <c r="BSO1096"/>
      <c r="BSP1096"/>
      <c r="BSS1096"/>
      <c r="BST1096"/>
      <c r="BSW1096"/>
      <c r="BSX1096"/>
      <c r="BTA1096"/>
      <c r="BTB1096"/>
      <c r="BTE1096"/>
      <c r="BTF1096"/>
      <c r="BTI1096"/>
      <c r="BTJ1096"/>
      <c r="BTM1096"/>
      <c r="BTN1096"/>
      <c r="BTQ1096"/>
      <c r="BTR1096"/>
      <c r="BTU1096"/>
      <c r="BTV1096"/>
      <c r="BTY1096"/>
      <c r="BTZ1096"/>
      <c r="BUC1096"/>
      <c r="BUD1096"/>
      <c r="BUG1096"/>
      <c r="BUH1096"/>
      <c r="BUK1096"/>
      <c r="BUL1096"/>
      <c r="BUO1096"/>
      <c r="BUP1096"/>
      <c r="BUS1096"/>
      <c r="BUT1096"/>
      <c r="BUW1096"/>
      <c r="BUX1096"/>
      <c r="BVA1096"/>
      <c r="BVB1096"/>
      <c r="BVE1096"/>
      <c r="BVF1096"/>
      <c r="BVI1096"/>
      <c r="BVJ1096"/>
      <c r="BVM1096"/>
      <c r="BVN1096"/>
      <c r="BVQ1096"/>
      <c r="BVR1096"/>
      <c r="BVU1096"/>
      <c r="BVV1096"/>
      <c r="BVY1096"/>
      <c r="BVZ1096"/>
      <c r="BWC1096"/>
      <c r="BWD1096"/>
      <c r="BWG1096"/>
      <c r="BWH1096"/>
      <c r="BWK1096"/>
      <c r="BWL1096"/>
      <c r="BWO1096"/>
      <c r="BWP1096"/>
      <c r="BWS1096"/>
      <c r="BWT1096"/>
      <c r="BWW1096"/>
      <c r="BWX1096"/>
      <c r="BXA1096"/>
      <c r="BXB1096"/>
      <c r="BXE1096"/>
      <c r="BXF1096"/>
      <c r="BXI1096"/>
      <c r="BXJ1096"/>
      <c r="BXM1096"/>
      <c r="BXN1096"/>
      <c r="BXQ1096"/>
      <c r="BXR1096"/>
      <c r="BXU1096"/>
      <c r="BXV1096"/>
      <c r="BXY1096"/>
      <c r="BXZ1096"/>
      <c r="BYC1096"/>
      <c r="BYD1096"/>
      <c r="BYG1096"/>
      <c r="BYH1096"/>
      <c r="BYK1096"/>
      <c r="BYL1096"/>
      <c r="BYO1096"/>
      <c r="BYP1096"/>
      <c r="BYS1096"/>
      <c r="BYT1096"/>
      <c r="BYW1096"/>
      <c r="BYX1096"/>
      <c r="BZA1096"/>
      <c r="BZB1096"/>
      <c r="BZE1096"/>
      <c r="BZF1096"/>
      <c r="BZI1096"/>
      <c r="BZJ1096"/>
      <c r="BZM1096"/>
      <c r="BZN1096"/>
      <c r="BZQ1096"/>
      <c r="BZR1096"/>
      <c r="BZU1096"/>
      <c r="BZV1096"/>
      <c r="BZY1096"/>
      <c r="BZZ1096"/>
      <c r="CAC1096"/>
      <c r="CAD1096"/>
      <c r="CAG1096"/>
      <c r="CAH1096"/>
      <c r="CAK1096"/>
      <c r="CAL1096"/>
      <c r="CAO1096"/>
      <c r="CAP1096"/>
      <c r="CAS1096"/>
      <c r="CAT1096"/>
      <c r="CAW1096"/>
      <c r="CAX1096"/>
      <c r="CBA1096"/>
      <c r="CBB1096"/>
      <c r="CBE1096"/>
      <c r="CBF1096"/>
      <c r="CBI1096"/>
      <c r="CBJ1096"/>
      <c r="CBM1096"/>
      <c r="CBN1096"/>
      <c r="CBQ1096"/>
      <c r="CBR1096"/>
      <c r="CBU1096"/>
      <c r="CBV1096"/>
      <c r="CBY1096"/>
      <c r="CBZ1096"/>
      <c r="CCC1096"/>
      <c r="CCD1096"/>
      <c r="CCG1096"/>
      <c r="CCH1096"/>
      <c r="CCK1096"/>
      <c r="CCL1096"/>
      <c r="CCO1096"/>
      <c r="CCP1096"/>
      <c r="CCS1096"/>
      <c r="CCT1096"/>
      <c r="CCW1096"/>
      <c r="CCX1096"/>
      <c r="CDA1096"/>
      <c r="CDB1096"/>
      <c s="45" r="CDE1096"/>
      <c r="CDF1096"/>
      <c r="CDI1096"/>
      <c r="CDJ1096"/>
      <c r="CDM1096"/>
      <c r="CDN1096"/>
      <c r="CDQ1096"/>
      <c r="CDR1096"/>
      <c r="CDU1096"/>
      <c r="CDV1096"/>
      <c r="CDY1096"/>
      <c r="CDZ1096"/>
      <c r="CEC1096"/>
      <c r="CED1096"/>
      <c r="CEG1096"/>
      <c r="CEH1096"/>
      <c r="CEK1096"/>
      <c r="CEL1096"/>
      <c r="CEO1096"/>
      <c r="CEP1096"/>
      <c r="CES1096"/>
      <c r="CET1096"/>
      <c r="CEW1096"/>
      <c r="CEX1096"/>
      <c r="CFA1096"/>
      <c r="CFB1096"/>
      <c r="CFE1096"/>
      <c r="CFF1096"/>
      <c r="CFI1096"/>
      <c r="CFJ1096"/>
      <c r="CFM1096"/>
      <c r="CFN1096"/>
      <c r="CFQ1096"/>
      <c r="CFR1096"/>
      <c r="CFU1096"/>
      <c r="CFV1096"/>
      <c r="CFY1096"/>
      <c r="CFZ1096"/>
      <c r="CGC1096"/>
      <c r="CGD1096"/>
      <c r="CGG1096"/>
      <c r="CGH1096"/>
      <c r="CGK1096"/>
      <c r="CGL1096"/>
      <c r="CGO1096"/>
      <c r="CGP1096"/>
      <c r="CGS1096"/>
      <c r="CGT1096"/>
      <c r="CGW1096"/>
      <c r="CGX1096"/>
      <c r="CHA1096"/>
      <c r="CHB1096"/>
      <c r="CHE1096"/>
      <c r="CHF1096"/>
      <c r="CHI1096"/>
      <c r="CHJ1096"/>
      <c r="CHM1096"/>
      <c r="CHN1096"/>
      <c r="CHQ1096"/>
      <c r="CHR1096"/>
      <c r="CHU1096"/>
      <c r="CHV1096"/>
      <c r="CHY1096"/>
      <c r="CHZ1096"/>
      <c r="CIC1096"/>
      <c r="CID1096"/>
      <c r="CIG1096"/>
      <c r="CIH1096"/>
      <c r="CIK1096"/>
      <c r="CIL1096"/>
      <c r="CIO1096"/>
      <c r="CIP1096"/>
      <c r="CIS1096"/>
      <c r="CIT1096"/>
      <c r="CIW1096"/>
      <c r="CIX1096"/>
      <c r="CJA1096"/>
      <c r="CJB1096"/>
      <c r="CJE1096"/>
      <c r="CJF1096"/>
      <c r="CJI1096"/>
      <c r="CJJ1096"/>
      <c r="CJM1096"/>
      <c r="CJN1096"/>
      <c r="CJQ1096"/>
      <c r="CJR1096"/>
      <c r="CJU1096"/>
      <c r="CJV1096"/>
      <c r="CJY1096"/>
      <c r="CJZ1096"/>
      <c r="CKC1096"/>
      <c r="CKD1096"/>
      <c r="CKG1096"/>
      <c r="CKH1096"/>
      <c r="CKK1096"/>
      <c r="CKL1096"/>
      <c r="CKO1096"/>
      <c r="CKP1096"/>
      <c r="CKS1096"/>
      <c r="CKT1096"/>
      <c r="CKW1096"/>
      <c r="CKX1096"/>
      <c r="CLA1096"/>
      <c r="CLB1096"/>
      <c r="CLE1096"/>
      <c r="CLF1096"/>
      <c r="CLI1096"/>
      <c r="CLJ1096"/>
      <c r="CLM1096"/>
      <c r="CLN1096"/>
      <c r="CLQ1096"/>
      <c r="CLR1096"/>
      <c r="CLU1096"/>
      <c r="CLV1096"/>
      <c r="CLY1096"/>
      <c r="CLZ1096"/>
      <c r="CMC1096"/>
      <c r="CMD1096"/>
      <c r="CMG1096"/>
      <c r="CMH1096"/>
      <c r="CMK1096"/>
      <c r="CML1096"/>
      <c r="CMO1096"/>
      <c r="CMP1096"/>
      <c r="CMS1096"/>
      <c r="CMT1096"/>
      <c r="CMW1096"/>
      <c r="CMX1096"/>
      <c r="CNA1096"/>
      <c r="CNB1096"/>
      <c r="CNE1096"/>
      <c r="CNF1096"/>
      <c r="CNI1096"/>
      <c r="CNJ1096"/>
      <c r="CNM1096"/>
      <c r="CNN1096"/>
      <c r="CNQ1096"/>
      <c r="CNR1096"/>
      <c r="CNU1096"/>
      <c r="CNV1096"/>
      <c r="CNY1096"/>
      <c r="CNZ1096"/>
      <c r="COC1096"/>
      <c r="COD1096"/>
      <c r="COG1096"/>
      <c r="COH1096"/>
      <c r="COK1096"/>
      <c r="COL1096"/>
      <c r="COO1096"/>
      <c r="COP1096"/>
      <c r="COS1096"/>
      <c r="COT1096"/>
      <c r="COW1096"/>
      <c r="COX1096"/>
      <c r="CPA1096"/>
      <c r="CPB1096"/>
      <c r="CPE1096"/>
      <c r="CPF1096"/>
      <c r="CPI1096"/>
      <c r="CPJ1096"/>
      <c r="CPM1096"/>
      <c r="CPN1096"/>
      <c r="CPQ1096"/>
      <c r="CPR1096"/>
      <c r="CPU1096"/>
      <c r="CPV1096"/>
      <c r="CPY1096"/>
      <c r="CPZ1096"/>
      <c r="CQC1096"/>
      <c r="CQD1096"/>
      <c r="CQG1096"/>
      <c r="CQH1096"/>
      <c r="CQK1096"/>
      <c r="CQL1096"/>
      <c r="CQO1096"/>
      <c r="CQP1096"/>
      <c r="CQS1096"/>
      <c r="CQT1096"/>
      <c r="CQW1096"/>
      <c r="CQX1096"/>
      <c r="CRA1096"/>
      <c r="CRB1096"/>
      <c r="CRE1096"/>
      <c r="CRF1096"/>
      <c r="CRI1096"/>
      <c r="CRJ1096"/>
      <c r="CRM1096"/>
      <c r="CRN1096"/>
      <c r="CRQ1096"/>
      <c r="CRR1096"/>
      <c r="CRU1096"/>
      <c r="CRV1096"/>
      <c r="CRY1096"/>
      <c r="CRZ1096"/>
      <c r="CSC1096"/>
      <c r="CSD1096"/>
      <c r="CSG1096"/>
      <c r="CSH1096"/>
      <c r="CSK1096"/>
      <c r="CSL1096"/>
      <c r="CSO1096"/>
      <c r="CSP1096"/>
      <c r="CSS1096"/>
      <c r="CST1096"/>
      <c r="CSW1096"/>
      <c r="CSX1096"/>
      <c r="CTA1096"/>
      <c r="CTB1096"/>
      <c r="CTE1096"/>
      <c r="CTF1096"/>
      <c r="CTI1096"/>
      <c r="CTJ1096"/>
      <c r="CTM1096"/>
      <c r="CTN1096"/>
      <c r="CTQ1096"/>
      <c r="CTR1096"/>
      <c r="CTU1096"/>
      <c r="CTV1096"/>
      <c r="CTY1096"/>
      <c r="CTZ1096"/>
      <c r="CUC1096"/>
      <c r="CUD1096"/>
      <c r="CUG1096"/>
      <c r="CUH1096"/>
      <c r="CUK1096"/>
      <c r="CUL1096"/>
      <c r="CUO1096"/>
      <c r="CUP1096"/>
      <c r="CUS1096"/>
      <c r="CUT1096"/>
      <c r="CUW1096"/>
      <c r="CUX1096"/>
      <c r="CVA1096"/>
      <c r="CVB1096"/>
      <c r="CVE1096"/>
      <c r="CVF1096"/>
      <c r="CVI1096"/>
      <c r="CVJ1096"/>
      <c r="CVM1096"/>
      <c r="CVN1096"/>
      <c r="CVQ1096"/>
      <c r="CVR1096"/>
      <c r="CVU1096"/>
      <c r="CVV1096"/>
      <c r="CVY1096"/>
      <c r="CVZ1096"/>
      <c r="CWC1096"/>
      <c r="CWD1096"/>
      <c r="CWG1096"/>
      <c r="CWH1096"/>
      <c r="CWK1096"/>
      <c r="CWL1096"/>
      <c r="CWO1096"/>
      <c r="CWP1096"/>
      <c r="CWS1096"/>
      <c r="CWT1096"/>
      <c r="CWW1096"/>
      <c r="CWX1096"/>
      <c r="CXA1096"/>
      <c r="CXB1096"/>
      <c r="CXE1096"/>
      <c r="CXF1096"/>
      <c r="CXI1096"/>
      <c r="CXJ1096"/>
      <c r="CXM1096"/>
      <c r="CXN1096"/>
      <c r="CXQ1096"/>
      <c r="CXR1096"/>
      <c r="CXU1096"/>
      <c r="CXV1096"/>
      <c r="CXY1096"/>
      <c r="CXZ1096"/>
      <c r="CYC1096"/>
      <c r="CYD1096"/>
      <c r="CYG1096"/>
      <c r="CYH1096"/>
      <c r="CYK1096"/>
      <c r="CYL1096"/>
      <c r="CYO1096"/>
      <c r="CYP1096"/>
      <c r="CYS1096"/>
      <c r="CYT1096"/>
      <c r="CYW1096"/>
      <c r="CYX1096"/>
      <c r="CZA1096"/>
      <c r="CZB1096"/>
      <c r="CZE1096"/>
      <c r="CZF1096"/>
      <c r="CZI1096"/>
      <c r="CZJ1096"/>
      <c r="CZM1096"/>
      <c r="CZN1096"/>
      <c r="CZQ1096"/>
      <c r="CZR1096"/>
      <c r="CZU1096"/>
      <c r="CZV1096"/>
      <c r="CZY1096"/>
      <c r="CZZ1096"/>
      <c r="DAC1096"/>
      <c r="DAD1096"/>
      <c r="DAG1096"/>
      <c r="DAH1096"/>
      <c r="DAK1096"/>
      <c r="DAL1096"/>
      <c r="DAO1096"/>
      <c r="DAP1096"/>
      <c r="DAS1096"/>
      <c r="DAT1096"/>
      <c r="DAW1096"/>
      <c r="DAX1096"/>
      <c r="DBA1096"/>
      <c r="DBB1096"/>
      <c r="DBE1096"/>
      <c r="DBF1096"/>
      <c r="DBI1096"/>
      <c r="DBJ1096"/>
      <c r="DBM1096"/>
      <c r="DBN1096"/>
      <c r="DBQ1096"/>
      <c r="DBR1096"/>
      <c r="DBU1096"/>
      <c r="DBV1096"/>
      <c r="DBY1096"/>
      <c r="DBZ1096"/>
      <c r="DCC1096"/>
      <c r="DCD1096"/>
      <c r="DCG1096"/>
      <c r="DCH1096"/>
      <c r="DCK1096"/>
      <c r="DCL1096"/>
      <c r="DCO1096"/>
      <c r="DCP1096"/>
      <c r="DCS1096"/>
      <c r="DCT1096"/>
      <c r="DCW1096"/>
      <c r="DCX1096"/>
      <c r="DDA1096"/>
      <c r="DDB1096"/>
      <c r="DDE1096"/>
      <c r="DDF1096"/>
      <c r="DDI1096"/>
      <c r="DDJ1096"/>
      <c r="DDM1096"/>
      <c r="DDN1096"/>
      <c r="DDQ1096"/>
      <c r="DDR1096"/>
      <c r="DDU1096"/>
      <c r="DDV1096"/>
      <c r="DDY1096"/>
      <c r="DDZ1096"/>
      <c r="DEC1096"/>
      <c r="DED1096"/>
      <c r="DEG1096"/>
      <c r="DEH1096"/>
      <c r="DEK1096"/>
      <c r="DEL1096"/>
      <c r="DEO1096"/>
      <c r="DEP1096"/>
      <c r="DES1096"/>
      <c r="DET1096"/>
      <c r="DEW1096"/>
      <c r="DEX1096"/>
      <c r="DFA1096"/>
      <c r="DFB1096"/>
      <c r="DFE1096"/>
      <c r="DFF1096"/>
      <c r="DFI1096"/>
      <c r="DFJ1096"/>
      <c r="DFM1096"/>
      <c r="DFN1096"/>
      <c r="DFQ1096"/>
      <c r="DFR1096"/>
      <c r="DFU1096"/>
      <c r="DFV1096"/>
      <c r="DFY1096"/>
      <c r="DFZ1096"/>
      <c r="DGC1096"/>
      <c r="DGD1096"/>
      <c r="DGG1096"/>
      <c r="DGH1096"/>
      <c r="DGK1096"/>
      <c r="DGL1096"/>
      <c r="DGO1096"/>
      <c r="DGP1096"/>
      <c r="DGS1096"/>
      <c r="DGT1096"/>
      <c r="DGW1096"/>
      <c r="DGX1096"/>
      <c r="DHA1096"/>
      <c r="DHB1096"/>
      <c r="DHE1096"/>
      <c r="DHF1096"/>
      <c r="DHI1096"/>
      <c r="DHJ1096"/>
      <c r="DHM1096"/>
      <c r="DHN1096"/>
      <c r="DHQ1096"/>
      <c r="DHR1096"/>
      <c r="DHU1096"/>
      <c r="DHV1096"/>
      <c r="DHY1096"/>
      <c r="DHZ1096"/>
      <c r="DIC1096"/>
      <c r="DID1096"/>
      <c r="DIG1096"/>
      <c r="DIH1096"/>
      <c r="DIK1096"/>
      <c r="DIL1096"/>
      <c r="DIO1096"/>
      <c r="DIP1096"/>
      <c r="DIS1096"/>
      <c r="DIT1096"/>
      <c r="DIW1096"/>
      <c r="DIX1096"/>
      <c r="DJA1096"/>
      <c r="DJB1096"/>
      <c r="DJE1096"/>
      <c r="DJF1096"/>
      <c r="DJI1096"/>
      <c r="DJJ1096"/>
      <c r="DJM1096"/>
      <c r="DJN1096"/>
      <c r="DJQ1096"/>
      <c r="DJR1096"/>
      <c r="DJU1096"/>
      <c r="DJV1096"/>
      <c r="DJY1096"/>
      <c r="DJZ1096"/>
      <c r="DKC1096"/>
      <c r="DKD1096"/>
      <c r="DKG1096"/>
      <c r="DKH1096"/>
      <c r="DKK1096"/>
      <c r="DKL1096"/>
      <c r="DKO1096"/>
      <c r="DKP1096"/>
      <c r="DKS1096"/>
      <c r="DKT1096"/>
      <c r="DKW1096"/>
      <c r="DKX1096"/>
      <c r="DLA1096"/>
      <c r="DLB1096"/>
      <c r="DLE1096"/>
      <c r="DLF1096"/>
      <c r="DLI1096"/>
      <c r="DLJ1096"/>
      <c r="DLM1096"/>
      <c r="DLN1096"/>
      <c r="DLQ1096"/>
      <c r="DLR1096"/>
      <c r="DLU1096"/>
      <c r="DLV1096"/>
      <c r="DLY1096"/>
      <c r="DLZ1096"/>
      <c r="DMC1096"/>
      <c r="DMD1096"/>
      <c r="DMG1096"/>
      <c r="DMH1096"/>
      <c r="DMK1096"/>
      <c r="DML1096"/>
      <c r="DMO1096"/>
      <c r="DMP1096"/>
      <c r="DMS1096"/>
      <c r="DMT1096"/>
      <c r="DMW1096"/>
      <c r="DMX1096"/>
      <c r="DNA1096"/>
      <c r="DNB1096"/>
      <c r="DNE1096"/>
      <c r="DNF1096"/>
      <c r="DNI1096"/>
      <c r="DNJ1096"/>
      <c r="DNM1096"/>
      <c r="DNN1096"/>
      <c r="DNQ1096"/>
      <c r="DNR1096"/>
      <c r="DNU1096"/>
      <c r="DNV1096"/>
      <c r="DNY1096"/>
      <c r="DNZ1096"/>
      <c r="DOC1096"/>
      <c r="DOD1096"/>
      <c r="DOG1096"/>
      <c r="DOH1096"/>
      <c r="DOK1096"/>
      <c r="DOL1096"/>
      <c r="DOO1096"/>
      <c r="DOP1096"/>
      <c r="DOS1096"/>
      <c r="DOT1096"/>
      <c r="DOW1096"/>
      <c r="DOX1096"/>
      <c r="DPA1096"/>
      <c r="DPB1096"/>
      <c r="DPE1096"/>
      <c r="DPF1096"/>
      <c r="DPI1096"/>
      <c r="DPJ1096"/>
      <c r="DPM1096"/>
      <c r="DPN1096"/>
      <c r="DPQ1096"/>
      <c r="DPR1096"/>
      <c r="DPU1096"/>
      <c r="DPV1096"/>
      <c r="DPY1096"/>
      <c r="DPZ1096"/>
      <c r="DQC1096"/>
      <c r="DQD1096"/>
      <c r="DQG1096"/>
      <c r="DQH1096"/>
      <c r="DQK1096"/>
      <c r="DQL1096"/>
      <c r="DQO1096"/>
      <c r="DQP1096"/>
      <c r="DQS1096"/>
      <c r="DQT1096"/>
      <c r="DQW1096"/>
      <c r="DQX1096"/>
      <c r="DRA1096"/>
      <c r="DRB1096"/>
      <c r="DRE1096"/>
      <c r="DRF1096"/>
      <c r="DRI1096"/>
      <c r="DRJ1096"/>
      <c r="DRM1096"/>
      <c r="DRN1096"/>
      <c r="DRQ1096"/>
      <c r="DRR1096"/>
      <c r="DRU1096"/>
      <c r="DRV1096"/>
      <c r="DRY1096"/>
      <c r="DRZ1096"/>
      <c r="DSC1096"/>
      <c r="DSD1096"/>
      <c r="DSG1096"/>
      <c r="DSH1096"/>
      <c r="DSK1096"/>
      <c r="DSL1096"/>
      <c r="DSO1096"/>
      <c r="DSP1096"/>
      <c r="DSS1096"/>
      <c r="DST1096"/>
      <c r="DSW1096"/>
      <c r="DSX1096"/>
      <c r="DTA1096"/>
      <c r="DTB1096"/>
      <c r="DTE1096"/>
      <c r="DTF1096"/>
      <c r="DTI1096"/>
      <c r="DTJ1096"/>
      <c r="DTM1096"/>
      <c r="DTN1096"/>
      <c r="DTQ1096"/>
      <c r="DTR1096"/>
      <c r="DTU1096"/>
      <c r="DTV1096"/>
      <c r="DTY1096"/>
      <c r="DTZ1096"/>
      <c r="DUC1096"/>
      <c r="DUD1096"/>
      <c r="DUG1096"/>
      <c r="DUH1096"/>
      <c r="DUK1096"/>
      <c r="DUL1096"/>
      <c r="DUO1096"/>
      <c r="DUP1096"/>
      <c r="DUS1096"/>
      <c r="DUT1096"/>
      <c r="DUW1096"/>
      <c r="DUX1096"/>
      <c r="DVA1096"/>
      <c r="DVB1096"/>
      <c r="DVE1096"/>
      <c r="DVF1096"/>
      <c r="DVI1096"/>
      <c r="DVJ1096"/>
      <c r="DVM1096"/>
      <c r="DVN1096"/>
      <c r="DVQ1096"/>
      <c r="DVR1096"/>
      <c r="DVU1096"/>
      <c r="DVV1096"/>
      <c r="DVY1096"/>
      <c r="DVZ1096"/>
      <c r="DWC1096"/>
      <c r="DWD1096"/>
      <c r="DWG1096"/>
      <c r="DWH1096"/>
      <c r="DWK1096"/>
      <c r="DWL1096"/>
      <c r="DWO1096"/>
      <c r="DWP1096"/>
      <c r="DWS1096"/>
      <c r="DWT1096"/>
      <c r="DWW1096"/>
      <c r="DWX1096"/>
      <c r="DXA1096"/>
      <c r="DXB1096"/>
      <c r="DXE1096"/>
      <c r="DXF1096"/>
      <c r="DXI1096"/>
      <c r="DXJ1096"/>
      <c r="DXM1096"/>
      <c r="DXN1096"/>
      <c r="DXQ1096"/>
      <c r="DXR1096"/>
      <c r="DXU1096"/>
      <c r="DXV1096"/>
      <c r="DXY1096"/>
      <c r="DXZ1096"/>
      <c r="DYC1096"/>
      <c r="DYD1096"/>
      <c r="DYG1096"/>
      <c r="DYH1096"/>
      <c r="DYK1096"/>
      <c r="DYL1096"/>
      <c r="DYO1096"/>
      <c r="DYP1096"/>
      <c r="DYS1096"/>
      <c r="DYT1096"/>
      <c r="DYW1096"/>
      <c r="DYX1096"/>
      <c r="DZA1096"/>
      <c r="DZB1096"/>
      <c r="DZE1096"/>
      <c r="DZF1096"/>
      <c r="DZI1096"/>
      <c r="DZJ1096"/>
      <c r="DZM1096"/>
      <c r="DZN1096"/>
      <c r="DZQ1096"/>
      <c r="DZR1096"/>
      <c r="DZU1096"/>
      <c r="DZV1096"/>
      <c r="DZY1096"/>
      <c r="DZZ1096"/>
      <c r="EAC1096"/>
      <c r="EAD1096"/>
      <c r="EAG1096"/>
      <c r="EAH1096"/>
      <c r="EAK1096"/>
      <c r="EAL1096"/>
      <c r="EAO1096"/>
      <c r="EAP1096"/>
      <c r="EAS1096"/>
      <c r="EAT1096"/>
      <c r="EAW1096"/>
      <c r="EAX1096"/>
      <c r="EBA1096"/>
      <c r="EBB1096"/>
      <c r="EBE1096"/>
      <c r="EBF1096"/>
      <c r="EBI1096"/>
      <c r="EBJ1096"/>
      <c r="EBM1096"/>
      <c r="EBN1096"/>
      <c r="EBQ1096"/>
      <c r="EBR1096"/>
      <c r="EBU1096"/>
      <c r="EBV1096"/>
      <c r="EBY1096"/>
      <c r="EBZ1096"/>
      <c r="ECC1096"/>
      <c r="ECD1096"/>
      <c r="ECG1096"/>
      <c r="ECH1096"/>
      <c r="ECK1096"/>
      <c r="ECL1096"/>
      <c r="ECO1096"/>
      <c r="ECP1096"/>
      <c r="ECS1096"/>
      <c r="ECT1096"/>
      <c r="ECW1096"/>
      <c r="ECX1096"/>
      <c r="EDA1096"/>
      <c r="EDB1096"/>
      <c r="EDE1096"/>
      <c r="EDF1096"/>
      <c r="EDI1096"/>
      <c r="EDJ1096"/>
      <c r="EDM1096"/>
      <c r="EDN1096"/>
      <c r="EDQ1096"/>
      <c r="EDR1096"/>
      <c r="EDU1096"/>
      <c r="EDV1096"/>
      <c r="EDY1096"/>
      <c r="EDZ1096"/>
      <c r="EEC1096"/>
      <c r="EED1096"/>
      <c r="EEG1096"/>
      <c r="EEH1096"/>
      <c r="EEK1096"/>
      <c r="EEL1096"/>
      <c r="EEO1096"/>
      <c r="EEP1096"/>
      <c r="EES1096"/>
      <c r="EET1096"/>
      <c r="EEW1096"/>
      <c r="EEX1096"/>
      <c r="EFA1096"/>
      <c r="EFB1096"/>
      <c r="EFE1096"/>
      <c r="EFF1096"/>
      <c r="EFI1096"/>
      <c r="EFJ1096"/>
      <c r="EFM1096"/>
      <c r="EFN1096"/>
      <c r="EFQ1096"/>
      <c r="EFR1096"/>
      <c r="EFU1096"/>
      <c r="EFV1096"/>
      <c r="EFY1096"/>
      <c r="EFZ1096"/>
      <c r="EGC1096"/>
      <c r="EGD1096"/>
      <c r="EGG1096"/>
      <c r="EGH1096"/>
      <c r="EGK1096"/>
      <c r="EGL1096"/>
      <c r="EGO1096"/>
      <c r="EGP1096"/>
      <c r="EGS1096"/>
      <c r="EGT1096"/>
      <c r="EGW1096"/>
      <c r="EGX1096"/>
      <c r="EHA1096"/>
      <c r="EHB1096"/>
      <c r="EHE1096"/>
      <c r="EHF1096"/>
      <c r="EHI1096"/>
      <c r="EHJ1096"/>
      <c r="EHM1096"/>
      <c r="EHN1096"/>
      <c r="EHQ1096"/>
      <c r="EHR1096"/>
      <c r="EHU1096"/>
      <c r="EHV1096"/>
      <c r="EHY1096"/>
      <c r="EHZ1096"/>
      <c r="EIC1096"/>
      <c r="EID1096"/>
      <c r="EIG1096"/>
      <c r="EIH1096"/>
      <c r="EIK1096"/>
      <c r="EIL1096"/>
      <c r="EIO1096"/>
      <c r="EIP1096"/>
      <c r="EIS1096"/>
      <c r="EIT1096"/>
      <c r="EIW1096"/>
      <c r="EIX1096"/>
      <c r="EJA1096"/>
      <c r="EJB1096"/>
      <c r="EJE1096"/>
      <c r="EJF1096"/>
      <c r="EJI1096"/>
      <c r="EJJ1096"/>
      <c r="EJM1096"/>
      <c r="EJN1096"/>
      <c r="EJQ1096"/>
      <c r="EJR1096"/>
      <c r="EJU1096"/>
      <c r="EJV1096"/>
      <c r="EJY1096"/>
      <c r="EJZ1096"/>
      <c r="EKC1096"/>
      <c r="EKD1096"/>
      <c r="EKG1096"/>
      <c r="EKH1096"/>
      <c r="EKK1096"/>
      <c r="EKL1096"/>
      <c r="EKO1096"/>
      <c r="EKP1096"/>
      <c r="EKS1096"/>
      <c r="EKT1096"/>
      <c r="EKW1096"/>
      <c r="EKX1096"/>
      <c r="ELA1096"/>
      <c r="ELB1096"/>
      <c r="ELE1096"/>
      <c r="ELF1096"/>
      <c r="ELI1096"/>
      <c r="ELJ1096"/>
      <c r="ELM1096"/>
      <c r="ELN1096"/>
      <c r="ELQ1096"/>
      <c r="ELR1096"/>
      <c r="ELU1096"/>
      <c r="ELV1096"/>
      <c r="ELY1096"/>
      <c r="ELZ1096"/>
      <c r="EMC1096"/>
      <c r="EMD1096"/>
      <c r="EMG1096"/>
      <c r="EMH1096"/>
      <c r="EMK1096"/>
      <c r="EML1096"/>
      <c r="EMO1096"/>
      <c r="EMP1096"/>
      <c r="EMS1096"/>
      <c r="EMT1096"/>
      <c r="EMW1096"/>
      <c r="EMX1096"/>
      <c r="ENA1096"/>
      <c r="ENB1096"/>
      <c r="ENE1096"/>
      <c r="ENF1096"/>
      <c r="ENI1096"/>
      <c r="ENJ1096"/>
      <c r="ENM1096"/>
      <c r="ENN1096"/>
      <c r="ENQ1096"/>
      <c r="ENR1096"/>
      <c r="ENU1096"/>
      <c r="ENV1096"/>
      <c r="ENY1096"/>
      <c r="ENZ1096"/>
      <c r="EOC1096"/>
      <c r="EOD1096"/>
      <c r="EOG1096"/>
      <c r="EOH1096"/>
      <c r="EOK1096"/>
      <c r="EOL1096"/>
      <c r="EOO1096"/>
      <c r="EOP1096"/>
      <c r="EOS1096"/>
      <c r="EOT1096"/>
      <c r="EOW1096"/>
      <c r="EOX1096"/>
      <c r="EPA1096"/>
      <c r="EPB1096"/>
      <c r="EPE1096"/>
      <c r="EPF1096"/>
      <c r="EPI1096"/>
      <c r="EPJ1096"/>
      <c r="EPM1096"/>
      <c r="EPN1096"/>
      <c r="EPQ1096"/>
      <c r="EPR1096"/>
      <c r="EPU1096"/>
      <c r="EPV1096"/>
      <c r="EPY1096"/>
      <c r="EPZ1096"/>
      <c r="EQC1096"/>
      <c r="EQD1096"/>
      <c r="EQG1096"/>
      <c r="EQH1096"/>
      <c r="EQK1096"/>
      <c r="EQL1096"/>
      <c r="EQO1096"/>
      <c r="EQP1096"/>
      <c r="EQS1096"/>
      <c r="EQT1096"/>
      <c r="EQW1096"/>
      <c r="EQX1096"/>
      <c r="ERA1096"/>
      <c r="ERB1096"/>
      <c r="ERE1096"/>
      <c r="ERF1096"/>
      <c r="ERI1096"/>
      <c r="ERJ1096"/>
      <c r="ERM1096"/>
      <c r="ERN1096"/>
      <c r="ERQ1096"/>
      <c r="ERR1096"/>
      <c r="ERU1096"/>
      <c r="ERV1096"/>
      <c r="ERY1096"/>
      <c r="ERZ1096"/>
      <c r="ESC1096"/>
      <c r="ESD1096"/>
      <c r="ESG1096"/>
      <c r="ESH1096"/>
      <c r="ESK1096"/>
      <c r="ESL1096"/>
      <c r="ESO1096"/>
      <c r="ESP1096"/>
      <c r="ESS1096"/>
      <c r="EST1096"/>
      <c r="ESW1096"/>
      <c r="ESX1096"/>
      <c r="ETA1096"/>
      <c r="ETB1096"/>
      <c r="ETE1096"/>
      <c r="ETF1096"/>
      <c r="ETI1096"/>
      <c r="ETJ1096"/>
      <c r="ETM1096"/>
      <c r="ETN1096"/>
      <c r="ETQ1096"/>
      <c r="ETR1096"/>
      <c r="ETU1096"/>
      <c r="ETV1096"/>
      <c r="ETY1096"/>
      <c r="ETZ1096"/>
      <c r="EUC1096"/>
      <c r="EUD1096"/>
      <c r="EUG1096"/>
      <c r="EUH1096"/>
      <c r="EUK1096"/>
      <c r="EUL1096"/>
      <c r="EUO1096"/>
      <c r="EUP1096"/>
      <c r="EUS1096"/>
      <c r="EUT1096"/>
      <c r="EUW1096"/>
      <c r="EUX1096"/>
      <c r="EVA1096"/>
      <c r="EVB1096"/>
      <c r="EVE1096"/>
      <c r="EVF1096"/>
      <c r="EVI1096"/>
      <c r="EVJ1096"/>
      <c r="EVM1096"/>
      <c r="EVN1096"/>
      <c r="EVQ1096"/>
      <c r="EVR1096"/>
      <c r="EVU1096"/>
      <c r="EVV1096"/>
      <c r="EVY1096"/>
      <c r="EVZ1096"/>
      <c r="EWC1096"/>
      <c r="EWD1096"/>
      <c r="EWG1096"/>
      <c r="EWH1096"/>
      <c r="EWK1096"/>
      <c r="EWL1096"/>
      <c r="EWO1096"/>
      <c r="EWP1096"/>
      <c r="EWS1096"/>
      <c r="EWT1096"/>
      <c r="EWW1096"/>
      <c r="EWX1096"/>
      <c r="EXA1096"/>
      <c r="EXB1096"/>
      <c r="EXE1096"/>
      <c r="EXF1096"/>
      <c r="EXI1096"/>
      <c r="EXJ1096"/>
      <c r="EXM1096"/>
      <c r="EXN1096"/>
      <c r="EXQ1096"/>
      <c r="EXR1096"/>
      <c r="EXU1096"/>
      <c r="EXV1096"/>
      <c r="EXY1096"/>
      <c r="EXZ1096"/>
      <c r="EYC1096"/>
      <c r="EYD1096"/>
      <c r="EYG1096"/>
      <c r="EYH1096"/>
      <c r="EYK1096"/>
      <c r="EYL1096"/>
      <c r="EYO1096"/>
      <c r="EYP1096"/>
      <c r="EYS1096"/>
      <c r="EYT1096"/>
      <c r="EYW1096"/>
      <c r="EYX1096"/>
      <c r="EZA1096"/>
      <c r="EZB1096"/>
      <c r="EZE1096"/>
      <c r="EZF1096"/>
      <c r="EZI1096"/>
      <c r="EZJ1096"/>
      <c r="EZM1096"/>
      <c r="EZN1096"/>
      <c r="EZQ1096"/>
      <c r="EZR1096"/>
      <c r="EZU1096"/>
      <c r="EZV1096"/>
      <c r="EZY1096"/>
      <c r="EZZ1096"/>
      <c r="FAC1096"/>
      <c r="FAD1096"/>
      <c r="FAG1096"/>
      <c r="FAH1096"/>
      <c r="FAK1096"/>
      <c r="FAL1096"/>
      <c r="FAO1096"/>
      <c r="FAP1096"/>
      <c r="FAS1096"/>
      <c r="FAT1096"/>
      <c r="FAW1096"/>
      <c r="FAX1096"/>
      <c r="FBA1096"/>
      <c r="FBB1096"/>
      <c r="FBE1096"/>
      <c r="FBF1096"/>
      <c r="FBI1096"/>
      <c r="FBJ1096"/>
      <c r="FBM1096"/>
      <c r="FBN1096"/>
      <c r="FBQ1096"/>
      <c r="FBR1096"/>
      <c r="FBU1096"/>
      <c r="FBV1096"/>
      <c r="FBY1096"/>
      <c r="FBZ1096"/>
      <c r="FCC1096"/>
      <c r="FCD1096"/>
      <c r="FCG1096"/>
      <c r="FCH1096"/>
      <c r="FCK1096"/>
      <c r="FCL1096"/>
      <c r="FCO1096"/>
      <c r="FCP1096"/>
      <c r="FCS1096"/>
      <c r="FCT1096"/>
      <c r="FCW1096"/>
      <c r="FCX1096"/>
      <c r="FDA1096"/>
      <c r="FDB1096"/>
      <c r="FDE1096"/>
      <c r="FDF1096"/>
      <c r="FDI1096"/>
      <c r="FDJ1096"/>
      <c r="FDM1096"/>
      <c r="FDN1096"/>
      <c r="FDQ1096"/>
      <c r="FDR1096"/>
      <c r="FDU1096"/>
      <c r="FDV1096"/>
      <c r="FDY1096"/>
      <c r="FDZ1096"/>
      <c r="FEC1096"/>
      <c r="FED1096"/>
      <c r="FEG1096"/>
      <c r="FEH1096"/>
      <c r="FEK1096"/>
      <c r="FEL1096"/>
      <c r="FEO1096"/>
      <c r="FEP1096"/>
      <c r="FES1096"/>
      <c r="FET1096"/>
      <c r="FEW1096"/>
      <c r="FEX1096"/>
      <c r="FFA1096"/>
      <c r="FFB1096"/>
      <c r="FFE1096"/>
      <c r="FFF1096"/>
      <c r="FFI1096"/>
      <c r="FFJ1096"/>
      <c r="FFM1096"/>
      <c r="FFN1096"/>
      <c r="FFQ1096"/>
      <c r="FFR1096"/>
      <c r="FFU1096"/>
      <c r="FFV1096"/>
      <c r="FFY1096"/>
      <c r="FFZ1096"/>
      <c r="FGC1096"/>
      <c r="FGD1096"/>
      <c r="FGG1096"/>
      <c s="45" r="FGH1096"/>
      <c r="FGK1096"/>
      <c r="FGL1096"/>
      <c r="FGO1096"/>
      <c r="FGP1096"/>
      <c r="FGS1096"/>
      <c r="FGT1096"/>
      <c r="FGW1096"/>
      <c r="FGX1096"/>
      <c r="FHA1096"/>
      <c r="FHB1096"/>
      <c r="FHE1096"/>
      <c r="FHF1096"/>
      <c r="FHI1096"/>
      <c r="FHJ1096"/>
      <c r="FHM1096"/>
      <c r="FHN1096"/>
      <c r="FHQ1096"/>
      <c r="FHR1096"/>
      <c r="FHU1096"/>
      <c r="FHV1096"/>
      <c r="FHY1096"/>
      <c r="FHZ1096"/>
      <c r="FIC1096"/>
      <c r="FID1096"/>
      <c r="FIG1096"/>
      <c r="FIH1096"/>
      <c r="FIK1096"/>
      <c r="FIL1096"/>
      <c r="FIO1096"/>
      <c r="FIP1096"/>
      <c r="FIS1096"/>
      <c r="FIT1096"/>
      <c r="FIW1096"/>
      <c r="FIX1096"/>
      <c r="FJA1096"/>
      <c r="FJB1096"/>
      <c r="FJE1096"/>
      <c r="FJF1096"/>
      <c r="FJI1096"/>
      <c r="FJJ1096"/>
      <c r="FJM1096"/>
      <c r="FJN1096"/>
      <c r="FJQ1096"/>
      <c r="FJR1096"/>
      <c r="FJU1096"/>
      <c r="FJV1096"/>
      <c r="FJY1096"/>
      <c r="FJZ1096"/>
      <c r="FKC1096"/>
      <c r="FKD1096"/>
      <c r="FKG1096"/>
      <c r="FKH1096"/>
      <c r="FKK1096"/>
      <c r="FKL1096"/>
      <c r="FKO1096"/>
      <c r="FKP1096"/>
      <c r="FKS1096"/>
      <c r="FKT1096"/>
      <c r="FKW1096"/>
      <c r="FKX1096"/>
      <c r="FLA1096"/>
      <c r="FLB1096"/>
      <c r="FLE1096"/>
      <c r="FLF1096"/>
      <c r="FLI1096"/>
      <c r="FLJ1096"/>
      <c r="FLM1096"/>
      <c r="FLN1096"/>
      <c r="FLQ1096"/>
      <c r="FLR1096"/>
      <c r="FLU1096"/>
      <c r="FLV1096"/>
      <c r="FLY1096"/>
      <c r="FLZ1096"/>
      <c r="FMC1096"/>
      <c r="FMD1096"/>
      <c r="FMG1096"/>
      <c r="FMH1096"/>
      <c r="FMK1096"/>
      <c r="FML1096"/>
      <c r="FMO1096"/>
      <c r="FMP1096"/>
      <c r="FMS1096"/>
      <c r="FMT1096"/>
      <c r="FMW1096"/>
      <c r="FMX1096"/>
      <c r="FNA1096"/>
      <c r="FNB1096"/>
      <c r="FNE1096"/>
      <c r="FNF1096"/>
      <c r="FNI1096"/>
      <c r="FNJ1096"/>
      <c r="FNM1096"/>
      <c r="FNN1096"/>
      <c r="FNQ1096"/>
      <c r="FNR1096"/>
      <c r="FNU1096"/>
      <c r="FNV1096"/>
      <c r="FNY1096"/>
      <c r="FNZ1096"/>
      <c r="FOC1096"/>
      <c r="FOD1096"/>
      <c r="FOG1096"/>
      <c r="FOH1096"/>
      <c r="FOK1096"/>
      <c r="FOL1096"/>
      <c r="FOO1096"/>
      <c r="FOP1096"/>
      <c r="FOS1096"/>
      <c r="FOT1096"/>
      <c r="FOW1096"/>
      <c r="FOX1096"/>
      <c r="FPA1096"/>
      <c r="FPB1096"/>
      <c r="FPE1096"/>
      <c r="FPF1096"/>
      <c r="FPI1096"/>
      <c r="FPJ1096"/>
      <c r="FPM1096"/>
      <c r="FPN1096"/>
      <c r="FPQ1096"/>
      <c r="FPR1096"/>
      <c r="FPU1096"/>
      <c r="FPV1096"/>
      <c r="FPY1096"/>
      <c r="FPZ1096"/>
      <c r="FQC1096"/>
      <c r="FQD1096"/>
      <c r="FQG1096"/>
      <c r="FQH1096"/>
      <c r="FQK1096"/>
      <c r="FQL1096"/>
      <c r="FQO1096"/>
      <c r="FQP1096"/>
      <c r="FQS1096"/>
      <c r="FQT1096"/>
      <c r="FQW1096"/>
      <c r="FQX1096"/>
      <c r="FRA1096"/>
      <c r="FRB1096"/>
      <c r="FRE1096"/>
      <c r="FRF1096"/>
      <c r="FRI1096"/>
      <c r="FRJ1096"/>
      <c r="FRM1096"/>
      <c r="FRN1096"/>
      <c r="FRQ1096"/>
      <c r="FRR1096"/>
      <c r="FRU1096"/>
      <c r="FRV1096"/>
      <c r="FRY1096"/>
      <c r="FRZ1096"/>
      <c r="FSC1096"/>
      <c r="FSD1096"/>
      <c r="FSG1096"/>
      <c r="FSH1096"/>
      <c r="FSK1096"/>
      <c r="FSL1096"/>
      <c r="FSO1096"/>
      <c r="FSP1096"/>
      <c r="FSS1096"/>
      <c r="FST1096"/>
      <c r="FSW1096"/>
      <c r="FSX1096"/>
      <c r="FTA1096"/>
      <c r="FTB1096"/>
      <c r="FTE1096"/>
      <c r="FTF1096"/>
      <c r="FTI1096"/>
      <c r="FTJ1096"/>
      <c r="FTM1096"/>
      <c r="FTN1096"/>
      <c r="FTQ1096"/>
      <c r="FTR1096"/>
      <c r="FTU1096"/>
      <c r="FTV1096"/>
      <c r="FTY1096"/>
      <c r="FTZ1096"/>
      <c r="FUC1096"/>
      <c r="FUD1096"/>
      <c r="FUG1096"/>
      <c r="FUH1096"/>
      <c r="FUK1096"/>
      <c r="FUL1096"/>
      <c r="FUO1096"/>
      <c r="FUP1096"/>
      <c r="FUS1096"/>
      <c r="FUT1096"/>
      <c r="FUW1096"/>
      <c r="FUX1096"/>
      <c r="FVA1096"/>
      <c r="FVB1096"/>
      <c r="FVE1096"/>
      <c r="FVF1096"/>
      <c r="FVI1096"/>
      <c r="FVJ1096"/>
      <c r="FVM1096"/>
      <c r="FVN1096"/>
      <c r="FVQ1096"/>
      <c r="FVR1096"/>
      <c r="FVU1096"/>
      <c r="FVV1096"/>
      <c r="FVY1096"/>
      <c r="FVZ1096"/>
      <c r="FWC1096"/>
      <c r="FWD1096"/>
      <c r="FWG1096"/>
      <c r="FWH1096"/>
      <c r="FWK1096"/>
      <c r="FWL1096"/>
      <c r="FWO1096"/>
      <c r="FWP1096"/>
      <c r="FWS1096"/>
      <c r="FWT1096"/>
      <c r="FWW1096"/>
      <c r="FWX1096"/>
      <c r="FXA1096"/>
      <c r="FXB1096"/>
      <c r="FXE1096"/>
      <c r="FXF1096"/>
      <c r="FXI1096"/>
      <c r="FXJ1096"/>
      <c r="FXM1096"/>
      <c r="FXN1096"/>
      <c r="FXQ1096"/>
      <c r="FXR1096"/>
      <c r="FXU1096"/>
      <c r="FXV1096"/>
      <c r="FXY1096"/>
      <c r="FXZ1096"/>
      <c r="FYC1096"/>
      <c r="FYD1096"/>
      <c r="FYG1096"/>
      <c r="FYH1096"/>
      <c r="FYK1096"/>
      <c r="FYL1096"/>
      <c r="FYO1096"/>
      <c r="FYP1096"/>
      <c r="FYS1096"/>
      <c r="FYT1096"/>
      <c r="FYW1096"/>
      <c r="FYX1096"/>
      <c r="FZA1096"/>
      <c r="FZB1096"/>
      <c r="FZE1096"/>
      <c r="FZF1096"/>
      <c r="FZI1096"/>
      <c r="FZJ1096"/>
      <c r="FZM1096"/>
      <c r="FZN1096"/>
      <c r="FZQ1096"/>
      <c r="FZR1096"/>
      <c r="FZU1096"/>
      <c r="FZV1096"/>
      <c r="FZY1096"/>
      <c r="FZZ1096"/>
      <c r="GAC1096"/>
      <c r="GAD1096"/>
      <c r="GAG1096"/>
      <c r="GAH1096"/>
      <c r="GAK1096"/>
      <c r="GAL1096"/>
      <c r="GAO1096"/>
      <c r="GAP1096"/>
      <c r="GAS1096"/>
      <c r="GAT1096"/>
      <c r="GAW1096"/>
      <c r="GAX1096"/>
      <c r="GBA1096"/>
      <c r="GBB1096"/>
      <c r="GBE1096"/>
      <c r="GBF1096"/>
      <c r="GBI1096"/>
      <c r="GBJ1096"/>
      <c r="GBM1096"/>
      <c r="GBN1096"/>
      <c r="GBQ1096"/>
      <c r="GBR1096"/>
      <c r="GBU1096"/>
      <c r="GBV1096"/>
      <c r="GBY1096"/>
      <c r="GBZ1096"/>
      <c r="GCC1096"/>
      <c r="GCD1096"/>
      <c r="GCG1096"/>
      <c r="GCH1096"/>
      <c r="GCK1096"/>
      <c r="GCL1096"/>
      <c r="GCO1096"/>
      <c r="GCP1096"/>
      <c r="GCS1096"/>
      <c r="GCT1096"/>
      <c r="GCW1096"/>
      <c r="GCX1096"/>
      <c r="GDA1096"/>
      <c r="GDB1096"/>
      <c r="GDE1096"/>
      <c r="GDF1096"/>
      <c r="GDI1096"/>
      <c r="GDJ1096"/>
      <c r="GDM1096"/>
      <c r="GDN1096"/>
      <c r="GDQ1096"/>
      <c r="GDR1096"/>
      <c r="GDU1096"/>
      <c r="GDV1096"/>
      <c r="GDY1096"/>
      <c r="GDZ1096"/>
      <c r="GEC1096"/>
      <c r="GED1096"/>
      <c r="GEG1096"/>
      <c r="GEH1096"/>
      <c r="GEK1096"/>
      <c r="GEL1096"/>
      <c r="GEO1096"/>
      <c r="GEP1096"/>
      <c r="GES1096"/>
      <c r="GET1096"/>
      <c r="GEW1096"/>
      <c r="GEX1096"/>
      <c r="GFA1096"/>
      <c r="GFB1096"/>
      <c r="GFE1096"/>
      <c r="GFF1096"/>
      <c r="GFI1096"/>
      <c r="GFJ1096"/>
      <c r="GFM1096"/>
      <c r="GFN1096"/>
      <c r="GFQ1096"/>
      <c r="GFR1096"/>
      <c r="GFU1096"/>
      <c r="GFV1096"/>
      <c r="GFY1096"/>
      <c r="GFZ1096"/>
      <c r="GGC1096"/>
      <c r="GGD1096"/>
      <c r="GGG1096"/>
      <c r="GGH1096"/>
      <c r="GGK1096"/>
      <c r="GGL1096"/>
      <c r="GGO1096"/>
      <c r="GGP1096"/>
      <c r="GGS1096"/>
      <c r="GGT1096"/>
      <c r="GGW1096"/>
      <c r="GGX1096"/>
      <c r="GHA1096"/>
      <c r="GHB1096"/>
      <c r="GHE1096"/>
      <c r="GHF1096"/>
      <c s="45" r="GHI1096"/>
      <c r="GHJ1096"/>
      <c r="GHM1096"/>
      <c r="GHN1096"/>
      <c r="GHQ1096"/>
      <c r="GHR1096"/>
      <c r="GHU1096"/>
      <c r="GHV1096"/>
      <c r="GHY1096"/>
      <c r="GHZ1096"/>
      <c r="GIC1096"/>
      <c r="GID1096"/>
      <c r="GIG1096"/>
      <c r="GIH1096"/>
      <c r="GIK1096"/>
      <c r="GIL1096"/>
      <c r="GIO1096"/>
      <c r="GIP1096"/>
      <c r="GIS1096"/>
      <c r="GIT1096"/>
      <c r="GIW1096"/>
      <c r="GIX1096"/>
      <c r="GJA1096"/>
      <c r="GJB1096"/>
      <c r="GJE1096"/>
      <c r="GJF1096"/>
      <c r="GJI1096"/>
      <c r="GJJ1096"/>
      <c r="GJM1096"/>
      <c r="GJN1096"/>
      <c r="GJQ1096"/>
      <c r="GJR1096"/>
      <c r="GJU1096"/>
      <c r="GJV1096"/>
      <c r="GJY1096"/>
      <c r="GJZ1096"/>
      <c r="GKC1096"/>
      <c r="GKD1096"/>
      <c r="GKG1096"/>
      <c r="GKH1096"/>
      <c r="GKK1096"/>
      <c r="GKL1096"/>
      <c r="GKO1096"/>
      <c r="GKP1096"/>
      <c r="GKS1096"/>
      <c r="GKT1096"/>
      <c r="GKW1096"/>
      <c r="GKX1096"/>
      <c r="GLA1096"/>
      <c r="GLB1096"/>
      <c r="GLE1096"/>
      <c r="GLF1096"/>
      <c r="GLI1096"/>
      <c r="GLJ1096"/>
      <c r="GLM1096"/>
      <c r="GLN1096"/>
      <c r="GLQ1096"/>
      <c r="GLR1096"/>
      <c r="GLU1096"/>
      <c r="GLV1096"/>
      <c r="GLY1096"/>
      <c r="GLZ1096"/>
      <c r="GMC1096"/>
      <c r="GMD1096"/>
      <c r="GMG1096"/>
      <c r="GMH1096"/>
      <c r="GMK1096"/>
      <c r="GML1096"/>
      <c r="GMO1096"/>
      <c r="GMP1096"/>
      <c r="GMS1096"/>
      <c r="GMT1096"/>
      <c r="GMW1096"/>
      <c r="GMX1096"/>
      <c r="GNA1096"/>
      <c r="GNB1096"/>
      <c r="GNE1096"/>
      <c r="GNF1096"/>
      <c r="GNI1096"/>
      <c r="GNJ1096"/>
      <c r="GNM1096"/>
      <c r="GNN1096"/>
      <c r="GNQ1096"/>
      <c r="GNR1096"/>
      <c r="GNU1096"/>
      <c r="GNV1096"/>
      <c r="GNY1096"/>
      <c r="GNZ1096"/>
      <c r="GOC1096"/>
      <c r="GOD1096"/>
      <c r="GOG1096"/>
      <c r="GOH1096"/>
      <c r="GOK1096"/>
      <c r="GOL1096"/>
      <c r="GOO1096"/>
      <c r="GOP1096"/>
      <c r="GOS1096"/>
      <c r="GOT1096"/>
      <c r="GOW1096"/>
      <c r="GOX1096"/>
      <c r="GPA1096"/>
      <c r="GPB1096"/>
      <c r="GPE1096"/>
      <c r="GPF1096"/>
      <c r="GPI1096"/>
      <c r="GPJ1096"/>
      <c r="GPM1096"/>
      <c r="GPN1096"/>
      <c r="GPQ1096"/>
      <c r="GPR1096"/>
      <c r="GPU1096"/>
      <c r="GPV1096"/>
      <c r="GPY1096"/>
      <c r="GPZ1096"/>
      <c r="GQC1096"/>
      <c r="GQD1096"/>
      <c r="GQG1096"/>
      <c r="GQH1096"/>
      <c r="GQK1096"/>
      <c r="GQL1096"/>
      <c r="GQO1096"/>
      <c r="GQP1096"/>
      <c r="GQS1096"/>
      <c r="GQT1096"/>
      <c r="GQW1096"/>
      <c r="GQX1096"/>
      <c r="GRA1096"/>
      <c r="GRB1096"/>
      <c r="GRE1096"/>
      <c r="GRF1096"/>
      <c r="GRI1096"/>
      <c r="GRJ1096"/>
      <c r="GRM1096"/>
      <c r="GRN1096"/>
      <c r="GRQ1096"/>
      <c r="GRR1096"/>
      <c r="GRU1096"/>
      <c r="GRV1096"/>
      <c r="GRY1096"/>
      <c r="GRZ1096"/>
      <c r="GSC1096"/>
      <c r="GSD1096"/>
      <c r="GSG1096"/>
      <c r="GSH1096"/>
      <c r="GSK1096"/>
      <c r="GSL1096"/>
      <c r="GSO1096"/>
      <c r="GSP1096"/>
      <c r="GSS1096"/>
      <c r="GST1096"/>
      <c r="GSW1096"/>
      <c r="GSX1096"/>
      <c r="GTA1096"/>
      <c r="GTB1096"/>
      <c r="GTE1096"/>
      <c r="GTF1096"/>
      <c r="GTI1096"/>
      <c r="GTJ1096"/>
      <c r="GTM1096"/>
      <c r="GTN1096"/>
      <c r="GTQ1096"/>
      <c r="GTR1096"/>
      <c r="GTU1096"/>
      <c r="GTV1096"/>
      <c r="GTY1096"/>
      <c r="GTZ1096"/>
      <c r="GUC1096"/>
      <c r="GUD1096"/>
      <c r="GUG1096"/>
      <c r="GUH1096"/>
      <c r="GUK1096"/>
      <c r="GUL1096"/>
      <c r="GUO1096"/>
      <c r="GUP1096"/>
      <c r="GUS1096"/>
      <c r="GUT1096"/>
      <c r="GUW1096"/>
      <c r="GUX1096"/>
      <c r="GVA1096"/>
      <c r="GVB1096"/>
      <c r="GVE1096"/>
      <c r="GVF1096"/>
      <c r="GVI1096"/>
      <c r="GVJ1096"/>
      <c r="GVM1096"/>
      <c r="GVN1096"/>
      <c r="GVQ1096"/>
      <c r="GVR1096"/>
      <c r="GVU1096"/>
      <c r="GVV1096"/>
      <c r="GVY1096"/>
      <c r="GVZ1096"/>
      <c r="GWC1096"/>
      <c r="GWD1096"/>
      <c r="GWG1096"/>
      <c r="GWH1096"/>
      <c r="GWK1096"/>
      <c r="GWL1096"/>
      <c r="GWO1096"/>
      <c r="GWP1096"/>
      <c r="GWS1096"/>
      <c r="GWT1096"/>
      <c r="GWW1096"/>
      <c r="GWX1096"/>
      <c r="GXA1096"/>
      <c r="GXB1096"/>
      <c r="GXE1096"/>
      <c r="GXF1096"/>
      <c r="GXI1096"/>
      <c r="GXJ1096"/>
      <c r="GXM1096"/>
      <c r="GXN1096"/>
      <c r="GXQ1096"/>
      <c r="GXR1096"/>
      <c r="GXU1096"/>
      <c r="GXV1096"/>
      <c r="GXY1096"/>
      <c r="GXZ1096"/>
      <c r="GYC1096"/>
      <c r="GYD1096"/>
      <c r="GYG1096"/>
      <c r="GYH1096"/>
      <c r="GYK1096"/>
      <c r="GYL1096"/>
      <c r="GYO1096"/>
      <c r="GYP1096"/>
      <c r="GYS1096"/>
      <c r="GYT1096"/>
      <c r="GYW1096"/>
      <c r="GYX1096"/>
      <c r="GZA1096"/>
      <c r="GZB1096"/>
      <c r="GZE1096"/>
      <c r="GZF1096"/>
      <c r="GZI1096"/>
      <c r="GZJ1096"/>
      <c r="GZM1096"/>
      <c r="GZN1096"/>
      <c r="GZQ1096"/>
      <c r="GZR1096"/>
      <c r="GZU1096"/>
      <c r="GZV1096"/>
      <c r="GZY1096"/>
      <c r="GZZ1096"/>
      <c r="HAC1096"/>
      <c r="HAD1096"/>
      <c r="HAG1096"/>
      <c r="HAH1096"/>
      <c r="HAK1096"/>
      <c r="HAL1096"/>
      <c r="HAO1096"/>
      <c r="HAP1096"/>
      <c r="HAS1096"/>
      <c r="HAT1096"/>
      <c r="HAW1096"/>
      <c r="HAX1096"/>
      <c r="HBA1096"/>
      <c r="HBB1096"/>
      <c r="HBE1096"/>
      <c r="HBF1096"/>
      <c r="HBI1096"/>
      <c r="HBJ1096"/>
      <c r="HBM1096"/>
      <c r="HBN1096"/>
      <c r="HBQ1096"/>
      <c r="HBR1096"/>
      <c r="HBU1096"/>
      <c r="HBV1096"/>
      <c r="HBY1096"/>
      <c r="HBZ1096"/>
      <c r="HCC1096"/>
      <c r="HCD1096"/>
      <c r="HCG1096"/>
      <c r="HCH1096"/>
      <c r="HCK1096"/>
      <c r="HCL1096"/>
      <c r="HCO1096"/>
      <c r="HCP1096"/>
      <c r="HCS1096"/>
      <c r="HCT1096"/>
      <c r="HCW1096"/>
      <c r="HCX1096"/>
      <c r="HDA1096"/>
      <c r="HDB1096"/>
      <c r="HDE1096"/>
      <c r="HDF1096"/>
      <c r="HDI1096"/>
      <c r="HDJ1096"/>
      <c r="HDM1096"/>
      <c r="HDN1096"/>
      <c r="HDQ1096"/>
      <c r="HDR1096"/>
      <c r="HDU1096"/>
      <c r="HDV1096"/>
      <c r="HDY1096"/>
      <c r="HDZ1096"/>
      <c r="HEC1096"/>
      <c r="HED1096"/>
      <c r="HEG1096"/>
      <c r="HEH1096"/>
      <c r="HEK1096"/>
      <c r="HEL1096"/>
      <c r="HEO1096"/>
      <c r="HEP1096"/>
      <c r="HES1096"/>
      <c r="HET1096"/>
      <c r="HEW1096"/>
      <c r="HEX1096"/>
      <c r="HFA1096"/>
      <c r="HFB1096"/>
      <c r="HFE1096"/>
      <c r="HFF1096"/>
      <c r="HFI1096"/>
      <c r="HFJ1096"/>
      <c r="HFM1096"/>
      <c r="HFN1096"/>
      <c r="HFQ1096"/>
      <c r="HFR1096"/>
      <c r="HFU1096"/>
      <c r="HFV1096"/>
      <c r="HFY1096"/>
      <c r="HFZ1096"/>
      <c r="HGC1096"/>
      <c r="HGD1096"/>
      <c r="HGG1096"/>
      <c r="HGH1096"/>
      <c r="HGK1096"/>
      <c r="HGL1096"/>
      <c r="HGO1096"/>
      <c r="HGP1096"/>
      <c r="HGS1096"/>
      <c r="HGT1096"/>
      <c r="HGW1096"/>
      <c r="HGX1096"/>
      <c r="HHA1096"/>
      <c r="HHB1096"/>
      <c r="HHE1096"/>
      <c r="HHF1096"/>
      <c r="HHI1096"/>
      <c r="HHJ1096"/>
      <c r="HHM1096"/>
      <c r="HHN1096"/>
      <c r="HHQ1096"/>
      <c r="HHR1096"/>
      <c r="HHU1096"/>
      <c r="HHV1096"/>
      <c r="HHY1096"/>
      <c r="HHZ1096"/>
      <c r="HIC1096"/>
      <c r="HID1096"/>
      <c r="HIG1096"/>
      <c r="HIH1096"/>
      <c r="HIK1096"/>
      <c r="HIL1096"/>
      <c r="HIO1096"/>
      <c r="HIP1096"/>
      <c r="HIS1096"/>
      <c r="HIT1096"/>
      <c r="HIW1096"/>
      <c r="HIX1096"/>
      <c r="HJA1096"/>
      <c r="HJB1096"/>
      <c r="HJE1096"/>
      <c r="HJF1096"/>
      <c r="HJI1096"/>
      <c r="HJJ1096"/>
      <c r="HJM1096"/>
      <c r="HJN1096"/>
      <c r="HJQ1096"/>
      <c r="HJR1096"/>
      <c r="HJU1096"/>
      <c r="HJV1096"/>
      <c r="HJY1096"/>
      <c r="HJZ1096"/>
      <c r="HKC1096"/>
      <c r="HKD1096"/>
      <c r="HKG1096"/>
      <c r="HKH1096"/>
      <c r="HKK1096"/>
      <c r="HKL1096"/>
      <c r="HKO1096"/>
      <c r="HKP1096"/>
      <c r="HKS1096"/>
      <c r="HKT1096"/>
      <c r="HKW1096"/>
      <c r="HKX1096"/>
      <c r="HLA1096"/>
      <c r="HLB1096"/>
      <c r="HLE1096"/>
      <c r="HLF1096"/>
      <c r="HLI1096"/>
      <c r="HLJ1096"/>
      <c r="HLM1096"/>
      <c r="HLN1096"/>
      <c r="HLQ1096"/>
      <c r="HLR1096"/>
      <c r="HLU1096"/>
      <c r="HLV1096"/>
      <c r="HLY1096"/>
      <c r="HLZ1096"/>
      <c r="HMC1096"/>
      <c r="HMD1096"/>
      <c r="HMG1096"/>
      <c r="HMH1096"/>
      <c r="HMK1096"/>
      <c r="HML1096"/>
      <c r="HMO1096"/>
      <c r="HMP1096"/>
      <c r="HMS1096"/>
      <c r="HMT1096"/>
      <c r="HMW1096"/>
      <c r="HMX1096"/>
      <c r="HNA1096"/>
      <c r="HNB1096"/>
      <c r="HNE1096"/>
      <c r="HNF1096"/>
      <c r="HNI1096"/>
      <c r="HNJ1096"/>
      <c r="HNM1096"/>
      <c r="HNN1096"/>
      <c r="HNQ1096"/>
      <c r="HNR1096"/>
      <c r="HNU1096"/>
      <c r="HNV1096"/>
      <c r="HNY1096"/>
      <c r="HNZ1096"/>
      <c r="HOC1096"/>
      <c r="HOD1096"/>
      <c r="HOG1096"/>
      <c r="HOH1096"/>
      <c r="HOK1096"/>
      <c r="HOL1096"/>
      <c r="HOO1096"/>
      <c r="HOP1096"/>
      <c r="HOS1096"/>
      <c r="HOT1096"/>
      <c r="HOW1096"/>
      <c r="HOX1096"/>
      <c r="HPA1096"/>
      <c r="HPB1096"/>
      <c r="HPE1096"/>
      <c r="HPF1096"/>
      <c r="HPI1096"/>
      <c r="HPJ1096"/>
      <c r="HPM1096"/>
      <c r="HPN1096"/>
      <c r="HPQ1096"/>
      <c r="HPR1096"/>
      <c r="HPU1096"/>
      <c r="HPV1096"/>
      <c r="HPY1096"/>
      <c r="HPZ1096"/>
      <c r="HQC1096"/>
      <c r="HQD1096"/>
      <c r="HQG1096"/>
      <c r="HQH1096"/>
      <c r="HQK1096"/>
      <c r="HQL1096"/>
      <c r="HQO1096"/>
      <c r="HQP1096"/>
      <c r="HQS1096"/>
      <c r="HQT1096"/>
      <c r="HQW1096"/>
      <c r="HQX1096"/>
      <c r="HRA1096"/>
      <c r="HRB1096"/>
      <c r="HRE1096"/>
      <c r="HRF1096"/>
      <c r="HRI1096"/>
      <c r="HRJ1096"/>
      <c r="HRM1096"/>
      <c r="HRN1096"/>
      <c r="HRQ1096"/>
      <c r="HRR1096"/>
      <c r="HRU1096"/>
      <c r="HRV1096"/>
      <c r="HRY1096"/>
      <c r="HRZ1096"/>
      <c r="HSC1096"/>
      <c r="HSD1096"/>
      <c r="HSG1096"/>
      <c r="HSH1096"/>
      <c r="HSK1096"/>
      <c r="HSL1096"/>
      <c r="HSO1096"/>
      <c r="HSP1096"/>
      <c r="HSS1096"/>
      <c r="HST1096"/>
      <c r="HSW1096"/>
      <c r="HSX1096"/>
      <c r="HTA1096"/>
      <c r="HTB1096"/>
      <c r="HTE1096"/>
      <c r="HTF1096"/>
      <c r="HTI1096"/>
      <c r="HTJ1096"/>
      <c r="HTM1096"/>
      <c r="HTN1096"/>
      <c r="HTQ1096"/>
      <c r="HTR1096"/>
      <c r="HTU1096"/>
      <c r="HTV1096"/>
      <c r="HTY1096"/>
      <c r="HTZ1096"/>
      <c r="HUC1096"/>
      <c r="HUD1096"/>
      <c r="HUG1096"/>
      <c r="HUH1096"/>
      <c r="HUK1096"/>
      <c r="HUL1096"/>
      <c r="HUO1096"/>
      <c r="HUP1096"/>
      <c r="HUS1096"/>
      <c r="HUT1096"/>
      <c r="HUW1096"/>
      <c r="HUX1096"/>
      <c r="HVA1096"/>
      <c r="HVB1096"/>
      <c r="HVE1096"/>
      <c r="HVF1096"/>
      <c r="HVI1096"/>
      <c r="HVJ1096"/>
      <c r="HVM1096"/>
      <c r="HVN1096"/>
      <c r="HVQ1096"/>
      <c r="HVR1096"/>
      <c r="HVU1096"/>
      <c r="HVV1096"/>
      <c r="HVY1096"/>
      <c r="HVZ1096"/>
      <c r="HWC1096"/>
      <c r="HWD1096"/>
      <c r="HWG1096"/>
      <c r="HWH1096"/>
      <c r="HWK1096"/>
      <c r="HWL1096"/>
      <c r="HWO1096"/>
      <c r="HWP1096"/>
      <c r="HWS1096"/>
      <c r="HWT1096"/>
      <c r="HWW1096"/>
      <c r="HWX1096"/>
      <c r="HXA1096"/>
      <c r="HXB1096"/>
      <c r="HXE1096"/>
      <c r="HXF1096"/>
      <c r="HXI1096"/>
      <c r="HXJ1096"/>
      <c r="HXM1096"/>
      <c r="HXN1096"/>
      <c r="HXQ1096"/>
      <c r="HXR1096"/>
      <c r="HXU1096"/>
      <c r="HXV1096"/>
      <c r="HXY1096"/>
      <c r="HXZ1096"/>
      <c r="HYC1096"/>
      <c r="HYD1096"/>
      <c r="HYG1096"/>
      <c r="HYH1096"/>
      <c r="HYK1096"/>
      <c r="HYL1096"/>
      <c r="HYO1096"/>
      <c r="HYP1096"/>
      <c r="HYS1096"/>
      <c r="HYT1096"/>
      <c r="HYW1096"/>
      <c r="HYX1096"/>
      <c r="HZA1096"/>
      <c r="HZB1096"/>
      <c r="HZE1096"/>
      <c r="HZF1096"/>
      <c r="HZI1096"/>
      <c r="HZJ1096"/>
      <c r="HZM1096"/>
      <c r="HZN1096"/>
      <c r="HZQ1096"/>
      <c r="HZR1096"/>
      <c r="HZU1096"/>
      <c r="HZV1096"/>
      <c r="HZY1096"/>
      <c r="HZZ1096"/>
      <c r="IAC1096"/>
      <c r="IAD1096"/>
      <c r="IAG1096"/>
      <c r="IAH1096"/>
      <c r="IAK1096"/>
      <c r="IAL1096"/>
      <c r="IAO1096"/>
      <c r="IAP1096"/>
      <c r="IAS1096"/>
      <c r="IAT1096"/>
      <c r="IAW1096"/>
      <c r="IAX1096"/>
      <c r="IBA1096"/>
      <c r="IBB1096"/>
      <c r="IBE1096"/>
      <c r="IBF1096"/>
      <c r="IBI1096"/>
      <c r="IBJ1096"/>
      <c r="IBM1096"/>
      <c r="IBN1096"/>
      <c r="IBQ1096"/>
      <c r="IBR1096"/>
      <c r="IBU1096"/>
      <c r="IBV1096"/>
      <c r="IBY1096"/>
      <c r="IBZ1096"/>
      <c r="ICC1096"/>
      <c r="ICD1096"/>
      <c r="ICG1096"/>
      <c r="ICH1096"/>
      <c r="ICK1096"/>
      <c r="ICL1096"/>
      <c r="ICO1096"/>
      <c r="ICP1096"/>
      <c r="ICS1096"/>
      <c r="ICT1096"/>
      <c r="ICW1096"/>
      <c r="ICX1096"/>
      <c r="IDA1096"/>
      <c r="IDB1096"/>
      <c r="IDE1096"/>
      <c r="IDF1096"/>
      <c r="IDI1096"/>
      <c r="IDJ1096"/>
      <c r="IDM1096"/>
      <c r="IDN1096"/>
      <c r="IDQ1096"/>
      <c r="IDR1096"/>
      <c r="IDU1096"/>
      <c r="IDV1096"/>
      <c r="IDY1096"/>
      <c r="IDZ1096"/>
      <c r="IEC1096"/>
      <c r="IED1096"/>
      <c r="IEG1096"/>
      <c r="IEH1096"/>
      <c r="IEK1096"/>
      <c r="IEL1096"/>
      <c r="IEO1096"/>
      <c r="IEP1096"/>
      <c r="IES1096"/>
      <c r="IET1096"/>
      <c r="IEW1096"/>
      <c r="IEX1096"/>
      <c r="IFA1096"/>
      <c r="IFB1096"/>
      <c r="IFE1096"/>
      <c r="IFF1096"/>
      <c r="IFI1096"/>
      <c r="IFJ1096"/>
      <c r="IFM1096"/>
      <c r="IFN1096"/>
      <c r="IFQ1096"/>
      <c r="IFR1096"/>
      <c r="IFU1096"/>
      <c r="IFV1096"/>
      <c r="IFY1096"/>
      <c r="IFZ1096"/>
      <c r="IGC1096"/>
      <c r="IGD1096"/>
      <c r="IGG1096"/>
      <c r="IGH1096"/>
      <c r="IGK1096"/>
      <c r="IGL1096"/>
      <c r="IGO1096"/>
      <c r="IGP1096"/>
      <c r="IGS1096"/>
      <c r="IGT1096"/>
      <c r="IGW1096"/>
      <c r="IGX1096"/>
      <c r="IHA1096"/>
      <c r="IHB1096"/>
      <c r="IHE1096"/>
      <c r="IHF1096"/>
      <c r="IHI1096"/>
      <c r="IHJ1096"/>
      <c r="IHM1096"/>
      <c r="IHN1096"/>
      <c r="IHQ1096"/>
      <c r="IHR1096"/>
      <c r="IHU1096"/>
      <c r="IHV1096"/>
      <c r="IHY1096"/>
      <c r="IHZ1096"/>
      <c r="IIC1096"/>
      <c r="IID1096"/>
      <c r="IIG1096"/>
      <c r="IIH1096"/>
      <c r="IIK1096"/>
      <c r="IIL1096"/>
      <c r="IIO1096"/>
      <c r="IIP1096"/>
      <c r="IIS1096"/>
      <c r="IIT1096"/>
      <c r="IIW1096"/>
      <c r="IIX1096"/>
      <c r="IJA1096"/>
      <c r="IJB1096"/>
      <c r="IJE1096"/>
      <c r="IJF1096"/>
      <c r="IJI1096"/>
      <c r="IJJ1096"/>
      <c r="IJM1096"/>
      <c r="IJN1096"/>
      <c r="IJQ1096"/>
      <c r="IJR1096"/>
      <c r="IJU1096"/>
      <c r="IJV1096"/>
      <c r="IJY1096"/>
      <c r="IJZ1096"/>
      <c r="IKC1096"/>
      <c r="IKD1096"/>
      <c r="IKG1096"/>
      <c r="IKH1096"/>
      <c r="IKK1096"/>
      <c r="IKL1096"/>
      <c r="IKO1096"/>
      <c r="IKP1096"/>
      <c r="IKS1096"/>
      <c r="IKT1096"/>
      <c r="IKW1096"/>
      <c r="IKX1096"/>
      <c r="ILA1096"/>
      <c r="ILB1096"/>
      <c r="ILE1096"/>
      <c r="ILF1096"/>
      <c r="ILI1096"/>
      <c r="ILJ1096"/>
      <c r="ILM1096"/>
      <c r="ILN1096"/>
      <c r="ILQ1096"/>
      <c r="ILR1096"/>
      <c r="ILU1096"/>
      <c r="ILV1096"/>
      <c r="ILY1096"/>
      <c r="ILZ1096"/>
      <c r="IMC1096"/>
      <c r="IMD1096"/>
      <c r="IMG1096"/>
      <c r="IMH1096"/>
      <c r="IMK1096"/>
      <c r="IML1096"/>
      <c r="IMO1096"/>
      <c r="IMP1096"/>
      <c r="IMS1096"/>
      <c r="IMT1096"/>
      <c r="IMW1096"/>
      <c r="IMX1096"/>
      <c r="INA1096"/>
      <c r="INB1096"/>
      <c r="INE1096"/>
      <c r="INF1096"/>
      <c r="INI1096"/>
      <c r="INJ1096"/>
      <c r="INM1096"/>
      <c r="INN1096"/>
      <c r="INQ1096"/>
      <c r="INR1096"/>
      <c r="INU1096"/>
      <c r="INV1096"/>
      <c r="INY1096"/>
      <c r="INZ1096"/>
      <c r="IOC1096"/>
      <c r="IOD1096"/>
      <c r="IOG1096"/>
      <c r="IOH1096"/>
      <c r="IOK1096"/>
      <c r="IOL1096"/>
      <c r="IOO1096"/>
      <c r="IOP1096"/>
      <c r="IOS1096"/>
      <c r="IOT1096"/>
      <c r="IOW1096"/>
      <c r="IOX1096"/>
      <c r="IPA1096"/>
      <c r="IPB1096"/>
      <c r="IPE1096"/>
      <c r="IPF1096"/>
      <c r="IPI1096"/>
      <c r="IPJ1096"/>
      <c r="IPM1096"/>
      <c r="IPN1096"/>
      <c r="IPQ1096"/>
      <c r="IPR1096"/>
      <c r="IPU1096"/>
      <c r="IPV1096"/>
      <c r="IPY1096"/>
      <c r="IPZ1096"/>
      <c r="IQC1096"/>
      <c r="IQD1096"/>
      <c r="IQG1096"/>
      <c r="IQH1096"/>
      <c r="IQK1096"/>
      <c r="IQL1096"/>
      <c r="IQO1096"/>
      <c r="IQP1096"/>
      <c r="IQS1096"/>
      <c r="IQT1096"/>
      <c r="IQW1096"/>
      <c r="IQX1096"/>
      <c r="IRA1096"/>
      <c r="IRB1096"/>
      <c r="IRE1096"/>
      <c r="IRF1096"/>
      <c r="IRI1096"/>
      <c r="IRJ1096"/>
      <c r="IRM1096"/>
      <c r="IRN1096"/>
      <c r="IRQ1096"/>
      <c r="IRR1096"/>
      <c r="IRU1096"/>
      <c r="IRV1096"/>
      <c r="IRY1096"/>
      <c r="IRZ1096"/>
      <c r="ISC1096"/>
      <c r="ISD1096"/>
      <c r="ISG1096"/>
      <c r="ISH1096"/>
      <c r="ISK1096"/>
      <c r="ISL1096"/>
      <c r="ISO1096"/>
      <c r="ISP1096"/>
      <c r="ISS1096"/>
      <c r="IST1096"/>
      <c r="ISW1096"/>
      <c r="ISX1096"/>
      <c r="ITA1096"/>
      <c r="ITB1096"/>
      <c r="ITE1096"/>
      <c r="ITF1096"/>
      <c r="ITI1096"/>
      <c r="ITJ1096"/>
      <c r="ITM1096"/>
      <c r="ITN1096"/>
      <c r="ITQ1096"/>
      <c r="ITR1096"/>
      <c r="ITU1096"/>
      <c r="ITV1096"/>
      <c r="ITY1096"/>
      <c r="ITZ1096"/>
      <c r="IUC1096"/>
      <c r="IUD1096"/>
      <c r="IUG1096"/>
      <c r="IUH1096"/>
      <c r="IUK1096"/>
      <c r="IUL1096"/>
      <c r="IUO1096"/>
      <c r="IUP1096"/>
      <c r="IUS1096"/>
      <c r="IUT1096"/>
      <c r="IUW1096"/>
      <c r="IUX1096"/>
      <c r="IVA1096"/>
      <c r="IVB1096"/>
      <c r="IVE1096"/>
      <c r="IVF1096"/>
      <c r="IVI1096"/>
      <c r="IVJ1096"/>
      <c r="IVM1096"/>
      <c r="IVN1096"/>
      <c r="IVQ1096"/>
      <c r="IVR1096"/>
      <c r="IVU1096"/>
      <c r="IVV1096"/>
      <c r="IVY1096"/>
      <c r="IVZ1096"/>
      <c r="IWC1096"/>
      <c r="IWD1096"/>
      <c r="IWG1096"/>
      <c r="IWH1096"/>
      <c r="IWK1096"/>
      <c r="IWL1096"/>
      <c r="IWO1096"/>
      <c r="IWP1096"/>
      <c r="IWS1096"/>
      <c r="IWT1096"/>
      <c r="IWW1096"/>
      <c r="IWX1096"/>
      <c r="IXA1096"/>
      <c r="IXB1096"/>
      <c r="IXE1096"/>
      <c r="IXF1096"/>
      <c r="IXI1096"/>
      <c r="IXJ1096"/>
      <c r="IXM1096"/>
      <c r="IXN1096"/>
      <c r="IXQ1096"/>
      <c r="IXR1096"/>
      <c r="IXU1096"/>
      <c r="IXV1096"/>
      <c r="IXY1096"/>
      <c r="IXZ1096"/>
      <c r="IYC1096"/>
      <c r="IYD1096"/>
      <c r="IYG1096"/>
      <c r="IYH1096"/>
      <c r="IYK1096"/>
      <c r="IYL1096"/>
      <c r="IYO1096"/>
      <c r="IYP1096"/>
      <c r="IYS1096"/>
      <c r="IYT1096"/>
      <c r="IYW1096"/>
      <c r="IYX1096"/>
      <c r="IZA1096"/>
      <c r="IZB1096"/>
      <c r="IZE1096"/>
      <c r="IZF1096"/>
      <c r="IZI1096"/>
      <c r="IZJ1096"/>
      <c r="IZM1096"/>
      <c r="IZN1096"/>
      <c r="IZQ1096"/>
      <c r="IZR1096"/>
      <c r="IZU1096"/>
      <c r="IZV1096"/>
      <c r="IZY1096"/>
      <c r="IZZ1096"/>
      <c r="JAC1096"/>
      <c r="JAD1096"/>
      <c r="JAG1096"/>
      <c r="JAH1096"/>
      <c r="JAK1096"/>
      <c r="JAL1096"/>
      <c r="JAO1096"/>
      <c r="JAP1096"/>
      <c r="JAS1096"/>
      <c r="JAT1096"/>
      <c r="JAW1096"/>
      <c r="JAX1096"/>
      <c r="JBA1096"/>
      <c r="JBB1096"/>
      <c r="JBE1096"/>
      <c r="JBF1096"/>
      <c r="JBI1096"/>
      <c r="JBJ1096"/>
      <c r="JBM1096"/>
      <c r="JBN1096"/>
      <c r="JBQ1096"/>
      <c r="JBR1096"/>
      <c r="JBU1096"/>
      <c r="JBV1096"/>
      <c r="JBY1096"/>
      <c r="JBZ1096"/>
      <c r="JCC1096"/>
      <c r="JCD1096"/>
      <c r="JCG1096"/>
      <c r="JCH1096"/>
      <c r="JCK1096"/>
      <c r="JCL1096"/>
      <c r="JCO1096"/>
      <c r="JCP1096"/>
      <c r="JCS1096"/>
      <c r="JCT1096"/>
      <c r="JCW1096"/>
      <c r="JCX1096"/>
      <c r="JDA1096"/>
      <c r="JDB1096"/>
      <c r="JDE1096"/>
      <c r="JDF1096"/>
      <c r="JDI1096"/>
      <c r="JDJ1096"/>
      <c r="JDM1096"/>
      <c r="JDN1096"/>
      <c r="JDQ1096"/>
      <c r="JDR1096"/>
      <c r="JDU1096"/>
      <c r="JDV1096"/>
      <c r="JDY1096"/>
      <c r="JDZ1096"/>
      <c r="JEC1096"/>
      <c r="JED1096"/>
      <c r="JEG1096"/>
      <c r="JEH1096"/>
      <c r="JEK1096"/>
      <c r="JEL1096"/>
      <c r="JEO1096"/>
      <c r="JEP1096"/>
      <c r="JES1096"/>
      <c r="JET1096"/>
      <c r="JEW1096"/>
      <c r="JEX1096"/>
      <c r="JFA1096"/>
      <c r="JFB1096"/>
      <c r="JFE1096"/>
      <c r="JFF1096"/>
      <c r="JFI1096"/>
      <c r="JFJ1096"/>
      <c r="JFM1096"/>
      <c r="JFN1096"/>
      <c r="JFQ1096"/>
      <c r="JFR1096"/>
      <c r="JFU1096"/>
      <c r="JFV1096"/>
      <c r="JFY1096"/>
      <c r="JFZ1096"/>
      <c r="JGC1096"/>
      <c r="JGD1096"/>
      <c r="JGG1096"/>
      <c r="JGH1096"/>
      <c r="JGK1096"/>
      <c r="JGL1096"/>
      <c r="JGO1096"/>
      <c r="JGP1096"/>
      <c r="JGS1096"/>
      <c r="JGT1096"/>
      <c r="JGW1096"/>
      <c r="JGX1096"/>
      <c r="JHA1096"/>
      <c r="JHB1096"/>
      <c r="JHE1096"/>
      <c r="JHF1096"/>
      <c r="JHI1096"/>
      <c r="JHJ1096"/>
      <c r="JHM1096"/>
      <c r="JHN1096"/>
      <c r="JHQ1096"/>
      <c r="JHR1096"/>
      <c r="JHU1096"/>
      <c r="JHV1096"/>
      <c r="JHY1096"/>
      <c r="JHZ1096"/>
      <c r="JIC1096"/>
      <c r="JID1096"/>
      <c r="JIG1096"/>
      <c r="JIH1096"/>
      <c r="JIK1096"/>
      <c r="JIL1096"/>
      <c r="JIO1096"/>
      <c r="JIP1096"/>
      <c r="JIS1096"/>
      <c r="JIT1096"/>
      <c r="JIW1096"/>
      <c r="JIX1096"/>
      <c r="JJA1096"/>
      <c r="JJB1096"/>
      <c r="JJE1096"/>
      <c r="JJF1096"/>
      <c r="JJI1096"/>
      <c r="JJJ1096"/>
      <c r="JJM1096"/>
      <c r="JJN1096"/>
      <c r="JJQ1096"/>
      <c r="JJR1096"/>
      <c r="JJU1096"/>
      <c r="JJV1096"/>
      <c r="JJY1096"/>
      <c r="JJZ1096"/>
      <c r="JKC1096"/>
      <c r="JKD1096"/>
      <c r="JKG1096"/>
      <c r="JKH1096"/>
      <c r="JKK1096"/>
      <c r="JKL1096"/>
      <c r="JKO1096"/>
      <c r="JKP1096"/>
      <c r="JKS1096"/>
      <c r="JKT1096"/>
      <c r="JKW1096"/>
      <c r="JKX1096"/>
      <c r="JLA1096"/>
      <c r="JLB1096"/>
      <c r="JLE1096"/>
      <c r="JLF1096"/>
      <c r="JLI1096"/>
      <c r="JLJ1096"/>
      <c r="JLM1096"/>
      <c r="JLN1096"/>
      <c r="JLQ1096"/>
      <c r="JLR1096"/>
      <c r="JLU1096"/>
      <c r="JLV1096"/>
      <c r="JLY1096"/>
      <c r="JLZ1096"/>
      <c r="JMC1096"/>
      <c r="JMD1096"/>
      <c r="JMG1096"/>
      <c r="JMH1096"/>
      <c r="JMK1096"/>
      <c r="JML1096"/>
      <c r="JMO1096"/>
      <c r="JMP1096"/>
      <c r="JMS1096"/>
      <c r="JMT1096"/>
      <c r="JMW1096"/>
      <c r="JMX1096"/>
      <c r="JNA1096"/>
      <c r="JNB1096"/>
      <c r="JNE1096"/>
      <c r="JNF1096"/>
      <c r="JNI1096"/>
      <c r="JNJ1096"/>
      <c r="JNM1096"/>
      <c r="JNN1096"/>
      <c r="JNQ1096"/>
      <c r="JNR1096"/>
      <c r="JNU1096"/>
      <c r="JNV1096"/>
      <c r="JNY1096"/>
      <c r="JNZ1096"/>
      <c r="JOC1096"/>
      <c r="JOD1096"/>
      <c r="JOG1096"/>
      <c r="JOH1096"/>
      <c r="JOK1096"/>
      <c r="JOL1096"/>
      <c r="JOO1096"/>
      <c r="JOP1096"/>
      <c r="JOS1096"/>
      <c r="JOT1096"/>
      <c r="JOW1096"/>
      <c r="JOX1096"/>
      <c r="JPA1096"/>
      <c r="JPB1096"/>
      <c r="JPE1096"/>
      <c r="JPF1096"/>
      <c r="JPI1096"/>
      <c r="JPJ1096"/>
      <c r="JPM1096"/>
      <c r="JPN1096"/>
      <c r="JPQ1096"/>
      <c r="JPR1096"/>
      <c r="JPU1096"/>
      <c r="JPV1096"/>
      <c r="JPY1096"/>
      <c r="JPZ1096"/>
      <c r="JQC1096"/>
      <c r="JQD1096"/>
      <c r="JQG1096"/>
      <c r="JQH1096"/>
      <c r="JQK1096"/>
      <c r="JQL1096"/>
      <c r="JQO1096"/>
      <c r="JQP1096"/>
      <c r="JQS1096"/>
      <c r="JQT1096"/>
      <c r="JQW1096"/>
      <c r="JQX1096"/>
      <c r="JRA1096"/>
      <c r="JRB1096"/>
      <c r="JRE1096"/>
      <c r="JRF1096"/>
      <c r="JRI1096"/>
      <c r="JRJ1096"/>
      <c r="JRM1096"/>
      <c r="JRN1096"/>
      <c r="JRQ1096"/>
      <c r="JRR1096"/>
      <c r="JRU1096"/>
      <c r="JRV1096"/>
      <c r="JRY1096"/>
      <c r="JRZ1096"/>
      <c r="JSC1096"/>
      <c r="JSD1096"/>
      <c r="JSG1096"/>
      <c r="JSH1096"/>
      <c r="JSK1096"/>
      <c r="JSL1096"/>
      <c r="JSO1096"/>
      <c r="JSP1096"/>
      <c r="JSS1096"/>
      <c r="JST1096"/>
      <c r="JSW1096"/>
      <c r="JSX1096"/>
      <c r="JTA1096"/>
      <c r="JTB1096"/>
      <c r="JTE1096"/>
      <c r="JTF1096"/>
      <c r="JTI1096"/>
      <c r="JTJ1096"/>
      <c r="JTM1096"/>
      <c r="JTN1096"/>
      <c r="JTQ1096"/>
      <c r="JTR1096"/>
      <c r="JTU1096"/>
      <c r="JTV1096"/>
      <c r="JTY1096"/>
      <c r="JTZ1096"/>
      <c r="JUC1096"/>
      <c r="JUD1096"/>
      <c r="JUG1096"/>
      <c r="JUH1096"/>
      <c r="JUK1096"/>
      <c r="JUL1096"/>
      <c r="JUO1096"/>
      <c r="JUP1096"/>
      <c r="JUS1096"/>
      <c r="JUT1096"/>
      <c r="JUW1096"/>
      <c r="JUX1096"/>
      <c r="JVA1096"/>
      <c r="JVB1096"/>
      <c r="JVE1096"/>
      <c r="JVF1096"/>
      <c r="JVI1096"/>
      <c r="JVJ1096"/>
      <c r="JVM1096"/>
      <c r="JVN1096"/>
      <c r="JVQ1096"/>
      <c r="JVR1096"/>
      <c r="JVU1096"/>
      <c r="JVV1096"/>
      <c r="JVY1096"/>
      <c r="JVZ1096"/>
      <c r="JWC1096"/>
      <c r="JWD1096"/>
      <c r="JWG1096"/>
      <c r="JWH1096"/>
      <c r="JWK1096"/>
      <c r="JWL1096"/>
      <c r="JWO1096"/>
      <c r="JWP1096"/>
      <c r="JWS1096"/>
      <c r="JWT1096"/>
      <c r="JWW1096"/>
      <c r="JWX1096"/>
      <c r="JXA1096"/>
      <c r="JXB1096"/>
      <c r="JXE1096"/>
      <c r="JXF1096"/>
      <c r="JXI1096"/>
      <c r="JXJ1096"/>
      <c r="JXM1096"/>
      <c r="JXN1096"/>
      <c r="JXQ1096"/>
      <c r="JXR1096"/>
      <c r="JXU1096"/>
      <c r="JXV1096"/>
      <c r="JXY1096"/>
      <c r="JXZ1096"/>
      <c r="JYC1096"/>
      <c r="JYD1096"/>
      <c r="JYG1096"/>
      <c r="JYH1096"/>
      <c r="JYK1096"/>
      <c r="JYL1096"/>
      <c r="JYO1096"/>
      <c r="JYP1096"/>
      <c r="JYS1096"/>
      <c r="JYT1096"/>
      <c r="JYW1096"/>
      <c r="JYX1096"/>
      <c r="JZA1096"/>
      <c r="JZB1096"/>
      <c r="JZE1096"/>
      <c r="JZF1096"/>
      <c r="JZI1096"/>
      <c r="JZJ1096"/>
      <c r="JZM1096"/>
      <c r="JZN1096"/>
      <c r="JZQ1096"/>
      <c r="JZR1096"/>
      <c r="JZU1096"/>
      <c r="JZV1096"/>
      <c r="JZY1096"/>
      <c r="JZZ1096"/>
      <c r="KAC1096"/>
      <c r="KAD1096"/>
      <c r="KAG1096"/>
      <c r="KAH1096"/>
      <c r="KAK1096"/>
      <c r="KAL1096"/>
      <c r="KAO1096"/>
      <c r="KAP1096"/>
      <c r="KAS1096"/>
      <c r="KAT1096"/>
      <c r="KAW1096"/>
      <c r="KAX1096"/>
      <c r="KBA1096"/>
      <c r="KBB1096"/>
      <c r="KBE1096"/>
      <c r="KBF1096"/>
      <c r="KBI1096"/>
      <c r="KBJ1096"/>
      <c r="KBM1096"/>
      <c r="KBN1096"/>
      <c r="KBQ1096"/>
      <c r="KBR1096"/>
      <c r="KBU1096"/>
      <c r="KBV1096"/>
      <c r="KBY1096"/>
      <c r="KBZ1096"/>
      <c r="KCC1096"/>
      <c r="KCD1096"/>
      <c r="KCG1096"/>
      <c r="KCH1096"/>
      <c r="KCK1096"/>
      <c r="KCL1096"/>
      <c r="KCO1096"/>
      <c r="KCP1096"/>
      <c r="KCS1096"/>
      <c r="KCT1096"/>
      <c r="KCW1096"/>
      <c r="KCX1096"/>
      <c r="KDA1096"/>
      <c r="KDB1096"/>
      <c r="KDE1096"/>
      <c r="KDF1096"/>
      <c r="KDI1096"/>
      <c r="KDJ1096"/>
      <c r="KDM1096"/>
      <c r="KDN1096"/>
      <c r="KDQ1096"/>
      <c r="KDR1096"/>
      <c r="KDU1096"/>
      <c r="KDV1096"/>
      <c r="KDY1096"/>
      <c r="KDZ1096"/>
      <c r="KEC1096"/>
      <c r="KED1096"/>
      <c r="KEG1096"/>
      <c r="KEH1096"/>
      <c r="KEK1096"/>
      <c r="KEL1096"/>
      <c r="KEO1096"/>
      <c r="KEP1096"/>
      <c r="KES1096"/>
      <c r="KET1096"/>
      <c r="KEW1096"/>
      <c r="KEX1096"/>
      <c r="KFA1096"/>
      <c r="KFB1096"/>
      <c r="KFE1096"/>
      <c r="KFF1096"/>
      <c r="KFI1096"/>
      <c r="KFJ1096"/>
      <c r="KFM1096"/>
      <c r="KFN1096"/>
      <c r="KFQ1096"/>
      <c r="KFR1096"/>
      <c r="KFU1096"/>
      <c r="KFV1096"/>
      <c r="KFY1096"/>
      <c r="KFZ1096"/>
      <c r="KGC1096"/>
      <c r="KGD1096"/>
      <c r="KGG1096"/>
      <c r="KGH1096"/>
      <c r="KGK1096"/>
      <c r="KGL1096"/>
      <c r="KGO1096"/>
      <c r="KGP1096"/>
      <c r="KGS1096"/>
      <c r="KGT1096"/>
      <c r="KGW1096"/>
      <c r="KGX1096"/>
      <c r="KHA1096"/>
      <c r="KHB1096"/>
      <c r="KHE1096"/>
      <c r="KHF1096"/>
      <c r="KHI1096"/>
      <c r="KHJ1096"/>
      <c r="KHM1096"/>
      <c r="KHN1096"/>
      <c r="KHQ1096"/>
      <c r="KHR1096"/>
      <c r="KHU1096"/>
      <c r="KHV1096"/>
      <c r="KHY1096"/>
      <c r="KHZ1096"/>
      <c r="KIC1096"/>
      <c r="KID1096"/>
      <c r="KIG1096"/>
      <c r="KIH1096"/>
      <c r="KIK1096"/>
      <c r="KIL1096"/>
      <c r="KIO1096"/>
      <c r="KIP1096"/>
      <c r="KIS1096"/>
      <c r="KIT1096"/>
      <c r="KIW1096"/>
      <c r="KIX1096"/>
      <c r="KJA1096"/>
      <c r="KJB1096"/>
      <c r="KJE1096"/>
      <c r="KJF1096"/>
      <c r="KJI1096"/>
      <c r="KJJ1096"/>
      <c r="KJM1096"/>
      <c r="KJN1096"/>
      <c r="KJQ1096"/>
      <c r="KJR1096"/>
      <c r="KJU1096"/>
      <c r="KJV1096"/>
      <c r="KJY1096"/>
      <c r="KJZ1096"/>
      <c r="KKC1096"/>
      <c r="KKD1096"/>
      <c r="KKG1096"/>
      <c r="KKH1096"/>
      <c r="KKK1096"/>
      <c r="KKL1096"/>
      <c r="KKO1096"/>
      <c r="KKP1096"/>
      <c r="KKS1096"/>
      <c r="KKT1096"/>
      <c r="KKW1096"/>
      <c r="KKX1096"/>
      <c r="KLA1096"/>
      <c r="KLB1096"/>
      <c r="KLE1096"/>
      <c r="KLF1096"/>
      <c r="KLI1096"/>
      <c r="KLJ1096"/>
      <c r="KLM1096"/>
      <c r="KLN1096"/>
      <c r="KLQ1096"/>
      <c r="KLR1096"/>
      <c r="KLU1096"/>
      <c r="KLV1096"/>
      <c r="KLY1096"/>
      <c r="KLZ1096"/>
      <c r="KMC1096"/>
      <c r="KMD1096"/>
      <c r="KMG1096"/>
      <c r="KMH1096"/>
      <c r="KMK1096"/>
      <c r="KML1096"/>
      <c r="KMO1096"/>
      <c r="KMP1096"/>
      <c r="KMS1096"/>
      <c r="KMT1096"/>
      <c r="KMW1096"/>
      <c r="KMX1096"/>
      <c r="KNA1096"/>
      <c r="KNB1096"/>
      <c r="KNE1096"/>
      <c r="KNF1096"/>
      <c r="KNI1096"/>
      <c r="KNJ1096"/>
      <c r="KNM1096"/>
      <c r="KNN1096"/>
      <c r="KNQ1096"/>
      <c r="KNR1096"/>
      <c r="KNU1096"/>
      <c r="KNV1096"/>
      <c r="KNY1096"/>
      <c r="KNZ1096"/>
      <c r="KOC1096"/>
      <c r="KOD1096"/>
      <c r="KOG1096"/>
      <c r="KOH1096"/>
      <c r="KOK1096"/>
      <c r="KOL1096"/>
      <c r="KOO1096"/>
      <c r="KOP1096"/>
      <c r="KOS1096"/>
      <c r="KOT1096"/>
      <c r="KOW1096"/>
      <c r="KOX1096"/>
      <c r="KPA1096"/>
      <c r="KPB1096"/>
      <c r="KPE1096"/>
      <c r="KPF1096"/>
      <c r="KPI1096"/>
      <c r="KPJ1096"/>
      <c r="KPM1096"/>
      <c r="KPN1096"/>
      <c r="KPQ1096"/>
      <c r="KPR1096"/>
      <c r="KPU1096"/>
      <c r="KPV1096"/>
      <c r="KPY1096"/>
      <c r="KPZ1096"/>
      <c r="KQC1096"/>
      <c r="KQD1096"/>
      <c r="KQG1096"/>
      <c r="KQH1096"/>
      <c r="KQK1096"/>
      <c r="KQL1096"/>
      <c r="KQO1096"/>
      <c r="KQP1096"/>
      <c r="KQS1096"/>
      <c r="KQT1096"/>
      <c r="KQW1096"/>
      <c r="KQX1096"/>
      <c r="KRA1096"/>
      <c r="KRB1096"/>
      <c r="KRE1096"/>
      <c r="KRF1096"/>
      <c r="KRI1096"/>
      <c r="KRJ1096"/>
      <c r="KRM1096"/>
      <c r="KRN1096"/>
      <c r="KRQ1096"/>
      <c r="KRR1096"/>
      <c r="KRU1096"/>
      <c r="KRV1096"/>
      <c r="KRY1096"/>
      <c r="KRZ1096"/>
      <c r="KSC1096"/>
      <c r="KSD1096"/>
      <c r="KSG1096"/>
      <c r="KSH1096"/>
      <c r="KSK1096"/>
      <c r="KSL1096"/>
      <c r="KSO1096"/>
      <c r="KSP1096"/>
      <c r="KSS1096"/>
      <c r="KST1096"/>
      <c r="KSW1096"/>
      <c r="KSX1096"/>
      <c r="KTA1096"/>
      <c r="KTB1096"/>
      <c r="KTE1096"/>
      <c r="KTF1096"/>
      <c r="KTI1096"/>
      <c r="KTJ1096"/>
      <c r="KTM1096"/>
      <c r="KTN1096"/>
      <c r="KTQ1096"/>
      <c r="KTR1096"/>
      <c r="KTU1096"/>
      <c r="KTV1096"/>
      <c r="KTY1096"/>
      <c r="KTZ1096"/>
      <c r="KUC1096"/>
      <c r="KUD1096"/>
      <c r="KUG1096"/>
      <c r="KUH1096"/>
      <c r="KUK1096"/>
      <c r="KUL1096"/>
      <c r="KUO1096"/>
      <c r="KUP1096"/>
      <c r="KUS1096"/>
      <c r="KUT1096"/>
      <c r="KUW1096"/>
      <c r="KUX1096"/>
      <c r="KVA1096"/>
      <c r="KVB1096"/>
      <c r="KVE1096"/>
      <c r="KVF1096"/>
      <c r="KVI1096"/>
      <c r="KVJ1096"/>
      <c r="KVM1096"/>
      <c r="KVN1096"/>
      <c r="KVQ1096"/>
      <c r="KVR1096"/>
      <c r="KVU1096"/>
      <c r="KVV1096"/>
      <c r="KVY1096"/>
      <c r="KVZ1096"/>
      <c r="KWC1096"/>
      <c r="KWD1096"/>
      <c r="KWG1096"/>
      <c r="KWH1096"/>
      <c r="KWK1096"/>
      <c r="KWL1096"/>
      <c r="KWO1096"/>
      <c r="KWP1096"/>
      <c r="KWS1096"/>
      <c r="KWT1096"/>
      <c r="KWW1096"/>
      <c r="KWX1096"/>
      <c r="KXA1096"/>
      <c r="KXB1096"/>
      <c r="KXE1096"/>
      <c r="KXF1096"/>
      <c r="KXI1096"/>
      <c r="KXJ1096"/>
      <c r="KXM1096"/>
      <c r="KXN1096"/>
      <c r="KXQ1096"/>
      <c r="KXR1096"/>
      <c r="KXU1096"/>
      <c r="KXV1096"/>
      <c r="KXY1096"/>
      <c r="KXZ1096"/>
      <c r="KYC1096"/>
      <c r="KYD1096"/>
      <c r="KYG1096"/>
      <c r="KYH1096"/>
      <c r="KYK1096"/>
      <c r="KYL1096"/>
      <c r="KYO1096"/>
      <c r="KYP1096"/>
      <c r="KYS1096"/>
      <c r="KYT1096"/>
      <c r="KYW1096"/>
      <c r="KYX1096"/>
      <c r="KZA1096"/>
      <c r="KZB1096"/>
      <c r="KZE1096"/>
      <c r="KZF1096"/>
      <c r="KZI1096"/>
      <c r="KZJ1096"/>
      <c r="KZM1096"/>
      <c r="KZN1096"/>
      <c r="KZQ1096"/>
      <c r="KZR1096"/>
      <c r="KZU1096"/>
      <c r="KZV1096"/>
      <c r="KZY1096"/>
      <c r="KZZ1096"/>
      <c r="LAC1096"/>
      <c r="LAD1096"/>
      <c r="LAG1096"/>
      <c r="LAH1096"/>
      <c r="LAK1096"/>
      <c r="LAL1096"/>
      <c r="LAO1096"/>
      <c r="LAP1096"/>
      <c r="LAS1096"/>
      <c r="LAT1096"/>
      <c r="LAW1096"/>
      <c r="LAX1096"/>
      <c r="LBA1096"/>
      <c r="LBB1096"/>
      <c r="LBE1096"/>
      <c r="LBF1096"/>
      <c r="LBI1096"/>
      <c r="LBJ1096"/>
      <c r="LBM1096"/>
      <c r="LBN1096"/>
      <c r="LBQ1096"/>
      <c r="LBR1096"/>
      <c r="LBU1096"/>
      <c r="LBV1096"/>
      <c r="LBY1096"/>
      <c r="LBZ1096"/>
      <c r="LCC1096"/>
      <c r="LCD1096"/>
      <c r="LCG1096"/>
      <c r="LCH1096"/>
      <c r="LCK1096"/>
      <c r="LCL1096"/>
      <c r="LCO1096"/>
      <c r="LCP1096"/>
      <c r="LCS1096"/>
      <c r="LCT1096"/>
      <c r="LCW1096"/>
      <c r="LCX1096"/>
      <c r="LDA1096"/>
      <c r="LDB1096"/>
      <c r="LDE1096"/>
      <c r="LDF1096"/>
      <c r="LDI1096"/>
      <c r="LDJ1096"/>
      <c r="LDM1096"/>
      <c r="LDN1096"/>
      <c r="LDQ1096"/>
      <c r="LDR1096"/>
      <c r="LDU1096"/>
      <c r="LDV1096"/>
      <c r="LDY1096"/>
      <c r="LDZ1096"/>
      <c r="LEC1096"/>
      <c r="LED1096"/>
      <c r="LEG1096"/>
      <c r="LEH1096"/>
      <c r="LEK1096"/>
      <c r="LEL1096"/>
      <c r="LEO1096"/>
      <c r="LEP1096"/>
      <c r="LES1096"/>
      <c r="LET1096"/>
      <c r="LEW1096"/>
      <c r="LEX1096"/>
      <c r="LFA1096"/>
      <c r="LFB1096"/>
      <c r="LFE1096"/>
      <c r="LFF1096"/>
      <c r="LFI1096"/>
      <c r="LFJ1096"/>
      <c r="LFM1096"/>
      <c r="LFN1096"/>
      <c r="LFQ1096"/>
      <c r="LFR1096"/>
      <c r="LFU1096"/>
      <c r="LFV1096"/>
      <c r="LFY1096"/>
      <c r="LFZ1096"/>
      <c r="LGC1096"/>
      <c r="LGD1096"/>
      <c r="LGG1096"/>
      <c r="LGH1096"/>
      <c r="LGK1096"/>
      <c r="LGL1096"/>
      <c r="LGO1096"/>
      <c r="LGP1096"/>
      <c r="LGS1096"/>
      <c r="LGT1096"/>
      <c r="LGW1096"/>
      <c r="LGX1096"/>
      <c r="LHA1096"/>
      <c r="LHB1096"/>
      <c r="LHE1096"/>
      <c r="LHF1096"/>
      <c r="LHI1096"/>
      <c r="LHJ1096"/>
      <c r="LHM1096"/>
      <c r="LHN1096"/>
      <c r="LHQ1096"/>
      <c r="LHR1096"/>
      <c r="LHU1096"/>
      <c r="LHV1096"/>
      <c r="LHY1096"/>
      <c r="LHZ1096"/>
      <c r="LIC1096"/>
      <c r="LID1096"/>
      <c r="LIG1096"/>
      <c r="LIH1096"/>
      <c r="LIK1096"/>
      <c r="LIL1096"/>
      <c r="LIO1096"/>
      <c r="LIP1096"/>
      <c r="LIS1096"/>
      <c r="LIT1096"/>
      <c r="LIW1096"/>
      <c r="LIX1096"/>
      <c r="LJA1096"/>
      <c r="LJB1096"/>
      <c r="LJE1096"/>
      <c r="LJF1096"/>
      <c r="LJI1096"/>
      <c r="LJJ1096"/>
      <c r="LJM1096"/>
      <c r="LJN1096"/>
      <c r="LJQ1096"/>
      <c r="LJR1096"/>
      <c r="LJU1096"/>
      <c r="LJV1096"/>
      <c r="LJY1096"/>
      <c r="LJZ1096"/>
      <c r="LKC1096"/>
      <c r="LKD1096"/>
      <c r="LKG1096"/>
      <c r="LKH1096"/>
      <c r="LKK1096"/>
      <c r="LKL1096"/>
      <c r="LKO1096"/>
      <c r="LKP1096"/>
      <c r="LKS1096"/>
      <c r="LKT1096"/>
      <c r="LKW1096"/>
      <c r="LKX1096"/>
      <c r="LLA1096"/>
      <c r="LLB1096"/>
      <c r="LLE1096"/>
      <c r="LLF1096"/>
      <c r="LLI1096"/>
      <c r="LLJ1096"/>
      <c r="LLM1096"/>
      <c r="LLN1096"/>
      <c r="LLQ1096"/>
      <c r="LLR1096"/>
      <c r="LLU1096"/>
      <c r="LLV1096"/>
      <c r="LLY1096"/>
      <c r="LLZ1096"/>
      <c r="LMC1096"/>
      <c r="LMD1096"/>
      <c r="LMG1096"/>
      <c r="LMH1096"/>
      <c r="LMK1096"/>
      <c r="LML1096"/>
      <c r="LMO1096"/>
      <c r="LMP1096"/>
      <c r="LMS1096"/>
      <c r="LMT1096"/>
      <c r="LMW1096"/>
      <c r="LMX1096"/>
      <c r="LNA1096"/>
      <c r="LNB1096"/>
      <c r="LNE1096"/>
      <c r="LNF1096"/>
      <c r="LNI1096"/>
      <c r="LNJ1096"/>
      <c r="LNM1096"/>
      <c r="LNN1096"/>
      <c r="LNQ1096"/>
      <c r="LNR1096"/>
      <c r="LNU1096"/>
      <c r="LNV1096"/>
      <c r="LNY1096"/>
      <c r="LNZ1096"/>
      <c r="LOC1096"/>
      <c r="LOD1096"/>
      <c r="LOG1096"/>
      <c r="LOH1096"/>
      <c r="LOK1096"/>
      <c r="LOL1096"/>
      <c r="LOO1096"/>
      <c r="LOP1096"/>
      <c r="LOS1096"/>
      <c r="LOT1096"/>
      <c r="LOW1096"/>
      <c r="LOX1096"/>
      <c r="LPA1096"/>
      <c r="LPB1096"/>
      <c r="LPE1096"/>
      <c r="LPF1096"/>
      <c r="LPI1096"/>
      <c r="LPJ1096"/>
      <c r="LPM1096"/>
      <c r="LPN1096"/>
      <c r="LPQ1096"/>
      <c r="LPR1096"/>
      <c r="LPU1096"/>
      <c r="LPV1096"/>
      <c r="LPY1096"/>
      <c r="LPZ1096"/>
      <c r="LQC1096"/>
      <c r="LQD1096"/>
      <c r="LQG1096"/>
      <c r="LQH1096"/>
      <c r="LQK1096"/>
      <c r="LQL1096"/>
      <c r="LQO1096"/>
      <c r="LQP1096"/>
      <c r="LQS1096"/>
      <c r="LQT1096"/>
      <c r="LQW1096"/>
      <c r="LQX1096"/>
      <c r="LRA1096"/>
      <c r="LRB1096"/>
      <c r="LRE1096"/>
      <c r="LRF1096"/>
      <c r="LRI1096"/>
      <c r="LRJ1096"/>
      <c r="LRM1096"/>
      <c r="LRN1096"/>
      <c r="LRQ1096"/>
      <c r="LRR1096"/>
      <c r="LRU1096"/>
      <c r="LRV1096"/>
      <c r="LRY1096"/>
      <c r="LRZ1096"/>
      <c r="LSC1096"/>
      <c r="LSD1096"/>
      <c r="LSG1096"/>
      <c r="LSH1096"/>
      <c r="LSK1096"/>
      <c r="LSL1096"/>
      <c r="LSO1096"/>
      <c r="LSP1096"/>
      <c r="LSS1096"/>
      <c r="LST1096"/>
      <c r="LSW1096"/>
      <c r="LSX1096"/>
      <c r="LTA1096"/>
      <c r="LTB1096"/>
      <c r="LTE1096"/>
      <c r="LTF1096"/>
      <c r="LTI1096"/>
      <c r="LTJ1096"/>
      <c r="LTM1096"/>
      <c r="LTN1096"/>
      <c r="LTQ1096"/>
      <c r="LTR1096"/>
      <c r="LTU1096"/>
      <c r="LTV1096"/>
      <c r="LTY1096"/>
      <c r="LTZ1096"/>
      <c r="LUC1096"/>
      <c r="LUD1096"/>
      <c r="LUG1096"/>
      <c r="LUH1096"/>
      <c r="LUK1096"/>
      <c r="LUL1096"/>
      <c r="LUO1096"/>
      <c r="LUP1096"/>
      <c r="LUS1096"/>
      <c r="LUT1096"/>
      <c r="LUW1096"/>
      <c r="LUX1096"/>
      <c r="LVA1096"/>
      <c r="LVB1096"/>
      <c r="LVE1096"/>
      <c r="LVF1096"/>
      <c r="LVI1096"/>
      <c r="LVJ1096"/>
      <c r="LVM1096"/>
      <c r="LVN1096"/>
      <c r="LVQ1096"/>
      <c r="LVR1096"/>
      <c r="LVU1096"/>
      <c r="LVV1096"/>
      <c r="LVY1096"/>
      <c r="LVZ1096"/>
      <c r="LWC1096"/>
      <c r="LWD1096"/>
      <c r="LWG1096"/>
      <c r="LWH1096"/>
      <c r="LWK1096"/>
      <c r="LWL1096"/>
      <c r="LWO1096"/>
      <c r="LWP1096"/>
      <c r="LWS1096"/>
      <c r="LWT1096"/>
      <c r="LWW1096"/>
      <c r="LWX1096"/>
      <c r="LXA1096"/>
      <c r="LXB1096"/>
      <c r="LXE1096"/>
      <c r="LXF1096"/>
      <c r="LXI1096"/>
      <c r="LXJ1096"/>
      <c r="LXM1096"/>
      <c r="LXN1096"/>
      <c r="LXQ1096"/>
      <c r="LXR1096"/>
      <c r="LXU1096"/>
      <c r="LXV1096"/>
      <c r="LXY1096"/>
      <c r="LXZ1096"/>
      <c r="LYC1096"/>
      <c r="LYD1096"/>
      <c r="LYG1096"/>
      <c r="LYH1096"/>
      <c r="LYK1096"/>
      <c r="LYL1096"/>
      <c r="LYO1096"/>
      <c r="LYP1096"/>
      <c r="LYS1096"/>
      <c r="LYT1096"/>
      <c r="LYW1096"/>
      <c r="LYX1096"/>
      <c r="LZA1096"/>
      <c r="LZB1096"/>
      <c r="LZE1096"/>
      <c r="LZF1096"/>
      <c r="LZI1096"/>
      <c r="LZJ1096"/>
      <c r="LZM1096"/>
      <c r="LZN1096"/>
      <c r="LZQ1096"/>
      <c r="LZR1096"/>
      <c r="LZU1096"/>
      <c r="LZV1096"/>
      <c r="LZY1096"/>
      <c r="LZZ1096"/>
      <c r="MAC1096"/>
      <c r="MAD1096"/>
      <c r="MAG1096"/>
      <c r="MAH1096"/>
      <c r="MAK1096"/>
      <c r="MAL1096"/>
      <c r="MAO1096"/>
      <c r="MAP1096"/>
      <c r="MAS1096"/>
      <c r="MAT1096"/>
      <c r="MAW1096"/>
      <c r="MAX1096"/>
      <c r="MBA1096"/>
      <c r="MBB1096"/>
      <c r="MBE1096"/>
      <c r="MBF1096"/>
      <c r="MBI1096"/>
      <c r="MBJ1096"/>
      <c r="MBM1096"/>
      <c r="MBN1096"/>
      <c r="MBQ1096"/>
      <c r="MBR1096"/>
      <c r="MBU1096"/>
      <c r="MBV1096"/>
      <c r="MBY1096"/>
      <c r="MBZ1096"/>
      <c r="MCC1096"/>
      <c r="MCD1096"/>
      <c r="MCG1096"/>
      <c r="MCH1096"/>
      <c r="MCK1096"/>
      <c r="MCL1096"/>
      <c r="MCO1096"/>
      <c r="MCP1096"/>
      <c r="MCS1096"/>
      <c r="MCT1096"/>
      <c r="MCW1096"/>
      <c r="MCX1096"/>
      <c r="MDA1096"/>
      <c r="MDB1096"/>
      <c r="MDE1096"/>
      <c r="MDF1096"/>
      <c r="MDI1096"/>
      <c r="MDJ1096"/>
      <c r="MDM1096"/>
      <c r="MDN1096"/>
      <c r="MDQ1096"/>
      <c r="MDR1096"/>
      <c r="MDU1096"/>
      <c r="MDV1096"/>
      <c r="MDY1096"/>
      <c r="MDZ1096"/>
      <c r="MEC1096"/>
      <c r="MED1096"/>
      <c r="MEG1096"/>
      <c r="MEH1096"/>
      <c r="MEK1096"/>
      <c r="MEL1096"/>
      <c r="MEO1096"/>
      <c r="MEP1096"/>
      <c r="MES1096"/>
      <c r="MET1096"/>
      <c r="MEW1096"/>
      <c r="MEX1096"/>
      <c r="MFA1096"/>
      <c r="MFB1096"/>
      <c r="MFE1096"/>
      <c r="MFF1096"/>
      <c r="MFI1096"/>
      <c r="MFJ1096"/>
      <c r="MFM1096"/>
      <c r="MFN1096"/>
      <c r="MFQ1096"/>
      <c r="MFR1096"/>
      <c r="MFU1096"/>
      <c r="MFV1096"/>
      <c r="MFY1096"/>
      <c r="MFZ1096"/>
      <c r="MGC1096"/>
      <c r="MGD1096"/>
      <c r="MGG1096"/>
      <c r="MGH1096"/>
      <c r="MGK1096"/>
      <c r="MGL1096"/>
      <c r="MGO1096"/>
      <c r="MGP1096"/>
      <c r="MGS1096"/>
      <c r="MGT1096"/>
      <c r="MGW1096"/>
      <c r="MGX1096"/>
      <c r="MHA1096"/>
      <c r="MHB1096"/>
      <c r="MHE1096"/>
      <c r="MHF1096"/>
      <c r="MHI1096"/>
      <c r="MHJ1096"/>
      <c r="MHM1096"/>
      <c r="MHN1096"/>
      <c r="MHQ1096"/>
      <c r="MHR1096"/>
      <c r="MHU1096"/>
      <c r="MHV1096"/>
      <c r="MHY1096"/>
      <c r="MHZ1096"/>
      <c r="MIC1096"/>
      <c r="MID1096"/>
      <c r="MIG1096"/>
      <c r="MIH1096"/>
      <c r="MIK1096"/>
      <c r="MIL1096"/>
      <c r="MIO1096"/>
      <c r="MIP1096"/>
      <c r="MIS1096"/>
      <c r="MIT1096"/>
      <c r="MIW1096"/>
      <c r="MIX1096"/>
      <c r="MJA1096"/>
      <c r="MJB1096"/>
      <c r="MJE1096"/>
      <c r="MJF1096"/>
      <c r="MJI1096"/>
      <c r="MJJ1096"/>
      <c r="MJM1096"/>
      <c r="MJN1096"/>
      <c r="MJQ1096"/>
      <c r="MJR1096"/>
      <c r="MJU1096"/>
      <c r="MJV1096"/>
      <c r="MJY1096"/>
      <c r="MJZ1096"/>
      <c r="MKC1096"/>
      <c r="MKD1096"/>
      <c r="MKG1096"/>
      <c r="MKH1096"/>
      <c r="MKK1096"/>
      <c r="MKL1096"/>
      <c r="MKO1096"/>
      <c r="MKP1096"/>
      <c r="MKS1096"/>
      <c r="MKT1096"/>
      <c r="MKW1096"/>
      <c r="MKX1096"/>
      <c r="MLA1096"/>
      <c r="MLB1096"/>
      <c r="MLE1096"/>
      <c r="MLF1096"/>
      <c r="MLI1096"/>
      <c r="MLJ1096"/>
      <c r="MLM1096"/>
      <c r="MLN1096"/>
      <c r="MLQ1096"/>
      <c r="MLR1096"/>
      <c r="MLU1096"/>
      <c r="MLV1096"/>
      <c r="MLY1096"/>
      <c r="MLZ1096"/>
      <c r="MMC1096"/>
      <c r="MMD1096"/>
      <c r="MMG1096"/>
      <c r="MMH1096"/>
      <c r="MMK1096"/>
      <c r="MML1096"/>
      <c r="MMO1096"/>
      <c r="MMP1096"/>
      <c r="MMS1096"/>
      <c r="MMT1096"/>
      <c r="MMW1096"/>
      <c r="MMX1096"/>
      <c r="MNA1096"/>
      <c r="MNB1096"/>
      <c r="MNE1096"/>
      <c r="MNF1096"/>
      <c r="MNI1096"/>
      <c r="MNJ1096"/>
      <c r="MNM1096"/>
      <c r="MNN1096"/>
      <c r="MNQ1096"/>
      <c r="MNR1096"/>
      <c r="MNU1096"/>
      <c r="MNV1096"/>
      <c r="MNY1096"/>
      <c r="MNZ1096"/>
      <c r="MOC1096"/>
      <c r="MOD1096"/>
      <c r="MOG1096"/>
      <c r="MOH1096"/>
      <c r="MOK1096"/>
      <c r="MOL1096"/>
      <c r="MOO1096"/>
      <c r="MOP1096"/>
      <c r="MOS1096"/>
      <c r="MOT1096"/>
      <c r="MOW1096"/>
      <c r="MOX1096"/>
      <c r="MPA1096"/>
      <c r="MPB1096"/>
      <c r="MPE1096"/>
      <c r="MPF1096"/>
      <c r="MPI1096"/>
      <c r="MPJ1096"/>
      <c r="MPM1096"/>
      <c r="MPN1096"/>
      <c r="MPQ1096"/>
      <c r="MPR1096"/>
      <c r="MPU1096"/>
      <c r="MPV1096"/>
      <c r="MPY1096"/>
      <c r="MPZ1096"/>
      <c r="MQC1096"/>
      <c r="MQD1096"/>
      <c r="MQG1096"/>
      <c r="MQH1096"/>
      <c r="MQK1096"/>
      <c r="MQL1096"/>
      <c r="MQO1096"/>
      <c r="MQP1096"/>
      <c r="MQS1096"/>
      <c r="MQT1096"/>
      <c r="MQW1096"/>
      <c r="MQX1096"/>
      <c r="MRA1096"/>
      <c r="MRB1096"/>
      <c r="MRE1096"/>
      <c r="MRF1096"/>
      <c r="MRI1096"/>
      <c r="MRJ1096"/>
      <c r="MRM1096"/>
      <c r="MRN1096"/>
      <c r="MRQ1096"/>
      <c r="MRR1096"/>
      <c r="MRU1096"/>
      <c r="MRV1096"/>
      <c r="MRY1096"/>
      <c r="MRZ1096"/>
      <c r="MSC1096"/>
      <c r="MSD1096"/>
      <c r="MSG1096"/>
      <c r="MSH1096"/>
      <c r="MSK1096"/>
      <c r="MSL1096"/>
      <c r="MSO1096"/>
      <c r="MSP1096"/>
      <c r="MSS1096"/>
      <c r="MST1096"/>
      <c r="MSW1096"/>
      <c r="MSX1096"/>
      <c r="MTA1096"/>
      <c r="MTB1096"/>
      <c r="MTE1096"/>
      <c r="MTF1096"/>
      <c r="MTI1096"/>
      <c r="MTJ1096"/>
      <c r="MTM1096"/>
      <c r="MTN1096"/>
      <c r="MTQ1096"/>
      <c r="MTR1096"/>
      <c r="MTU1096"/>
      <c r="MTV1096"/>
      <c r="MTY1096"/>
      <c r="MTZ1096"/>
      <c r="MUC1096"/>
      <c r="MUD1096"/>
      <c r="MUG1096"/>
      <c r="MUH1096"/>
      <c r="MUK1096"/>
      <c r="MUL1096"/>
      <c r="MUO1096"/>
      <c r="MUP1096"/>
      <c r="MUS1096"/>
      <c r="MUT1096"/>
      <c r="MUW1096"/>
      <c r="MUX1096"/>
      <c r="MVA1096"/>
      <c r="MVB1096"/>
      <c r="MVE1096"/>
      <c r="MVF1096"/>
      <c r="MVI1096"/>
      <c r="MVJ1096"/>
      <c r="MVM1096"/>
      <c r="MVN1096"/>
      <c r="MVQ1096"/>
      <c r="MVR1096"/>
      <c r="MVU1096"/>
      <c r="MVV1096"/>
      <c r="MVY1096"/>
      <c r="MVZ1096"/>
      <c r="MWC1096"/>
      <c r="MWD1096"/>
      <c r="MWG1096"/>
      <c r="MWH1096"/>
      <c r="MWK1096"/>
      <c r="MWL1096"/>
      <c r="MWO1096"/>
      <c r="MWP1096"/>
      <c r="MWS1096"/>
      <c r="MWT1096"/>
      <c r="MWW1096"/>
      <c r="MWX1096"/>
      <c r="MXA1096"/>
      <c r="MXB1096"/>
      <c r="MXE1096"/>
      <c r="MXF1096"/>
      <c r="MXI1096"/>
      <c r="MXJ1096"/>
      <c r="MXM1096"/>
      <c r="MXN1096"/>
      <c r="MXQ1096"/>
      <c r="MXR1096"/>
      <c r="MXU1096"/>
      <c r="MXV1096"/>
      <c r="MXY1096"/>
      <c r="MXZ1096"/>
      <c r="MYC1096"/>
      <c r="MYD1096"/>
      <c r="MYG1096"/>
      <c r="MYH1096"/>
      <c r="MYK1096"/>
      <c r="MYL1096"/>
      <c r="MYO1096"/>
      <c r="MYP1096"/>
      <c r="MYS1096"/>
      <c r="MYT1096"/>
      <c r="MYW1096"/>
      <c r="MYX1096"/>
      <c r="MZA1096"/>
      <c r="MZB1096"/>
      <c r="MZE1096"/>
      <c r="MZF1096"/>
      <c r="MZI1096"/>
      <c r="MZJ1096"/>
      <c r="MZM1096"/>
      <c r="MZN1096"/>
      <c r="MZQ1096"/>
      <c r="MZR1096"/>
      <c r="MZU1096"/>
      <c r="MZV1096"/>
      <c r="MZY1096"/>
      <c r="MZZ1096"/>
      <c r="NAC1096"/>
      <c r="NAD1096"/>
      <c r="NAG1096"/>
      <c r="NAH1096"/>
      <c r="NAK1096"/>
      <c r="NAL1096"/>
      <c r="NAO1096"/>
      <c r="NAP1096"/>
      <c r="NAS1096"/>
      <c r="NAT1096"/>
      <c r="NAW1096"/>
      <c r="NAX1096"/>
      <c r="NBA1096"/>
      <c r="NBB1096"/>
      <c r="NBE1096"/>
      <c r="NBF1096"/>
      <c r="NBI1096"/>
      <c r="NBJ1096"/>
      <c r="NBM1096"/>
      <c r="NBN1096"/>
      <c r="NBQ1096"/>
      <c r="NBR1096"/>
      <c r="NBU1096"/>
      <c r="NBV1096"/>
      <c r="NBY1096"/>
      <c r="NBZ1096"/>
      <c r="NCC1096"/>
      <c r="NCD1096"/>
      <c r="NCG1096"/>
      <c r="NCH1096"/>
      <c r="NCK1096"/>
      <c r="NCL1096"/>
      <c r="NCO1096"/>
      <c r="NCP1096"/>
      <c r="NCS1096"/>
      <c r="NCT1096"/>
      <c r="NCW1096"/>
      <c r="NCX1096"/>
      <c r="NDA1096"/>
      <c r="NDB1096"/>
      <c r="NDE1096"/>
      <c r="NDF1096"/>
      <c r="NDI1096"/>
      <c r="NDJ1096"/>
      <c r="NDM1096"/>
      <c r="NDN1096"/>
      <c r="NDQ1096"/>
      <c r="NDR1096"/>
      <c r="NDU1096"/>
      <c r="NDV1096"/>
      <c r="NDY1096"/>
      <c r="NDZ1096"/>
      <c r="NEC1096"/>
      <c r="NED1096"/>
      <c r="NEG1096"/>
      <c r="NEH1096"/>
      <c r="NEK1096"/>
      <c r="NEL1096"/>
      <c r="NEO1096"/>
      <c r="NEP1096"/>
      <c r="NES1096"/>
      <c r="NET1096"/>
      <c r="NEW1096"/>
      <c r="NEX1096"/>
      <c r="NFA1096"/>
      <c r="NFB1096"/>
      <c r="NFE1096"/>
      <c r="NFF1096"/>
      <c r="NFI1096"/>
      <c r="NFJ1096"/>
      <c r="NFM1096"/>
      <c r="NFN1096"/>
      <c r="NFQ1096"/>
      <c r="NFR1096"/>
      <c r="NFU1096"/>
      <c r="NFV1096"/>
      <c r="NFY1096"/>
      <c r="NFZ1096"/>
      <c r="NGC1096"/>
      <c r="NGD1096"/>
      <c r="NGG1096"/>
      <c r="NGH1096"/>
      <c r="NGK1096"/>
      <c r="NGL1096"/>
      <c r="NGO1096"/>
      <c r="NGP1096"/>
      <c r="NGS1096"/>
      <c r="NGT1096"/>
      <c r="NGW1096"/>
      <c r="NGX1096"/>
      <c r="NHA1096"/>
      <c r="NHB1096"/>
      <c r="NHE1096"/>
      <c r="NHF1096"/>
      <c r="NHI1096"/>
      <c r="NHJ1096"/>
      <c r="NHM1096"/>
      <c r="NHN1096"/>
      <c r="NHQ1096"/>
      <c r="NHR1096"/>
      <c r="NHU1096"/>
      <c r="NHV1096"/>
      <c r="NHY1096"/>
      <c r="NHZ1096"/>
      <c r="NIC1096"/>
      <c r="NID1096"/>
      <c r="NIG1096"/>
      <c r="NIH1096"/>
      <c r="NIK1096"/>
      <c r="NIL1096"/>
      <c r="NIO1096"/>
      <c r="NIP1096"/>
      <c r="NIS1096"/>
      <c r="NIT1096"/>
      <c r="NIW1096"/>
      <c r="NIX1096"/>
      <c r="NJA1096"/>
      <c r="NJB1096"/>
      <c r="NJE1096"/>
      <c r="NJF1096"/>
      <c r="NJI1096"/>
      <c r="NJJ1096"/>
      <c r="NJM1096"/>
      <c r="NJN1096"/>
      <c r="NJQ1096"/>
      <c r="NJR1096"/>
      <c r="NJU1096"/>
      <c r="NJV1096"/>
      <c r="NJY1096"/>
      <c r="NJZ1096"/>
      <c r="NKC1096"/>
      <c r="NKD1096"/>
      <c r="NKG1096"/>
      <c r="NKH1096"/>
      <c r="NKK1096"/>
      <c r="NKL1096"/>
      <c r="NKO1096"/>
      <c r="NKP1096"/>
      <c r="NKS1096"/>
      <c r="NKT1096"/>
      <c r="NKW1096"/>
      <c r="NKX1096"/>
      <c r="NLA1096"/>
      <c r="NLB1096"/>
      <c r="NLE1096"/>
      <c r="NLF1096"/>
      <c r="NLI1096"/>
      <c r="NLJ1096"/>
      <c r="NLM1096"/>
      <c r="NLN1096"/>
      <c r="NLQ1096"/>
      <c r="NLR1096"/>
      <c r="NLU1096"/>
      <c r="NLV1096"/>
      <c r="NLY1096"/>
      <c r="NLZ1096"/>
      <c r="NMC1096"/>
      <c r="NMD1096"/>
      <c r="NMG1096"/>
      <c r="NMH1096"/>
      <c r="NMK1096"/>
      <c r="NML1096"/>
      <c r="NMO1096"/>
      <c r="NMP1096"/>
      <c r="NMS1096"/>
      <c r="NMT1096"/>
      <c r="NMW1096"/>
      <c r="NMX1096"/>
      <c r="NNA1096"/>
      <c r="NNB1096"/>
      <c r="NNE1096"/>
      <c r="NNF1096"/>
      <c r="NNI1096"/>
      <c r="NNJ1096"/>
      <c r="NNM1096"/>
      <c r="NNN1096"/>
      <c r="NNQ1096"/>
      <c r="NNR1096"/>
      <c r="NNU1096"/>
      <c r="NNV1096"/>
      <c r="NNY1096"/>
      <c r="NNZ1096"/>
      <c r="NOC1096"/>
      <c r="NOD1096"/>
      <c r="NOG1096"/>
      <c r="NOH1096"/>
      <c r="NOK1096"/>
      <c r="NOL1096"/>
      <c r="NOO1096"/>
      <c r="NOP1096"/>
      <c r="NOS1096"/>
      <c r="NOT1096"/>
      <c r="NOW1096"/>
      <c r="NOX1096"/>
      <c r="NPA1096"/>
      <c r="NPB1096"/>
      <c r="NPE1096"/>
      <c r="NPF1096"/>
      <c r="NPI1096"/>
      <c r="NPJ1096"/>
      <c r="NPM1096"/>
      <c r="NPN1096"/>
      <c r="NPQ1096"/>
      <c r="NPR1096"/>
      <c r="NPU1096"/>
      <c r="NPV1096"/>
      <c r="NPY1096"/>
      <c r="NPZ1096"/>
      <c r="NQC1096"/>
      <c r="NQD1096"/>
      <c r="NQG1096"/>
      <c r="NQH1096"/>
      <c r="NQK1096"/>
      <c r="NQL1096"/>
      <c r="NQO1096"/>
      <c r="NQP1096"/>
      <c r="NQS1096"/>
      <c r="NQT1096"/>
      <c r="NQW1096"/>
      <c r="NQX1096"/>
      <c r="NRA1096"/>
      <c r="NRB1096"/>
      <c r="NRE1096"/>
      <c r="NRF1096"/>
      <c r="NRI1096"/>
      <c r="NRJ1096"/>
      <c r="NRM1096"/>
      <c r="NRN1096"/>
      <c r="NRQ1096"/>
      <c r="NRR1096"/>
      <c r="NRU1096"/>
      <c r="NRV1096"/>
      <c r="NRY1096"/>
      <c r="NRZ1096"/>
      <c r="NSC1096"/>
      <c r="NSD1096"/>
      <c r="NSG1096"/>
      <c r="NSH1096"/>
      <c r="NSK1096"/>
      <c r="NSL1096"/>
      <c r="NSO1096"/>
      <c r="NSP1096"/>
      <c r="NSS1096"/>
      <c r="NST1096"/>
      <c r="NSW1096"/>
      <c r="NSX1096"/>
      <c r="NTA1096"/>
      <c r="NTB1096"/>
      <c r="NTE1096"/>
      <c r="NTF1096"/>
      <c r="NTI1096"/>
      <c r="NTJ1096"/>
      <c r="NTM1096"/>
      <c r="NTN1096"/>
      <c r="NTQ1096"/>
      <c r="NTR1096"/>
      <c r="NTU1096"/>
      <c r="NTV1096"/>
      <c r="NTY1096"/>
      <c r="NTZ1096"/>
      <c r="NUC1096"/>
      <c r="NUD1096"/>
      <c r="NUG1096"/>
      <c r="NUH1096"/>
      <c r="NUK1096"/>
      <c r="NUL1096"/>
      <c r="NUO1096"/>
      <c r="NUP1096"/>
      <c r="NUS1096"/>
      <c r="NUT1096"/>
      <c r="NUW1096"/>
      <c r="NUX1096"/>
      <c r="NVA1096"/>
      <c r="NVB1096"/>
      <c r="NVE1096"/>
      <c r="NVF1096"/>
      <c r="NVI1096"/>
      <c r="NVJ1096"/>
      <c r="NVM1096"/>
      <c r="NVN1096"/>
      <c r="NVQ1096"/>
      <c r="NVR1096"/>
      <c r="NVU1096"/>
      <c r="NVV1096"/>
      <c r="NVY1096"/>
      <c r="NVZ1096"/>
      <c r="NWC1096"/>
      <c r="NWD1096"/>
      <c r="NWG1096"/>
      <c r="NWH1096"/>
      <c r="NWK1096"/>
      <c r="NWL1096"/>
      <c r="NWO1096"/>
      <c r="NWP1096"/>
      <c r="NWS1096"/>
      <c r="NWT1096"/>
      <c r="NWW1096"/>
      <c r="NWX1096"/>
      <c r="NXA1096"/>
      <c r="NXB1096"/>
      <c r="NXE1096"/>
      <c r="NXF1096"/>
      <c r="NXI1096"/>
      <c r="NXJ1096"/>
      <c r="NXM1096"/>
      <c r="NXN1096"/>
      <c r="NXQ1096"/>
      <c r="NXR1096"/>
      <c r="NXU1096"/>
      <c r="NXV1096"/>
      <c r="NXY1096"/>
      <c r="NXZ1096"/>
      <c r="NYC1096"/>
      <c r="NYD1096"/>
      <c r="NYG1096"/>
      <c r="NYH1096"/>
      <c r="NYK1096"/>
      <c r="NYL1096"/>
      <c r="NYO1096"/>
      <c r="NYP1096"/>
      <c r="NYS1096"/>
      <c r="NYT1096"/>
      <c r="NYW1096"/>
      <c r="NYX1096"/>
      <c r="NZA1096"/>
      <c r="NZB1096"/>
      <c r="NZE1096"/>
      <c r="NZF1096"/>
      <c r="NZI1096"/>
      <c r="NZJ1096"/>
      <c r="NZM1096"/>
      <c r="NZN1096"/>
      <c r="NZQ1096"/>
      <c r="NZR1096"/>
      <c r="NZU1096"/>
      <c r="NZV1096"/>
      <c r="NZY1096"/>
      <c r="NZZ1096"/>
      <c r="OAC1096"/>
      <c r="OAD1096"/>
      <c r="OAG1096"/>
      <c r="OAH1096"/>
      <c r="OAK1096"/>
      <c r="OAL1096"/>
      <c r="OAO1096"/>
      <c r="OAP1096"/>
      <c r="OAS1096"/>
      <c r="OAT1096"/>
      <c r="OAW1096"/>
      <c r="OAX1096"/>
      <c r="OBA1096"/>
      <c r="OBB1096"/>
      <c r="OBE1096"/>
      <c r="OBF1096"/>
      <c r="OBI1096"/>
      <c r="OBJ1096"/>
      <c r="OBM1096"/>
      <c r="OBN1096"/>
      <c r="OBQ1096"/>
      <c r="OBR1096"/>
      <c r="OBU1096"/>
      <c r="OBV1096"/>
      <c r="OBY1096"/>
      <c r="OBZ1096"/>
      <c r="OCC1096"/>
      <c r="OCD1096"/>
      <c r="OCG1096"/>
      <c r="OCH1096"/>
      <c r="OCK1096"/>
      <c r="OCL1096"/>
      <c r="OCO1096"/>
      <c r="OCP1096"/>
      <c r="OCS1096"/>
      <c r="OCT1096"/>
      <c r="OCW1096"/>
      <c r="OCX1096"/>
      <c r="ODA1096"/>
      <c r="ODB1096"/>
      <c r="ODE1096"/>
      <c r="ODF1096"/>
      <c r="ODI1096"/>
      <c r="ODJ1096"/>
      <c r="ODM1096"/>
      <c r="ODN1096"/>
      <c r="ODQ1096"/>
      <c r="ODR1096"/>
      <c r="ODU1096"/>
      <c r="ODV1096"/>
      <c r="ODY1096"/>
      <c r="ODZ1096"/>
      <c r="OEC1096"/>
      <c r="OED1096"/>
      <c r="OEG1096"/>
      <c r="OEH1096"/>
      <c r="OEK1096"/>
      <c r="OEL1096"/>
      <c r="OEO1096"/>
      <c r="OEP1096"/>
      <c r="OES1096"/>
      <c r="OET1096"/>
      <c r="OEW1096"/>
      <c r="OEX1096"/>
      <c r="OFA1096"/>
      <c r="OFB1096"/>
      <c r="OFE1096"/>
      <c r="OFF1096"/>
      <c r="OFI1096"/>
      <c r="OFJ1096"/>
      <c r="OFM1096"/>
      <c r="OFN1096"/>
      <c r="OFQ1096"/>
      <c r="OFR1096"/>
      <c r="OFU1096"/>
      <c r="OFV1096"/>
      <c r="OFY1096"/>
      <c r="OFZ1096"/>
      <c r="OGC1096"/>
      <c r="OGD1096"/>
      <c r="OGG1096"/>
      <c r="OGH1096"/>
      <c r="OGK1096"/>
      <c r="OGL1096"/>
      <c r="OGO1096"/>
      <c r="OGP1096"/>
      <c r="OGS1096"/>
      <c r="OGT1096"/>
      <c r="OGW1096"/>
      <c r="OGX1096"/>
      <c r="OHA1096"/>
      <c r="OHB1096"/>
      <c r="OHE1096"/>
      <c r="OHF1096"/>
      <c r="OHI1096"/>
      <c r="OHJ1096"/>
      <c r="OHM1096"/>
      <c r="OHN1096"/>
      <c r="OHQ1096"/>
      <c r="OHR1096"/>
      <c r="OHU1096"/>
      <c r="OHV1096"/>
      <c r="OHY1096"/>
      <c r="OHZ1096"/>
      <c r="OIC1096"/>
      <c r="OID1096"/>
      <c r="OIG1096"/>
      <c r="OIH1096"/>
      <c r="OIK1096"/>
      <c r="OIL1096"/>
      <c r="OIO1096"/>
      <c r="OIP1096"/>
      <c r="OIS1096"/>
      <c r="OIT1096"/>
      <c r="OIW1096"/>
      <c r="OIX1096"/>
      <c r="OJA1096"/>
      <c r="OJB1096"/>
      <c r="OJE1096"/>
      <c r="OJF1096"/>
      <c r="OJI1096"/>
      <c r="OJJ1096"/>
      <c r="OJM1096"/>
      <c r="OJN1096"/>
      <c r="OJQ1096"/>
      <c r="OJR1096"/>
      <c r="OJU1096"/>
      <c r="OJV1096"/>
      <c r="OJY1096"/>
      <c r="OJZ1096"/>
      <c r="OKC1096"/>
      <c r="OKD1096"/>
      <c r="OKG1096"/>
      <c r="OKH1096"/>
      <c r="OKK1096"/>
      <c r="OKL1096"/>
      <c r="OKO1096"/>
      <c r="OKP1096"/>
      <c r="OKS1096"/>
      <c r="OKT1096"/>
      <c r="OKW1096"/>
      <c r="OKX1096"/>
      <c r="OLA1096"/>
      <c r="OLB1096"/>
      <c r="OLE1096"/>
      <c r="OLF1096"/>
      <c r="OLI1096"/>
      <c r="OLJ1096"/>
      <c r="OLM1096"/>
      <c r="OLN1096"/>
      <c r="OLQ1096"/>
      <c r="OLR1096"/>
      <c r="OLU1096"/>
      <c r="OLV1096"/>
      <c r="OLY1096"/>
      <c r="OLZ1096"/>
      <c r="OMC1096"/>
      <c r="OMD1096"/>
      <c r="OMG1096"/>
      <c r="OMH1096"/>
      <c r="OMK1096"/>
      <c r="OML1096"/>
      <c r="OMO1096"/>
      <c r="OMP1096"/>
      <c r="OMS1096"/>
      <c r="OMT1096"/>
      <c r="OMW1096"/>
      <c r="OMX1096"/>
      <c r="ONA1096"/>
      <c r="ONB1096"/>
      <c r="ONE1096"/>
      <c r="ONF1096"/>
      <c r="ONI1096"/>
      <c r="ONJ1096"/>
      <c r="ONM1096"/>
      <c r="ONN1096"/>
      <c r="ONQ1096"/>
      <c r="ONR1096"/>
      <c r="ONU1096"/>
      <c r="ONV1096"/>
      <c r="ONY1096"/>
      <c r="ONZ1096"/>
      <c r="OOC1096"/>
      <c r="OOD1096"/>
      <c r="OOG1096"/>
      <c r="OOH1096"/>
      <c r="OOK1096"/>
      <c r="OOL1096"/>
      <c r="OOO1096"/>
      <c r="OOP1096"/>
      <c r="OOS1096"/>
      <c r="OOT1096"/>
      <c r="OOW1096"/>
      <c r="OOX1096"/>
      <c r="OPA1096"/>
      <c r="OPB1096"/>
      <c r="OPE1096"/>
      <c r="OPF1096"/>
      <c r="OPI1096"/>
      <c r="OPJ1096"/>
      <c r="OPM1096"/>
      <c r="OPN1096"/>
      <c r="OPQ1096"/>
      <c r="OPR1096"/>
      <c r="OPU1096"/>
      <c r="OPV1096"/>
      <c r="OPY1096"/>
      <c r="OPZ1096"/>
      <c r="OQC1096"/>
      <c r="OQD1096"/>
      <c r="OQG1096"/>
      <c r="OQH1096"/>
      <c r="OQK1096"/>
      <c r="OQL1096"/>
      <c r="OQO1096"/>
      <c r="OQP1096"/>
      <c r="OQS1096"/>
      <c r="OQT1096"/>
      <c r="OQW1096"/>
      <c r="OQX1096"/>
      <c r="ORA1096"/>
      <c r="ORB1096"/>
      <c r="ORE1096"/>
      <c r="ORF1096"/>
      <c r="ORI1096"/>
      <c r="ORJ1096"/>
      <c r="ORM1096"/>
      <c r="ORN1096"/>
      <c r="ORQ1096"/>
      <c r="ORR1096"/>
      <c r="ORU1096"/>
      <c r="ORV1096"/>
      <c r="ORY1096"/>
      <c r="ORZ1096"/>
      <c r="OSC1096"/>
      <c r="OSD1096"/>
      <c r="OSG1096"/>
      <c r="OSH1096"/>
      <c r="OSK1096"/>
      <c r="OSL1096"/>
      <c r="OSO1096"/>
      <c r="OSP1096"/>
      <c r="OSS1096"/>
      <c r="OST1096"/>
      <c r="OSW1096"/>
      <c r="OSX1096"/>
      <c r="OTA1096"/>
      <c r="OTB1096"/>
      <c r="OTE1096"/>
      <c r="OTF1096"/>
      <c r="OTI1096"/>
      <c r="OTJ1096"/>
      <c r="OTM1096"/>
      <c r="OTN1096"/>
      <c r="OTQ1096"/>
      <c r="OTR1096"/>
      <c r="OTU1096"/>
      <c r="OTV1096"/>
      <c r="OTY1096"/>
      <c r="OTZ1096"/>
      <c r="OUC1096"/>
      <c r="OUD1096"/>
      <c r="OUG1096"/>
      <c r="OUH1096"/>
      <c r="OUK1096"/>
      <c r="OUL1096"/>
      <c r="OUO1096"/>
      <c r="OUP1096"/>
      <c r="OUS1096"/>
      <c r="OUT1096"/>
      <c r="OUW1096"/>
      <c r="OUX1096"/>
      <c r="OVA1096"/>
      <c r="OVB1096"/>
      <c r="OVE1096"/>
      <c r="OVF1096"/>
      <c r="OVI1096"/>
      <c r="OVJ1096"/>
      <c r="OVM1096"/>
      <c r="OVN1096"/>
      <c r="OVQ1096"/>
      <c r="OVR1096"/>
      <c r="OVU1096"/>
      <c r="OVV1096"/>
      <c r="OVY1096"/>
      <c r="OVZ1096"/>
      <c r="OWC1096"/>
      <c r="OWD1096"/>
      <c r="OWG1096"/>
      <c r="OWH1096"/>
      <c r="OWK1096"/>
      <c r="OWL1096"/>
      <c r="OWO1096"/>
      <c r="OWP1096"/>
      <c r="OWS1096"/>
      <c r="OWT1096"/>
      <c r="OWW1096"/>
      <c r="OWX1096"/>
      <c r="OXA1096"/>
      <c r="OXB1096"/>
      <c r="OXE1096"/>
      <c r="OXF1096"/>
      <c r="OXI1096"/>
      <c r="OXJ1096"/>
      <c r="OXM1096"/>
      <c r="OXN1096"/>
      <c r="OXQ1096"/>
      <c r="OXR1096"/>
      <c r="OXU1096"/>
      <c r="OXV1096"/>
      <c r="OXY1096"/>
      <c r="OXZ1096"/>
      <c r="OYC1096"/>
      <c r="OYD1096"/>
      <c r="OYG1096"/>
      <c r="OYH1096"/>
      <c r="OYK1096"/>
      <c r="OYL1096"/>
      <c r="OYO1096"/>
      <c r="OYP1096"/>
      <c r="OYS1096"/>
      <c r="OYT1096"/>
      <c r="OYW1096"/>
      <c r="OYX1096"/>
      <c r="OZA1096"/>
      <c r="OZB1096"/>
      <c r="OZE1096"/>
      <c r="OZF1096"/>
      <c r="OZI1096"/>
      <c r="OZJ1096"/>
      <c r="OZM1096"/>
      <c r="OZN1096"/>
      <c r="OZQ1096"/>
      <c r="OZR1096"/>
      <c r="OZU1096"/>
      <c r="OZV1096"/>
      <c r="OZY1096"/>
      <c r="OZZ1096"/>
      <c r="PAC1096"/>
      <c r="PAD1096"/>
      <c r="PAG1096"/>
      <c r="PAH1096"/>
      <c r="PAK1096"/>
      <c r="PAL1096"/>
      <c r="PAO1096"/>
      <c r="PAP1096"/>
      <c r="PAS1096"/>
      <c r="PAT1096"/>
      <c r="PAW1096"/>
      <c r="PAX1096"/>
      <c r="PBA1096"/>
      <c r="PBB1096"/>
      <c r="PBE1096"/>
      <c r="PBF1096"/>
      <c r="PBI1096"/>
      <c r="PBJ1096"/>
      <c r="PBM1096"/>
      <c r="PBN1096"/>
      <c r="PBQ1096"/>
      <c r="PBR1096"/>
      <c r="PBU1096"/>
      <c r="PBV1096"/>
      <c r="PBY1096"/>
      <c r="PBZ1096"/>
      <c r="PCC1096"/>
      <c r="PCD1096"/>
      <c r="PCG1096"/>
      <c r="PCH1096"/>
      <c r="PCK1096"/>
      <c r="PCL1096"/>
      <c r="PCO1096"/>
      <c r="PCP1096"/>
      <c r="PCS1096"/>
      <c r="PCT1096"/>
      <c r="PCW1096"/>
      <c r="PCX1096"/>
      <c r="PDA1096"/>
      <c r="PDB1096"/>
      <c r="PDE1096"/>
      <c r="PDF1096"/>
      <c r="PDI1096"/>
      <c r="PDJ1096"/>
      <c r="PDM1096"/>
      <c r="PDN1096"/>
      <c r="PDQ1096"/>
      <c r="PDR1096"/>
      <c r="PDU1096"/>
      <c r="PDV1096"/>
      <c r="PDY1096"/>
      <c r="PDZ1096"/>
      <c r="PEC1096"/>
      <c r="PED1096"/>
      <c r="PEG1096"/>
      <c r="PEH1096"/>
      <c r="PEK1096"/>
      <c r="PEL1096"/>
      <c r="PEO1096"/>
      <c r="PEP1096"/>
      <c r="PES1096"/>
      <c r="PET1096"/>
      <c r="PEW1096"/>
      <c r="PEX1096"/>
      <c r="PFA1096"/>
      <c r="PFB1096"/>
      <c r="PFE1096"/>
      <c r="PFF1096"/>
      <c r="PFI1096"/>
      <c r="PFJ1096"/>
      <c r="PFM1096"/>
      <c r="PFN1096"/>
      <c r="PFQ1096"/>
      <c r="PFR1096"/>
      <c r="PFU1096"/>
      <c r="PFV1096"/>
      <c r="PFY1096"/>
      <c r="PFZ1096"/>
      <c r="PGC1096"/>
      <c r="PGD1096"/>
      <c r="PGG1096"/>
      <c r="PGH1096"/>
      <c r="PGK1096"/>
      <c r="PGL1096"/>
      <c r="PGO1096"/>
      <c r="PGP1096"/>
      <c r="PGS1096"/>
      <c r="PGT1096"/>
      <c r="PGW1096"/>
      <c r="PGX1096"/>
      <c r="PHA1096"/>
      <c r="PHB1096"/>
      <c r="PHE1096"/>
      <c r="PHF1096"/>
      <c r="PHI1096"/>
      <c r="PHJ1096"/>
      <c r="PHM1096"/>
      <c r="PHN1096"/>
      <c r="PHQ1096"/>
      <c r="PHR1096"/>
      <c r="PHU1096"/>
      <c r="PHV1096"/>
      <c r="PHY1096"/>
      <c r="PHZ1096"/>
      <c r="PIC1096"/>
      <c r="PID1096"/>
      <c r="PIG1096"/>
      <c r="PIH1096"/>
      <c r="PIK1096"/>
      <c r="PIL1096"/>
      <c r="PIO1096"/>
      <c r="PIP1096"/>
      <c r="PIS1096"/>
      <c r="PIT1096"/>
      <c r="PIW1096"/>
      <c r="PIX1096"/>
      <c r="PJA1096"/>
      <c r="PJB1096"/>
      <c r="PJE1096"/>
      <c r="PJF1096"/>
      <c r="PJI1096"/>
      <c r="PJJ1096"/>
      <c r="PJM1096"/>
      <c r="PJN1096"/>
      <c r="PJQ1096"/>
      <c r="PJR1096"/>
      <c r="PJU1096"/>
      <c r="PJV1096"/>
      <c r="PJY1096"/>
      <c r="PJZ1096"/>
      <c r="PKC1096"/>
      <c r="PKD1096"/>
      <c r="PKG1096"/>
      <c r="PKH1096"/>
      <c r="PKK1096"/>
      <c r="PKL1096"/>
      <c r="PKO1096"/>
      <c r="PKP1096"/>
      <c r="PKS1096"/>
      <c r="PKT1096"/>
      <c r="PKW1096"/>
      <c r="PKX1096"/>
      <c r="PLA1096"/>
      <c r="PLB1096"/>
      <c r="PLE1096"/>
      <c r="PLF1096"/>
      <c r="PLI1096"/>
      <c r="PLJ1096"/>
      <c r="PLM1096"/>
      <c r="PLN1096"/>
      <c r="PLQ1096"/>
      <c r="PLR1096"/>
      <c r="PLU1096"/>
      <c r="PLV1096"/>
      <c r="PLY1096"/>
      <c r="PLZ1096"/>
      <c r="PMC1096"/>
      <c r="PMD1096"/>
      <c r="PMG1096"/>
      <c r="PMH1096"/>
      <c r="PMK1096"/>
      <c r="PML1096"/>
      <c r="PMO1096"/>
      <c r="PMP1096"/>
      <c r="PMS1096"/>
      <c r="PMT1096"/>
      <c r="PMW1096"/>
      <c r="PMX1096"/>
      <c r="PNA1096"/>
      <c r="PNB1096"/>
      <c r="PNE1096"/>
      <c r="PNF1096"/>
      <c r="PNI1096"/>
      <c r="PNJ1096"/>
      <c r="PNM1096"/>
      <c r="PNN1096"/>
      <c r="PNQ1096"/>
      <c r="PNR1096"/>
      <c r="PNU1096"/>
      <c r="PNV1096"/>
      <c r="PNY1096"/>
      <c r="PNZ1096"/>
      <c r="POC1096"/>
      <c r="POD1096"/>
      <c r="POG1096"/>
      <c r="POH1096"/>
      <c r="POK1096"/>
      <c r="POL1096"/>
      <c r="POO1096"/>
      <c r="POP1096"/>
      <c r="POS1096"/>
      <c r="POT1096"/>
      <c r="POW1096"/>
      <c r="POX1096"/>
      <c r="PPA1096"/>
      <c r="PPB1096"/>
      <c r="PPE1096"/>
      <c r="PPF1096"/>
      <c r="PPI1096"/>
      <c r="PPJ1096"/>
      <c r="PPM1096"/>
      <c r="PPN1096"/>
      <c r="PPQ1096"/>
      <c r="PPR1096"/>
      <c r="PPU1096"/>
      <c r="PPV1096"/>
      <c r="PPY1096"/>
      <c r="PPZ1096"/>
      <c r="PQC1096"/>
      <c r="PQD1096"/>
      <c r="PQG1096"/>
      <c r="PQH1096"/>
      <c r="PQK1096"/>
      <c r="PQL1096"/>
      <c r="PQO1096"/>
      <c r="PQP1096"/>
      <c r="PQS1096"/>
      <c r="PQT1096"/>
      <c r="PQW1096"/>
      <c r="PQX1096"/>
      <c r="PRA1096"/>
      <c r="PRB1096"/>
      <c r="PRE1096"/>
      <c r="PRF1096"/>
      <c r="PRI1096"/>
      <c r="PRJ1096"/>
      <c r="PRM1096"/>
      <c r="PRN1096"/>
      <c r="PRQ1096"/>
      <c r="PRR1096"/>
      <c r="PRU1096"/>
      <c r="PRV1096"/>
      <c r="PRY1096"/>
      <c r="PRZ1096"/>
      <c r="PSC1096"/>
      <c r="PSD1096"/>
      <c r="PSG1096"/>
      <c r="PSH1096"/>
      <c r="PSK1096"/>
      <c r="PSL1096"/>
      <c r="PSO1096"/>
      <c r="PSP1096"/>
      <c r="PSS1096"/>
      <c r="PST1096"/>
      <c r="PSW1096"/>
      <c r="PSX1096"/>
      <c r="PTA1096"/>
      <c r="PTB1096"/>
      <c r="PTE1096"/>
      <c r="PTF1096"/>
      <c r="PTI1096"/>
      <c r="PTJ1096"/>
      <c r="PTM1096"/>
      <c r="PTN1096"/>
      <c r="PTQ1096"/>
      <c r="PTR1096"/>
      <c r="PTU1096"/>
      <c r="PTV1096"/>
      <c r="PTY1096"/>
      <c r="PTZ1096"/>
      <c r="PUC1096"/>
      <c r="PUD1096"/>
      <c r="PUG1096"/>
      <c r="PUH1096"/>
      <c r="PUK1096"/>
      <c r="PUL1096"/>
      <c r="PUO1096"/>
      <c r="PUP1096"/>
      <c r="PUS1096"/>
      <c r="PUT1096"/>
      <c r="PUW1096"/>
      <c r="PUX1096"/>
      <c r="PVA1096"/>
      <c r="PVB1096"/>
      <c r="PVE1096"/>
      <c r="PVF1096"/>
      <c r="PVI1096"/>
      <c r="PVJ1096"/>
      <c r="PVM1096"/>
      <c r="PVN1096"/>
      <c r="PVQ1096"/>
      <c r="PVR1096"/>
      <c r="PVU1096"/>
      <c r="PVV1096"/>
      <c r="PVY1096"/>
      <c r="PVZ1096"/>
      <c r="PWC1096"/>
      <c r="PWD1096"/>
      <c r="PWG1096"/>
      <c r="PWH1096"/>
      <c r="PWK1096"/>
      <c r="PWL1096"/>
      <c r="PWO1096"/>
      <c r="PWP1096"/>
      <c r="PWS1096"/>
      <c r="PWT1096"/>
      <c r="PWW1096"/>
      <c r="PWX1096"/>
      <c r="PXA1096"/>
      <c r="PXB1096"/>
      <c r="PXE1096"/>
      <c r="PXF1096"/>
      <c r="PXI1096"/>
      <c r="PXJ1096"/>
      <c r="PXM1096"/>
      <c r="PXN1096"/>
      <c r="PXQ1096"/>
      <c r="PXR1096"/>
      <c r="PXU1096"/>
      <c r="PXV1096"/>
      <c r="PXY1096"/>
      <c r="PXZ1096"/>
      <c r="PYC1096"/>
      <c r="PYD1096"/>
      <c r="PYG1096"/>
      <c r="PYH1096"/>
      <c r="PYK1096"/>
      <c r="PYL1096"/>
      <c r="PYO1096"/>
      <c r="PYP1096"/>
      <c r="PYS1096"/>
      <c r="PYT1096"/>
      <c r="PYW1096"/>
      <c r="PYX1096"/>
      <c r="PZA1096"/>
      <c r="PZB1096"/>
      <c r="PZE1096"/>
      <c r="PZF1096"/>
      <c r="PZI1096"/>
      <c r="PZJ1096"/>
      <c r="PZM1096"/>
      <c r="PZN1096"/>
      <c r="PZQ1096"/>
      <c r="PZR1096"/>
      <c r="PZU1096"/>
      <c r="PZV1096"/>
      <c r="PZY1096"/>
      <c r="PZZ1096"/>
      <c r="QAC1096"/>
      <c r="QAD1096"/>
      <c r="QAG1096"/>
      <c r="QAH1096"/>
      <c r="QAK1096"/>
      <c r="QAL1096"/>
      <c r="QAO1096"/>
      <c r="QAP1096"/>
      <c r="QAS1096"/>
      <c r="QAT1096"/>
      <c r="QAW1096"/>
      <c r="QAX1096"/>
      <c r="QBA1096"/>
      <c r="QBB1096"/>
      <c r="QBE1096"/>
      <c r="QBF1096"/>
      <c r="QBI1096"/>
      <c r="QBJ1096"/>
      <c r="QBM1096"/>
      <c r="QBN1096"/>
      <c r="QBQ1096"/>
      <c r="QBR1096"/>
      <c r="QBU1096"/>
      <c r="QBV1096"/>
      <c r="QBY1096"/>
      <c r="QBZ1096"/>
      <c r="QCC1096"/>
      <c r="QCD1096"/>
      <c r="QCG1096"/>
      <c r="QCH1096"/>
      <c r="QCK1096"/>
      <c r="QCL1096"/>
      <c r="QCO1096"/>
      <c r="QCP1096"/>
      <c r="QCS1096"/>
      <c r="QCT1096"/>
      <c r="QCW1096"/>
      <c r="QCX1096"/>
      <c r="QDA1096"/>
      <c r="QDB1096"/>
      <c r="QDE1096"/>
      <c r="QDF1096"/>
      <c r="QDI1096"/>
      <c r="QDJ1096"/>
      <c r="QDM1096"/>
      <c r="QDN1096"/>
      <c r="QDQ1096"/>
      <c r="QDR1096"/>
      <c r="QDU1096"/>
      <c r="QDV1096"/>
      <c r="QDY1096"/>
      <c r="QDZ1096"/>
      <c r="QEC1096"/>
      <c r="QED1096"/>
      <c r="QEG1096"/>
      <c r="QEH1096"/>
      <c r="QEK1096"/>
      <c r="QEL1096"/>
      <c r="QEO1096"/>
      <c r="QEP1096"/>
      <c r="QES1096"/>
      <c r="QET1096"/>
      <c r="QEW1096"/>
      <c r="QEX1096"/>
      <c r="QFA1096"/>
      <c r="QFB1096"/>
      <c r="QFE1096"/>
      <c r="QFF1096"/>
      <c r="QFI1096"/>
      <c r="QFJ1096"/>
      <c r="QFM1096"/>
      <c r="QFN1096"/>
      <c r="QFQ1096"/>
      <c r="QFR1096"/>
      <c r="QFU1096"/>
      <c r="QFV1096"/>
      <c r="QFY1096"/>
      <c r="QFZ1096"/>
      <c r="QGC1096"/>
      <c r="QGD1096"/>
      <c r="QGG1096"/>
      <c r="QGH1096"/>
      <c r="QGK1096"/>
      <c r="QGL1096"/>
      <c r="QGO1096"/>
      <c r="QGP1096"/>
      <c r="QGS1096"/>
      <c r="QGT1096"/>
      <c r="QGW1096"/>
      <c r="QGX1096"/>
      <c r="QHA1096"/>
      <c r="QHB1096"/>
      <c r="QHE1096"/>
      <c r="QHF1096"/>
      <c r="QHI1096"/>
      <c r="QHJ1096"/>
      <c r="QHM1096"/>
      <c r="QHN1096"/>
      <c r="QHQ1096"/>
      <c r="QHR1096"/>
      <c r="QHU1096"/>
      <c r="QHV1096"/>
      <c r="QHY1096"/>
      <c r="QHZ1096"/>
      <c r="QIC1096"/>
      <c r="QID1096"/>
      <c r="QIG1096"/>
      <c r="QIH1096"/>
      <c r="QIK1096"/>
      <c r="QIL1096"/>
      <c r="QIO1096"/>
      <c r="QIP1096"/>
      <c r="QIS1096"/>
      <c r="QIT1096"/>
      <c r="QIW1096"/>
      <c r="QIX1096"/>
      <c r="QJA1096"/>
      <c r="QJB1096"/>
      <c r="QJE1096"/>
      <c r="QJF1096"/>
      <c r="QJI1096"/>
      <c r="QJJ1096"/>
      <c r="QJM1096"/>
      <c r="QJN1096"/>
      <c r="QJQ1096"/>
      <c r="QJR1096"/>
      <c r="QJU1096"/>
      <c r="QJV1096"/>
      <c r="QJY1096"/>
      <c r="QJZ1096"/>
      <c r="QKC1096"/>
      <c r="QKD1096"/>
      <c r="QKG1096"/>
      <c r="QKH1096"/>
      <c r="QKK1096"/>
      <c r="QKL1096"/>
      <c r="QKO1096"/>
      <c r="QKP1096"/>
      <c r="QKS1096"/>
      <c r="QKT1096"/>
      <c r="QKW1096"/>
      <c r="QKX1096"/>
      <c r="QLA1096"/>
      <c r="QLB1096"/>
      <c r="QLE1096"/>
      <c r="QLF1096"/>
      <c r="QLI1096"/>
      <c r="QLJ1096"/>
      <c r="QLM1096"/>
      <c r="QLN1096"/>
      <c r="QLQ1096"/>
      <c r="QLR1096"/>
      <c r="QLU1096"/>
      <c r="QLV1096"/>
      <c r="QLY1096"/>
      <c r="QLZ1096"/>
      <c r="QMC1096"/>
      <c r="QMD1096"/>
      <c r="QMG1096"/>
      <c r="QMH1096"/>
      <c r="QMK1096"/>
      <c r="QML1096"/>
      <c r="QMO1096"/>
      <c r="QMP1096"/>
      <c r="QMS1096"/>
      <c r="QMT1096"/>
      <c r="QMW1096"/>
      <c r="QMX1096"/>
      <c r="QNA1096"/>
      <c r="QNB1096"/>
      <c r="QNE1096"/>
      <c r="QNF1096"/>
      <c r="QNI1096"/>
      <c r="QNJ1096"/>
      <c r="QNM1096"/>
      <c r="QNN1096"/>
      <c r="QNQ1096"/>
      <c r="QNR1096"/>
      <c r="QNU1096"/>
      <c r="QNV1096"/>
      <c r="QNY1096"/>
      <c r="QNZ1096"/>
      <c r="QOC1096"/>
      <c r="QOD1096"/>
      <c r="QOG1096"/>
      <c r="QOH1096"/>
      <c r="QOK1096"/>
      <c r="QOL1096"/>
      <c r="QOO1096"/>
      <c r="QOP1096"/>
      <c r="QOS1096"/>
      <c r="QOT1096"/>
      <c r="QOW1096"/>
      <c r="QOX1096"/>
      <c r="QPA1096"/>
      <c r="QPB1096"/>
      <c r="QPE1096"/>
      <c r="QPF1096"/>
      <c r="QPI1096"/>
      <c r="QPJ1096"/>
      <c r="QPM1096"/>
      <c r="QPN1096"/>
      <c r="QPQ1096"/>
      <c r="QPR1096"/>
      <c r="QPU1096"/>
      <c r="QPV1096"/>
      <c r="QPY1096"/>
      <c r="QPZ1096"/>
      <c r="QQC1096"/>
      <c r="QQD1096"/>
      <c r="QQG1096"/>
      <c r="QQH1096"/>
      <c r="QQK1096"/>
      <c r="QQL1096"/>
      <c r="QQO1096"/>
      <c r="QQP1096"/>
      <c r="QQS1096"/>
      <c r="QQT1096"/>
      <c r="QQW1096"/>
      <c r="QQX1096"/>
      <c r="QRA1096"/>
      <c r="QRB1096"/>
      <c r="QRE1096"/>
      <c r="QRF1096"/>
      <c r="QRI1096"/>
      <c r="QRJ1096"/>
      <c r="QRM1096"/>
      <c r="QRN1096"/>
      <c r="QRQ1096"/>
      <c r="QRR1096"/>
      <c r="QRU1096"/>
      <c r="QRV1096"/>
      <c r="QRY1096"/>
      <c r="QRZ1096"/>
      <c r="QSC1096"/>
      <c r="QSD1096"/>
      <c r="QSG1096"/>
      <c r="QSH1096"/>
      <c r="QSK1096"/>
      <c r="QSL1096"/>
      <c r="QSO1096"/>
      <c r="QSP1096"/>
      <c r="QSS1096"/>
      <c r="QST1096"/>
      <c r="QSW1096"/>
      <c r="QSX1096"/>
      <c r="QTA1096"/>
      <c r="QTB1096"/>
      <c r="QTE1096"/>
      <c r="QTF1096"/>
      <c r="QTI1096"/>
      <c r="QTJ1096"/>
      <c r="QTM1096"/>
      <c r="QTN1096"/>
      <c r="QTQ1096"/>
      <c r="QTR1096"/>
      <c r="QTU1096"/>
      <c r="QTV1096"/>
      <c r="QTY1096"/>
      <c r="QTZ1096"/>
      <c r="QUC1096"/>
      <c r="QUD1096"/>
      <c r="QUG1096"/>
      <c r="QUH1096"/>
      <c r="QUK1096"/>
      <c r="QUL1096"/>
      <c r="QUO1096"/>
      <c r="QUP1096"/>
      <c r="QUS1096"/>
      <c r="QUT1096"/>
      <c r="QUW1096"/>
      <c r="QUX1096"/>
      <c r="QVA1096"/>
      <c r="QVB1096"/>
      <c r="QVE1096"/>
      <c r="QVF1096"/>
      <c r="QVI1096"/>
      <c r="QVJ1096"/>
      <c r="QVM1096"/>
      <c r="QVN1096"/>
      <c r="QVQ1096"/>
      <c r="QVR1096"/>
      <c r="QVU1096"/>
      <c r="QVV1096"/>
      <c r="QVY1096"/>
      <c r="QVZ1096"/>
      <c r="QWC1096"/>
      <c r="QWD1096"/>
      <c r="QWG1096"/>
      <c r="QWH1096"/>
      <c r="QWK1096"/>
      <c r="QWL1096"/>
      <c r="QWO1096"/>
      <c r="QWP1096"/>
      <c r="QWS1096"/>
      <c r="QWT1096"/>
      <c r="QWW1096"/>
      <c r="QWX1096"/>
      <c r="QXA1096"/>
      <c r="QXB1096"/>
      <c r="QXE1096"/>
      <c r="QXF1096"/>
      <c r="QXI1096"/>
      <c r="QXJ1096"/>
      <c r="QXM1096"/>
      <c r="QXN1096"/>
      <c r="QXQ1096"/>
      <c r="QXR1096"/>
      <c r="QXU1096"/>
      <c r="QXV1096"/>
      <c r="QXY1096"/>
      <c r="QXZ1096"/>
      <c r="QYC1096"/>
      <c r="QYD1096"/>
      <c r="QYG1096"/>
      <c r="QYH1096"/>
      <c r="QYK1096"/>
      <c r="QYL1096"/>
      <c r="QYO1096"/>
      <c r="QYP1096"/>
      <c r="QYS1096"/>
      <c r="QYT1096"/>
      <c r="QYW1096"/>
      <c r="QYX1096"/>
      <c r="QZA1096"/>
      <c r="QZB1096"/>
      <c r="QZE1096"/>
      <c r="QZF1096"/>
      <c r="QZI1096"/>
      <c r="QZJ1096"/>
      <c r="QZM1096"/>
      <c r="QZN1096"/>
      <c r="QZQ1096"/>
      <c r="QZR1096"/>
      <c r="QZU1096"/>
      <c r="QZV1096"/>
      <c r="QZY1096"/>
      <c r="QZZ1096"/>
      <c r="RAC1096"/>
      <c r="RAD1096"/>
      <c r="RAG1096"/>
      <c r="RAH1096"/>
      <c r="RAK1096"/>
      <c r="RAL1096"/>
      <c r="RAO1096"/>
      <c r="RAP1096"/>
      <c r="RAS1096"/>
      <c r="RAT1096"/>
      <c r="RAW1096"/>
      <c r="RAX1096"/>
      <c r="RBA1096"/>
      <c r="RBB1096"/>
      <c r="RBE1096"/>
      <c r="RBF1096"/>
      <c r="RBI1096"/>
      <c r="RBJ1096"/>
      <c r="RBM1096"/>
      <c r="RBN1096"/>
      <c r="RBQ1096"/>
      <c r="RBR1096"/>
      <c r="RBU1096"/>
      <c r="RBV1096"/>
      <c r="RBY1096"/>
      <c r="RBZ1096"/>
      <c r="RCC1096"/>
      <c r="RCD1096"/>
      <c r="RCG1096"/>
      <c r="RCH1096"/>
      <c r="RCK1096"/>
      <c r="RCL1096"/>
      <c r="RCO1096"/>
      <c r="RCP1096"/>
      <c r="RCS1096"/>
      <c r="RCT1096"/>
      <c r="RCW1096"/>
      <c r="RCX1096"/>
      <c r="RDA1096"/>
      <c r="RDB1096"/>
      <c r="RDE1096"/>
      <c r="RDF1096"/>
      <c r="RDI1096"/>
      <c r="RDJ1096"/>
      <c r="RDM1096"/>
      <c r="RDN1096"/>
      <c r="RDQ1096"/>
      <c r="RDR1096"/>
      <c r="RDU1096"/>
      <c r="RDV1096"/>
      <c r="RDY1096"/>
      <c r="RDZ1096"/>
      <c r="REC1096"/>
      <c r="RED1096"/>
      <c r="REG1096"/>
      <c r="REH1096"/>
      <c r="REK1096"/>
      <c r="REL1096"/>
      <c r="REO1096"/>
      <c r="REP1096"/>
      <c r="RES1096"/>
      <c r="RET1096"/>
      <c r="REW1096"/>
      <c r="REX1096"/>
      <c r="RFA1096"/>
      <c r="RFB1096"/>
      <c r="RFE1096"/>
      <c r="RFF1096"/>
      <c r="RFI1096"/>
      <c r="RFJ1096"/>
      <c r="RFM1096"/>
      <c r="RFN1096"/>
      <c r="RFQ1096"/>
      <c r="RFR1096"/>
      <c r="RFU1096"/>
      <c r="RFV1096"/>
      <c r="RFY1096"/>
      <c r="RFZ1096"/>
      <c r="RGC1096"/>
      <c r="RGD1096"/>
      <c r="RGG1096"/>
      <c r="RGH1096"/>
      <c r="RGK1096"/>
      <c r="RGL1096"/>
      <c r="RGO1096"/>
      <c r="RGP1096"/>
      <c r="RGS1096"/>
      <c r="RGT1096"/>
      <c r="RGW1096"/>
      <c r="RGX1096"/>
      <c r="RHA1096"/>
      <c r="RHB1096"/>
      <c r="RHE1096"/>
      <c r="RHF1096"/>
      <c r="RHI1096"/>
      <c r="RHJ1096"/>
      <c r="RHM1096"/>
      <c r="RHN1096"/>
      <c r="RHQ1096"/>
      <c r="RHR1096"/>
      <c r="RHU1096"/>
      <c r="RHV1096"/>
      <c r="RHY1096"/>
      <c r="RHZ1096"/>
      <c r="RIC1096"/>
      <c r="RID1096"/>
      <c r="RIG1096"/>
      <c r="RIH1096"/>
      <c r="RIK1096"/>
      <c r="RIL1096"/>
      <c r="RIO1096"/>
      <c r="RIP1096"/>
      <c r="RIS1096"/>
      <c r="RIT1096"/>
      <c r="RIW1096"/>
      <c r="RIX1096"/>
      <c r="RJA1096"/>
      <c r="RJB1096"/>
      <c r="RJE1096"/>
      <c r="RJF1096"/>
      <c r="RJI1096"/>
      <c r="RJJ1096"/>
      <c r="RJM1096"/>
      <c r="RJN1096"/>
      <c r="RJQ1096"/>
      <c r="RJR1096"/>
      <c r="RJU1096"/>
      <c r="RJV1096"/>
      <c r="RJY1096"/>
      <c r="RJZ1096"/>
      <c r="RKC1096"/>
      <c r="RKD1096"/>
      <c r="RKG1096"/>
      <c r="RKH1096"/>
      <c r="RKK1096"/>
      <c r="RKL1096"/>
      <c r="RKO1096"/>
      <c r="RKP1096"/>
      <c r="RKS1096"/>
      <c r="RKT1096"/>
      <c r="RKW1096"/>
      <c r="RKX1096"/>
      <c r="RLA1096"/>
      <c r="RLB1096"/>
      <c r="RLE1096"/>
      <c r="RLF1096"/>
      <c r="RLI1096"/>
      <c r="RLJ1096"/>
      <c r="RLM1096"/>
      <c r="RLN1096"/>
      <c r="RLQ1096"/>
      <c r="RLR1096"/>
      <c r="RLU1096"/>
      <c r="RLV1096"/>
      <c r="RLY1096"/>
      <c r="RLZ1096"/>
      <c r="RMC1096"/>
      <c r="RMD1096"/>
      <c r="RMG1096"/>
      <c r="RMH1096"/>
      <c r="RMK1096"/>
      <c r="RML1096"/>
      <c r="RMO1096"/>
      <c r="RMP1096"/>
      <c r="RMS1096"/>
      <c r="RMT1096"/>
      <c r="RMW1096"/>
      <c r="RMX1096"/>
      <c r="RNA1096"/>
      <c r="RNB1096"/>
      <c r="RNE1096"/>
      <c r="RNF1096"/>
      <c r="RNI1096"/>
      <c r="RNJ1096"/>
      <c r="RNM1096"/>
      <c r="RNN1096"/>
      <c r="RNQ1096"/>
      <c r="RNR1096"/>
      <c r="RNU1096"/>
      <c r="RNV1096"/>
      <c r="RNY1096"/>
      <c r="RNZ1096"/>
      <c r="ROC1096"/>
      <c r="ROD1096"/>
      <c r="ROG1096"/>
      <c r="ROH1096"/>
      <c r="ROK1096"/>
      <c r="ROL1096"/>
      <c r="ROO1096"/>
      <c r="ROP1096"/>
      <c r="ROS1096"/>
      <c r="ROT1096"/>
      <c r="ROW1096"/>
      <c r="ROX1096"/>
      <c r="RPA1096"/>
      <c r="RPB1096"/>
      <c r="RPE1096"/>
      <c r="RPF1096"/>
      <c r="RPI1096"/>
      <c r="RPJ1096"/>
      <c r="RPM1096"/>
      <c r="RPN1096"/>
      <c r="RPQ1096"/>
      <c r="RPR1096"/>
      <c r="RPU1096"/>
      <c r="RPV1096"/>
      <c r="RPY1096"/>
      <c r="RPZ1096"/>
      <c r="RQC1096"/>
      <c r="RQD1096"/>
      <c r="RQG1096"/>
      <c r="RQH1096"/>
      <c r="RQK1096"/>
      <c r="RQL1096"/>
      <c r="RQO1096"/>
      <c r="RQP1096"/>
      <c r="RQS1096"/>
      <c r="RQT1096"/>
      <c r="RQW1096"/>
      <c r="RQX1096"/>
      <c r="RRA1096"/>
      <c r="RRB1096"/>
      <c r="RRE1096"/>
      <c r="RRF1096"/>
      <c r="RRI1096"/>
      <c r="RRJ1096"/>
      <c r="RRM1096"/>
      <c r="RRN1096"/>
      <c r="RRQ1096"/>
      <c r="RRR1096"/>
      <c r="RRU1096"/>
      <c r="RRV1096"/>
      <c r="RRY1096"/>
      <c r="RRZ1096"/>
      <c r="RSC1096"/>
      <c r="RSD1096"/>
      <c r="RSG1096"/>
      <c r="RSH1096"/>
      <c r="RSK1096"/>
      <c r="RSL1096"/>
      <c r="RSO1096"/>
      <c r="RSP1096"/>
      <c r="RSS1096"/>
      <c r="RST1096"/>
      <c r="RSW1096"/>
      <c r="RSX1096"/>
      <c r="RTA1096"/>
      <c r="RTB1096"/>
      <c r="RTE1096"/>
      <c r="RTF1096"/>
      <c r="RTI1096"/>
      <c r="RTJ1096"/>
      <c r="RTM1096"/>
      <c r="RTN1096"/>
      <c r="RTQ1096"/>
      <c r="RTR1096"/>
      <c r="RTU1096"/>
      <c r="RTV1096"/>
      <c r="RTY1096"/>
      <c r="RTZ1096"/>
      <c r="RUC1096"/>
      <c r="RUD1096"/>
      <c r="RUG1096"/>
      <c r="RUH1096"/>
      <c r="RUK1096"/>
      <c r="RUL1096"/>
      <c r="RUO1096"/>
      <c r="RUP1096"/>
      <c r="RUS1096"/>
      <c r="RUT1096"/>
      <c r="RUW1096"/>
      <c r="RUX1096"/>
      <c r="RVA1096"/>
      <c r="RVB1096"/>
      <c r="RVE1096"/>
      <c r="RVF1096"/>
      <c r="RVI1096"/>
      <c r="RVJ1096"/>
      <c r="RVM1096"/>
      <c r="RVN1096"/>
      <c r="RVQ1096"/>
      <c r="RVR1096"/>
      <c r="RVU1096"/>
      <c r="RVV1096"/>
      <c r="RVY1096"/>
      <c r="RVZ1096"/>
      <c r="RWC1096"/>
      <c r="RWD1096"/>
      <c r="RWG1096"/>
      <c r="RWH1096"/>
      <c r="RWK1096"/>
      <c r="RWL1096"/>
      <c r="RWO1096"/>
      <c r="RWP1096"/>
      <c r="RWS1096"/>
      <c r="RWT1096"/>
      <c r="RWW1096"/>
      <c r="RWX1096"/>
      <c r="RXA1096"/>
      <c r="RXB1096"/>
      <c r="RXE1096"/>
      <c r="RXF1096"/>
      <c r="RXI1096"/>
      <c r="RXJ1096"/>
      <c r="RXM1096"/>
      <c r="RXN1096"/>
      <c r="RXQ1096"/>
      <c r="RXR1096"/>
      <c r="RXU1096"/>
      <c r="RXV1096"/>
      <c r="RXY1096"/>
      <c r="RXZ1096"/>
      <c r="RYC1096"/>
      <c r="RYD1096"/>
      <c r="RYG1096"/>
      <c r="RYH1096"/>
      <c r="RYK1096"/>
      <c r="RYL1096"/>
      <c r="RYO1096"/>
      <c r="RYP1096"/>
      <c r="RYS1096"/>
      <c r="RYT1096"/>
      <c r="RYW1096"/>
      <c r="RYX1096"/>
      <c r="RZA1096"/>
      <c r="RZB1096"/>
      <c r="RZE1096"/>
      <c r="RZF1096"/>
      <c r="RZI1096"/>
      <c r="RZJ1096"/>
      <c r="RZM1096"/>
      <c r="RZN1096"/>
      <c r="RZQ1096"/>
      <c r="RZR1096"/>
      <c r="RZU1096"/>
      <c r="RZV1096"/>
      <c r="RZY1096"/>
      <c r="RZZ1096"/>
      <c r="SAC1096"/>
      <c r="SAD1096"/>
      <c r="SAG1096"/>
      <c r="SAH1096"/>
      <c r="SAK1096"/>
      <c r="SAL1096"/>
      <c r="SAO1096"/>
      <c r="SAP1096"/>
      <c r="SAS1096"/>
      <c r="SAT1096"/>
      <c r="SAW1096"/>
      <c r="SAX1096"/>
      <c r="SBA1096"/>
      <c r="SBB1096"/>
      <c r="SBE1096"/>
      <c r="SBF1096"/>
      <c r="SBI1096"/>
      <c r="SBJ1096"/>
      <c r="SBM1096"/>
      <c r="SBN1096"/>
      <c r="SBQ1096"/>
      <c r="SBR1096"/>
      <c r="SBU1096"/>
      <c r="SBV1096"/>
      <c r="SBY1096"/>
      <c r="SBZ1096"/>
      <c r="SCC1096"/>
      <c r="SCD1096"/>
      <c r="SCG1096"/>
      <c r="SCH1096"/>
      <c r="SCK1096"/>
      <c r="SCL1096"/>
      <c r="SCO1096"/>
      <c r="SCP1096"/>
      <c r="SCS1096"/>
      <c r="SCT1096"/>
      <c r="SCW1096"/>
      <c r="SCX1096"/>
      <c r="SDA1096"/>
      <c r="SDB1096"/>
      <c r="SDE1096"/>
      <c r="SDF1096"/>
      <c r="SDI1096"/>
      <c r="SDJ1096"/>
      <c r="SDM1096"/>
      <c r="SDN1096"/>
      <c r="SDQ1096"/>
      <c r="SDR1096"/>
      <c r="SDU1096"/>
      <c r="SDV1096"/>
      <c r="SDY1096"/>
      <c r="SDZ1096"/>
      <c r="SEC1096"/>
      <c r="SED1096"/>
      <c r="SEG1096"/>
      <c r="SEH1096"/>
      <c r="SEK1096"/>
      <c r="SEL1096"/>
      <c r="SEO1096"/>
      <c r="SEP1096"/>
      <c r="SES1096"/>
      <c r="SET1096"/>
      <c r="SEW1096"/>
      <c r="SEX1096"/>
      <c r="SFA1096"/>
      <c r="SFB1096"/>
      <c r="SFE1096"/>
      <c r="SFF1096"/>
      <c r="SFI1096"/>
      <c r="SFJ1096"/>
      <c r="SFM1096"/>
      <c r="SFN1096"/>
      <c r="SFQ1096"/>
      <c r="SFR1096"/>
      <c r="SFU1096"/>
      <c r="SFV1096"/>
      <c r="SFY1096"/>
      <c r="SFZ1096"/>
      <c r="SGC1096"/>
      <c r="SGD1096"/>
      <c r="SGG1096"/>
      <c r="SGH1096"/>
      <c r="SGK1096"/>
      <c r="SGL1096"/>
      <c r="SGO1096"/>
      <c r="SGP1096"/>
      <c r="SGS1096"/>
      <c r="SGT1096"/>
      <c r="SGW1096"/>
      <c r="SGX1096"/>
      <c r="SHA1096"/>
      <c r="SHB1096"/>
      <c r="SHE1096"/>
      <c r="SHF1096"/>
      <c r="SHI1096"/>
      <c r="SHJ1096"/>
      <c r="SHM1096"/>
      <c r="SHN1096"/>
      <c r="SHQ1096"/>
      <c r="SHR1096"/>
      <c r="SHU1096"/>
      <c r="SHV1096"/>
      <c r="SHY1096"/>
      <c r="SHZ1096"/>
      <c r="SIC1096"/>
      <c r="SID1096"/>
      <c r="SIG1096"/>
      <c r="SIH1096"/>
      <c r="SIK1096"/>
      <c r="SIL1096"/>
      <c r="SIO1096"/>
      <c r="SIP1096"/>
      <c r="SIS1096"/>
      <c r="SIT1096"/>
      <c r="SIW1096"/>
      <c r="SIX1096"/>
      <c r="SJA1096"/>
      <c r="SJB1096"/>
      <c r="SJE1096"/>
      <c r="SJF1096"/>
      <c r="SJI1096"/>
      <c r="SJJ1096"/>
      <c r="SJM1096"/>
      <c r="SJN1096"/>
      <c r="SJQ1096"/>
      <c r="SJR1096"/>
      <c r="SJU1096"/>
      <c r="SJV1096"/>
      <c r="SJY1096"/>
      <c r="SJZ1096"/>
      <c r="SKC1096"/>
      <c r="SKD1096"/>
      <c r="SKG1096"/>
      <c r="SKH1096"/>
      <c r="SKK1096"/>
      <c r="SKL1096"/>
      <c r="SKO1096"/>
      <c r="SKP1096"/>
      <c r="SKS1096"/>
      <c r="SKT1096"/>
      <c r="SKW1096"/>
      <c r="SKX1096"/>
      <c r="SLA1096"/>
      <c r="SLB1096"/>
      <c r="SLE1096"/>
      <c r="SLF1096"/>
      <c r="SLI1096"/>
      <c r="SLJ1096"/>
      <c r="SLM1096"/>
      <c r="SLN1096"/>
      <c r="SLQ1096"/>
      <c r="SLR1096"/>
      <c r="SLU1096"/>
      <c r="SLV1096"/>
      <c r="SLY1096"/>
      <c r="SLZ1096"/>
      <c r="SMC1096"/>
      <c r="SMD1096"/>
      <c r="SMG1096"/>
      <c r="SMH1096"/>
      <c r="SMK1096"/>
      <c r="SML1096"/>
      <c r="SMO1096"/>
      <c r="SMP1096"/>
      <c r="SMS1096"/>
      <c r="SMT1096"/>
      <c r="SMW1096"/>
      <c r="SMX1096"/>
      <c r="SNA1096"/>
      <c r="SNB1096"/>
      <c r="SNE1096"/>
      <c r="SNF1096"/>
      <c r="SNI1096"/>
      <c r="SNJ1096"/>
      <c r="SNM1096"/>
      <c r="SNN1096"/>
      <c r="SNQ1096"/>
      <c r="SNR1096"/>
      <c r="SNU1096"/>
      <c r="SNV1096"/>
      <c r="SNY1096"/>
      <c r="SNZ1096"/>
      <c r="SOC1096"/>
      <c r="SOD1096"/>
      <c r="SOG1096"/>
      <c r="SOH1096"/>
      <c r="SOK1096"/>
      <c r="SOL1096"/>
      <c r="SOO1096"/>
      <c r="SOP1096"/>
      <c r="SOS1096"/>
      <c r="SOT1096"/>
      <c r="SOW1096"/>
      <c r="SOX1096"/>
      <c r="SPA1096"/>
      <c r="SPB1096"/>
      <c r="SPE1096"/>
      <c r="SPF1096"/>
      <c r="SPI1096"/>
      <c r="SPJ1096"/>
      <c r="SPM1096"/>
      <c r="SPN1096"/>
      <c r="SPQ1096"/>
      <c r="SPR1096"/>
      <c r="SPU1096"/>
      <c r="SPV1096"/>
      <c r="SPY1096"/>
      <c r="SPZ1096"/>
      <c r="SQC1096"/>
      <c r="SQD1096"/>
      <c r="SQG1096"/>
      <c r="SQH1096"/>
      <c r="SQK1096"/>
      <c r="SQL1096"/>
      <c r="SQO1096"/>
      <c r="SQP1096"/>
      <c r="SQS1096"/>
      <c r="SQT1096"/>
      <c r="SQW1096"/>
      <c r="SQX1096"/>
      <c r="SRA1096"/>
      <c r="SRB1096"/>
      <c r="SRE1096"/>
      <c r="SRF1096"/>
      <c r="SRI1096"/>
      <c r="SRJ1096"/>
      <c r="SRM1096"/>
      <c r="SRN1096"/>
      <c r="SRQ1096"/>
      <c r="SRR1096"/>
      <c r="SRU1096"/>
      <c r="SRV1096"/>
      <c r="SRY1096"/>
      <c r="SRZ1096"/>
      <c r="SSC1096"/>
      <c r="SSD1096"/>
      <c r="SSG1096"/>
      <c r="SSH1096"/>
      <c r="SSK1096"/>
      <c r="SSL1096"/>
      <c r="SSO1096"/>
      <c r="SSP1096"/>
      <c r="SSS1096"/>
      <c r="SST1096"/>
      <c r="SSW1096"/>
      <c r="SSX1096"/>
      <c r="STA1096"/>
      <c r="STB1096"/>
      <c r="STE1096"/>
      <c r="STF1096"/>
      <c r="STI1096"/>
      <c r="STJ1096"/>
      <c r="STM1096"/>
      <c r="STN1096"/>
      <c r="STQ1096"/>
      <c r="STR1096"/>
      <c r="STU1096"/>
      <c r="STV1096"/>
      <c r="STY1096"/>
      <c r="STZ1096"/>
      <c r="SUC1096"/>
      <c r="SUD1096"/>
      <c r="SUG1096"/>
      <c r="SUH1096"/>
      <c r="SUK1096"/>
      <c r="SUL1096"/>
      <c r="SUO1096"/>
      <c r="SUP1096"/>
      <c r="SUS1096"/>
      <c r="SUT1096"/>
      <c r="SUW1096"/>
      <c r="SUX1096"/>
      <c r="SVA1096"/>
      <c r="SVB1096"/>
      <c r="SVE1096"/>
      <c r="SVF1096"/>
      <c r="SVI1096"/>
      <c r="SVJ1096"/>
      <c r="SVM1096"/>
      <c r="SVN1096"/>
      <c r="SVQ1096"/>
      <c r="SVR1096"/>
      <c r="SVU1096"/>
      <c r="SVV1096"/>
      <c r="SVY1096"/>
      <c r="SVZ1096"/>
      <c r="SWC1096"/>
      <c r="SWD1096"/>
      <c r="SWG1096"/>
      <c r="SWH1096"/>
      <c r="SWK1096"/>
      <c r="SWL1096"/>
      <c r="SWO1096"/>
      <c r="SWP1096"/>
      <c r="SWS1096"/>
      <c r="SWT1096"/>
      <c r="SWW1096"/>
      <c r="SWX1096"/>
      <c r="SXA1096"/>
      <c r="SXB1096"/>
      <c r="SXE1096"/>
      <c r="SXF1096"/>
      <c r="SXI1096"/>
      <c r="SXJ1096"/>
      <c r="SXM1096"/>
      <c r="SXN1096"/>
      <c r="SXQ1096"/>
      <c r="SXR1096"/>
      <c r="SXU1096"/>
      <c r="SXV1096"/>
      <c r="SXY1096"/>
      <c r="SXZ1096"/>
      <c r="SYC1096"/>
      <c r="SYD1096"/>
      <c r="SYG1096"/>
      <c r="SYH1096"/>
      <c r="SYK1096"/>
      <c r="SYL1096"/>
      <c r="SYO1096"/>
      <c r="SYP1096"/>
      <c r="SYS1096"/>
      <c r="SYT1096"/>
      <c r="SYW1096"/>
      <c r="SYX1096"/>
      <c r="SZA1096"/>
      <c r="SZB1096"/>
      <c r="SZE1096"/>
      <c r="SZF1096"/>
      <c r="SZI1096"/>
      <c r="SZJ1096"/>
      <c r="SZM1096"/>
      <c r="SZN1096"/>
      <c r="SZQ1096"/>
      <c r="SZR1096"/>
      <c r="SZU1096"/>
      <c r="SZV1096"/>
      <c r="SZY1096"/>
      <c r="SZZ1096"/>
      <c r="TAC1096"/>
      <c r="TAD1096"/>
      <c r="TAG1096"/>
      <c r="TAH1096"/>
      <c r="TAK1096"/>
      <c r="TAL1096"/>
      <c r="TAO1096"/>
      <c r="TAP1096"/>
      <c r="TAS1096"/>
      <c r="TAT1096"/>
      <c r="TAW1096"/>
      <c r="TAX1096"/>
      <c r="TBA1096"/>
      <c r="TBB1096"/>
      <c r="TBE1096"/>
      <c r="TBF1096"/>
      <c r="TBI1096"/>
      <c r="TBJ1096"/>
      <c r="TBM1096"/>
      <c r="TBN1096"/>
      <c r="TBQ1096"/>
      <c r="TBR1096"/>
      <c r="TBU1096"/>
      <c r="TBV1096"/>
      <c r="TBY1096"/>
      <c r="TBZ1096"/>
      <c r="TCC1096"/>
      <c r="TCD1096"/>
      <c r="TCG1096"/>
      <c r="TCH1096"/>
      <c r="TCK1096"/>
      <c r="TCL1096"/>
      <c r="TCO1096"/>
      <c r="TCP1096"/>
      <c r="TCS1096"/>
      <c r="TCT1096"/>
      <c r="TCW1096"/>
      <c r="TCX1096"/>
      <c r="TDA1096"/>
      <c r="TDB1096"/>
      <c r="TDE1096"/>
      <c r="TDF1096"/>
      <c r="TDI1096"/>
      <c r="TDJ1096"/>
      <c r="TDM1096"/>
      <c r="TDN1096"/>
      <c r="TDQ1096"/>
      <c r="TDR1096"/>
      <c r="TDU1096"/>
      <c r="TDV1096"/>
      <c r="TDY1096"/>
      <c r="TDZ1096"/>
      <c r="TEC1096"/>
      <c r="TED1096"/>
      <c r="TEG1096"/>
      <c r="TEH1096"/>
      <c r="TEK1096"/>
      <c r="TEL1096"/>
      <c r="TEO1096"/>
      <c r="TEP1096"/>
      <c r="TES1096"/>
      <c r="TET1096"/>
      <c r="TEW1096"/>
      <c r="TEX1096"/>
      <c r="TFA1096"/>
      <c r="TFB1096"/>
      <c r="TFE1096"/>
      <c r="TFF1096"/>
      <c r="TFI1096"/>
      <c r="TFJ1096"/>
      <c r="TFM1096"/>
      <c r="TFN1096"/>
      <c r="TFQ1096"/>
      <c r="TFR1096"/>
      <c r="TFU1096"/>
      <c r="TFV1096"/>
      <c r="TFY1096"/>
      <c r="TFZ1096"/>
      <c r="TGC1096"/>
      <c r="TGD1096"/>
      <c r="TGG1096"/>
      <c r="TGH1096"/>
      <c r="TGK1096"/>
      <c r="TGL1096"/>
      <c r="TGO1096"/>
      <c r="TGP1096"/>
      <c r="TGS1096"/>
      <c r="TGT1096"/>
      <c r="TGW1096"/>
      <c r="TGX1096"/>
      <c r="THA1096"/>
      <c r="THB1096"/>
      <c r="THE1096"/>
      <c r="THF1096"/>
      <c r="THI1096"/>
      <c r="THJ1096"/>
      <c r="THM1096"/>
      <c r="THN1096"/>
      <c r="THQ1096"/>
      <c r="THR1096"/>
      <c r="THU1096"/>
      <c r="THV1096"/>
      <c r="THY1096"/>
      <c r="THZ1096"/>
      <c r="TIC1096"/>
      <c r="TID1096"/>
      <c r="TIG1096"/>
      <c r="TIH1096"/>
      <c r="TIK1096"/>
      <c r="TIL1096"/>
      <c r="TIO1096"/>
      <c r="TIP1096"/>
      <c r="TIS1096"/>
      <c r="TIT1096"/>
      <c r="TIW1096"/>
      <c r="TIX1096"/>
      <c r="TJA1096"/>
      <c r="TJB1096"/>
      <c r="TJE1096"/>
      <c r="TJF1096"/>
      <c r="TJI1096"/>
      <c r="TJJ1096"/>
      <c r="TJM1096"/>
      <c r="TJN1096"/>
      <c r="TJQ1096"/>
      <c r="TJR1096"/>
      <c r="TJU1096"/>
      <c r="TJV1096"/>
      <c r="TJY1096"/>
      <c r="TJZ1096"/>
      <c r="TKC1096"/>
      <c r="TKD1096"/>
      <c r="TKG1096"/>
      <c r="TKH1096"/>
      <c r="TKK1096"/>
      <c r="TKL1096"/>
      <c r="TKO1096"/>
      <c r="TKP1096"/>
      <c r="TKS1096"/>
      <c r="TKT1096"/>
      <c r="TKW1096"/>
      <c r="TKX1096"/>
      <c r="TLA1096"/>
      <c r="TLB1096"/>
      <c r="TLE1096"/>
      <c r="TLF1096"/>
      <c r="TLI1096"/>
      <c r="TLJ1096"/>
      <c r="TLM1096"/>
      <c r="TLN1096"/>
      <c r="TLQ1096"/>
      <c r="TLR1096"/>
      <c r="TLU1096"/>
      <c r="TLV1096"/>
      <c r="TLY1096"/>
      <c r="TLZ1096"/>
      <c r="TMC1096"/>
      <c r="TMD1096"/>
      <c r="TMG1096"/>
      <c r="TMH1096"/>
      <c r="TMK1096"/>
      <c r="TML1096"/>
      <c r="TMO1096"/>
      <c r="TMP1096"/>
      <c r="TMS1096"/>
      <c r="TMT1096"/>
      <c r="TMW1096"/>
      <c r="TMX1096"/>
      <c r="TNA1096"/>
      <c r="TNB1096"/>
      <c r="TNE1096"/>
      <c r="TNF1096"/>
      <c r="TNI1096"/>
      <c r="TNJ1096"/>
      <c r="TNM1096"/>
      <c r="TNN1096"/>
      <c r="TNQ1096"/>
      <c r="TNR1096"/>
      <c r="TNU1096"/>
      <c r="TNV1096"/>
      <c r="TNY1096"/>
      <c r="TNZ1096"/>
      <c r="TOC1096"/>
      <c r="TOD1096"/>
      <c r="TOG1096"/>
      <c r="TOH1096"/>
      <c r="TOK1096"/>
      <c r="TOL1096"/>
      <c r="TOO1096"/>
      <c r="TOP1096"/>
      <c r="TOS1096"/>
      <c r="TOT1096"/>
      <c r="TOW1096"/>
      <c r="TOX1096"/>
      <c r="TPA1096"/>
      <c r="TPB1096"/>
      <c r="TPE1096"/>
      <c r="TPF1096"/>
      <c r="TPI1096"/>
      <c r="TPJ1096"/>
      <c r="TPM1096"/>
      <c r="TPN1096"/>
      <c r="TPQ1096"/>
      <c r="TPR1096"/>
      <c r="TPU1096"/>
      <c r="TPV1096"/>
      <c r="TPY1096"/>
      <c r="TPZ1096"/>
      <c r="TQC1096"/>
      <c r="TQD1096"/>
      <c r="TQG1096"/>
      <c r="TQH1096"/>
      <c r="TQK1096"/>
      <c r="TQL1096"/>
      <c r="TQO1096"/>
      <c r="TQP1096"/>
      <c r="TQS1096"/>
      <c r="TQT1096"/>
      <c r="TQW1096"/>
      <c r="TQX1096"/>
      <c r="TRA1096"/>
      <c r="TRB1096"/>
      <c r="TRE1096"/>
      <c r="TRF1096"/>
      <c r="TRI1096"/>
      <c r="TRJ1096"/>
      <c r="TRM1096"/>
      <c r="TRN1096"/>
      <c r="TRQ1096"/>
      <c r="TRR1096"/>
      <c r="TRU1096"/>
      <c r="TRV1096"/>
      <c r="TRY1096"/>
      <c r="TRZ1096"/>
      <c r="TSC1096"/>
      <c r="TSD1096"/>
      <c r="TSG1096"/>
      <c r="TSH1096"/>
      <c r="TSK1096"/>
      <c r="TSL1096"/>
      <c r="TSO1096"/>
      <c r="TSP1096"/>
      <c r="TSS1096"/>
      <c r="TST1096"/>
      <c r="TSW1096"/>
      <c r="TSX1096"/>
      <c r="TTA1096"/>
      <c r="TTB1096"/>
      <c r="TTE1096"/>
      <c r="TTF1096"/>
      <c r="TTI1096"/>
      <c r="TTJ1096"/>
      <c r="TTM1096"/>
      <c r="TTN1096"/>
      <c r="TTQ1096"/>
      <c r="TTR1096"/>
      <c r="TTU1096"/>
      <c r="TTV1096"/>
      <c r="TTY1096"/>
      <c r="TTZ1096"/>
      <c r="TUC1096"/>
      <c r="TUD1096"/>
      <c r="TUG1096"/>
      <c r="TUH1096"/>
      <c r="TUK1096"/>
      <c r="TUL1096"/>
      <c r="TUO1096"/>
      <c r="TUP1096"/>
      <c r="TUS1096"/>
      <c r="TUT1096"/>
      <c r="TUW1096"/>
      <c r="TUX1096"/>
      <c r="TVA1096"/>
      <c r="TVB1096"/>
      <c r="TVE1096"/>
      <c r="TVF1096"/>
      <c r="TVI1096"/>
      <c r="TVJ1096"/>
      <c r="TVM1096"/>
      <c r="TVN1096"/>
      <c r="TVQ1096"/>
      <c r="TVR1096"/>
      <c r="TVU1096"/>
      <c r="TVV1096"/>
      <c r="TVY1096"/>
      <c r="TVZ1096"/>
      <c r="TWC1096"/>
      <c r="TWD1096"/>
      <c r="TWG1096"/>
      <c r="TWH1096"/>
      <c r="TWK1096"/>
      <c r="TWL1096"/>
      <c r="TWO1096"/>
      <c r="TWP1096"/>
      <c r="TWS1096"/>
      <c r="TWT1096"/>
      <c r="TWW1096"/>
      <c r="TWX1096"/>
      <c r="TXA1096"/>
      <c r="TXB1096"/>
      <c r="TXE1096"/>
      <c r="TXF1096"/>
      <c r="TXI1096"/>
      <c r="TXJ1096"/>
      <c r="TXM1096"/>
      <c r="TXN1096"/>
      <c r="TXQ1096"/>
      <c r="TXR1096"/>
      <c r="TXU1096"/>
      <c r="TXV1096"/>
      <c r="TXY1096"/>
      <c r="TXZ1096"/>
      <c r="TYC1096"/>
      <c r="TYD1096"/>
      <c r="TYG1096"/>
      <c r="TYH1096"/>
      <c r="TYK1096"/>
      <c r="TYL1096"/>
      <c r="TYO1096"/>
      <c r="TYP1096"/>
      <c r="TYS1096"/>
      <c r="TYT1096"/>
      <c r="TYW1096"/>
      <c r="TYX1096"/>
      <c r="TZA1096"/>
      <c r="TZB1096"/>
      <c r="TZE1096"/>
      <c r="TZF1096"/>
      <c r="TZI1096"/>
      <c r="TZJ1096"/>
      <c r="TZM1096"/>
      <c r="TZN1096"/>
      <c r="TZQ1096"/>
      <c r="TZR1096"/>
      <c r="TZU1096"/>
      <c r="TZV1096"/>
      <c r="TZY1096"/>
      <c r="TZZ1096"/>
      <c r="UAC1096"/>
      <c r="UAD1096"/>
      <c r="UAG1096"/>
      <c r="UAH1096"/>
      <c r="UAK1096"/>
      <c r="UAL1096"/>
      <c r="UAO1096"/>
      <c r="UAP1096"/>
      <c r="UAS1096"/>
      <c r="UAT1096"/>
      <c r="UAW1096"/>
      <c r="UAX1096"/>
      <c r="UBA1096"/>
      <c r="UBB1096"/>
      <c r="UBE1096"/>
      <c r="UBF1096"/>
      <c r="UBI1096"/>
      <c r="UBJ1096"/>
      <c r="UBM1096"/>
      <c r="UBN1096"/>
      <c r="UBQ1096"/>
      <c r="UBR1096"/>
      <c r="UBU1096"/>
      <c r="UBV1096"/>
      <c r="UBY1096"/>
      <c r="UBZ1096"/>
      <c r="UCC1096"/>
      <c r="UCD1096"/>
      <c r="UCG1096"/>
      <c r="UCH1096"/>
      <c r="UCK1096"/>
      <c r="UCL1096"/>
      <c r="UCO1096"/>
      <c r="UCP1096"/>
      <c r="UCS1096"/>
      <c r="UCT1096"/>
      <c r="UCW1096"/>
      <c r="UCX1096"/>
      <c r="UDA1096"/>
      <c r="UDB1096"/>
      <c r="UDE1096"/>
      <c r="UDF1096"/>
      <c r="UDI1096"/>
      <c r="UDJ1096"/>
      <c r="UDM1096"/>
      <c r="UDN1096"/>
      <c r="UDQ1096"/>
      <c r="UDR1096"/>
      <c r="UDU1096"/>
      <c r="UDV1096"/>
      <c r="UDY1096"/>
      <c r="UDZ1096"/>
      <c r="UEC1096"/>
      <c r="UED1096"/>
      <c r="UEG1096"/>
      <c r="UEH1096"/>
      <c r="UEK1096"/>
      <c r="UEL1096"/>
      <c r="UEO1096"/>
      <c r="UEP1096"/>
      <c r="UES1096"/>
      <c r="UET1096"/>
      <c r="UEW1096"/>
      <c r="UEX1096"/>
      <c r="UFA1096"/>
      <c r="UFB1096"/>
      <c r="UFE1096"/>
      <c r="UFF1096"/>
      <c r="UFI1096"/>
      <c r="UFJ1096"/>
      <c r="UFM1096"/>
      <c r="UFN1096"/>
      <c r="UFQ1096"/>
      <c r="UFR1096"/>
      <c r="UFU1096"/>
      <c r="UFV1096"/>
      <c r="UFY1096"/>
      <c r="UFZ1096"/>
      <c r="UGC1096"/>
      <c r="UGD1096"/>
      <c r="UGG1096"/>
      <c r="UGH1096"/>
      <c r="UGK1096"/>
      <c r="UGL1096"/>
      <c r="UGO1096"/>
      <c r="UGP1096"/>
      <c r="UGS1096"/>
      <c r="UGT1096"/>
      <c r="UGW1096"/>
      <c r="UGX1096"/>
      <c r="UHA1096"/>
      <c r="UHB1096"/>
      <c r="UHE1096"/>
      <c r="UHF1096"/>
      <c r="UHI1096"/>
      <c r="UHJ1096"/>
      <c r="UHM1096"/>
      <c r="UHN1096"/>
      <c r="UHQ1096"/>
      <c r="UHR1096"/>
      <c r="UHU1096"/>
      <c r="UHV1096"/>
      <c r="UHY1096"/>
      <c r="UHZ1096"/>
      <c r="UIC1096"/>
      <c r="UID1096"/>
      <c r="UIG1096"/>
      <c r="UIH1096"/>
      <c r="UIK1096"/>
      <c r="UIL1096"/>
      <c r="UIO1096"/>
      <c r="UIP1096"/>
      <c r="UIS1096"/>
      <c r="UIT1096"/>
      <c r="UIW1096"/>
      <c r="UIX1096"/>
      <c r="UJA1096"/>
      <c r="UJB1096"/>
      <c r="UJE1096"/>
      <c r="UJF1096"/>
      <c r="UJI1096"/>
      <c r="UJJ1096"/>
      <c r="UJM1096"/>
      <c r="UJN1096"/>
      <c r="UJQ1096"/>
      <c r="UJR1096"/>
      <c r="UJU1096"/>
      <c r="UJV1096"/>
      <c r="UJY1096"/>
      <c r="UJZ1096"/>
      <c r="UKC1096"/>
      <c r="UKD1096"/>
      <c r="UKG1096"/>
      <c r="UKH1096"/>
      <c r="UKK1096"/>
      <c r="UKL1096"/>
      <c r="UKO1096"/>
      <c r="UKP1096"/>
      <c r="UKS1096"/>
      <c r="UKT1096"/>
      <c r="UKW1096"/>
      <c r="UKX1096"/>
      <c r="ULA1096"/>
      <c r="ULB1096"/>
      <c r="ULE1096"/>
      <c r="ULF1096"/>
      <c r="ULI1096"/>
      <c r="ULJ1096"/>
      <c r="ULM1096"/>
      <c r="ULN1096"/>
      <c r="ULQ1096"/>
      <c r="ULR1096"/>
      <c r="ULU1096"/>
      <c r="ULV1096"/>
      <c r="ULY1096"/>
      <c r="ULZ1096"/>
      <c r="UMC1096"/>
      <c r="UMD1096"/>
      <c r="UMG1096"/>
      <c r="UMH1096"/>
      <c r="UMK1096"/>
      <c r="UML1096"/>
      <c r="UMO1096"/>
      <c r="UMP1096"/>
      <c r="UMS1096"/>
      <c r="UMT1096"/>
      <c r="UMW1096"/>
      <c r="UMX1096"/>
      <c r="UNA1096"/>
      <c r="UNB1096"/>
      <c r="UNE1096"/>
      <c r="UNF1096"/>
      <c r="UNI1096"/>
      <c r="UNJ1096"/>
      <c r="UNM1096"/>
      <c r="UNN1096"/>
      <c r="UNQ1096"/>
      <c r="UNR1096"/>
      <c r="UNU1096"/>
      <c r="UNV1096"/>
      <c r="UNY1096"/>
      <c r="UNZ1096"/>
      <c r="UOC1096"/>
      <c r="UOD1096"/>
      <c r="UOG1096"/>
      <c r="UOH1096"/>
      <c r="UOK1096"/>
      <c r="UOL1096"/>
      <c r="UOO1096"/>
      <c r="UOP1096"/>
      <c r="UOS1096"/>
      <c r="UOT1096"/>
      <c r="UOW1096"/>
      <c r="UOX1096"/>
      <c r="UPA1096"/>
      <c r="UPB1096"/>
      <c r="UPE1096"/>
      <c r="UPF1096"/>
      <c r="UPI1096"/>
      <c r="UPJ1096"/>
      <c r="UPM1096"/>
      <c r="UPN1096"/>
      <c r="UPQ1096"/>
      <c r="UPR1096"/>
      <c r="UPU1096"/>
      <c r="UPV1096"/>
      <c r="UPY1096"/>
      <c r="UPZ1096"/>
      <c r="UQC1096"/>
      <c r="UQD1096"/>
      <c r="UQG1096"/>
      <c r="UQH1096"/>
      <c r="UQK1096"/>
      <c r="UQL1096"/>
      <c r="UQO1096"/>
      <c r="UQP1096"/>
      <c r="UQS1096"/>
      <c r="UQT1096"/>
      <c r="UQW1096"/>
      <c r="UQX1096"/>
      <c r="URA1096"/>
      <c r="URB1096"/>
      <c r="URE1096"/>
      <c r="URF1096"/>
      <c r="URI1096"/>
      <c r="URJ1096"/>
      <c r="URM1096"/>
      <c r="URN1096"/>
      <c r="URQ1096"/>
      <c r="URR1096"/>
      <c r="URU1096"/>
      <c r="URV1096"/>
      <c r="URY1096"/>
      <c r="URZ1096"/>
      <c r="USC1096"/>
      <c r="USD1096"/>
      <c r="USG1096"/>
      <c r="USH1096"/>
      <c r="USK1096"/>
      <c r="USL1096"/>
      <c r="USO1096"/>
      <c r="USP1096"/>
      <c r="USS1096"/>
      <c r="UST1096"/>
      <c r="USW1096"/>
      <c r="USX1096"/>
      <c r="UTA1096"/>
      <c r="UTB1096"/>
      <c r="UTE1096"/>
      <c r="UTF1096"/>
      <c r="UTI1096"/>
      <c r="UTJ1096"/>
      <c r="UTM1096"/>
      <c r="UTN1096"/>
      <c r="UTQ1096"/>
      <c r="UTR1096"/>
      <c r="UTU1096"/>
      <c r="UTV1096"/>
      <c r="UTY1096"/>
      <c r="UTZ1096"/>
      <c r="UUC1096"/>
      <c r="UUD1096"/>
      <c r="UUG1096"/>
      <c r="UUH1096"/>
      <c r="UUK1096"/>
      <c r="UUL1096"/>
      <c r="UUO1096"/>
      <c r="UUP1096"/>
      <c r="UUS1096"/>
      <c r="UUT1096"/>
      <c r="UUW1096"/>
      <c r="UUX1096"/>
      <c r="UVA1096"/>
      <c r="UVB1096"/>
      <c r="UVE1096"/>
      <c r="UVF1096"/>
      <c r="UVI1096"/>
      <c r="UVJ1096"/>
      <c r="UVM1096"/>
      <c r="UVN1096"/>
      <c r="UVQ1096"/>
      <c r="UVR1096"/>
      <c r="UVU1096"/>
      <c r="UVV1096"/>
      <c r="UVY1096"/>
      <c r="UVZ1096"/>
      <c r="UWC1096"/>
      <c r="UWD1096"/>
      <c r="UWG1096"/>
      <c r="UWH1096"/>
      <c r="UWK1096"/>
      <c r="UWL1096"/>
      <c r="UWO1096"/>
      <c r="UWP1096"/>
      <c r="UWS1096"/>
      <c r="UWT1096"/>
      <c r="UWW1096"/>
      <c r="UWX1096"/>
      <c r="UXA1096"/>
      <c r="UXB1096"/>
      <c r="UXE1096"/>
      <c r="UXF1096"/>
      <c r="UXI1096"/>
      <c r="UXJ1096"/>
      <c r="UXM1096"/>
      <c r="UXN1096"/>
      <c r="UXQ1096"/>
      <c r="UXR1096"/>
      <c r="UXU1096"/>
      <c r="UXV1096"/>
      <c r="UXY1096"/>
      <c r="UXZ1096"/>
      <c r="UYC1096"/>
      <c r="UYD1096"/>
      <c r="UYG1096"/>
      <c r="UYH1096"/>
      <c r="UYK1096"/>
      <c r="UYL1096"/>
      <c r="UYO1096"/>
      <c r="UYP1096"/>
      <c r="UYS1096"/>
      <c r="UYT1096"/>
      <c r="UYW1096"/>
      <c r="UYX1096"/>
      <c r="UZA1096"/>
      <c r="UZB1096"/>
      <c r="UZE1096"/>
      <c r="UZF1096"/>
      <c r="UZI1096"/>
      <c r="UZJ1096"/>
      <c r="UZM1096"/>
      <c r="UZN1096"/>
      <c r="UZQ1096"/>
      <c r="UZR1096"/>
      <c r="UZU1096"/>
      <c r="UZV1096"/>
      <c r="UZY1096"/>
      <c r="UZZ1096"/>
      <c r="VAC1096"/>
      <c r="VAD1096"/>
      <c r="VAG1096"/>
      <c r="VAH1096"/>
      <c r="VAK1096"/>
      <c r="VAL1096"/>
      <c r="VAO1096"/>
      <c r="VAP1096"/>
      <c r="VAS1096"/>
      <c r="VAT1096"/>
      <c r="VAW1096"/>
      <c r="VAX1096"/>
      <c r="VBA1096"/>
      <c r="VBB1096"/>
      <c r="VBE1096"/>
      <c r="VBF1096"/>
      <c r="VBI1096"/>
      <c r="VBJ1096"/>
      <c r="VBM1096"/>
      <c r="VBN1096"/>
      <c r="VBQ1096"/>
      <c r="VBR1096"/>
      <c r="VBU1096"/>
      <c r="VBV1096"/>
      <c r="VBY1096"/>
      <c r="VBZ1096"/>
      <c r="VCC1096"/>
      <c r="VCD1096"/>
      <c r="VCG1096"/>
      <c r="VCH1096"/>
      <c r="VCK1096"/>
      <c r="VCL1096"/>
      <c r="VCO1096"/>
      <c r="VCP1096"/>
      <c r="VCS1096"/>
      <c r="VCT1096"/>
      <c r="VCW1096"/>
      <c r="VCX1096"/>
      <c r="VDA1096"/>
      <c r="VDB1096"/>
      <c r="VDE1096"/>
      <c r="VDF1096"/>
      <c r="VDI1096"/>
      <c r="VDJ1096"/>
      <c r="VDM1096"/>
      <c r="VDN1096"/>
      <c r="VDQ1096"/>
      <c r="VDR1096"/>
      <c r="VDU1096"/>
      <c r="VDV1096"/>
      <c r="VDY1096"/>
      <c r="VDZ1096"/>
      <c r="VEC1096"/>
      <c r="VED1096"/>
      <c r="VEG1096"/>
      <c r="VEH1096"/>
      <c r="VEK1096"/>
      <c r="VEL1096"/>
      <c r="VEO1096"/>
      <c r="VEP1096"/>
      <c r="VES1096"/>
      <c r="VET1096"/>
      <c r="VEW1096"/>
      <c r="VEX1096"/>
      <c r="VFA1096"/>
      <c r="VFB1096"/>
      <c r="VFE1096"/>
      <c r="VFF1096"/>
      <c r="VFI1096"/>
      <c r="VFJ1096"/>
      <c r="VFM1096"/>
      <c r="VFN1096"/>
      <c r="VFQ1096"/>
      <c r="VFR1096"/>
      <c r="VFU1096"/>
      <c r="VFV1096"/>
      <c r="VFY1096"/>
      <c r="VFZ1096"/>
      <c r="VGC1096"/>
      <c r="VGD1096"/>
      <c r="VGG1096"/>
      <c r="VGH1096"/>
      <c r="VGK1096"/>
      <c r="VGL1096"/>
      <c r="VGO1096"/>
      <c r="VGP1096"/>
      <c r="VGS1096"/>
      <c r="VGT1096"/>
      <c r="VGW1096"/>
      <c r="VGX1096"/>
      <c r="VHA1096"/>
      <c r="VHB1096"/>
      <c r="VHE1096"/>
      <c r="VHF1096"/>
      <c r="VHI1096"/>
      <c r="VHJ1096"/>
      <c r="VHM1096"/>
      <c r="VHN1096"/>
      <c r="VHQ1096"/>
      <c r="VHR1096"/>
      <c r="VHU1096"/>
      <c r="VHV1096"/>
      <c r="VHY1096"/>
      <c r="VHZ1096"/>
      <c r="VIC1096"/>
      <c r="VID1096"/>
      <c r="VIG1096"/>
      <c r="VIH1096"/>
      <c r="VIK1096"/>
      <c r="VIL1096"/>
      <c r="VIO1096"/>
      <c r="VIP1096"/>
      <c r="VIS1096"/>
      <c r="VIT1096"/>
      <c r="VIW1096"/>
      <c r="VIX1096"/>
      <c r="VJA1096"/>
      <c r="VJB1096"/>
      <c r="VJE1096"/>
      <c r="VJF1096"/>
      <c r="VJI1096"/>
      <c r="VJJ1096"/>
      <c r="VJM1096"/>
      <c r="VJN1096"/>
      <c r="VJQ1096"/>
      <c r="VJR1096"/>
      <c r="VJU1096"/>
      <c r="VJV1096"/>
      <c r="VJY1096"/>
      <c r="VJZ1096"/>
      <c r="VKC1096"/>
      <c r="VKD1096"/>
      <c r="VKG1096"/>
      <c r="VKH1096"/>
      <c r="VKK1096"/>
      <c r="VKL1096"/>
      <c r="VKO1096"/>
      <c r="VKP1096"/>
      <c r="VKS1096"/>
      <c r="VKT1096"/>
      <c r="VKW1096"/>
      <c r="VKX1096"/>
      <c r="VLA1096"/>
      <c r="VLB1096"/>
      <c r="VLE1096"/>
      <c r="VLF1096"/>
      <c r="VLI1096"/>
      <c r="VLJ1096"/>
      <c r="VLM1096"/>
      <c r="VLN1096"/>
      <c r="VLQ1096"/>
      <c r="VLR1096"/>
      <c r="VLU1096"/>
      <c r="VLV1096"/>
      <c r="VLY1096"/>
      <c r="VLZ1096"/>
      <c r="VMC1096"/>
      <c r="VMD1096"/>
      <c r="VMG1096"/>
      <c r="VMH1096"/>
      <c r="VMK1096"/>
      <c r="VML1096"/>
      <c r="VMO1096"/>
      <c r="VMP1096"/>
      <c r="VMS1096"/>
      <c r="VMT1096"/>
      <c r="VMW1096"/>
      <c r="VMX1096"/>
      <c r="VNA1096"/>
      <c r="VNB1096"/>
      <c r="VNE1096"/>
      <c r="VNF1096"/>
      <c r="VNI1096"/>
      <c r="VNJ1096"/>
      <c r="VNM1096"/>
      <c r="VNN1096"/>
      <c r="VNQ1096"/>
      <c r="VNR1096"/>
      <c r="VNU1096"/>
      <c r="VNV1096"/>
      <c r="VNY1096"/>
      <c r="VNZ1096"/>
      <c r="VOC1096"/>
      <c r="VOD1096"/>
      <c r="VOG1096"/>
      <c r="VOH1096"/>
      <c r="VOK1096"/>
      <c r="VOL1096"/>
      <c r="VOO1096"/>
      <c r="VOP1096"/>
      <c r="VOS1096"/>
      <c r="VOT1096"/>
      <c r="VOW1096"/>
      <c r="VOX1096"/>
      <c r="VPA1096"/>
      <c r="VPB1096"/>
      <c r="VPE1096"/>
      <c r="VPF1096"/>
      <c r="VPI1096"/>
      <c r="VPJ1096"/>
      <c r="VPM1096"/>
      <c r="VPN1096"/>
      <c r="VPQ1096"/>
      <c r="VPR1096"/>
      <c r="VPU1096"/>
      <c r="VPV1096"/>
      <c r="VPY1096"/>
      <c r="VPZ1096"/>
      <c r="VQC1096"/>
      <c r="VQD1096"/>
      <c r="VQG1096"/>
      <c r="VQH1096"/>
      <c r="VQK1096"/>
      <c r="VQL1096"/>
      <c r="VQO1096"/>
      <c r="VQP1096"/>
      <c r="VQS1096"/>
      <c r="VQT1096"/>
      <c r="VQW1096"/>
      <c r="VQX1096"/>
      <c r="VRA1096"/>
      <c r="VRB1096"/>
      <c r="VRE1096"/>
      <c r="VRF1096"/>
      <c r="VRI1096"/>
      <c r="VRJ1096"/>
      <c r="VRM1096"/>
      <c r="VRN1096"/>
      <c r="VRQ1096"/>
      <c r="VRR1096"/>
      <c r="VRU1096"/>
      <c r="VRV1096"/>
      <c r="VRY1096"/>
      <c r="VRZ1096"/>
      <c r="VSC1096"/>
      <c r="VSD1096"/>
      <c r="VSG1096"/>
      <c r="VSH1096"/>
      <c r="VSK1096"/>
      <c r="VSL1096"/>
      <c r="VSO1096"/>
      <c r="VSP1096"/>
      <c r="VSS1096"/>
      <c r="VST1096"/>
      <c r="VSW1096"/>
      <c r="VSX1096"/>
      <c r="VTA1096"/>
      <c r="VTB1096"/>
      <c r="VTE1096"/>
      <c r="VTF1096"/>
      <c r="VTI1096"/>
      <c r="VTJ1096"/>
      <c r="VTM1096"/>
      <c r="VTN1096"/>
      <c r="VTQ1096"/>
      <c r="VTR1096"/>
      <c r="VTU1096"/>
      <c r="VTV1096"/>
      <c r="VTY1096"/>
      <c r="VTZ1096"/>
      <c r="VUC1096"/>
      <c r="VUD1096"/>
      <c r="VUG1096"/>
      <c r="VUH1096"/>
      <c r="VUK1096"/>
      <c r="VUL1096"/>
      <c r="VUO1096"/>
      <c r="VUP1096"/>
      <c r="VUS1096"/>
      <c r="VUT1096"/>
      <c r="VUW1096"/>
      <c r="VUX1096"/>
      <c r="VVA1096"/>
      <c r="VVB1096"/>
      <c r="VVE1096"/>
      <c r="VVF1096"/>
      <c r="VVI1096"/>
      <c r="VVJ1096"/>
      <c r="VVM1096"/>
      <c r="VVN1096"/>
      <c r="VVQ1096"/>
      <c r="VVR1096"/>
      <c r="VVU1096"/>
      <c r="VVV1096"/>
      <c r="VVY1096"/>
      <c r="VVZ1096"/>
      <c r="VWC1096"/>
      <c r="VWD1096"/>
      <c r="VWG1096"/>
      <c r="VWH1096"/>
      <c r="VWK1096"/>
      <c r="VWL1096"/>
      <c r="VWO1096"/>
      <c r="VWP1096"/>
      <c r="VWS1096"/>
      <c r="VWT1096"/>
      <c r="VWW1096"/>
      <c r="VWX1096"/>
      <c r="VXA1096"/>
      <c r="VXB1096"/>
      <c r="VXE1096"/>
      <c r="VXF1096"/>
      <c r="VXI1096"/>
      <c r="VXJ1096"/>
      <c r="VXM1096"/>
      <c r="VXN1096"/>
      <c r="VXQ1096"/>
      <c r="VXR1096"/>
      <c r="VXU1096"/>
      <c r="VXV1096"/>
      <c r="VXY1096"/>
      <c r="VXZ1096"/>
      <c r="VYC1096"/>
      <c r="VYD1096"/>
      <c r="VYG1096"/>
      <c r="VYH1096"/>
      <c r="VYK1096"/>
      <c r="VYL1096"/>
      <c r="VYO1096"/>
      <c r="VYP1096"/>
      <c r="VYS1096"/>
      <c r="VYT1096"/>
      <c r="VYW1096"/>
      <c r="VYX1096"/>
      <c r="VZA1096"/>
      <c r="VZB1096"/>
      <c r="VZE1096"/>
      <c r="VZF1096"/>
      <c r="VZI1096"/>
      <c r="VZJ1096"/>
      <c r="VZM1096"/>
      <c r="VZN1096"/>
      <c r="VZQ1096"/>
      <c r="VZR1096"/>
      <c r="VZU1096"/>
      <c r="VZV1096"/>
      <c r="VZY1096"/>
      <c r="VZZ1096"/>
      <c r="WAC1096"/>
      <c r="WAD1096"/>
      <c r="WAG1096"/>
      <c r="WAH1096"/>
      <c r="WAK1096"/>
      <c r="WAL1096"/>
      <c r="WAO1096"/>
      <c r="WAP1096"/>
      <c r="WAS1096"/>
      <c r="WAT1096"/>
      <c r="WAW1096"/>
      <c r="WAX1096"/>
      <c r="WBA1096"/>
      <c r="WBB1096"/>
      <c r="WBE1096"/>
      <c r="WBF1096"/>
      <c r="WBI1096"/>
      <c r="WBJ1096"/>
      <c r="WBM1096"/>
      <c r="WBN1096"/>
      <c r="WBQ1096"/>
      <c r="WBR1096"/>
      <c r="WBU1096"/>
      <c r="WBV1096"/>
      <c r="WBY1096"/>
      <c r="WBZ1096"/>
      <c r="WCC1096"/>
      <c r="WCD1096"/>
      <c r="WCG1096"/>
      <c r="WCH1096"/>
      <c r="WCK1096"/>
      <c r="WCL1096"/>
      <c r="WCO1096"/>
      <c r="WCP1096"/>
      <c r="WCS1096"/>
      <c r="WCT1096"/>
      <c r="WCW1096"/>
      <c r="WCX1096"/>
      <c r="WDA1096"/>
      <c r="WDB1096"/>
      <c r="WDE1096"/>
      <c r="WDF1096"/>
      <c r="WDI1096"/>
      <c r="WDJ1096"/>
      <c r="WDM1096"/>
      <c r="WDN1096"/>
      <c r="WDQ1096"/>
      <c r="WDR1096"/>
      <c r="WDU1096"/>
      <c r="WDV1096"/>
      <c r="WDY1096"/>
      <c r="WDZ1096"/>
      <c r="WEC1096"/>
      <c r="WED1096"/>
      <c r="WEG1096"/>
      <c r="WEH1096"/>
      <c r="WEK1096"/>
      <c r="WEL1096"/>
      <c r="WEO1096"/>
      <c r="WEP1096"/>
      <c r="WES1096"/>
      <c r="WET1096"/>
      <c r="WEW1096"/>
      <c r="WEX1096"/>
      <c r="WFA1096"/>
      <c r="WFB1096"/>
      <c r="WFE1096"/>
      <c r="WFF1096"/>
      <c r="WFI1096"/>
      <c r="WFJ1096"/>
      <c r="WFM1096"/>
      <c r="WFN1096"/>
      <c r="WFQ1096"/>
      <c r="WFR1096"/>
      <c r="WFU1096"/>
      <c r="WFV1096"/>
      <c r="WFY1096"/>
      <c r="WFZ1096"/>
      <c r="WGC1096"/>
      <c r="WGD1096"/>
      <c r="WGG1096"/>
      <c r="WGH1096"/>
      <c r="WGK1096"/>
      <c r="WGL1096"/>
      <c r="WGO1096"/>
      <c r="WGP1096"/>
      <c r="WGS1096"/>
      <c r="WGT1096"/>
      <c r="WGW1096"/>
      <c r="WGX1096"/>
      <c r="WHA1096"/>
      <c r="WHB1096"/>
      <c r="WHE1096"/>
      <c r="WHF1096"/>
      <c r="WHI1096"/>
      <c r="WHJ1096"/>
      <c r="WHM1096"/>
      <c r="WHN1096"/>
      <c r="WHQ1096"/>
      <c r="WHR1096"/>
      <c r="WHU1096"/>
      <c r="WHV1096"/>
      <c r="WHY1096"/>
      <c r="WHZ1096"/>
      <c r="WIC1096"/>
      <c r="WID1096"/>
      <c r="WIG1096"/>
      <c r="WIH1096"/>
      <c r="WIK1096"/>
      <c r="WIL1096"/>
      <c r="WIO1096"/>
      <c r="WIP1096"/>
      <c r="WIS1096"/>
      <c r="WIT1096"/>
      <c r="WIW1096"/>
      <c r="WIX1096"/>
      <c r="WJA1096"/>
      <c r="WJB1096"/>
      <c r="WJE1096"/>
      <c r="WJF1096"/>
      <c r="WJI1096"/>
      <c r="WJJ1096"/>
      <c r="WJM1096"/>
      <c r="WJN1096"/>
      <c r="WJQ1096"/>
      <c r="WJR1096"/>
      <c r="WJU1096"/>
      <c r="WJV1096"/>
      <c r="WJY1096"/>
      <c r="WJZ1096"/>
      <c r="WKC1096"/>
      <c r="WKD1096"/>
      <c r="WKG1096"/>
      <c r="WKH1096"/>
      <c r="WKK1096"/>
      <c r="WKL1096"/>
      <c r="WKO1096"/>
      <c r="WKP1096"/>
      <c r="WKS1096"/>
      <c r="WKT1096"/>
      <c r="WKW1096"/>
      <c r="WKX1096"/>
      <c r="WLA1096"/>
      <c r="WLB1096"/>
      <c r="WLE1096"/>
      <c r="WLF1096"/>
      <c r="WLI1096"/>
      <c r="WLJ1096"/>
      <c r="WLM1096"/>
      <c r="WLN1096"/>
      <c r="WLQ1096"/>
      <c r="WLR1096"/>
      <c r="WLU1096"/>
      <c r="WLV1096"/>
      <c r="WLY1096"/>
      <c r="WLZ1096"/>
      <c r="WMC1096"/>
      <c r="WMD1096"/>
      <c r="WMG1096"/>
      <c r="WMH1096"/>
      <c r="WMK1096"/>
      <c r="WML1096"/>
      <c r="WMO1096"/>
      <c r="WMP1096"/>
      <c r="WMS1096"/>
      <c r="WMT1096"/>
      <c r="WMW1096"/>
      <c r="WMX1096"/>
      <c r="WNA1096"/>
      <c r="WNB1096"/>
      <c r="WNE1096"/>
      <c r="WNF1096"/>
      <c r="WNI1096"/>
      <c r="WNJ1096"/>
      <c r="WNM1096"/>
      <c r="WNN1096"/>
      <c r="WNQ1096"/>
      <c r="WNR1096"/>
      <c r="WNU1096"/>
      <c r="WNV1096"/>
      <c r="WNY1096"/>
      <c r="WNZ1096"/>
      <c r="WOC1096"/>
      <c r="WOD1096"/>
      <c r="WOG1096"/>
      <c r="WOH1096"/>
      <c r="WOK1096"/>
      <c r="WOL1096"/>
      <c r="WOO1096"/>
      <c r="WOP1096"/>
      <c r="WOS1096"/>
      <c r="WOT1096"/>
      <c r="WOW1096"/>
      <c r="WOX1096"/>
      <c r="WPA1096"/>
      <c r="WPB1096"/>
      <c r="WPE1096"/>
      <c r="WPF1096"/>
      <c r="WPI1096"/>
      <c r="WPJ1096"/>
      <c r="WPM1096"/>
      <c r="WPN1096"/>
      <c r="WPQ1096"/>
      <c r="WPR1096"/>
      <c r="WPU1096"/>
      <c r="WPV1096"/>
      <c r="WPY1096"/>
      <c r="WPZ1096"/>
      <c r="WQC1096"/>
      <c r="WQD1096"/>
      <c r="WQG1096"/>
      <c r="WQH1096"/>
      <c r="WQK1096"/>
      <c r="WQL1096"/>
      <c r="WQO1096"/>
      <c r="WQP1096"/>
      <c r="WQS1096"/>
      <c r="WQT1096"/>
      <c r="WQW1096"/>
      <c r="WQX1096"/>
      <c r="WRA1096"/>
      <c r="WRB1096"/>
      <c r="WRE1096"/>
      <c r="WRF1096"/>
      <c r="WRI1096"/>
      <c r="WRJ1096"/>
      <c r="WRM1096"/>
      <c r="WRN1096"/>
      <c r="WRQ1096"/>
      <c r="WRR1096"/>
      <c r="WRU1096"/>
      <c r="WRV1096"/>
      <c r="WRY1096"/>
      <c r="WRZ1096"/>
      <c r="WSC1096"/>
      <c r="WSD1096"/>
      <c r="WSG1096"/>
      <c r="WSH1096"/>
      <c r="WSK1096"/>
      <c r="WSL1096"/>
      <c r="WSO1096"/>
      <c r="WSP1096"/>
      <c r="WSS1096"/>
      <c r="WST1096"/>
      <c r="WSW1096"/>
      <c r="WSX1096"/>
      <c r="WTA1096"/>
      <c r="WTB1096"/>
      <c r="WTE1096"/>
      <c r="WTF1096"/>
      <c r="WTI1096"/>
      <c r="WTJ1096"/>
      <c r="WTM1096"/>
      <c r="WTN1096"/>
      <c r="WTQ1096"/>
      <c r="WTR1096"/>
      <c r="WTU1096"/>
      <c r="WTV1096"/>
      <c r="WTY1096"/>
      <c r="WTZ1096"/>
      <c r="WUC1096"/>
      <c r="WUD1096"/>
      <c r="WUG1096"/>
      <c r="WUH1096"/>
      <c r="WUK1096"/>
      <c r="WUL1096"/>
      <c r="WUO1096"/>
      <c r="WUP1096"/>
      <c r="WUS1096"/>
      <c r="WUT1096"/>
      <c r="WUW1096"/>
      <c r="WUX1096"/>
      <c r="WVA1096"/>
      <c r="WVB1096"/>
      <c r="WVE1096"/>
      <c r="WVF1096"/>
      <c r="WVI1096"/>
      <c r="WVJ1096"/>
      <c r="WVM1096"/>
      <c r="WVN1096"/>
      <c r="WVQ1096"/>
      <c r="WVR1096"/>
      <c r="WVU1096"/>
      <c r="WVV1096"/>
      <c r="WVY1096"/>
      <c r="WVZ1096"/>
      <c r="WWC1096"/>
      <c r="WWD1096"/>
      <c r="WWG1096"/>
      <c r="WWH1096"/>
      <c r="WWK1096"/>
      <c r="WWL1096"/>
      <c r="WWO1096"/>
      <c r="WWP1096"/>
      <c r="WWS1096"/>
      <c r="WWT1096"/>
      <c r="WWW1096"/>
      <c r="WWX1096"/>
      <c r="WXA1096"/>
      <c r="WXB1096"/>
      <c r="WXE1096"/>
      <c r="WXF1096"/>
      <c r="WXI1096"/>
      <c r="WXJ1096"/>
      <c r="WXM1096"/>
      <c r="WXN1096"/>
      <c r="WXQ1096"/>
      <c r="WXR1096"/>
      <c r="WXU1096"/>
      <c r="WXV1096"/>
      <c r="WXY1096"/>
      <c r="WXZ1096"/>
      <c r="WYC1096"/>
      <c r="WYD1096"/>
      <c r="WYG1096"/>
      <c r="WYH1096"/>
      <c r="WYK1096"/>
      <c r="WYL1096"/>
      <c r="WYO1096"/>
      <c r="WYP1096"/>
      <c r="WYS1096"/>
      <c r="WYT1096"/>
      <c r="WYW1096"/>
      <c r="WYX1096"/>
      <c r="WZA1096"/>
      <c r="WZB1096"/>
      <c r="WZE1096"/>
      <c r="WZF1096"/>
      <c r="WZI1096"/>
      <c r="WZJ1096"/>
      <c r="WZM1096"/>
      <c r="WZN1096"/>
      <c r="WZQ1096"/>
      <c r="WZR1096"/>
      <c r="WZU1096"/>
      <c r="WZV1096"/>
      <c r="WZY1096"/>
      <c r="WZZ1096"/>
      <c r="XAC1096"/>
      <c r="XAD1096"/>
      <c r="XAG1096"/>
      <c r="XAH1096"/>
      <c r="XAK1096"/>
      <c r="XAL1096"/>
      <c r="XAO1096"/>
      <c r="XAP1096"/>
      <c r="XAS1096"/>
      <c r="XAT1096"/>
      <c r="XAW1096"/>
      <c r="XAX1096"/>
      <c r="XBA1096"/>
      <c r="XBB1096"/>
      <c r="XBE1096"/>
      <c r="XBF1096"/>
      <c r="XBI1096"/>
      <c r="XBJ1096"/>
      <c r="XBM1096"/>
      <c r="XBN1096"/>
      <c r="XBQ1096"/>
      <c r="XBR1096"/>
      <c r="XBU1096"/>
      <c r="XBV1096"/>
      <c r="XBY1096"/>
      <c r="XBZ1096"/>
      <c r="XCC1096"/>
      <c r="XCD1096"/>
      <c r="XCG1096"/>
      <c r="XCH1096"/>
      <c r="XCK1096"/>
      <c r="XCL1096"/>
      <c r="XCO1096"/>
      <c r="XCP1096"/>
      <c r="XCS1096"/>
      <c r="XCT1096"/>
      <c r="XCW1096"/>
      <c r="XCX1096"/>
      <c r="XDA1096"/>
      <c r="XDB1096"/>
      <c r="XDE1096"/>
      <c r="XDF1096"/>
      <c r="XDI1096"/>
      <c r="XDJ1096"/>
      <c r="XDM1096"/>
      <c r="XDN1096"/>
      <c r="XDQ1096"/>
      <c r="XDR1096"/>
      <c r="XDU1096"/>
      <c r="XDV1096"/>
      <c r="XDY1096"/>
      <c r="XDZ1096"/>
      <c r="XEC1096"/>
      <c r="XED1096"/>
      <c r="XEG1096"/>
      <c r="XEH1096"/>
      <c r="XEK1096"/>
      <c r="XEL1096"/>
      <c r="XEO1096"/>
      <c r="XEP1096"/>
      <c r="XES1096"/>
      <c r="XET1096"/>
      <c r="XEW1096"/>
      <c r="XEX1096"/>
      <c r="XFA1096"/>
      <c r="XFB1096"/>
    </row>
    <row r="1097" spans="1:1022 1025:2046 2049:3070 3073:4094 4097:5118 5121:6142 6145:7166 7169:8190 8193:9214 9217:10238 10241:11262 11265:12286 12289:13310 13313:14334 14337:15358 15361:16382" s="15" customFormat="1" outlineLevel="1" x14ac:dyDescent="0.3">
      <c r="A1097" t="s">
        <v>1822</v>
      </c>
      <c r="B1097" t="s">
        <v>266</v>
      </c>
      <c r="C1097" s="15" t="s">
        <v>8</v>
      </c>
      <c r="D1097" s="15" t="s">
        <v>1821</v>
      </c>
      <c r="E1097" t="s">
        <v>8475</v>
      </c>
      <c r="F1097"/>
      <c r="I1097"/>
      <c r="J1097"/>
      <c r="M1097"/>
      <c r="N1097"/>
      <c r="Q1097"/>
      <c r="R1097"/>
      <c r="U1097"/>
      <c r="V1097"/>
      <c r="Y1097"/>
      <c r="Z1097"/>
      <c r="AC1097"/>
      <c r="AD1097"/>
      <c r="AG1097"/>
      <c r="AH1097"/>
      <c r="AK1097"/>
      <c r="AL1097"/>
      <c r="AO1097"/>
      <c r="AP1097"/>
      <c r="AS1097"/>
      <c r="AT1097"/>
      <c r="AW1097"/>
      <c r="AX1097"/>
      <c r="BA1097"/>
      <c r="BB1097"/>
      <c r="BE1097"/>
      <c r="BF1097"/>
      <c r="BI1097"/>
      <c r="BJ1097"/>
      <c r="BM1097"/>
      <c r="BN1097"/>
      <c r="BQ1097"/>
      <c r="BR1097"/>
      <c r="BU1097"/>
      <c r="BV1097"/>
      <c r="BY1097"/>
      <c r="BZ1097"/>
      <c r="CC1097"/>
      <c r="CD1097"/>
      <c r="CG1097"/>
      <c r="CH1097"/>
      <c r="CK1097"/>
      <c r="CL1097"/>
      <c r="CO1097"/>
      <c r="CP1097"/>
      <c r="CS1097"/>
      <c r="CT1097"/>
      <c r="CW1097"/>
      <c r="CX1097"/>
      <c r="DA1097"/>
      <c r="DB1097"/>
      <c r="DE1097"/>
      <c r="DF1097"/>
      <c r="DI1097"/>
      <c r="DJ1097"/>
      <c r="DM1097"/>
      <c r="DN1097"/>
      <c r="DQ1097"/>
      <c r="DR1097"/>
      <c r="DU1097"/>
      <c r="DV1097"/>
      <c r="DY1097"/>
      <c r="DZ1097"/>
      <c r="EC1097"/>
      <c r="ED1097"/>
      <c r="EG1097"/>
      <c r="EH1097"/>
      <c r="EK1097"/>
      <c r="EL1097"/>
      <c r="EO1097"/>
      <c r="EP1097"/>
      <c r="ES1097"/>
      <c r="ET1097"/>
      <c r="EW1097"/>
      <c r="EX1097"/>
      <c r="FA1097"/>
      <c r="FB1097"/>
      <c r="FE1097"/>
      <c r="FF1097"/>
      <c r="FI1097"/>
      <c r="FJ1097"/>
      <c r="FM1097"/>
      <c r="FN1097"/>
      <c r="FQ1097"/>
      <c r="FR1097"/>
      <c r="FU1097"/>
      <c r="FV1097"/>
      <c r="FY1097"/>
      <c r="FZ1097"/>
      <c r="GC1097"/>
      <c r="GD1097"/>
      <c r="GG1097"/>
      <c r="GH1097"/>
      <c r="GK1097"/>
      <c r="GL1097"/>
      <c r="GO1097"/>
      <c r="GP1097"/>
      <c r="GS1097"/>
      <c r="GT1097"/>
      <c r="GW1097"/>
      <c r="GX1097"/>
      <c r="HA1097"/>
      <c r="HB1097"/>
      <c r="HE1097"/>
      <c r="HF1097"/>
      <c r="HI1097"/>
      <c r="HJ1097"/>
      <c r="HM1097"/>
      <c r="HN1097"/>
      <c r="HQ1097"/>
      <c r="HR1097"/>
      <c r="HU1097"/>
      <c r="HV1097"/>
      <c r="HY1097"/>
      <c r="HZ1097"/>
      <c r="IC1097"/>
      <c r="ID1097"/>
      <c r="IG1097"/>
      <c r="IH1097"/>
      <c r="IK1097"/>
      <c r="IL1097"/>
      <c r="IO1097"/>
      <c r="IP1097"/>
      <c r="IS1097"/>
      <c r="IT1097"/>
      <c r="IW1097"/>
      <c r="IX1097"/>
      <c r="JA1097"/>
      <c r="JB1097"/>
      <c r="JE1097"/>
      <c r="JF1097"/>
      <c r="JI1097"/>
      <c r="JJ1097"/>
      <c r="JM1097"/>
      <c r="JN1097"/>
      <c r="JQ1097"/>
      <c r="JR1097"/>
      <c r="JU1097"/>
      <c r="JV1097"/>
      <c r="JY1097"/>
      <c r="JZ1097"/>
      <c r="KC1097"/>
      <c r="KD1097"/>
      <c r="KG1097"/>
      <c r="KH1097"/>
      <c r="KK1097"/>
      <c r="KL1097"/>
      <c r="KO1097"/>
      <c r="KP1097"/>
      <c r="KS1097"/>
      <c r="KT1097"/>
      <c r="KW1097"/>
      <c r="KX1097"/>
      <c r="LA1097"/>
      <c r="LB1097"/>
      <c r="LE1097"/>
      <c r="LF1097"/>
      <c r="LI1097"/>
      <c r="LJ1097"/>
      <c r="LM1097"/>
      <c r="LN1097"/>
      <c r="LQ1097"/>
      <c r="LR1097"/>
      <c r="LU1097"/>
      <c r="LV1097"/>
      <c r="LY1097"/>
      <c r="LZ1097"/>
      <c r="MC1097"/>
      <c r="MD1097"/>
      <c r="MG1097"/>
      <c r="MH1097"/>
      <c r="MK1097"/>
      <c r="ML1097"/>
      <c r="MO1097"/>
      <c r="MP1097"/>
      <c r="MS1097"/>
      <c r="MT1097"/>
      <c r="MW1097"/>
      <c r="MX1097"/>
      <c r="NA1097"/>
      <c r="NB1097"/>
      <c r="NE1097"/>
      <c r="NF1097"/>
      <c r="NI1097"/>
      <c r="NJ1097"/>
      <c r="NM1097"/>
      <c r="NN1097"/>
      <c r="NQ1097"/>
      <c r="NR1097"/>
      <c r="NU1097"/>
      <c r="NV1097"/>
      <c r="NY1097"/>
      <c r="NZ1097"/>
      <c r="OC1097"/>
      <c r="OD1097"/>
      <c r="OG1097"/>
      <c r="OH1097"/>
      <c r="OK1097"/>
      <c r="OL1097"/>
      <c r="OO1097"/>
      <c r="OP1097"/>
      <c r="OS1097"/>
      <c r="OT1097"/>
      <c r="OW1097"/>
      <c r="OX1097"/>
      <c r="PA1097"/>
      <c r="PB1097"/>
      <c r="PE1097"/>
      <c r="PF1097"/>
      <c r="PI1097"/>
      <c r="PJ1097"/>
      <c r="PM1097"/>
      <c r="PN1097"/>
      <c r="PQ1097"/>
      <c r="PR1097"/>
      <c r="PU1097"/>
      <c r="PV1097"/>
      <c r="PY1097"/>
      <c r="PZ1097"/>
      <c r="QC1097"/>
      <c r="QD1097"/>
      <c r="QG1097"/>
      <c r="QH1097"/>
      <c r="QK1097"/>
      <c r="QL1097"/>
      <c r="QO1097"/>
      <c r="QP1097"/>
      <c r="QS1097"/>
      <c r="QT1097"/>
      <c r="QW1097"/>
      <c r="QX1097"/>
      <c r="RA1097"/>
      <c r="RB1097"/>
      <c r="RE1097"/>
      <c r="RF1097"/>
      <c r="RI1097"/>
      <c r="RJ1097"/>
      <c r="RM1097"/>
      <c r="RN1097"/>
      <c r="RQ1097"/>
      <c r="RR1097"/>
      <c r="RU1097"/>
      <c r="RV1097"/>
      <c r="RY1097"/>
      <c r="RZ1097"/>
      <c r="SC1097"/>
      <c r="SD1097"/>
      <c r="SG1097"/>
      <c r="SH1097"/>
      <c r="SK1097"/>
      <c r="SL1097"/>
      <c r="SO1097"/>
      <c r="SP1097"/>
      <c r="SS1097"/>
      <c r="ST1097"/>
      <c r="SW1097"/>
      <c r="SX1097"/>
      <c r="TA1097"/>
      <c r="TB1097"/>
      <c r="TE1097"/>
      <c r="TF1097"/>
      <c r="TI1097"/>
      <c r="TJ1097"/>
      <c r="TM1097"/>
      <c r="TN1097"/>
      <c r="TQ1097"/>
      <c r="TR1097"/>
      <c r="TU1097"/>
      <c r="TV1097"/>
      <c r="TY1097"/>
      <c r="TZ1097"/>
      <c r="UC1097"/>
      <c r="UD1097"/>
      <c r="UG1097"/>
      <c r="UH1097"/>
      <c r="UK1097"/>
      <c r="UL1097"/>
      <c r="UO1097"/>
      <c r="UP1097"/>
      <c r="US1097"/>
      <c r="UT1097"/>
      <c r="UW1097"/>
      <c r="UX1097"/>
      <c r="VA1097"/>
      <c r="VB1097"/>
      <c r="VE1097"/>
      <c r="VF1097"/>
      <c r="VI1097"/>
      <c r="VJ1097"/>
      <c r="VM1097"/>
      <c r="VN1097"/>
      <c r="VQ1097"/>
      <c r="VR1097"/>
      <c r="VU1097"/>
      <c r="VV1097"/>
      <c r="VY1097"/>
      <c r="VZ1097"/>
      <c r="WC1097"/>
      <c r="WD1097"/>
      <c r="WG1097"/>
      <c r="WH1097"/>
      <c r="WK1097"/>
      <c r="WL1097"/>
      <c r="WO1097"/>
      <c r="WP1097"/>
      <c r="WS1097"/>
      <c r="WT1097"/>
      <c r="WW1097"/>
      <c r="WX1097"/>
      <c r="XA1097"/>
      <c r="XB1097"/>
      <c r="XE1097"/>
      <c r="XF1097"/>
      <c r="XI1097"/>
      <c r="XJ1097"/>
      <c r="XM1097"/>
      <c r="XN1097"/>
      <c r="XQ1097"/>
      <c r="XR1097"/>
      <c r="XU1097"/>
      <c r="XV1097"/>
      <c r="XY1097"/>
      <c r="XZ1097"/>
      <c r="YC1097"/>
      <c r="YD1097"/>
      <c r="YG1097"/>
      <c r="YH1097"/>
      <c r="YK1097"/>
      <c r="YL1097"/>
      <c r="YO1097"/>
      <c r="YP1097"/>
      <c r="YS1097"/>
      <c r="YT1097"/>
      <c r="YW1097"/>
      <c r="YX1097"/>
      <c r="ZA1097"/>
      <c r="ZB1097"/>
      <c r="ZE1097"/>
      <c r="ZF1097"/>
      <c r="ZI1097"/>
      <c r="ZJ1097"/>
      <c r="ZM1097"/>
      <c r="ZN1097"/>
      <c r="ZQ1097"/>
      <c r="ZR1097"/>
      <c r="ZU1097"/>
      <c r="ZV1097"/>
      <c r="ZY1097"/>
      <c r="ZZ1097"/>
      <c r="AAC1097"/>
      <c r="AAD1097"/>
      <c r="AAG1097"/>
      <c r="AAH1097"/>
      <c r="AAK1097"/>
      <c r="AAL1097"/>
      <c r="AAO1097"/>
      <c r="AAP1097"/>
      <c r="AAS1097"/>
      <c r="AAT1097"/>
      <c r="AAW1097"/>
      <c r="AAX1097"/>
      <c r="ABA1097"/>
      <c r="ABB1097"/>
      <c r="ABE1097"/>
      <c r="ABF1097"/>
      <c r="ABI1097"/>
      <c r="ABJ1097"/>
      <c r="ABM1097"/>
      <c r="ABN1097"/>
      <c r="ABQ1097"/>
      <c r="ABR1097"/>
      <c r="ABU1097"/>
      <c r="ABV1097"/>
      <c r="ABY1097"/>
      <c r="ABZ1097"/>
      <c r="ACC1097"/>
      <c r="ACD1097"/>
      <c r="ACG1097"/>
      <c r="ACH1097"/>
      <c r="ACK1097"/>
      <c r="ACL1097"/>
      <c r="ACO1097"/>
      <c r="ACP1097"/>
      <c r="ACS1097"/>
      <c r="ACT1097"/>
      <c r="ACW1097"/>
      <c r="ACX1097"/>
      <c r="ADA1097"/>
      <c r="ADB1097"/>
      <c r="ADE1097"/>
      <c r="ADF1097"/>
      <c r="ADI1097"/>
      <c r="ADJ1097"/>
      <c r="ADM1097"/>
      <c r="ADN1097"/>
      <c r="ADQ1097"/>
      <c r="ADR1097"/>
      <c r="ADU1097"/>
      <c r="ADV1097"/>
      <c r="ADY1097"/>
      <c r="ADZ1097"/>
      <c r="AEC1097"/>
      <c r="AED1097"/>
      <c r="AEG1097"/>
      <c r="AEH1097"/>
      <c r="AEK1097"/>
      <c r="AEL1097"/>
      <c r="AEO1097"/>
      <c r="AEP1097"/>
      <c r="AES1097"/>
      <c r="AET1097"/>
      <c r="AEW1097"/>
      <c r="AEX1097"/>
      <c r="AFA1097"/>
      <c r="AFB1097"/>
      <c r="AFE1097"/>
      <c r="AFF1097"/>
      <c r="AFI1097"/>
      <c r="AFJ1097"/>
      <c r="AFM1097"/>
      <c r="AFN1097"/>
      <c r="AFQ1097"/>
      <c r="AFR1097"/>
      <c r="AFU1097"/>
      <c r="AFV1097"/>
      <c r="AFY1097"/>
      <c r="AFZ1097"/>
      <c r="AGC1097"/>
      <c r="AGD1097"/>
      <c r="AGG1097"/>
      <c r="AGH1097"/>
      <c r="AGK1097"/>
      <c r="AGL1097"/>
      <c r="AGO1097"/>
      <c r="AGP1097"/>
      <c r="AGS1097"/>
      <c r="AGT1097"/>
      <c r="AGW1097"/>
      <c r="AGX1097"/>
      <c r="AHA1097"/>
      <c r="AHB1097"/>
      <c r="AHE1097"/>
      <c r="AHF1097"/>
      <c r="AHI1097"/>
      <c r="AHJ1097"/>
      <c r="AHM1097"/>
      <c r="AHN1097"/>
      <c r="AHQ1097"/>
      <c r="AHR1097"/>
      <c r="AHU1097"/>
      <c r="AHV1097"/>
      <c r="AHY1097"/>
      <c r="AHZ1097"/>
      <c r="AIC1097"/>
      <c r="AID1097"/>
      <c r="AIG1097"/>
      <c r="AIH1097"/>
      <c r="AIK1097"/>
      <c r="AIL1097"/>
      <c r="AIO1097"/>
      <c r="AIP1097"/>
      <c r="AIS1097"/>
      <c r="AIT1097"/>
      <c r="AIW1097"/>
      <c r="AIX1097"/>
      <c r="AJA1097"/>
      <c r="AJB1097"/>
      <c r="AJE1097"/>
      <c r="AJF1097"/>
      <c r="AJI1097"/>
      <c r="AJJ1097"/>
      <c r="AJM1097"/>
      <c r="AJN1097"/>
      <c r="AJQ1097"/>
      <c r="AJR1097"/>
      <c r="AJU1097"/>
      <c r="AJV1097"/>
      <c r="AJY1097"/>
      <c r="AJZ1097"/>
      <c r="AKC1097"/>
      <c r="AKD1097"/>
      <c r="AKG1097"/>
      <c r="AKH1097"/>
      <c r="AKK1097"/>
      <c r="AKL1097"/>
      <c r="AKO1097"/>
      <c r="AKP1097"/>
      <c r="AKS1097"/>
      <c r="AKT1097"/>
      <c r="AKW1097"/>
      <c r="AKX1097"/>
      <c r="ALA1097"/>
      <c r="ALB1097"/>
      <c r="ALE1097"/>
      <c r="ALF1097"/>
      <c r="ALI1097"/>
      <c r="ALJ1097"/>
      <c r="ALM1097"/>
      <c r="ALN1097"/>
      <c r="ALQ1097"/>
      <c r="ALR1097"/>
      <c r="ALU1097"/>
      <c r="ALV1097"/>
      <c r="ALY1097"/>
      <c r="ALZ1097"/>
      <c r="AMC1097"/>
      <c r="AMD1097"/>
      <c r="AMG1097"/>
      <c r="AMH1097"/>
      <c r="AMK1097"/>
      <c r="AML1097"/>
      <c r="AMO1097"/>
      <c r="AMP1097"/>
      <c r="AMS1097"/>
      <c r="AMT1097"/>
      <c r="AMW1097"/>
      <c r="AMX1097"/>
      <c r="ANA1097"/>
      <c r="ANB1097"/>
      <c r="ANE1097"/>
      <c r="ANF1097"/>
      <c r="ANI1097"/>
      <c r="ANJ1097"/>
      <c r="ANM1097"/>
      <c r="ANN1097"/>
      <c r="ANQ1097"/>
      <c r="ANR1097"/>
      <c r="ANU1097"/>
      <c r="ANV1097"/>
      <c r="ANY1097"/>
      <c r="ANZ1097"/>
      <c r="AOC1097"/>
      <c r="AOD1097"/>
      <c r="AOG1097"/>
      <c r="AOH1097"/>
      <c r="AOK1097"/>
      <c r="AOL1097"/>
      <c r="AOO1097"/>
      <c r="AOP1097"/>
      <c r="AOS1097"/>
      <c r="AOT1097"/>
      <c r="AOW1097"/>
      <c r="AOX1097"/>
      <c r="APA1097"/>
      <c r="APB1097"/>
      <c r="APE1097"/>
      <c r="APF1097"/>
      <c r="API1097"/>
      <c r="APJ1097"/>
      <c r="APM1097"/>
      <c r="APN1097"/>
      <c r="APQ1097"/>
      <c r="APR1097"/>
      <c r="APU1097"/>
      <c r="APV1097"/>
      <c r="APY1097"/>
      <c r="APZ1097"/>
      <c r="AQC1097"/>
      <c r="AQD1097"/>
      <c r="AQG1097"/>
      <c r="AQH1097"/>
      <c r="AQK1097"/>
      <c r="AQL1097"/>
      <c r="AQO1097"/>
      <c r="AQP1097"/>
      <c r="AQS1097"/>
      <c r="AQT1097"/>
      <c r="AQW1097"/>
      <c r="AQX1097"/>
      <c r="ARA1097"/>
      <c r="ARB1097"/>
      <c r="ARE1097"/>
      <c r="ARF1097"/>
      <c r="ARI1097"/>
      <c r="ARJ1097"/>
      <c r="ARM1097"/>
      <c r="ARN1097"/>
      <c r="ARQ1097"/>
      <c r="ARR1097"/>
      <c r="ARU1097"/>
      <c r="ARV1097"/>
      <c r="ARY1097"/>
      <c r="ARZ1097"/>
      <c r="ASC1097"/>
      <c r="ASD1097"/>
      <c r="ASG1097"/>
      <c r="ASH1097"/>
      <c r="ASK1097"/>
      <c r="ASL1097"/>
      <c r="ASO1097"/>
      <c r="ASP1097"/>
      <c r="ASS1097"/>
      <c r="AST1097"/>
      <c r="ASW1097"/>
      <c r="ASX1097"/>
      <c r="ATA1097"/>
      <c r="ATB1097"/>
      <c r="ATE1097"/>
      <c r="ATF1097"/>
      <c r="ATI1097"/>
      <c r="ATJ1097"/>
      <c r="ATM1097"/>
      <c r="ATN1097"/>
      <c r="ATQ1097"/>
      <c r="ATR1097"/>
      <c r="ATU1097"/>
      <c r="ATV1097"/>
      <c r="ATY1097"/>
      <c r="ATZ1097"/>
      <c r="AUC1097"/>
      <c r="AUD1097"/>
      <c r="AUG1097"/>
      <c r="AUH1097"/>
      <c r="AUK1097"/>
      <c r="AUL1097"/>
      <c r="AUO1097"/>
      <c r="AUP1097"/>
      <c r="AUS1097"/>
      <c r="AUT1097"/>
      <c r="AUW1097"/>
      <c r="AUX1097"/>
      <c r="AVA1097"/>
      <c r="AVB1097"/>
      <c r="AVE1097"/>
      <c r="AVF1097"/>
      <c r="AVI1097"/>
      <c r="AVJ1097"/>
      <c r="AVM1097"/>
      <c r="AVN1097"/>
      <c r="AVQ1097"/>
      <c r="AVR1097"/>
      <c r="AVU1097"/>
      <c r="AVV1097"/>
      <c r="AVY1097"/>
      <c r="AVZ1097"/>
      <c r="AWC1097"/>
      <c r="AWD1097"/>
      <c r="AWG1097"/>
      <c r="AWH1097"/>
      <c r="AWK1097"/>
      <c r="AWL1097"/>
      <c r="AWO1097"/>
      <c r="AWP1097"/>
      <c r="AWS1097"/>
      <c r="AWT1097"/>
      <c r="AWW1097"/>
      <c r="AWX1097"/>
      <c r="AXA1097"/>
      <c r="AXB1097"/>
      <c r="AXE1097"/>
      <c r="AXF1097"/>
      <c r="AXI1097"/>
      <c r="AXJ1097"/>
      <c r="AXM1097"/>
      <c r="AXN1097"/>
      <c r="AXQ1097"/>
      <c r="AXR1097"/>
      <c r="AXU1097"/>
      <c r="AXV1097"/>
      <c r="AXY1097"/>
      <c r="AXZ1097"/>
      <c r="AYC1097"/>
      <c r="AYD1097"/>
      <c r="AYG1097"/>
      <c r="AYH1097"/>
      <c r="AYK1097"/>
      <c r="AYL1097"/>
      <c r="AYO1097"/>
      <c r="AYP1097"/>
      <c r="AYS1097"/>
      <c r="AYT1097"/>
      <c r="AYW1097"/>
      <c r="AYX1097"/>
      <c r="AZA1097"/>
      <c r="AZB1097"/>
      <c r="AZE1097"/>
      <c r="AZF1097"/>
      <c r="AZI1097"/>
      <c r="AZJ1097"/>
      <c r="AZM1097"/>
      <c r="AZN1097"/>
      <c r="AZQ1097"/>
      <c r="AZR1097"/>
      <c r="AZU1097"/>
      <c r="AZV1097"/>
      <c r="AZY1097"/>
      <c r="AZZ1097"/>
      <c r="BAC1097"/>
      <c r="BAD1097"/>
      <c r="BAG1097"/>
      <c r="BAH1097"/>
      <c r="BAK1097"/>
      <c r="BAL1097"/>
      <c r="BAO1097"/>
      <c r="BAP1097"/>
      <c r="BAS1097"/>
      <c r="BAT1097"/>
      <c r="BAW1097"/>
      <c r="BAX1097"/>
      <c r="BBA1097"/>
      <c r="BBB1097"/>
      <c r="BBE1097"/>
      <c r="BBF1097"/>
      <c r="BBI1097"/>
      <c r="BBJ1097"/>
      <c r="BBM1097"/>
      <c r="BBN1097"/>
      <c r="BBQ1097"/>
      <c r="BBR1097"/>
      <c r="BBU1097"/>
      <c r="BBV1097"/>
      <c r="BBY1097"/>
      <c r="BBZ1097"/>
      <c r="BCC1097"/>
      <c r="BCD1097"/>
      <c r="BCG1097"/>
      <c r="BCH1097"/>
      <c r="BCK1097"/>
      <c r="BCL1097"/>
      <c r="BCO1097"/>
      <c r="BCP1097"/>
      <c r="BCS1097"/>
      <c r="BCT1097"/>
      <c r="BCW1097"/>
      <c r="BCX1097"/>
      <c r="BDA1097"/>
      <c r="BDB1097"/>
      <c r="BDE1097"/>
      <c r="BDF1097"/>
      <c r="BDI1097"/>
      <c r="BDJ1097"/>
      <c r="BDM1097"/>
      <c r="BDN1097"/>
      <c r="BDQ1097"/>
      <c r="BDR1097"/>
      <c r="BDU1097"/>
      <c r="BDV1097"/>
      <c r="BDY1097"/>
      <c r="BDZ1097"/>
      <c r="BEC1097"/>
      <c r="BED1097"/>
      <c r="BEG1097"/>
      <c r="BEH1097"/>
      <c r="BEK1097"/>
      <c r="BEL1097"/>
      <c r="BEO1097"/>
      <c r="BEP1097"/>
      <c r="BES1097"/>
      <c r="BET1097"/>
      <c r="BEW1097"/>
      <c r="BEX1097"/>
      <c r="BFA1097"/>
      <c r="BFB1097"/>
      <c r="BFE1097"/>
      <c r="BFF1097"/>
      <c r="BFI1097"/>
      <c r="BFJ1097"/>
      <c r="BFM1097"/>
      <c r="BFN1097"/>
      <c r="BFQ1097"/>
      <c r="BFR1097"/>
      <c r="BFU1097"/>
      <c r="BFV1097"/>
      <c r="BFY1097"/>
      <c r="BFZ1097"/>
      <c r="BGC1097"/>
      <c r="BGD1097"/>
      <c r="BGG1097"/>
      <c r="BGH1097"/>
      <c r="BGK1097"/>
      <c r="BGL1097"/>
      <c r="BGO1097"/>
      <c r="BGP1097"/>
      <c r="BGS1097"/>
      <c r="BGT1097"/>
      <c r="BGW1097"/>
      <c r="BGX1097"/>
      <c r="BHA1097"/>
      <c r="BHB1097"/>
      <c r="BHE1097"/>
      <c r="BHF1097"/>
      <c r="BHI1097"/>
      <c r="BHJ1097"/>
      <c r="BHM1097"/>
      <c r="BHN1097"/>
      <c r="BHQ1097"/>
      <c r="BHR1097"/>
      <c r="BHU1097"/>
      <c r="BHV1097"/>
      <c r="BHY1097"/>
      <c r="BHZ1097"/>
      <c r="BIC1097"/>
      <c r="BID1097"/>
      <c r="BIG1097"/>
      <c r="BIH1097"/>
      <c r="BIK1097"/>
      <c r="BIL1097"/>
      <c r="BIO1097"/>
      <c r="BIP1097"/>
      <c r="BIS1097"/>
      <c r="BIT1097"/>
      <c r="BIW1097"/>
      <c r="BIX1097"/>
      <c r="BJA1097"/>
      <c r="BJB1097"/>
      <c r="BJE1097"/>
      <c r="BJF1097"/>
      <c r="BJI1097"/>
      <c r="BJJ1097"/>
      <c r="BJM1097"/>
      <c r="BJN1097"/>
      <c r="BJQ1097"/>
      <c r="BJR1097"/>
      <c r="BJU1097"/>
      <c r="BJV1097"/>
      <c r="BJY1097"/>
      <c r="BJZ1097"/>
      <c r="BKC1097"/>
      <c r="BKD1097"/>
      <c r="BKG1097"/>
      <c r="BKH1097"/>
      <c r="BKK1097"/>
      <c r="BKL1097"/>
      <c r="BKO1097"/>
      <c r="BKP1097"/>
      <c r="BKS1097"/>
      <c r="BKT1097"/>
      <c r="BKW1097"/>
      <c r="BKX1097"/>
      <c r="BLA1097"/>
      <c r="BLB1097"/>
      <c r="BLE1097"/>
      <c r="BLF1097"/>
      <c r="BLI1097"/>
      <c r="BLJ1097"/>
      <c r="BLM1097"/>
      <c r="BLN1097"/>
      <c r="BLQ1097"/>
      <c r="BLR1097"/>
      <c r="BLU1097"/>
      <c r="BLV1097"/>
      <c r="BLY1097"/>
      <c r="BLZ1097"/>
      <c r="BMC1097"/>
      <c r="BMD1097"/>
      <c r="BMG1097"/>
      <c r="BMH1097"/>
      <c r="BMK1097"/>
      <c r="BML1097"/>
      <c r="BMO1097"/>
      <c r="BMP1097"/>
      <c r="BMS1097"/>
      <c r="BMT1097"/>
      <c r="BMW1097"/>
      <c r="BMX1097"/>
      <c r="BNA1097"/>
      <c r="BNB1097"/>
      <c r="BNE1097"/>
      <c r="BNF1097"/>
      <c r="BNI1097"/>
      <c r="BNJ1097"/>
      <c r="BNM1097"/>
      <c r="BNN1097"/>
      <c r="BNQ1097"/>
      <c r="BNR1097"/>
      <c r="BNU1097"/>
      <c r="BNV1097"/>
      <c r="BNY1097"/>
      <c r="BNZ1097"/>
      <c r="BOC1097"/>
      <c r="BOD1097"/>
      <c r="BOG1097"/>
      <c r="BOH1097"/>
      <c r="BOK1097"/>
      <c r="BOL1097"/>
      <c r="BOO1097"/>
      <c r="BOP1097"/>
      <c r="BOS1097"/>
      <c r="BOT1097"/>
      <c r="BOW1097"/>
      <c r="BOX1097"/>
      <c r="BPA1097"/>
      <c r="BPB1097"/>
      <c r="BPE1097"/>
      <c r="BPF1097"/>
      <c r="BPI1097"/>
      <c r="BPJ1097"/>
      <c r="BPM1097"/>
      <c r="BPN1097"/>
      <c r="BPQ1097"/>
      <c r="BPR1097"/>
      <c r="BPU1097"/>
      <c r="BPV1097"/>
      <c r="BPY1097"/>
      <c r="BPZ1097"/>
      <c r="BQC1097"/>
      <c r="BQD1097"/>
      <c r="BQG1097"/>
      <c r="BQH1097"/>
      <c r="BQK1097"/>
      <c r="BQL1097"/>
      <c r="BQO1097"/>
      <c r="BQP1097"/>
      <c r="BQS1097"/>
      <c r="BQT1097"/>
      <c r="BQW1097"/>
      <c r="BQX1097"/>
      <c r="BRA1097"/>
      <c r="BRB1097"/>
      <c r="BRE1097"/>
      <c r="BRF1097"/>
      <c r="BRI1097"/>
      <c r="BRJ1097"/>
      <c r="BRM1097"/>
      <c r="BRN1097"/>
      <c r="BRQ1097"/>
      <c r="BRR1097"/>
      <c r="BRU1097"/>
      <c r="BRV1097"/>
      <c r="BRY1097"/>
      <c r="BRZ1097"/>
      <c r="BSC1097"/>
      <c r="BSD1097"/>
      <c r="BSG1097"/>
      <c r="BSH1097"/>
      <c r="BSK1097"/>
      <c r="BSL1097"/>
      <c r="BSO1097"/>
      <c r="BSP1097"/>
      <c r="BSS1097"/>
      <c r="BST1097"/>
      <c r="BSW1097"/>
      <c r="BSX1097"/>
      <c r="BTA1097"/>
      <c r="BTB1097"/>
      <c r="BTE1097"/>
      <c r="BTF1097"/>
      <c r="BTI1097"/>
      <c r="BTJ1097"/>
      <c r="BTM1097"/>
      <c r="BTN1097"/>
      <c r="BTQ1097"/>
      <c r="BTR1097"/>
      <c r="BTU1097"/>
      <c r="BTV1097"/>
      <c r="BTY1097"/>
      <c r="BTZ1097"/>
      <c r="BUC1097"/>
      <c r="BUD1097"/>
      <c r="BUG1097"/>
      <c r="BUH1097"/>
      <c r="BUK1097"/>
      <c r="BUL1097"/>
      <c r="BUO1097"/>
      <c r="BUP1097"/>
      <c r="BUS1097"/>
      <c r="BUT1097"/>
      <c r="BUW1097"/>
      <c r="BUX1097"/>
      <c r="BVA1097"/>
      <c r="BVB1097"/>
      <c r="BVE1097"/>
      <c r="BVF1097"/>
      <c r="BVI1097"/>
      <c r="BVJ1097"/>
      <c r="BVM1097"/>
      <c r="BVN1097"/>
      <c r="BVQ1097"/>
      <c r="BVR1097"/>
      <c r="BVU1097"/>
      <c r="BVV1097"/>
      <c r="BVY1097"/>
      <c r="BVZ1097"/>
      <c r="BWC1097"/>
      <c r="BWD1097"/>
      <c r="BWG1097"/>
      <c r="BWH1097"/>
      <c r="BWK1097"/>
      <c r="BWL1097"/>
      <c r="BWO1097"/>
      <c r="BWP1097"/>
      <c r="BWS1097"/>
      <c r="BWT1097"/>
      <c r="BWW1097"/>
      <c r="BWX1097"/>
      <c r="BXA1097"/>
      <c r="BXB1097"/>
      <c r="BXE1097"/>
      <c r="BXF1097"/>
      <c r="BXI1097"/>
      <c r="BXJ1097"/>
      <c r="BXM1097"/>
      <c r="BXN1097"/>
      <c r="BXQ1097"/>
      <c r="BXR1097"/>
      <c r="BXU1097"/>
      <c r="BXV1097"/>
      <c r="BXY1097"/>
      <c r="BXZ1097"/>
      <c r="BYC1097"/>
      <c r="BYD1097"/>
      <c r="BYG1097"/>
      <c r="BYH1097"/>
      <c r="BYK1097"/>
      <c r="BYL1097"/>
      <c r="BYO1097"/>
      <c r="BYP1097"/>
      <c r="BYS1097"/>
      <c r="BYT1097"/>
      <c r="BYW1097"/>
      <c r="BYX1097"/>
      <c r="BZA1097"/>
      <c r="BZB1097"/>
      <c r="BZE1097"/>
      <c r="BZF1097"/>
      <c r="BZI1097"/>
      <c r="BZJ1097"/>
      <c r="BZM1097"/>
      <c r="BZN1097"/>
      <c r="BZQ1097"/>
      <c r="BZR1097"/>
      <c r="BZU1097"/>
      <c r="BZV1097"/>
      <c r="BZY1097"/>
      <c r="BZZ1097"/>
      <c r="CAC1097"/>
      <c r="CAD1097"/>
      <c r="CAG1097"/>
      <c r="CAH1097"/>
      <c r="CAK1097"/>
      <c r="CAL1097"/>
      <c r="CAO1097"/>
      <c r="CAP1097"/>
      <c r="CAS1097"/>
      <c r="CAT1097"/>
      <c r="CAW1097"/>
      <c r="CAX1097"/>
      <c r="CBA1097"/>
      <c r="CBB1097"/>
      <c r="CBE1097"/>
      <c r="CBF1097"/>
      <c r="CBI1097"/>
      <c r="CBJ1097"/>
      <c r="CBM1097"/>
      <c r="CBN1097"/>
      <c r="CBQ1097"/>
      <c r="CBR1097"/>
      <c r="CBU1097"/>
      <c r="CBV1097"/>
      <c r="CBY1097"/>
      <c r="CBZ1097"/>
      <c r="CCC1097"/>
      <c r="CCD1097"/>
      <c r="CCG1097"/>
      <c r="CCH1097"/>
      <c r="CCK1097"/>
      <c r="CCL1097"/>
      <c r="CCO1097"/>
      <c r="CCP1097"/>
      <c r="CCS1097"/>
      <c r="CCT1097"/>
      <c r="CCW1097"/>
      <c r="CCX1097"/>
      <c r="CDA1097"/>
      <c r="CDB1097"/>
      <c r="CDE1097"/>
      <c r="CDF1097"/>
      <c r="CDI1097"/>
      <c r="CDJ1097"/>
      <c r="CDM1097"/>
      <c r="CDN1097"/>
      <c r="CDQ1097"/>
      <c r="CDR1097"/>
      <c r="CDU1097"/>
      <c r="CDV1097"/>
      <c r="CDY1097"/>
      <c r="CDZ1097"/>
      <c r="CEC1097"/>
      <c r="CED1097"/>
      <c r="CEG1097"/>
      <c r="CEH1097"/>
      <c r="CEK1097"/>
      <c r="CEL1097"/>
      <c r="CEO1097"/>
      <c r="CEP1097"/>
      <c r="CES1097"/>
      <c r="CET1097"/>
      <c r="CEW1097"/>
      <c r="CEX1097"/>
      <c r="CFA1097"/>
      <c r="CFB1097"/>
      <c r="CFE1097"/>
      <c r="CFF1097"/>
      <c r="CFI1097"/>
      <c r="CFJ1097"/>
      <c r="CFM1097"/>
      <c r="CFN1097"/>
      <c r="CFQ1097"/>
      <c r="CFR1097"/>
      <c r="CFU1097"/>
      <c r="CFV1097"/>
      <c r="CFY1097"/>
      <c r="CFZ1097"/>
      <c r="CGC1097"/>
      <c r="CGD1097"/>
      <c r="CGG1097"/>
      <c r="CGH1097"/>
      <c r="CGK1097"/>
      <c r="CGL1097"/>
      <c r="CGO1097"/>
      <c r="CGP1097"/>
      <c r="CGS1097"/>
      <c r="CGT1097"/>
      <c r="CGW1097"/>
      <c r="CGX1097"/>
      <c r="CHA1097"/>
      <c r="CHB1097"/>
      <c r="CHE1097"/>
      <c r="CHF1097"/>
      <c r="CHI1097"/>
      <c r="CHJ1097"/>
      <c r="CHM1097"/>
      <c r="CHN1097"/>
      <c r="CHQ1097"/>
      <c r="CHR1097"/>
      <c r="CHU1097"/>
      <c r="CHV1097"/>
      <c r="CHY1097"/>
      <c r="CHZ1097"/>
      <c r="CIC1097"/>
      <c r="CID1097"/>
      <c r="CIG1097"/>
      <c r="CIH1097"/>
      <c r="CIK1097"/>
      <c r="CIL1097"/>
      <c r="CIO1097"/>
      <c r="CIP1097"/>
      <c r="CIS1097"/>
      <c r="CIT1097"/>
      <c r="CIW1097"/>
      <c r="CIX1097"/>
      <c r="CJA1097"/>
      <c r="CJB1097"/>
      <c r="CJE1097"/>
      <c r="CJF1097"/>
      <c r="CJI1097"/>
      <c r="CJJ1097"/>
      <c r="CJM1097"/>
      <c r="CJN1097"/>
      <c r="CJQ1097"/>
      <c r="CJR1097"/>
      <c r="CJU1097"/>
      <c r="CJV1097"/>
      <c r="CJY1097"/>
      <c r="CJZ1097"/>
      <c r="CKC1097"/>
      <c r="CKD1097"/>
      <c r="CKG1097"/>
      <c r="CKH1097"/>
      <c r="CKK1097"/>
      <c r="CKL1097"/>
      <c r="CKO1097"/>
      <c r="CKP1097"/>
      <c r="CKS1097"/>
      <c r="CKT1097"/>
      <c r="CKW1097"/>
      <c r="CKX1097"/>
      <c r="CLA1097"/>
      <c r="CLB1097"/>
      <c r="CLE1097"/>
      <c r="CLF1097"/>
      <c r="CLI1097"/>
      <c r="CLJ1097"/>
      <c r="CLM1097"/>
      <c r="CLN1097"/>
      <c r="CLQ1097"/>
      <c r="CLR1097"/>
      <c r="CLU1097"/>
      <c r="CLV1097"/>
      <c r="CLY1097"/>
      <c r="CLZ1097"/>
      <c r="CMC1097"/>
      <c r="CMD1097"/>
      <c r="CMG1097"/>
      <c r="CMH1097"/>
      <c r="CMK1097"/>
      <c r="CML1097"/>
      <c r="CMO1097"/>
      <c r="CMP1097"/>
      <c r="CMS1097"/>
      <c r="CMT1097"/>
      <c r="CMW1097"/>
      <c r="CMX1097"/>
      <c r="CNA1097"/>
      <c r="CNB1097"/>
      <c r="CNE1097"/>
      <c r="CNF1097"/>
      <c r="CNI1097"/>
      <c r="CNJ1097"/>
      <c r="CNM1097"/>
      <c r="CNN1097"/>
      <c r="CNQ1097"/>
      <c r="CNR1097"/>
      <c r="CNU1097"/>
      <c r="CNV1097"/>
      <c r="CNY1097"/>
      <c r="CNZ1097"/>
      <c r="COC1097"/>
      <c r="COD1097"/>
      <c r="COG1097"/>
      <c r="COH1097"/>
      <c r="COK1097"/>
      <c r="COL1097"/>
      <c r="COO1097"/>
      <c r="COP1097"/>
      <c r="COS1097"/>
      <c r="COT1097"/>
      <c r="COW1097"/>
      <c r="COX1097"/>
      <c r="CPA1097"/>
      <c r="CPB1097"/>
      <c r="CPE1097"/>
      <c r="CPF1097"/>
      <c r="CPI1097"/>
      <c r="CPJ1097"/>
      <c r="CPM1097"/>
      <c r="CPN1097"/>
      <c r="CPQ1097"/>
      <c r="CPR1097"/>
      <c r="CPU1097"/>
      <c r="CPV1097"/>
      <c r="CPY1097"/>
      <c r="CPZ1097"/>
      <c r="CQC1097"/>
      <c r="CQD1097"/>
      <c r="CQG1097"/>
      <c r="CQH1097"/>
      <c r="CQK1097"/>
      <c r="CQL1097"/>
      <c r="CQO1097"/>
      <c r="CQP1097"/>
      <c r="CQS1097"/>
      <c r="CQT1097"/>
      <c r="CQW1097"/>
      <c r="CQX1097"/>
      <c r="CRA1097"/>
      <c r="CRB1097"/>
      <c r="CRE1097"/>
      <c r="CRF1097"/>
      <c r="CRI1097"/>
      <c r="CRJ1097"/>
      <c r="CRM1097"/>
      <c r="CRN1097"/>
      <c r="CRQ1097"/>
      <c r="CRR1097"/>
      <c r="CRU1097"/>
      <c r="CRV1097"/>
      <c r="CRY1097"/>
      <c r="CRZ1097"/>
      <c r="CSC1097"/>
      <c r="CSD1097"/>
      <c r="CSG1097"/>
      <c r="CSH1097"/>
      <c r="CSK1097"/>
      <c r="CSL1097"/>
      <c r="CSO1097"/>
      <c r="CSP1097"/>
      <c r="CSS1097"/>
      <c r="CST1097"/>
      <c r="CSW1097"/>
      <c r="CSX1097"/>
      <c r="CTA1097"/>
      <c r="CTB1097"/>
      <c r="CTE1097"/>
      <c r="CTF1097"/>
      <c r="CTI1097"/>
      <c r="CTJ1097"/>
      <c r="CTM1097"/>
      <c r="CTN1097"/>
      <c r="CTQ1097"/>
      <c r="CTR1097"/>
      <c r="CTU1097"/>
      <c r="CTV1097"/>
      <c r="CTY1097"/>
      <c r="CTZ1097"/>
      <c r="CUC1097"/>
      <c r="CUD1097"/>
      <c r="CUG1097"/>
      <c r="CUH1097"/>
      <c r="CUK1097"/>
      <c r="CUL1097"/>
      <c r="CUO1097"/>
      <c r="CUP1097"/>
      <c r="CUS1097"/>
      <c r="CUT1097"/>
      <c r="CUW1097"/>
      <c r="CUX1097"/>
      <c r="CVA1097"/>
      <c r="CVB1097"/>
      <c r="CVE1097"/>
      <c r="CVF1097"/>
      <c r="CVI1097"/>
      <c r="CVJ1097"/>
      <c r="CVM1097"/>
      <c r="CVN1097"/>
      <c r="CVQ1097"/>
      <c r="CVR1097"/>
      <c r="CVU1097"/>
      <c r="CVV1097"/>
      <c r="CVY1097"/>
      <c r="CVZ1097"/>
      <c r="CWC1097"/>
      <c r="CWD1097"/>
      <c r="CWG1097"/>
      <c r="CWH1097"/>
      <c r="CWK1097"/>
      <c r="CWL1097"/>
      <c r="CWO1097"/>
      <c r="CWP1097"/>
      <c r="CWS1097"/>
      <c r="CWT1097"/>
      <c r="CWW1097"/>
      <c r="CWX1097"/>
      <c r="CXA1097"/>
      <c r="CXB1097"/>
      <c r="CXE1097"/>
      <c r="CXF1097"/>
      <c r="CXI1097"/>
      <c r="CXJ1097"/>
      <c r="CXM1097"/>
      <c r="CXN1097"/>
      <c r="CXQ1097"/>
      <c r="CXR1097"/>
      <c r="CXU1097"/>
      <c r="CXV1097"/>
      <c r="CXY1097"/>
      <c r="CXZ1097"/>
      <c r="CYC1097"/>
      <c r="CYD1097"/>
      <c r="CYG1097"/>
      <c r="CYH1097"/>
      <c r="CYK1097"/>
      <c r="CYL1097"/>
      <c r="CYO1097"/>
      <c r="CYP1097"/>
      <c r="CYS1097"/>
      <c r="CYT1097"/>
      <c r="CYW1097"/>
      <c r="CYX1097"/>
      <c r="CZA1097"/>
      <c r="CZB1097"/>
      <c r="CZE1097"/>
      <c r="CZF1097"/>
      <c r="CZI1097"/>
      <c r="CZJ1097"/>
      <c r="CZM1097"/>
      <c r="CZN1097"/>
      <c r="CZQ1097"/>
      <c r="CZR1097"/>
      <c r="CZU1097"/>
      <c r="CZV1097"/>
      <c r="CZY1097"/>
      <c r="CZZ1097"/>
      <c r="DAC1097"/>
      <c r="DAD1097"/>
      <c r="DAG1097"/>
      <c r="DAH1097"/>
      <c r="DAK1097"/>
      <c r="DAL1097"/>
      <c r="DAO1097"/>
      <c r="DAP1097"/>
      <c r="DAS1097"/>
      <c r="DAT1097"/>
      <c r="DAW1097"/>
      <c r="DAX1097"/>
      <c r="DBA1097"/>
      <c r="DBB1097"/>
      <c r="DBE1097"/>
      <c r="DBF1097"/>
      <c r="DBI1097"/>
      <c r="DBJ1097"/>
      <c r="DBM1097"/>
      <c r="DBN1097"/>
      <c r="DBQ1097"/>
      <c r="DBR1097"/>
      <c r="DBU1097"/>
      <c r="DBV1097"/>
      <c r="DBY1097"/>
      <c r="DBZ1097"/>
      <c r="DCC1097"/>
      <c r="DCD1097"/>
      <c r="DCG1097"/>
      <c r="DCH1097"/>
      <c r="DCK1097"/>
      <c r="DCL1097"/>
      <c r="DCO1097"/>
      <c r="DCP1097"/>
      <c r="DCS1097"/>
      <c r="DCT1097"/>
      <c r="DCW1097"/>
      <c r="DCX1097"/>
      <c r="DDA1097"/>
      <c r="DDB1097"/>
      <c r="DDE1097"/>
      <c r="DDF1097"/>
      <c r="DDI1097"/>
      <c r="DDJ1097"/>
      <c r="DDM1097"/>
      <c r="DDN1097"/>
      <c r="DDQ1097"/>
      <c r="DDR1097"/>
      <c r="DDU1097"/>
      <c r="DDV1097"/>
      <c r="DDY1097"/>
      <c r="DDZ1097"/>
      <c r="DEC1097"/>
      <c r="DED1097"/>
      <c r="DEG1097"/>
      <c r="DEH1097"/>
      <c r="DEK1097"/>
      <c r="DEL1097"/>
      <c r="DEO1097"/>
      <c r="DEP1097"/>
      <c r="DES1097"/>
      <c r="DET1097"/>
      <c r="DEW1097"/>
      <c r="DEX1097"/>
      <c r="DFA1097"/>
      <c r="DFB1097"/>
      <c r="DFE1097"/>
      <c r="DFF1097"/>
      <c r="DFI1097"/>
      <c r="DFJ1097"/>
      <c r="DFM1097"/>
      <c r="DFN1097"/>
      <c r="DFQ1097"/>
      <c r="DFR1097"/>
      <c r="DFU1097"/>
      <c r="DFV1097"/>
      <c r="DFY1097"/>
      <c r="DFZ1097"/>
      <c r="DGC1097"/>
      <c r="DGD1097"/>
      <c r="DGG1097"/>
      <c r="DGH1097"/>
      <c r="DGK1097"/>
      <c r="DGL1097"/>
      <c r="DGO1097"/>
      <c r="DGP1097"/>
      <c r="DGS1097"/>
      <c r="DGT1097"/>
      <c r="DGW1097"/>
      <c r="DGX1097"/>
      <c r="DHA1097"/>
      <c r="DHB1097"/>
      <c r="DHE1097"/>
      <c r="DHF1097"/>
      <c r="DHI1097"/>
      <c r="DHJ1097"/>
      <c r="DHM1097"/>
      <c r="DHN1097"/>
      <c r="DHQ1097"/>
      <c r="DHR1097"/>
      <c r="DHU1097"/>
      <c r="DHV1097"/>
      <c r="DHY1097"/>
      <c r="DHZ1097"/>
      <c r="DIC1097"/>
      <c r="DID1097"/>
      <c r="DIG1097"/>
      <c r="DIH1097"/>
      <c r="DIK1097"/>
      <c r="DIL1097"/>
      <c r="DIO1097"/>
      <c r="DIP1097"/>
      <c r="DIS1097"/>
      <c r="DIT1097"/>
      <c r="DIW1097"/>
      <c r="DIX1097"/>
      <c r="DJA1097"/>
      <c r="DJB1097"/>
      <c r="DJE1097"/>
      <c r="DJF1097"/>
      <c r="DJI1097"/>
      <c r="DJJ1097"/>
      <c r="DJM1097"/>
      <c r="DJN1097"/>
      <c r="DJQ1097"/>
      <c r="DJR1097"/>
      <c r="DJU1097"/>
      <c r="DJV1097"/>
      <c r="DJY1097"/>
      <c r="DJZ1097"/>
      <c r="DKC1097"/>
      <c r="DKD1097"/>
      <c r="DKG1097"/>
      <c r="DKH1097"/>
      <c r="DKK1097"/>
      <c r="DKL1097"/>
      <c r="DKO1097"/>
      <c r="DKP1097"/>
      <c r="DKS1097"/>
      <c r="DKT1097"/>
      <c r="DKW1097"/>
      <c r="DKX1097"/>
      <c r="DLA1097"/>
      <c r="DLB1097"/>
      <c r="DLE1097"/>
      <c r="DLF1097"/>
      <c r="DLI1097"/>
      <c r="DLJ1097"/>
      <c r="DLM1097"/>
      <c r="DLN1097"/>
      <c r="DLQ1097"/>
      <c r="DLR1097"/>
      <c r="DLU1097"/>
      <c r="DLV1097"/>
      <c r="DLY1097"/>
      <c r="DLZ1097"/>
      <c r="DMC1097"/>
      <c r="DMD1097"/>
      <c r="DMG1097"/>
      <c r="DMH1097"/>
      <c r="DMK1097"/>
      <c r="DML1097"/>
      <c r="DMO1097"/>
      <c r="DMP1097"/>
      <c r="DMS1097"/>
      <c r="DMT1097"/>
      <c r="DMW1097"/>
      <c r="DMX1097"/>
      <c r="DNA1097"/>
      <c r="DNB1097"/>
      <c r="DNE1097"/>
      <c r="DNF1097"/>
      <c r="DNI1097"/>
      <c r="DNJ1097"/>
      <c r="DNM1097"/>
      <c r="DNN1097"/>
      <c r="DNQ1097"/>
      <c r="DNR1097"/>
      <c r="DNU1097"/>
      <c r="DNV1097"/>
      <c r="DNY1097"/>
      <c r="DNZ1097"/>
      <c r="DOC1097"/>
      <c r="DOD1097"/>
      <c r="DOG1097"/>
      <c r="DOH1097"/>
      <c r="DOK1097"/>
      <c r="DOL1097"/>
      <c r="DOO1097"/>
      <c r="DOP1097"/>
      <c r="DOS1097"/>
      <c r="DOT1097"/>
      <c r="DOW1097"/>
      <c r="DOX1097"/>
      <c r="DPA1097"/>
      <c r="DPB1097"/>
      <c r="DPE1097"/>
      <c r="DPF1097"/>
      <c r="DPI1097"/>
      <c r="DPJ1097"/>
      <c r="DPM1097"/>
      <c r="DPN1097"/>
      <c r="DPQ1097"/>
      <c r="DPR1097"/>
      <c r="DPU1097"/>
      <c r="DPV1097"/>
      <c r="DPY1097"/>
      <c r="DPZ1097"/>
      <c r="DQC1097"/>
      <c r="DQD1097"/>
      <c r="DQG1097"/>
      <c r="DQH1097"/>
      <c r="DQK1097"/>
      <c r="DQL1097"/>
      <c r="DQO1097"/>
      <c r="DQP1097"/>
      <c r="DQS1097"/>
      <c r="DQT1097"/>
      <c r="DQW1097"/>
      <c r="DQX1097"/>
      <c r="DRA1097"/>
      <c r="DRB1097"/>
      <c r="DRE1097"/>
      <c r="DRF1097"/>
      <c r="DRI1097"/>
      <c r="DRJ1097"/>
      <c r="DRM1097"/>
      <c r="DRN1097"/>
      <c r="DRQ1097"/>
      <c r="DRR1097"/>
      <c r="DRU1097"/>
      <c r="DRV1097"/>
      <c r="DRY1097"/>
      <c r="DRZ1097"/>
      <c r="DSC1097"/>
      <c r="DSD1097"/>
      <c r="DSG1097"/>
      <c r="DSH1097"/>
      <c r="DSK1097"/>
      <c r="DSL1097"/>
      <c r="DSO1097"/>
      <c r="DSP1097"/>
      <c r="DSS1097"/>
      <c r="DST1097"/>
      <c r="DSW1097"/>
      <c r="DSX1097"/>
      <c r="DTA1097"/>
      <c r="DTB1097"/>
      <c r="DTE1097"/>
      <c r="DTF1097"/>
      <c r="DTI1097"/>
      <c r="DTJ1097"/>
      <c r="DTM1097"/>
      <c r="DTN1097"/>
      <c r="DTQ1097"/>
      <c r="DTR1097"/>
      <c r="DTU1097"/>
      <c r="DTV1097"/>
      <c r="DTY1097"/>
      <c r="DTZ1097"/>
      <c r="DUC1097"/>
      <c r="DUD1097"/>
      <c r="DUG1097"/>
      <c r="DUH1097"/>
      <c r="DUK1097"/>
      <c r="DUL1097"/>
      <c r="DUO1097"/>
      <c r="DUP1097"/>
      <c r="DUS1097"/>
      <c r="DUT1097"/>
      <c r="DUW1097"/>
      <c r="DUX1097"/>
      <c r="DVA1097"/>
      <c r="DVB1097"/>
      <c r="DVE1097"/>
      <c r="DVF1097"/>
      <c r="DVI1097"/>
      <c r="DVJ1097"/>
      <c r="DVM1097"/>
      <c r="DVN1097"/>
      <c r="DVQ1097"/>
      <c r="DVR1097"/>
      <c r="DVU1097"/>
      <c r="DVV1097"/>
      <c r="DVY1097"/>
      <c r="DVZ1097"/>
      <c r="DWC1097"/>
      <c r="DWD1097"/>
      <c r="DWG1097"/>
      <c r="DWH1097"/>
      <c r="DWK1097"/>
      <c r="DWL1097"/>
      <c r="DWO1097"/>
      <c r="DWP1097"/>
      <c r="DWS1097"/>
      <c r="DWT1097"/>
      <c r="DWW1097"/>
      <c r="DWX1097"/>
      <c r="DXA1097"/>
      <c r="DXB1097"/>
      <c r="DXE1097"/>
      <c r="DXF1097"/>
      <c r="DXI1097"/>
      <c r="DXJ1097"/>
      <c r="DXM1097"/>
      <c r="DXN1097"/>
      <c r="DXQ1097"/>
      <c r="DXR1097"/>
      <c r="DXU1097"/>
      <c r="DXV1097"/>
      <c r="DXY1097"/>
      <c r="DXZ1097"/>
      <c r="DYC1097"/>
      <c r="DYD1097"/>
      <c r="DYG1097"/>
      <c r="DYH1097"/>
      <c r="DYK1097"/>
      <c r="DYL1097"/>
      <c r="DYO1097"/>
      <c r="DYP1097"/>
      <c r="DYS1097"/>
      <c r="DYT1097"/>
      <c r="DYW1097"/>
      <c r="DYX1097"/>
      <c r="DZA1097"/>
      <c r="DZB1097"/>
      <c r="DZE1097"/>
      <c r="DZF1097"/>
      <c r="DZI1097"/>
      <c r="DZJ1097"/>
      <c r="DZM1097"/>
      <c r="DZN1097"/>
      <c r="DZQ1097"/>
      <c r="DZR1097"/>
      <c r="DZU1097"/>
      <c r="DZV1097"/>
      <c r="DZY1097"/>
      <c r="DZZ1097"/>
      <c r="EAC1097"/>
      <c r="EAD1097"/>
      <c r="EAG1097"/>
      <c r="EAH1097"/>
      <c r="EAK1097"/>
      <c r="EAL1097"/>
      <c r="EAO1097"/>
      <c r="EAP1097"/>
      <c r="EAS1097"/>
      <c r="EAT1097"/>
      <c r="EAW1097"/>
      <c r="EAX1097"/>
      <c r="EBA1097"/>
      <c r="EBB1097"/>
      <c r="EBE1097"/>
      <c r="EBF1097"/>
      <c r="EBI1097"/>
      <c r="EBJ1097"/>
      <c r="EBM1097"/>
      <c r="EBN1097"/>
      <c r="EBQ1097"/>
      <c r="EBR1097"/>
      <c r="EBU1097"/>
      <c r="EBV1097"/>
      <c r="EBY1097"/>
      <c r="EBZ1097"/>
      <c r="ECC1097"/>
      <c r="ECD1097"/>
      <c r="ECG1097"/>
      <c r="ECH1097"/>
      <c r="ECK1097"/>
      <c r="ECL1097"/>
      <c r="ECO1097"/>
      <c r="ECP1097"/>
      <c r="ECS1097"/>
      <c r="ECT1097"/>
      <c r="ECW1097"/>
      <c r="ECX1097"/>
      <c r="EDA1097"/>
      <c r="EDB1097"/>
      <c r="EDE1097"/>
      <c r="EDF1097"/>
      <c r="EDI1097"/>
      <c r="EDJ1097"/>
      <c r="EDM1097"/>
      <c r="EDN1097"/>
      <c r="EDQ1097"/>
      <c r="EDR1097"/>
      <c r="EDU1097"/>
      <c r="EDV1097"/>
      <c r="EDY1097"/>
      <c r="EDZ1097"/>
      <c r="EEC1097"/>
      <c r="EED1097"/>
      <c r="EEG1097"/>
      <c r="EEH1097"/>
      <c r="EEK1097"/>
      <c r="EEL1097"/>
      <c r="EEO1097"/>
      <c r="EEP1097"/>
      <c r="EES1097"/>
      <c r="EET1097"/>
      <c r="EEW1097"/>
      <c r="EEX1097"/>
      <c r="EFA1097"/>
      <c r="EFB1097"/>
      <c r="EFE1097"/>
      <c r="EFF1097"/>
      <c r="EFI1097"/>
      <c r="EFJ1097"/>
      <c r="EFM1097"/>
      <c r="EFN1097"/>
      <c r="EFQ1097"/>
      <c r="EFR1097"/>
      <c r="EFU1097"/>
      <c r="EFV1097"/>
      <c r="EFY1097"/>
      <c r="EFZ1097"/>
      <c r="EGC1097"/>
      <c r="EGD1097"/>
      <c r="EGG1097"/>
      <c r="EGH1097"/>
      <c r="EGK1097"/>
      <c r="EGL1097"/>
      <c r="EGO1097"/>
      <c r="EGP1097"/>
      <c r="EGS1097"/>
      <c r="EGT1097"/>
      <c r="EGW1097"/>
      <c r="EGX1097"/>
      <c r="EHA1097"/>
      <c r="EHB1097"/>
      <c r="EHE1097"/>
      <c r="EHF1097"/>
      <c r="EHI1097"/>
      <c r="EHJ1097"/>
      <c r="EHM1097"/>
      <c r="EHN1097"/>
      <c r="EHQ1097"/>
      <c r="EHR1097"/>
      <c r="EHU1097"/>
      <c r="EHV1097"/>
      <c r="EHY1097"/>
      <c r="EHZ1097"/>
      <c r="EIC1097"/>
      <c r="EID1097"/>
      <c r="EIG1097"/>
      <c r="EIH1097"/>
      <c r="EIK1097"/>
      <c r="EIL1097"/>
      <c r="EIO1097"/>
      <c r="EIP1097"/>
      <c r="EIS1097"/>
      <c r="EIT1097"/>
      <c r="EIW1097"/>
      <c r="EIX1097"/>
      <c r="EJA1097"/>
      <c r="EJB1097"/>
      <c r="EJE1097"/>
      <c r="EJF1097"/>
      <c r="EJI1097"/>
      <c r="EJJ1097"/>
      <c r="EJM1097"/>
      <c r="EJN1097"/>
      <c r="EJQ1097"/>
      <c r="EJR1097"/>
      <c r="EJU1097"/>
      <c r="EJV1097"/>
      <c r="EJY1097"/>
      <c r="EJZ1097"/>
      <c r="EKC1097"/>
      <c r="EKD1097"/>
      <c r="EKG1097"/>
      <c r="EKH1097"/>
      <c r="EKK1097"/>
      <c r="EKL1097"/>
      <c r="EKO1097"/>
      <c r="EKP1097"/>
      <c r="EKS1097"/>
      <c r="EKT1097"/>
      <c r="EKW1097"/>
      <c r="EKX1097"/>
      <c r="ELA1097"/>
      <c r="ELB1097"/>
      <c r="ELE1097"/>
      <c r="ELF1097"/>
      <c r="ELI1097"/>
      <c r="ELJ1097"/>
      <c r="ELM1097"/>
      <c r="ELN1097"/>
      <c r="ELQ1097"/>
      <c r="ELR1097"/>
      <c r="ELU1097"/>
      <c r="ELV1097"/>
      <c r="ELY1097"/>
      <c r="ELZ1097"/>
      <c r="EMC1097"/>
      <c r="EMD1097"/>
      <c r="EMG1097"/>
      <c r="EMH1097"/>
      <c r="EMK1097"/>
      <c r="EML1097"/>
      <c r="EMO1097"/>
      <c r="EMP1097"/>
      <c r="EMS1097"/>
      <c r="EMT1097"/>
      <c r="EMW1097"/>
      <c r="EMX1097"/>
      <c r="ENA1097"/>
      <c r="ENB1097"/>
      <c r="ENE1097"/>
      <c r="ENF1097"/>
      <c r="ENI1097"/>
      <c r="ENJ1097"/>
      <c r="ENM1097"/>
      <c r="ENN1097"/>
      <c r="ENQ1097"/>
      <c r="ENR1097"/>
      <c r="ENU1097"/>
      <c r="ENV1097"/>
      <c r="ENY1097"/>
      <c r="ENZ1097"/>
      <c r="EOC1097"/>
      <c r="EOD1097"/>
      <c r="EOG1097"/>
      <c r="EOH1097"/>
      <c r="EOK1097"/>
      <c r="EOL1097"/>
      <c r="EOO1097"/>
      <c r="EOP1097"/>
      <c r="EOS1097"/>
      <c r="EOT1097"/>
      <c r="EOW1097"/>
      <c r="EOX1097"/>
      <c r="EPA1097"/>
      <c r="EPB1097"/>
      <c r="EPE1097"/>
      <c r="EPF1097"/>
      <c r="EPI1097"/>
      <c r="EPJ1097"/>
      <c r="EPM1097"/>
      <c r="EPN1097"/>
      <c r="EPQ1097"/>
      <c r="EPR1097"/>
      <c r="EPU1097"/>
      <c r="EPV1097"/>
      <c r="EPY1097"/>
      <c r="EPZ1097"/>
      <c r="EQC1097"/>
      <c r="EQD1097"/>
      <c r="EQG1097"/>
      <c r="EQH1097"/>
      <c r="EQK1097"/>
      <c r="EQL1097"/>
      <c r="EQO1097"/>
      <c r="EQP1097"/>
      <c r="EQS1097"/>
      <c r="EQT1097"/>
      <c r="EQW1097"/>
      <c r="EQX1097"/>
      <c r="ERA1097"/>
      <c r="ERB1097"/>
      <c r="ERE1097"/>
      <c r="ERF1097"/>
      <c r="ERI1097"/>
      <c r="ERJ1097"/>
      <c r="ERM1097"/>
      <c r="ERN1097"/>
      <c r="ERQ1097"/>
      <c r="ERR1097"/>
      <c r="ERU1097"/>
      <c r="ERV1097"/>
      <c r="ERY1097"/>
      <c r="ERZ1097"/>
      <c r="ESC1097"/>
      <c r="ESD1097"/>
      <c r="ESG1097"/>
      <c r="ESH1097"/>
      <c r="ESK1097"/>
      <c r="ESL1097"/>
      <c r="ESO1097"/>
      <c r="ESP1097"/>
      <c r="ESS1097"/>
      <c r="EST1097"/>
      <c r="ESW1097"/>
      <c r="ESX1097"/>
      <c r="ETA1097"/>
      <c r="ETB1097"/>
      <c r="ETE1097"/>
      <c r="ETF1097"/>
      <c r="ETI1097"/>
      <c r="ETJ1097"/>
      <c r="ETM1097"/>
      <c r="ETN1097"/>
      <c r="ETQ1097"/>
      <c r="ETR1097"/>
      <c r="ETU1097"/>
      <c r="ETV1097"/>
      <c r="ETY1097"/>
      <c r="ETZ1097"/>
      <c r="EUC1097"/>
      <c r="EUD1097"/>
      <c r="EUG1097"/>
      <c r="EUH1097"/>
      <c r="EUK1097"/>
      <c r="EUL1097"/>
      <c r="EUO1097"/>
      <c r="EUP1097"/>
      <c r="EUS1097"/>
      <c r="EUT1097"/>
      <c r="EUW1097"/>
      <c r="EUX1097"/>
      <c r="EVA1097"/>
      <c r="EVB1097"/>
      <c r="EVE1097"/>
      <c r="EVF1097"/>
      <c r="EVI1097"/>
      <c r="EVJ1097"/>
      <c r="EVM1097"/>
      <c r="EVN1097"/>
      <c r="EVQ1097"/>
      <c r="EVR1097"/>
      <c r="EVU1097"/>
      <c r="EVV1097"/>
      <c r="EVY1097"/>
      <c r="EVZ1097"/>
      <c r="EWC1097"/>
      <c r="EWD1097"/>
      <c r="EWG1097"/>
      <c r="EWH1097"/>
      <c r="EWK1097"/>
      <c r="EWL1097"/>
      <c r="EWO1097"/>
      <c r="EWP1097"/>
      <c r="EWS1097"/>
      <c r="EWT1097"/>
      <c r="EWW1097"/>
      <c r="EWX1097"/>
      <c r="EXA1097"/>
      <c r="EXB1097"/>
      <c r="EXE1097"/>
      <c r="EXF1097"/>
      <c r="EXI1097"/>
      <c r="EXJ1097"/>
      <c r="EXM1097"/>
      <c r="EXN1097"/>
      <c r="EXQ1097"/>
      <c r="EXR1097"/>
      <c r="EXU1097"/>
      <c r="EXV1097"/>
      <c r="EXY1097"/>
      <c r="EXZ1097"/>
      <c r="EYC1097"/>
      <c r="EYD1097"/>
      <c r="EYG1097"/>
      <c r="EYH1097"/>
      <c r="EYK1097"/>
      <c r="EYL1097"/>
      <c r="EYO1097"/>
      <c r="EYP1097"/>
      <c r="EYS1097"/>
      <c r="EYT1097"/>
      <c r="EYW1097"/>
      <c r="EYX1097"/>
      <c r="EZA1097"/>
      <c r="EZB1097"/>
      <c r="EZE1097"/>
      <c r="EZF1097"/>
      <c r="EZI1097"/>
      <c r="EZJ1097"/>
      <c r="EZM1097"/>
      <c r="EZN1097"/>
      <c r="EZQ1097"/>
      <c r="EZR1097"/>
      <c r="EZU1097"/>
      <c r="EZV1097"/>
      <c r="EZY1097"/>
      <c r="EZZ1097"/>
      <c r="FAC1097"/>
      <c r="FAD1097"/>
      <c r="FAG1097"/>
      <c r="FAH1097"/>
      <c r="FAK1097"/>
      <c r="FAL1097"/>
      <c r="FAO1097"/>
      <c r="FAP1097"/>
      <c r="FAS1097"/>
      <c r="FAT1097"/>
      <c r="FAW1097"/>
      <c r="FAX1097"/>
      <c r="FBA1097"/>
      <c r="FBB1097"/>
      <c r="FBE1097"/>
      <c r="FBF1097"/>
      <c r="FBI1097"/>
      <c r="FBJ1097"/>
      <c r="FBM1097"/>
      <c r="FBN1097"/>
      <c r="FBQ1097"/>
      <c r="FBR1097"/>
      <c r="FBU1097"/>
      <c r="FBV1097"/>
      <c r="FBY1097"/>
      <c r="FBZ1097"/>
      <c r="FCC1097"/>
      <c r="FCD1097"/>
      <c r="FCG1097"/>
      <c r="FCH1097"/>
      <c r="FCK1097"/>
      <c r="FCL1097"/>
      <c r="FCO1097"/>
      <c r="FCP1097"/>
      <c r="FCS1097"/>
      <c r="FCT1097"/>
      <c r="FCW1097"/>
      <c r="FCX1097"/>
      <c r="FDA1097"/>
      <c r="FDB1097"/>
      <c r="FDE1097"/>
      <c r="FDF1097"/>
      <c r="FDI1097"/>
      <c r="FDJ1097"/>
      <c r="FDM1097"/>
      <c r="FDN1097"/>
      <c r="FDQ1097"/>
      <c r="FDR1097"/>
      <c r="FDU1097"/>
      <c r="FDV1097"/>
      <c r="FDY1097"/>
      <c r="FDZ1097"/>
      <c r="FEC1097"/>
      <c r="FED1097"/>
      <c r="FEG1097"/>
      <c r="FEH1097"/>
      <c r="FEK1097"/>
      <c r="FEL1097"/>
      <c r="FEO1097"/>
      <c r="FEP1097"/>
      <c r="FES1097"/>
      <c r="FET1097"/>
      <c r="FEW1097"/>
      <c r="FEX1097"/>
      <c r="FFA1097"/>
      <c r="FFB1097"/>
      <c r="FFE1097"/>
      <c r="FFF1097"/>
      <c r="FFI1097"/>
      <c r="FFJ1097"/>
      <c r="FFM1097"/>
      <c r="FFN1097"/>
      <c r="FFQ1097"/>
      <c r="FFR1097"/>
      <c r="FFU1097"/>
      <c r="FFV1097"/>
      <c r="FFY1097"/>
      <c r="FFZ1097"/>
      <c r="FGC1097"/>
      <c r="FGD1097"/>
      <c r="FGG1097"/>
      <c r="FGH1097"/>
      <c r="FGK1097"/>
      <c r="FGL1097"/>
      <c r="FGO1097"/>
      <c r="FGP1097"/>
      <c r="FGS1097"/>
      <c r="FGT1097"/>
      <c r="FGW1097"/>
      <c r="FGX1097"/>
      <c r="FHA1097"/>
      <c r="FHB1097"/>
      <c r="FHE1097"/>
      <c r="FHF1097"/>
      <c r="FHI1097"/>
      <c r="FHJ1097"/>
      <c r="FHM1097"/>
      <c r="FHN1097"/>
      <c r="FHQ1097"/>
      <c r="FHR1097"/>
      <c r="FHU1097"/>
      <c r="FHV1097"/>
      <c r="FHY1097"/>
      <c r="FHZ1097"/>
      <c r="FIC1097"/>
      <c r="FID1097"/>
      <c r="FIG1097"/>
      <c r="FIH1097"/>
      <c r="FIK1097"/>
      <c r="FIL1097"/>
      <c r="FIO1097"/>
      <c r="FIP1097"/>
      <c r="FIS1097"/>
      <c r="FIT1097"/>
      <c r="FIW1097"/>
      <c r="FIX1097"/>
      <c r="FJA1097"/>
      <c r="FJB1097"/>
      <c r="FJE1097"/>
      <c r="FJF1097"/>
      <c r="FJI1097"/>
      <c r="FJJ1097"/>
      <c r="FJM1097"/>
      <c r="FJN1097"/>
      <c r="FJQ1097"/>
      <c r="FJR1097"/>
      <c r="FJU1097"/>
      <c r="FJV1097"/>
      <c r="FJY1097"/>
      <c r="FJZ1097"/>
      <c r="FKC1097"/>
      <c r="FKD1097"/>
      <c r="FKG1097"/>
      <c r="FKH1097"/>
      <c r="FKK1097"/>
      <c r="FKL1097"/>
      <c r="FKO1097"/>
      <c r="FKP1097"/>
      <c r="FKS1097"/>
      <c r="FKT1097"/>
      <c r="FKW1097"/>
      <c r="FKX1097"/>
      <c r="FLA1097"/>
      <c r="FLB1097"/>
      <c r="FLE1097"/>
      <c r="FLF1097"/>
      <c r="FLI1097"/>
      <c r="FLJ1097"/>
      <c r="FLM1097"/>
      <c r="FLN1097"/>
      <c r="FLQ1097"/>
      <c r="FLR1097"/>
      <c r="FLU1097"/>
      <c r="FLV1097"/>
      <c r="FLY1097"/>
      <c r="FLZ1097"/>
      <c r="FMC1097"/>
      <c r="FMD1097"/>
      <c r="FMG1097"/>
      <c r="FMH1097"/>
      <c r="FMK1097"/>
      <c r="FML1097"/>
      <c r="FMO1097"/>
      <c r="FMP1097"/>
      <c r="FMS1097"/>
      <c r="FMT1097"/>
      <c r="FMW1097"/>
      <c r="FMX1097"/>
      <c r="FNA1097"/>
      <c r="FNB1097"/>
      <c r="FNE1097"/>
      <c r="FNF1097"/>
      <c r="FNI1097"/>
      <c r="FNJ1097"/>
      <c r="FNM1097"/>
      <c r="FNN1097"/>
      <c r="FNQ1097"/>
      <c r="FNR1097"/>
      <c r="FNU1097"/>
      <c r="FNV1097"/>
      <c r="FNY1097"/>
      <c r="FNZ1097"/>
      <c r="FOC1097"/>
      <c r="FOD1097"/>
      <c r="FOG1097"/>
      <c r="FOH1097"/>
      <c r="FOK1097"/>
      <c r="FOL1097"/>
      <c r="FOO1097"/>
      <c r="FOP1097"/>
      <c r="FOS1097"/>
      <c r="FOT1097"/>
      <c r="FOW1097"/>
      <c r="FOX1097"/>
      <c r="FPA1097"/>
      <c r="FPB1097"/>
      <c r="FPE1097"/>
      <c r="FPF1097"/>
      <c r="FPI1097"/>
      <c r="FPJ1097"/>
      <c r="FPM1097"/>
      <c r="FPN1097"/>
      <c r="FPQ1097"/>
      <c r="FPR1097"/>
      <c r="FPU1097"/>
      <c r="FPV1097"/>
      <c r="FPY1097"/>
      <c r="FPZ1097"/>
      <c r="FQC1097"/>
      <c r="FQD1097"/>
      <c r="FQG1097"/>
      <c r="FQH1097"/>
      <c r="FQK1097"/>
      <c r="FQL1097"/>
      <c r="FQO1097"/>
      <c r="FQP1097"/>
      <c r="FQS1097"/>
      <c r="FQT1097"/>
      <c r="FQW1097"/>
      <c r="FQX1097"/>
      <c r="FRA1097"/>
      <c r="FRB1097"/>
      <c r="FRE1097"/>
      <c r="FRF1097"/>
      <c r="FRI1097"/>
      <c r="FRJ1097"/>
      <c r="FRM1097"/>
      <c r="FRN1097"/>
      <c r="FRQ1097"/>
      <c r="FRR1097"/>
      <c r="FRU1097"/>
      <c r="FRV1097"/>
      <c r="FRY1097"/>
      <c r="FRZ1097"/>
      <c r="FSC1097"/>
      <c r="FSD1097"/>
      <c r="FSG1097"/>
      <c r="FSH1097"/>
      <c r="FSK1097"/>
      <c r="FSL1097"/>
      <c r="FSO1097"/>
      <c r="FSP1097"/>
      <c r="FSS1097"/>
      <c r="FST1097"/>
      <c r="FSW1097"/>
      <c r="FSX1097"/>
      <c r="FTA1097"/>
      <c r="FTB1097"/>
      <c r="FTE1097"/>
      <c r="FTF1097"/>
      <c r="FTI1097"/>
      <c r="FTJ1097"/>
      <c r="FTM1097"/>
      <c r="FTN1097"/>
      <c r="FTQ1097"/>
      <c r="FTR1097"/>
      <c r="FTU1097"/>
      <c r="FTV1097"/>
      <c r="FTY1097"/>
      <c r="FTZ1097"/>
      <c r="FUC1097"/>
      <c r="FUD1097"/>
      <c r="FUG1097"/>
      <c r="FUH1097"/>
      <c r="FUK1097"/>
      <c r="FUL1097"/>
      <c r="FUO1097"/>
      <c r="FUP1097"/>
      <c r="FUS1097"/>
      <c r="FUT1097"/>
      <c r="FUW1097"/>
      <c r="FUX1097"/>
      <c r="FVA1097"/>
      <c r="FVB1097"/>
      <c r="FVE1097"/>
      <c r="FVF1097"/>
      <c r="FVI1097"/>
      <c r="FVJ1097"/>
      <c r="FVM1097"/>
      <c r="FVN1097"/>
      <c r="FVQ1097"/>
      <c r="FVR1097"/>
      <c r="FVU1097"/>
      <c r="FVV1097"/>
      <c r="FVY1097"/>
      <c r="FVZ1097"/>
      <c r="FWC1097"/>
      <c r="FWD1097"/>
      <c r="FWG1097"/>
      <c r="FWH1097"/>
      <c r="FWK1097"/>
      <c r="FWL1097"/>
      <c r="FWO1097"/>
      <c r="FWP1097"/>
      <c r="FWS1097"/>
      <c r="FWT1097"/>
      <c r="FWW1097"/>
      <c r="FWX1097"/>
      <c r="FXA1097"/>
      <c r="FXB1097"/>
      <c r="FXE1097"/>
      <c r="FXF1097"/>
      <c r="FXI1097"/>
      <c r="FXJ1097"/>
      <c r="FXM1097"/>
      <c r="FXN1097"/>
      <c r="FXQ1097"/>
      <c r="FXR1097"/>
      <c r="FXU1097"/>
      <c r="FXV1097"/>
      <c r="FXY1097"/>
      <c r="FXZ1097"/>
      <c r="FYC1097"/>
      <c r="FYD1097"/>
      <c r="FYG1097"/>
      <c r="FYH1097"/>
      <c r="FYK1097"/>
      <c r="FYL1097"/>
      <c r="FYO1097"/>
      <c r="FYP1097"/>
      <c r="FYS1097"/>
      <c r="FYT1097"/>
      <c r="FYW1097"/>
      <c r="FYX1097"/>
      <c r="FZA1097"/>
      <c r="FZB1097"/>
      <c r="FZE1097"/>
      <c r="FZF1097"/>
      <c r="FZI1097"/>
      <c r="FZJ1097"/>
      <c r="FZM1097"/>
      <c r="FZN1097"/>
      <c r="FZQ1097"/>
      <c r="FZR1097"/>
      <c r="FZU1097"/>
      <c r="FZV1097"/>
      <c r="FZY1097"/>
      <c r="FZZ1097"/>
      <c r="GAC1097"/>
      <c r="GAD1097"/>
      <c r="GAG1097"/>
      <c r="GAH1097"/>
      <c r="GAK1097"/>
      <c r="GAL1097"/>
      <c r="GAO1097"/>
      <c r="GAP1097"/>
      <c r="GAS1097"/>
      <c r="GAT1097"/>
      <c r="GAW1097"/>
      <c r="GAX1097"/>
      <c r="GBA1097"/>
      <c r="GBB1097"/>
      <c r="GBE1097"/>
      <c r="GBF1097"/>
      <c r="GBI1097"/>
      <c r="GBJ1097"/>
      <c r="GBM1097"/>
      <c r="GBN1097"/>
      <c r="GBQ1097"/>
      <c r="GBR1097"/>
      <c r="GBU1097"/>
      <c r="GBV1097"/>
      <c r="GBY1097"/>
      <c r="GBZ1097"/>
      <c r="GCC1097"/>
      <c r="GCD1097"/>
      <c r="GCG1097"/>
      <c r="GCH1097"/>
      <c r="GCK1097"/>
      <c r="GCL1097"/>
      <c r="GCO1097"/>
      <c r="GCP1097"/>
      <c r="GCS1097"/>
      <c r="GCT1097"/>
      <c r="GCW1097"/>
      <c r="GCX1097"/>
      <c r="GDA1097"/>
      <c r="GDB1097"/>
      <c r="GDE1097"/>
      <c r="GDF1097"/>
      <c r="GDI1097"/>
      <c r="GDJ1097"/>
      <c r="GDM1097"/>
      <c r="GDN1097"/>
      <c r="GDQ1097"/>
      <c r="GDR1097"/>
      <c r="GDU1097"/>
      <c r="GDV1097"/>
      <c r="GDY1097"/>
      <c r="GDZ1097"/>
      <c r="GEC1097"/>
      <c r="GED1097"/>
      <c r="GEG1097"/>
      <c r="GEH1097"/>
      <c r="GEK1097"/>
      <c r="GEL1097"/>
      <c r="GEO1097"/>
      <c r="GEP1097"/>
      <c r="GES1097"/>
      <c r="GET1097"/>
      <c r="GEW1097"/>
      <c r="GEX1097"/>
      <c r="GFA1097"/>
      <c r="GFB1097"/>
      <c r="GFE1097"/>
      <c r="GFF1097"/>
      <c r="GFI1097"/>
      <c r="GFJ1097"/>
      <c r="GFM1097"/>
      <c r="GFN1097"/>
      <c r="GFQ1097"/>
      <c r="GFR1097"/>
      <c r="GFU1097"/>
      <c r="GFV1097"/>
      <c r="GFY1097"/>
      <c r="GFZ1097"/>
      <c r="GGC1097"/>
      <c r="GGD1097"/>
      <c r="GGG1097"/>
      <c r="GGH1097"/>
      <c r="GGK1097"/>
      <c r="GGL1097"/>
      <c r="GGO1097"/>
      <c r="GGP1097"/>
      <c r="GGS1097"/>
      <c r="GGT1097"/>
      <c r="GGW1097"/>
      <c r="GGX1097"/>
      <c r="GHA1097"/>
      <c r="GHB1097"/>
      <c r="GHE1097"/>
      <c r="GHF1097"/>
      <c r="GHI1097"/>
      <c r="GHJ1097"/>
      <c r="GHM1097"/>
      <c r="GHN1097"/>
      <c r="GHQ1097"/>
      <c r="GHR1097"/>
      <c r="GHU1097"/>
      <c r="GHV1097"/>
      <c r="GHY1097"/>
      <c r="GHZ1097"/>
      <c r="GIC1097"/>
      <c r="GID1097"/>
      <c r="GIG1097"/>
      <c r="GIH1097"/>
      <c r="GIK1097"/>
      <c r="GIL1097"/>
      <c r="GIO1097"/>
      <c r="GIP1097"/>
      <c r="GIS1097"/>
      <c r="GIT1097"/>
      <c r="GIW1097"/>
      <c r="GIX1097"/>
      <c r="GJA1097"/>
      <c r="GJB1097"/>
      <c r="GJE1097"/>
      <c r="GJF1097"/>
      <c r="GJI1097"/>
      <c r="GJJ1097"/>
      <c r="GJM1097"/>
      <c r="GJN1097"/>
      <c r="GJQ1097"/>
      <c r="GJR1097"/>
      <c r="GJU1097"/>
      <c r="GJV1097"/>
      <c r="GJY1097"/>
      <c r="GJZ1097"/>
      <c r="GKC1097"/>
      <c r="GKD1097"/>
      <c r="GKG1097"/>
      <c r="GKH1097"/>
      <c r="GKK1097"/>
      <c r="GKL1097"/>
      <c r="GKO1097"/>
      <c r="GKP1097"/>
      <c r="GKS1097"/>
      <c r="GKT1097"/>
      <c r="GKW1097"/>
      <c r="GKX1097"/>
      <c r="GLA1097"/>
      <c r="GLB1097"/>
      <c r="GLE1097"/>
      <c r="GLF1097"/>
      <c r="GLI1097"/>
      <c r="GLJ1097"/>
      <c r="GLM1097"/>
      <c r="GLN1097"/>
      <c r="GLQ1097"/>
      <c r="GLR1097"/>
      <c r="GLU1097"/>
      <c r="GLV1097"/>
      <c r="GLY1097"/>
      <c r="GLZ1097"/>
      <c r="GMC1097"/>
      <c r="GMD1097"/>
      <c r="GMG1097"/>
      <c r="GMH1097"/>
      <c r="GMK1097"/>
      <c r="GML1097"/>
      <c r="GMO1097"/>
      <c r="GMP1097"/>
      <c r="GMS1097"/>
      <c r="GMT1097"/>
      <c r="GMW1097"/>
      <c r="GMX1097"/>
      <c r="GNA1097"/>
      <c r="GNB1097"/>
      <c r="GNE1097"/>
      <c r="GNF1097"/>
      <c r="GNI1097"/>
      <c r="GNJ1097"/>
      <c r="GNM1097"/>
      <c r="GNN1097"/>
      <c r="GNQ1097"/>
      <c r="GNR1097"/>
      <c r="GNU1097"/>
      <c r="GNV1097"/>
      <c r="GNY1097"/>
      <c r="GNZ1097"/>
      <c r="GOC1097"/>
      <c r="GOD1097"/>
      <c r="GOG1097"/>
      <c r="GOH1097"/>
      <c r="GOK1097"/>
      <c r="GOL1097"/>
      <c r="GOO1097"/>
      <c r="GOP1097"/>
      <c r="GOS1097"/>
      <c r="GOT1097"/>
      <c r="GOW1097"/>
      <c r="GOX1097"/>
      <c r="GPA1097"/>
      <c r="GPB1097"/>
      <c r="GPE1097"/>
      <c r="GPF1097"/>
      <c r="GPI1097"/>
      <c r="GPJ1097"/>
      <c r="GPM1097"/>
      <c r="GPN1097"/>
      <c r="GPQ1097"/>
      <c r="GPR1097"/>
      <c r="GPU1097"/>
      <c r="GPV1097"/>
      <c r="GPY1097"/>
      <c r="GPZ1097"/>
      <c r="GQC1097"/>
      <c r="GQD1097"/>
      <c r="GQG1097"/>
      <c r="GQH1097"/>
      <c r="GQK1097"/>
      <c r="GQL1097"/>
      <c r="GQO1097"/>
      <c r="GQP1097"/>
      <c r="GQS1097"/>
      <c r="GQT1097"/>
      <c r="GQW1097"/>
      <c r="GQX1097"/>
      <c r="GRA1097"/>
      <c r="GRB1097"/>
      <c r="GRE1097"/>
      <c r="GRF1097"/>
      <c r="GRI1097"/>
      <c r="GRJ1097"/>
      <c r="GRM1097"/>
      <c r="GRN1097"/>
      <c r="GRQ1097"/>
      <c r="GRR1097"/>
      <c r="GRU1097"/>
      <c r="GRV1097"/>
      <c r="GRY1097"/>
      <c r="GRZ1097"/>
      <c r="GSC1097"/>
      <c r="GSD1097"/>
      <c r="GSG1097"/>
      <c r="GSH1097"/>
      <c r="GSK1097"/>
      <c r="GSL1097"/>
      <c r="GSO1097"/>
      <c r="GSP1097"/>
      <c r="GSS1097"/>
      <c r="GST1097"/>
      <c r="GSW1097"/>
      <c r="GSX1097"/>
      <c r="GTA1097"/>
      <c r="GTB1097"/>
      <c r="GTE1097"/>
      <c r="GTF1097"/>
      <c r="GTI1097"/>
      <c r="GTJ1097"/>
      <c r="GTM1097"/>
      <c r="GTN1097"/>
      <c r="GTQ1097"/>
      <c r="GTR1097"/>
      <c r="GTU1097"/>
      <c r="GTV1097"/>
      <c r="GTY1097"/>
      <c r="GTZ1097"/>
      <c r="GUC1097"/>
      <c r="GUD1097"/>
      <c r="GUG1097"/>
      <c r="GUH1097"/>
      <c r="GUK1097"/>
      <c r="GUL1097"/>
      <c r="GUO1097"/>
      <c r="GUP1097"/>
      <c r="GUS1097"/>
      <c r="GUT1097"/>
      <c r="GUW1097"/>
      <c r="GUX1097"/>
      <c r="GVA1097"/>
      <c r="GVB1097"/>
      <c r="GVE1097"/>
      <c r="GVF1097"/>
      <c r="GVI1097"/>
      <c r="GVJ1097"/>
      <c r="GVM1097"/>
      <c r="GVN1097"/>
      <c r="GVQ1097"/>
      <c r="GVR1097"/>
      <c r="GVU1097"/>
      <c r="GVV1097"/>
      <c r="GVY1097"/>
      <c r="GVZ1097"/>
      <c r="GWC1097"/>
      <c r="GWD1097"/>
      <c r="GWG1097"/>
      <c r="GWH1097"/>
      <c r="GWK1097"/>
      <c r="GWL1097"/>
      <c r="GWO1097"/>
      <c r="GWP1097"/>
      <c r="GWS1097"/>
      <c r="GWT1097"/>
      <c r="GWW1097"/>
      <c r="GWX1097"/>
      <c r="GXA1097"/>
      <c r="GXB1097"/>
      <c r="GXE1097"/>
      <c r="GXF1097"/>
      <c r="GXI1097"/>
      <c r="GXJ1097"/>
      <c r="GXM1097"/>
      <c r="GXN1097"/>
      <c r="GXQ1097"/>
      <c r="GXR1097"/>
      <c r="GXU1097"/>
      <c r="GXV1097"/>
      <c r="GXY1097"/>
      <c r="GXZ1097"/>
      <c r="GYC1097"/>
      <c r="GYD1097"/>
      <c r="GYG1097"/>
      <c r="GYH1097"/>
      <c r="GYK1097"/>
      <c r="GYL1097"/>
      <c r="GYO1097"/>
      <c r="GYP1097"/>
      <c r="GYS1097"/>
      <c r="GYT1097"/>
      <c r="GYW1097"/>
      <c r="GYX1097"/>
      <c r="GZA1097"/>
      <c r="GZB1097"/>
      <c r="GZE1097"/>
      <c r="GZF1097"/>
      <c r="GZI1097"/>
      <c r="GZJ1097"/>
      <c r="GZM1097"/>
      <c r="GZN1097"/>
      <c r="GZQ1097"/>
      <c r="GZR1097"/>
      <c r="GZU1097"/>
      <c r="GZV1097"/>
      <c r="GZY1097"/>
      <c r="GZZ1097"/>
      <c r="HAC1097"/>
      <c r="HAD1097"/>
      <c r="HAG1097"/>
      <c r="HAH1097"/>
      <c r="HAK1097"/>
      <c r="HAL1097"/>
      <c r="HAO1097"/>
      <c r="HAP1097"/>
      <c r="HAS1097"/>
      <c r="HAT1097"/>
      <c r="HAW1097"/>
      <c r="HAX1097"/>
      <c r="HBA1097"/>
      <c r="HBB1097"/>
      <c r="HBE1097"/>
      <c r="HBF1097"/>
      <c r="HBI1097"/>
      <c r="HBJ1097"/>
      <c r="HBM1097"/>
      <c r="HBN1097"/>
      <c r="HBQ1097"/>
      <c r="HBR1097"/>
      <c r="HBU1097"/>
      <c r="HBV1097"/>
      <c r="HBY1097"/>
      <c r="HBZ1097"/>
      <c r="HCC1097"/>
      <c r="HCD1097"/>
      <c r="HCG1097"/>
      <c r="HCH1097"/>
      <c r="HCK1097"/>
      <c r="HCL1097"/>
      <c r="HCO1097"/>
      <c r="HCP1097"/>
      <c r="HCS1097"/>
      <c r="HCT1097"/>
      <c r="HCW1097"/>
      <c r="HCX1097"/>
      <c r="HDA1097"/>
      <c r="HDB1097"/>
      <c r="HDE1097"/>
      <c r="HDF1097"/>
      <c r="HDI1097"/>
      <c r="HDJ1097"/>
      <c r="HDM1097"/>
      <c r="HDN1097"/>
      <c r="HDQ1097"/>
      <c r="HDR1097"/>
      <c r="HDU1097"/>
      <c r="HDV1097"/>
      <c r="HDY1097"/>
      <c r="HDZ1097"/>
      <c r="HEC1097"/>
      <c r="HED1097"/>
      <c r="HEG1097"/>
      <c r="HEH1097"/>
      <c r="HEK1097"/>
      <c r="HEL1097"/>
      <c r="HEO1097"/>
      <c r="HEP1097"/>
      <c r="HES1097"/>
      <c r="HET1097"/>
      <c r="HEW1097"/>
      <c r="HEX1097"/>
      <c r="HFA1097"/>
      <c r="HFB1097"/>
      <c r="HFE1097"/>
      <c r="HFF1097"/>
      <c r="HFI1097"/>
      <c r="HFJ1097"/>
      <c r="HFM1097"/>
      <c r="HFN1097"/>
      <c r="HFQ1097"/>
      <c r="HFR1097"/>
      <c r="HFU1097"/>
      <c r="HFV1097"/>
      <c r="HFY1097"/>
      <c r="HFZ1097"/>
      <c r="HGC1097"/>
      <c r="HGD1097"/>
      <c r="HGG1097"/>
      <c r="HGH1097"/>
      <c r="HGK1097"/>
      <c r="HGL1097"/>
      <c r="HGO1097"/>
      <c r="HGP1097"/>
      <c r="HGS1097"/>
      <c r="HGT1097"/>
      <c r="HGW1097"/>
      <c r="HGX1097"/>
      <c r="HHA1097"/>
      <c r="HHB1097"/>
      <c r="HHE1097"/>
      <c r="HHF1097"/>
      <c r="HHI1097"/>
      <c r="HHJ1097"/>
      <c r="HHM1097"/>
      <c r="HHN1097"/>
      <c r="HHQ1097"/>
      <c r="HHR1097"/>
      <c r="HHU1097"/>
      <c r="HHV1097"/>
      <c r="HHY1097"/>
      <c r="HHZ1097"/>
      <c r="HIC1097"/>
      <c r="HID1097"/>
      <c r="HIG1097"/>
      <c r="HIH1097"/>
      <c r="HIK1097"/>
      <c r="HIL1097"/>
      <c r="HIO1097"/>
      <c r="HIP1097"/>
      <c r="HIS1097"/>
      <c r="HIT1097"/>
      <c r="HIW1097"/>
      <c r="HIX1097"/>
      <c r="HJA1097"/>
      <c r="HJB1097"/>
      <c r="HJE1097"/>
      <c r="HJF1097"/>
      <c r="HJI1097"/>
      <c r="HJJ1097"/>
      <c r="HJM1097"/>
      <c r="HJN1097"/>
      <c r="HJQ1097"/>
      <c r="HJR1097"/>
      <c r="HJU1097"/>
      <c r="HJV1097"/>
      <c r="HJY1097"/>
      <c r="HJZ1097"/>
      <c r="HKC1097"/>
      <c r="HKD1097"/>
      <c r="HKG1097"/>
      <c r="HKH1097"/>
      <c r="HKK1097"/>
      <c r="HKL1097"/>
      <c r="HKO1097"/>
      <c r="HKP1097"/>
      <c r="HKS1097"/>
      <c r="HKT1097"/>
      <c r="HKW1097"/>
      <c r="HKX1097"/>
      <c r="HLA1097"/>
      <c r="HLB1097"/>
      <c r="HLE1097"/>
      <c r="HLF1097"/>
      <c r="HLI1097"/>
      <c r="HLJ1097"/>
      <c r="HLM1097"/>
      <c r="HLN1097"/>
      <c r="HLQ1097"/>
      <c r="HLR1097"/>
      <c r="HLU1097"/>
      <c r="HLV1097"/>
      <c r="HLY1097"/>
      <c r="HLZ1097"/>
      <c r="HMC1097"/>
      <c r="HMD1097"/>
      <c r="HMG1097"/>
      <c r="HMH1097"/>
      <c r="HMK1097"/>
      <c r="HML1097"/>
      <c r="HMO1097"/>
      <c r="HMP1097"/>
      <c r="HMS1097"/>
      <c r="HMT1097"/>
      <c r="HMW1097"/>
      <c r="HMX1097"/>
      <c r="HNA1097"/>
      <c r="HNB1097"/>
      <c r="HNE1097"/>
      <c r="HNF1097"/>
      <c r="HNI1097"/>
      <c r="HNJ1097"/>
      <c r="HNM1097"/>
      <c r="HNN1097"/>
      <c r="HNQ1097"/>
      <c r="HNR1097"/>
      <c r="HNU1097"/>
      <c r="HNV1097"/>
      <c r="HNY1097"/>
      <c r="HNZ1097"/>
      <c r="HOC1097"/>
      <c r="HOD1097"/>
      <c r="HOG1097"/>
      <c r="HOH1097"/>
      <c r="HOK1097"/>
      <c r="HOL1097"/>
      <c r="HOO1097"/>
      <c r="HOP1097"/>
      <c r="HOS1097"/>
      <c r="HOT1097"/>
      <c r="HOW1097"/>
      <c r="HOX1097"/>
      <c r="HPA1097"/>
      <c r="HPB1097"/>
      <c r="HPE1097"/>
      <c r="HPF1097"/>
      <c r="HPI1097"/>
      <c r="HPJ1097"/>
      <c r="HPM1097"/>
      <c r="HPN1097"/>
      <c r="HPQ1097"/>
      <c r="HPR1097"/>
      <c r="HPU1097"/>
      <c r="HPV1097"/>
      <c r="HPY1097"/>
      <c r="HPZ1097"/>
      <c r="HQC1097"/>
      <c r="HQD1097"/>
      <c r="HQG1097"/>
      <c r="HQH1097"/>
      <c r="HQK1097"/>
      <c r="HQL1097"/>
      <c r="HQO1097"/>
      <c r="HQP1097"/>
      <c r="HQS1097"/>
      <c r="HQT1097"/>
      <c r="HQW1097"/>
      <c r="HQX1097"/>
      <c r="HRA1097"/>
      <c r="HRB1097"/>
      <c r="HRE1097"/>
      <c r="HRF1097"/>
      <c r="HRI1097"/>
      <c r="HRJ1097"/>
      <c r="HRM1097"/>
      <c r="HRN1097"/>
      <c r="HRQ1097"/>
      <c r="HRR1097"/>
      <c r="HRU1097"/>
      <c r="HRV1097"/>
      <c r="HRY1097"/>
      <c r="HRZ1097"/>
      <c r="HSC1097"/>
      <c r="HSD1097"/>
      <c r="HSG1097"/>
      <c r="HSH1097"/>
      <c r="HSK1097"/>
      <c r="HSL1097"/>
      <c r="HSO1097"/>
      <c r="HSP1097"/>
      <c r="HSS1097"/>
      <c r="HST1097"/>
      <c r="HSW1097"/>
      <c r="HSX1097"/>
      <c r="HTA1097"/>
      <c r="HTB1097"/>
      <c r="HTE1097"/>
      <c r="HTF1097"/>
      <c r="HTI1097"/>
      <c r="HTJ1097"/>
      <c r="HTM1097"/>
      <c r="HTN1097"/>
      <c r="HTQ1097"/>
      <c r="HTR1097"/>
      <c r="HTU1097"/>
      <c r="HTV1097"/>
      <c r="HTY1097"/>
      <c r="HTZ1097"/>
      <c r="HUC1097"/>
      <c r="HUD1097"/>
      <c r="HUG1097"/>
      <c r="HUH1097"/>
      <c r="HUK1097"/>
      <c r="HUL1097"/>
      <c r="HUO1097"/>
      <c r="HUP1097"/>
      <c r="HUS1097"/>
      <c r="HUT1097"/>
      <c r="HUW1097"/>
      <c r="HUX1097"/>
      <c r="HVA1097"/>
      <c r="HVB1097"/>
      <c r="HVE1097"/>
      <c r="HVF1097"/>
      <c r="HVI1097"/>
      <c r="HVJ1097"/>
      <c r="HVM1097"/>
      <c r="HVN1097"/>
      <c r="HVQ1097"/>
      <c r="HVR1097"/>
      <c r="HVU1097"/>
      <c r="HVV1097"/>
      <c r="HVY1097"/>
      <c r="HVZ1097"/>
      <c r="HWC1097"/>
      <c r="HWD1097"/>
      <c r="HWG1097"/>
      <c r="HWH1097"/>
      <c r="HWK1097"/>
      <c r="HWL1097"/>
      <c r="HWO1097"/>
      <c r="HWP1097"/>
      <c r="HWS1097"/>
      <c r="HWT1097"/>
      <c r="HWW1097"/>
      <c r="HWX1097"/>
      <c r="HXA1097"/>
      <c r="HXB1097"/>
      <c r="HXE1097"/>
      <c r="HXF1097"/>
      <c r="HXI1097"/>
      <c r="HXJ1097"/>
      <c r="HXM1097"/>
      <c r="HXN1097"/>
      <c r="HXQ1097"/>
      <c r="HXR1097"/>
      <c r="HXU1097"/>
      <c r="HXV1097"/>
      <c r="HXY1097"/>
      <c r="HXZ1097"/>
      <c r="HYC1097"/>
      <c r="HYD1097"/>
      <c r="HYG1097"/>
      <c r="HYH1097"/>
      <c r="HYK1097"/>
      <c r="HYL1097"/>
      <c r="HYO1097"/>
      <c r="HYP1097"/>
      <c r="HYS1097"/>
      <c r="HYT1097"/>
      <c r="HYW1097"/>
      <c r="HYX1097"/>
      <c r="HZA1097"/>
      <c r="HZB1097"/>
      <c r="HZE1097"/>
      <c r="HZF1097"/>
      <c r="HZI1097"/>
      <c r="HZJ1097"/>
      <c r="HZM1097"/>
      <c r="HZN1097"/>
      <c r="HZQ1097"/>
      <c r="HZR1097"/>
      <c r="HZU1097"/>
      <c r="HZV1097"/>
      <c r="HZY1097"/>
      <c r="HZZ1097"/>
      <c r="IAC1097"/>
      <c r="IAD1097"/>
      <c r="IAG1097"/>
      <c r="IAH1097"/>
      <c r="IAK1097"/>
      <c r="IAL1097"/>
      <c r="IAO1097"/>
      <c r="IAP1097"/>
      <c r="IAS1097"/>
      <c r="IAT1097"/>
      <c r="IAW1097"/>
      <c r="IAX1097"/>
      <c r="IBA1097"/>
      <c r="IBB1097"/>
      <c r="IBE1097"/>
      <c r="IBF1097"/>
      <c r="IBI1097"/>
      <c r="IBJ1097"/>
      <c r="IBM1097"/>
      <c r="IBN1097"/>
      <c r="IBQ1097"/>
      <c r="IBR1097"/>
      <c r="IBU1097"/>
      <c r="IBV1097"/>
      <c r="IBY1097"/>
      <c r="IBZ1097"/>
      <c r="ICC1097"/>
      <c r="ICD1097"/>
      <c r="ICG1097"/>
      <c r="ICH1097"/>
      <c r="ICK1097"/>
      <c r="ICL1097"/>
      <c r="ICO1097"/>
      <c r="ICP1097"/>
      <c r="ICS1097"/>
      <c r="ICT1097"/>
      <c r="ICW1097"/>
      <c r="ICX1097"/>
      <c r="IDA1097"/>
      <c r="IDB1097"/>
      <c r="IDE1097"/>
      <c r="IDF1097"/>
      <c r="IDI1097"/>
      <c r="IDJ1097"/>
      <c r="IDM1097"/>
      <c r="IDN1097"/>
      <c r="IDQ1097"/>
      <c r="IDR1097"/>
      <c r="IDU1097"/>
      <c r="IDV1097"/>
      <c r="IDY1097"/>
      <c r="IDZ1097"/>
      <c r="IEC1097"/>
      <c r="IED1097"/>
      <c r="IEG1097"/>
      <c r="IEH1097"/>
      <c r="IEK1097"/>
      <c r="IEL1097"/>
      <c r="IEO1097"/>
      <c r="IEP1097"/>
      <c r="IES1097"/>
      <c r="IET1097"/>
      <c r="IEW1097"/>
      <c r="IEX1097"/>
      <c r="IFA1097"/>
      <c r="IFB1097"/>
      <c r="IFE1097"/>
      <c r="IFF1097"/>
      <c r="IFI1097"/>
      <c r="IFJ1097"/>
      <c r="IFM1097"/>
      <c r="IFN1097"/>
      <c r="IFQ1097"/>
      <c r="IFR1097"/>
      <c r="IFU1097"/>
      <c r="IFV1097"/>
      <c r="IFY1097"/>
      <c r="IFZ1097"/>
      <c r="IGC1097"/>
      <c r="IGD1097"/>
      <c r="IGG1097"/>
      <c r="IGH1097"/>
      <c r="IGK1097"/>
      <c r="IGL1097"/>
      <c r="IGO1097"/>
      <c r="IGP1097"/>
      <c r="IGS1097"/>
      <c r="IGT1097"/>
      <c r="IGW1097"/>
      <c r="IGX1097"/>
      <c r="IHA1097"/>
      <c r="IHB1097"/>
      <c r="IHE1097"/>
      <c r="IHF1097"/>
      <c r="IHI1097"/>
      <c r="IHJ1097"/>
      <c r="IHM1097"/>
      <c r="IHN1097"/>
      <c r="IHQ1097"/>
      <c r="IHR1097"/>
      <c r="IHU1097"/>
      <c r="IHV1097"/>
      <c r="IHY1097"/>
      <c r="IHZ1097"/>
      <c r="IIC1097"/>
      <c r="IID1097"/>
      <c r="IIG1097"/>
      <c r="IIH1097"/>
      <c r="IIK1097"/>
      <c r="IIL1097"/>
      <c r="IIO1097"/>
      <c r="IIP1097"/>
      <c r="IIS1097"/>
      <c r="IIT1097"/>
      <c r="IIW1097"/>
      <c r="IIX1097"/>
      <c r="IJA1097"/>
      <c r="IJB1097"/>
      <c r="IJE1097"/>
      <c r="IJF1097"/>
      <c r="IJI1097"/>
      <c r="IJJ1097"/>
      <c r="IJM1097"/>
      <c r="IJN1097"/>
      <c r="IJQ1097"/>
      <c r="IJR1097"/>
      <c r="IJU1097"/>
      <c r="IJV1097"/>
      <c r="IJY1097"/>
      <c r="IJZ1097"/>
      <c r="IKC1097"/>
      <c r="IKD1097"/>
      <c r="IKG1097"/>
      <c r="IKH1097"/>
      <c r="IKK1097"/>
      <c r="IKL1097"/>
      <c r="IKO1097"/>
      <c r="IKP1097"/>
      <c r="IKS1097"/>
      <c r="IKT1097"/>
      <c r="IKW1097"/>
      <c r="IKX1097"/>
      <c r="ILA1097"/>
      <c r="ILB1097"/>
      <c r="ILE1097"/>
      <c r="ILF1097"/>
      <c r="ILI1097"/>
      <c r="ILJ1097"/>
      <c r="ILM1097"/>
      <c r="ILN1097"/>
      <c r="ILQ1097"/>
      <c r="ILR1097"/>
      <c r="ILU1097"/>
      <c r="ILV1097"/>
      <c r="ILY1097"/>
      <c r="ILZ1097"/>
      <c r="IMC1097"/>
      <c r="IMD1097"/>
      <c r="IMG1097"/>
      <c r="IMH1097"/>
      <c r="IMK1097"/>
      <c r="IML1097"/>
      <c r="IMO1097"/>
      <c r="IMP1097"/>
      <c r="IMS1097"/>
      <c r="IMT1097"/>
      <c r="IMW1097"/>
      <c r="IMX1097"/>
      <c r="INA1097"/>
      <c r="INB1097"/>
      <c r="INE1097"/>
      <c r="INF1097"/>
      <c r="INI1097"/>
      <c r="INJ1097"/>
      <c r="INM1097"/>
      <c r="INN1097"/>
      <c r="INQ1097"/>
      <c r="INR1097"/>
      <c r="INU1097"/>
      <c r="INV1097"/>
      <c r="INY1097"/>
      <c r="INZ1097"/>
      <c r="IOC1097"/>
      <c r="IOD1097"/>
      <c r="IOG1097"/>
      <c r="IOH1097"/>
      <c r="IOK1097"/>
      <c r="IOL1097"/>
      <c r="IOO1097"/>
      <c r="IOP1097"/>
      <c r="IOS1097"/>
      <c r="IOT1097"/>
      <c r="IOW1097"/>
      <c r="IOX1097"/>
      <c r="IPA1097"/>
      <c r="IPB1097"/>
      <c r="IPE1097"/>
      <c r="IPF1097"/>
      <c r="IPI1097"/>
      <c r="IPJ1097"/>
      <c r="IPM1097"/>
      <c r="IPN1097"/>
      <c r="IPQ1097"/>
      <c r="IPR1097"/>
      <c r="IPU1097"/>
      <c r="IPV1097"/>
      <c r="IPY1097"/>
      <c r="IPZ1097"/>
      <c r="IQC1097"/>
      <c r="IQD1097"/>
      <c r="IQG1097"/>
      <c r="IQH1097"/>
      <c r="IQK1097"/>
      <c r="IQL1097"/>
      <c r="IQO1097"/>
      <c r="IQP1097"/>
      <c r="IQS1097"/>
      <c r="IQT1097"/>
      <c r="IQW1097"/>
      <c r="IQX1097"/>
      <c r="IRA1097"/>
      <c r="IRB1097"/>
      <c r="IRE1097"/>
      <c r="IRF1097"/>
      <c r="IRI1097"/>
      <c r="IRJ1097"/>
      <c r="IRM1097"/>
      <c r="IRN1097"/>
      <c r="IRQ1097"/>
      <c r="IRR1097"/>
      <c r="IRU1097"/>
      <c r="IRV1097"/>
      <c r="IRY1097"/>
      <c r="IRZ1097"/>
      <c r="ISC1097"/>
      <c r="ISD1097"/>
      <c r="ISG1097"/>
      <c r="ISH1097"/>
      <c r="ISK1097"/>
      <c r="ISL1097"/>
      <c r="ISO1097"/>
      <c r="ISP1097"/>
      <c r="ISS1097"/>
      <c r="IST1097"/>
      <c r="ISW1097"/>
      <c r="ISX1097"/>
      <c r="ITA1097"/>
      <c r="ITB1097"/>
      <c r="ITE1097"/>
      <c r="ITF1097"/>
      <c r="ITI1097"/>
      <c r="ITJ1097"/>
      <c r="ITM1097"/>
      <c r="ITN1097"/>
      <c r="ITQ1097"/>
      <c r="ITR1097"/>
      <c r="ITU1097"/>
      <c r="ITV1097"/>
      <c r="ITY1097"/>
      <c r="ITZ1097"/>
      <c r="IUC1097"/>
      <c r="IUD1097"/>
      <c r="IUG1097"/>
      <c r="IUH1097"/>
      <c r="IUK1097"/>
      <c r="IUL1097"/>
      <c r="IUO1097"/>
      <c r="IUP1097"/>
      <c r="IUS1097"/>
      <c r="IUT1097"/>
      <c r="IUW1097"/>
      <c r="IUX1097"/>
      <c r="IVA1097"/>
      <c r="IVB1097"/>
      <c r="IVE1097"/>
      <c r="IVF1097"/>
      <c r="IVI1097"/>
      <c r="IVJ1097"/>
      <c r="IVM1097"/>
      <c r="IVN1097"/>
      <c r="IVQ1097"/>
      <c r="IVR1097"/>
      <c r="IVU1097"/>
      <c r="IVV1097"/>
      <c r="IVY1097"/>
      <c r="IVZ1097"/>
      <c r="IWC1097"/>
      <c r="IWD1097"/>
      <c r="IWG1097"/>
      <c r="IWH1097"/>
      <c r="IWK1097"/>
      <c r="IWL1097"/>
      <c r="IWO1097"/>
      <c r="IWP1097"/>
      <c r="IWS1097"/>
      <c r="IWT1097"/>
      <c r="IWW1097"/>
      <c r="IWX1097"/>
      <c r="IXA1097"/>
      <c r="IXB1097"/>
      <c r="IXE1097"/>
      <c r="IXF1097"/>
      <c r="IXI1097"/>
      <c r="IXJ1097"/>
      <c r="IXM1097"/>
      <c r="IXN1097"/>
      <c r="IXQ1097"/>
      <c r="IXR1097"/>
      <c r="IXU1097"/>
      <c r="IXV1097"/>
      <c r="IXY1097"/>
      <c r="IXZ1097"/>
      <c r="IYC1097"/>
      <c r="IYD1097"/>
      <c r="IYG1097"/>
      <c r="IYH1097"/>
      <c r="IYK1097"/>
      <c r="IYL1097"/>
      <c r="IYO1097"/>
      <c r="IYP1097"/>
      <c r="IYS1097"/>
      <c r="IYT1097"/>
      <c r="IYW1097"/>
      <c r="IYX1097"/>
      <c r="IZA1097"/>
      <c r="IZB1097"/>
      <c r="IZE1097"/>
      <c r="IZF1097"/>
      <c r="IZI1097"/>
      <c r="IZJ1097"/>
      <c r="IZM1097"/>
      <c r="IZN1097"/>
      <c r="IZQ1097"/>
      <c r="IZR1097"/>
      <c r="IZU1097"/>
      <c r="IZV1097"/>
      <c r="IZY1097"/>
      <c r="IZZ1097"/>
      <c r="JAC1097"/>
      <c r="JAD1097"/>
      <c r="JAG1097"/>
      <c r="JAH1097"/>
      <c r="JAK1097"/>
      <c r="JAL1097"/>
      <c r="JAO1097"/>
      <c r="JAP1097"/>
      <c r="JAS1097"/>
      <c r="JAT1097"/>
      <c r="JAW1097"/>
      <c r="JAX1097"/>
      <c r="JBA1097"/>
      <c r="JBB1097"/>
      <c r="JBE1097"/>
      <c r="JBF1097"/>
      <c r="JBI1097"/>
      <c r="JBJ1097"/>
      <c r="JBM1097"/>
      <c r="JBN1097"/>
      <c r="JBQ1097"/>
      <c r="JBR1097"/>
      <c r="JBU1097"/>
      <c r="JBV1097"/>
      <c r="JBY1097"/>
      <c r="JBZ1097"/>
      <c r="JCC1097"/>
      <c r="JCD1097"/>
      <c r="JCG1097"/>
      <c r="JCH1097"/>
      <c r="JCK1097"/>
      <c r="JCL1097"/>
      <c r="JCO1097"/>
      <c r="JCP1097"/>
      <c r="JCS1097"/>
      <c r="JCT1097"/>
      <c r="JCW1097"/>
      <c r="JCX1097"/>
      <c r="JDA1097"/>
      <c r="JDB1097"/>
      <c r="JDE1097"/>
      <c r="JDF1097"/>
      <c r="JDI1097"/>
      <c r="JDJ1097"/>
      <c r="JDM1097"/>
      <c r="JDN1097"/>
      <c r="JDQ1097"/>
      <c r="JDR1097"/>
      <c r="JDU1097"/>
      <c r="JDV1097"/>
      <c r="JDY1097"/>
      <c r="JDZ1097"/>
      <c r="JEC1097"/>
      <c r="JED1097"/>
      <c r="JEG1097"/>
      <c r="JEH1097"/>
      <c r="JEK1097"/>
      <c r="JEL1097"/>
      <c r="JEO1097"/>
      <c r="JEP1097"/>
      <c r="JES1097"/>
      <c r="JET1097"/>
      <c r="JEW1097"/>
      <c r="JEX1097"/>
      <c r="JFA1097"/>
      <c r="JFB1097"/>
      <c r="JFE1097"/>
      <c r="JFF1097"/>
      <c r="JFI1097"/>
      <c r="JFJ1097"/>
      <c r="JFM1097"/>
      <c r="JFN1097"/>
      <c r="JFQ1097"/>
      <c r="JFR1097"/>
      <c r="JFU1097"/>
      <c r="JFV1097"/>
      <c r="JFY1097"/>
      <c r="JFZ1097"/>
      <c r="JGC1097"/>
      <c r="JGD1097"/>
      <c r="JGG1097"/>
      <c r="JGH1097"/>
      <c r="JGK1097"/>
      <c r="JGL1097"/>
      <c r="JGO1097"/>
      <c r="JGP1097"/>
      <c r="JGS1097"/>
      <c r="JGT1097"/>
      <c r="JGW1097"/>
      <c r="JGX1097"/>
      <c r="JHA1097"/>
      <c r="JHB1097"/>
      <c r="JHE1097"/>
      <c r="JHF1097"/>
      <c r="JHI1097"/>
      <c r="JHJ1097"/>
      <c r="JHM1097"/>
      <c r="JHN1097"/>
      <c r="JHQ1097"/>
      <c r="JHR1097"/>
      <c r="JHU1097"/>
      <c r="JHV1097"/>
      <c r="JHY1097"/>
      <c r="JHZ1097"/>
      <c r="JIC1097"/>
      <c r="JID1097"/>
      <c r="JIG1097"/>
      <c r="JIH1097"/>
      <c r="JIK1097"/>
      <c r="JIL1097"/>
      <c r="JIO1097"/>
      <c r="JIP1097"/>
      <c r="JIS1097"/>
      <c r="JIT1097"/>
      <c r="JIW1097"/>
      <c r="JIX1097"/>
      <c r="JJA1097"/>
      <c r="JJB1097"/>
      <c r="JJE1097"/>
      <c r="JJF1097"/>
      <c r="JJI1097"/>
      <c r="JJJ1097"/>
      <c r="JJM1097"/>
      <c r="JJN1097"/>
      <c r="JJQ1097"/>
      <c r="JJR1097"/>
      <c r="JJU1097"/>
      <c r="JJV1097"/>
      <c r="JJY1097"/>
      <c r="JJZ1097"/>
      <c r="JKC1097"/>
      <c r="JKD1097"/>
      <c r="JKG1097"/>
      <c r="JKH1097"/>
      <c r="JKK1097"/>
      <c r="JKL1097"/>
      <c r="JKO1097"/>
      <c r="JKP1097"/>
      <c r="JKS1097"/>
      <c r="JKT1097"/>
      <c r="JKW1097"/>
      <c r="JKX1097"/>
      <c r="JLA1097"/>
      <c r="JLB1097"/>
      <c r="JLE1097"/>
      <c r="JLF1097"/>
      <c r="JLI1097"/>
      <c r="JLJ1097"/>
      <c r="JLM1097"/>
      <c r="JLN1097"/>
      <c r="JLQ1097"/>
      <c r="JLR1097"/>
      <c r="JLU1097"/>
      <c r="JLV1097"/>
      <c r="JLY1097"/>
      <c r="JLZ1097"/>
      <c r="JMC1097"/>
      <c r="JMD1097"/>
      <c r="JMG1097"/>
      <c r="JMH1097"/>
      <c r="JMK1097"/>
      <c r="JML1097"/>
      <c r="JMO1097"/>
      <c r="JMP1097"/>
      <c r="JMS1097"/>
      <c r="JMT1097"/>
      <c r="JMW1097"/>
      <c r="JMX1097"/>
      <c r="JNA1097"/>
      <c r="JNB1097"/>
      <c r="JNE1097"/>
      <c r="JNF1097"/>
      <c r="JNI1097"/>
      <c r="JNJ1097"/>
      <c r="JNM1097"/>
      <c r="JNN1097"/>
      <c r="JNQ1097"/>
      <c r="JNR1097"/>
      <c r="JNU1097"/>
      <c r="JNV1097"/>
      <c r="JNY1097"/>
      <c r="JNZ1097"/>
      <c r="JOC1097"/>
      <c r="JOD1097"/>
      <c r="JOG1097"/>
      <c r="JOH1097"/>
      <c r="JOK1097"/>
      <c r="JOL1097"/>
      <c r="JOO1097"/>
      <c r="JOP1097"/>
      <c r="JOS1097"/>
      <c r="JOT1097"/>
      <c r="JOW1097"/>
      <c r="JOX1097"/>
      <c r="JPA1097"/>
      <c r="JPB1097"/>
      <c r="JPE1097"/>
      <c r="JPF1097"/>
      <c r="JPI1097"/>
      <c r="JPJ1097"/>
      <c r="JPM1097"/>
      <c r="JPN1097"/>
      <c r="JPQ1097"/>
      <c r="JPR1097"/>
      <c r="JPU1097"/>
      <c r="JPV1097"/>
      <c r="JPY1097"/>
      <c r="JPZ1097"/>
      <c r="JQC1097"/>
      <c r="JQD1097"/>
      <c r="JQG1097"/>
      <c r="JQH1097"/>
      <c r="JQK1097"/>
      <c r="JQL1097"/>
      <c r="JQO1097"/>
      <c r="JQP1097"/>
      <c r="JQS1097"/>
      <c r="JQT1097"/>
      <c r="JQW1097"/>
      <c r="JQX1097"/>
      <c r="JRA1097"/>
      <c r="JRB1097"/>
      <c r="JRE1097"/>
      <c r="JRF1097"/>
      <c r="JRI1097"/>
      <c r="JRJ1097"/>
      <c r="JRM1097"/>
      <c r="JRN1097"/>
      <c r="JRQ1097"/>
      <c r="JRR1097"/>
      <c r="JRU1097"/>
      <c r="JRV1097"/>
      <c r="JRY1097"/>
      <c r="JRZ1097"/>
      <c r="JSC1097"/>
      <c r="JSD1097"/>
      <c r="JSG1097"/>
      <c r="JSH1097"/>
      <c r="JSK1097"/>
      <c r="JSL1097"/>
      <c r="JSO1097"/>
      <c r="JSP1097"/>
      <c r="JSS1097"/>
      <c r="JST1097"/>
      <c r="JSW1097"/>
      <c r="JSX1097"/>
      <c r="JTA1097"/>
      <c r="JTB1097"/>
      <c r="JTE1097"/>
      <c r="JTF1097"/>
      <c r="JTI1097"/>
      <c r="JTJ1097"/>
      <c r="JTM1097"/>
      <c r="JTN1097"/>
      <c r="JTQ1097"/>
      <c r="JTR1097"/>
      <c r="JTU1097"/>
      <c r="JTV1097"/>
      <c r="JTY1097"/>
      <c r="JTZ1097"/>
      <c r="JUC1097"/>
      <c r="JUD1097"/>
      <c r="JUG1097"/>
      <c r="JUH1097"/>
      <c r="JUK1097"/>
      <c r="JUL1097"/>
      <c r="JUO1097"/>
      <c r="JUP1097"/>
      <c r="JUS1097"/>
      <c r="JUT1097"/>
      <c r="JUW1097"/>
      <c r="JUX1097"/>
      <c r="JVA1097"/>
      <c r="JVB1097"/>
      <c r="JVE1097"/>
      <c r="JVF1097"/>
      <c r="JVI1097"/>
      <c r="JVJ1097"/>
      <c r="JVM1097"/>
      <c r="JVN1097"/>
      <c r="JVQ1097"/>
      <c r="JVR1097"/>
      <c r="JVU1097"/>
      <c r="JVV1097"/>
      <c r="JVY1097"/>
      <c r="JVZ1097"/>
      <c r="JWC1097"/>
      <c r="JWD1097"/>
      <c r="JWG1097"/>
      <c r="JWH1097"/>
      <c r="JWK1097"/>
      <c r="JWL1097"/>
      <c r="JWO1097"/>
      <c r="JWP1097"/>
      <c r="JWS1097"/>
      <c r="JWT1097"/>
      <c r="JWW1097"/>
      <c r="JWX1097"/>
      <c r="JXA1097"/>
      <c r="JXB1097"/>
      <c r="JXE1097"/>
      <c r="JXF1097"/>
      <c r="JXI1097"/>
      <c r="JXJ1097"/>
      <c r="JXM1097"/>
      <c r="JXN1097"/>
      <c r="JXQ1097"/>
      <c r="JXR1097"/>
      <c r="JXU1097"/>
      <c r="JXV1097"/>
      <c r="JXY1097"/>
      <c r="JXZ1097"/>
      <c r="JYC1097"/>
      <c r="JYD1097"/>
      <c r="JYG1097"/>
      <c r="JYH1097"/>
      <c r="JYK1097"/>
      <c r="JYL1097"/>
      <c r="JYO1097"/>
      <c r="JYP1097"/>
      <c r="JYS1097"/>
      <c r="JYT1097"/>
      <c r="JYW1097"/>
      <c r="JYX1097"/>
      <c r="JZA1097"/>
      <c r="JZB1097"/>
      <c r="JZE1097"/>
      <c r="JZF1097"/>
      <c r="JZI1097"/>
      <c r="JZJ1097"/>
      <c r="JZM1097"/>
      <c r="JZN1097"/>
      <c r="JZQ1097"/>
      <c r="JZR1097"/>
      <c r="JZU1097"/>
      <c r="JZV1097"/>
      <c r="JZY1097"/>
      <c r="JZZ1097"/>
      <c r="KAC1097"/>
      <c r="KAD1097"/>
      <c r="KAG1097"/>
      <c r="KAH1097"/>
      <c r="KAK1097"/>
      <c r="KAL1097"/>
      <c r="KAO1097"/>
      <c r="KAP1097"/>
      <c r="KAS1097"/>
      <c r="KAT1097"/>
      <c r="KAW1097"/>
      <c r="KAX1097"/>
      <c r="KBA1097"/>
      <c r="KBB1097"/>
      <c r="KBE1097"/>
      <c r="KBF1097"/>
      <c r="KBI1097"/>
      <c r="KBJ1097"/>
      <c r="KBM1097"/>
      <c r="KBN1097"/>
      <c r="KBQ1097"/>
      <c r="KBR1097"/>
      <c r="KBU1097"/>
      <c r="KBV1097"/>
      <c r="KBY1097"/>
      <c r="KBZ1097"/>
      <c r="KCC1097"/>
      <c r="KCD1097"/>
      <c r="KCG1097"/>
      <c r="KCH1097"/>
      <c r="KCK1097"/>
      <c r="KCL1097"/>
      <c r="KCO1097"/>
      <c r="KCP1097"/>
      <c r="KCS1097"/>
      <c r="KCT1097"/>
      <c r="KCW1097"/>
      <c r="KCX1097"/>
      <c r="KDA1097"/>
      <c r="KDB1097"/>
      <c r="KDE1097"/>
      <c r="KDF1097"/>
      <c r="KDI1097"/>
      <c r="KDJ1097"/>
      <c r="KDM1097"/>
      <c r="KDN1097"/>
      <c r="KDQ1097"/>
      <c r="KDR1097"/>
      <c r="KDU1097"/>
      <c r="KDV1097"/>
      <c r="KDY1097"/>
      <c r="KDZ1097"/>
      <c r="KEC1097"/>
      <c r="KED1097"/>
      <c r="KEG1097"/>
      <c r="KEH1097"/>
      <c r="KEK1097"/>
      <c r="KEL1097"/>
      <c r="KEO1097"/>
      <c r="KEP1097"/>
      <c r="KES1097"/>
      <c r="KET1097"/>
      <c r="KEW1097"/>
      <c r="KEX1097"/>
      <c r="KFA1097"/>
      <c r="KFB1097"/>
      <c r="KFE1097"/>
      <c r="KFF1097"/>
      <c r="KFI1097"/>
      <c r="KFJ1097"/>
      <c r="KFM1097"/>
      <c r="KFN1097"/>
      <c r="KFQ1097"/>
      <c r="KFR1097"/>
      <c r="KFU1097"/>
      <c r="KFV1097"/>
      <c r="KFY1097"/>
      <c r="KFZ1097"/>
      <c r="KGC1097"/>
      <c r="KGD1097"/>
      <c r="KGG1097"/>
      <c r="KGH1097"/>
      <c r="KGK1097"/>
      <c r="KGL1097"/>
      <c r="KGO1097"/>
      <c r="KGP1097"/>
      <c r="KGS1097"/>
      <c r="KGT1097"/>
      <c r="KGW1097"/>
      <c r="KGX1097"/>
      <c r="KHA1097"/>
      <c r="KHB1097"/>
      <c r="KHE1097"/>
      <c r="KHF1097"/>
      <c r="KHI1097"/>
      <c r="KHJ1097"/>
      <c r="KHM1097"/>
      <c r="KHN1097"/>
      <c r="KHQ1097"/>
      <c r="KHR1097"/>
      <c r="KHU1097"/>
      <c r="KHV1097"/>
      <c r="KHY1097"/>
      <c r="KHZ1097"/>
      <c r="KIC1097"/>
      <c r="KID1097"/>
      <c r="KIG1097"/>
      <c r="KIH1097"/>
      <c r="KIK1097"/>
      <c r="KIL1097"/>
      <c r="KIO1097"/>
      <c r="KIP1097"/>
      <c r="KIS1097"/>
      <c r="KIT1097"/>
      <c r="KIW1097"/>
      <c r="KIX1097"/>
      <c r="KJA1097"/>
      <c r="KJB1097"/>
      <c r="KJE1097"/>
      <c r="KJF1097"/>
      <c r="KJI1097"/>
      <c r="KJJ1097"/>
      <c r="KJM1097"/>
      <c r="KJN1097"/>
      <c r="KJQ1097"/>
      <c r="KJR1097"/>
      <c r="KJU1097"/>
      <c r="KJV1097"/>
      <c r="KJY1097"/>
      <c r="KJZ1097"/>
      <c r="KKC1097"/>
      <c r="KKD1097"/>
      <c r="KKG1097"/>
      <c r="KKH1097"/>
      <c r="KKK1097"/>
      <c r="KKL1097"/>
      <c r="KKO1097"/>
      <c r="KKP1097"/>
      <c r="KKS1097"/>
      <c r="KKT1097"/>
      <c r="KKW1097"/>
      <c r="KKX1097"/>
      <c r="KLA1097"/>
      <c r="KLB1097"/>
      <c r="KLE1097"/>
      <c r="KLF1097"/>
      <c r="KLI1097"/>
      <c r="KLJ1097"/>
      <c r="KLM1097"/>
      <c r="KLN1097"/>
      <c r="KLQ1097"/>
      <c r="KLR1097"/>
      <c r="KLU1097"/>
      <c r="KLV1097"/>
      <c r="KLY1097"/>
      <c r="KLZ1097"/>
      <c r="KMC1097"/>
      <c r="KMD1097"/>
      <c r="KMG1097"/>
      <c r="KMH1097"/>
      <c r="KMK1097"/>
      <c r="KML1097"/>
      <c r="KMO1097"/>
      <c r="KMP1097"/>
      <c r="KMS1097"/>
      <c r="KMT1097"/>
      <c r="KMW1097"/>
      <c r="KMX1097"/>
      <c r="KNA1097"/>
      <c r="KNB1097"/>
      <c r="KNE1097"/>
      <c r="KNF1097"/>
      <c r="KNI1097"/>
      <c r="KNJ1097"/>
      <c r="KNM1097"/>
      <c r="KNN1097"/>
      <c r="KNQ1097"/>
      <c r="KNR1097"/>
      <c r="KNU1097"/>
      <c r="KNV1097"/>
      <c r="KNY1097"/>
      <c r="KNZ1097"/>
      <c r="KOC1097"/>
      <c r="KOD1097"/>
      <c r="KOG1097"/>
      <c r="KOH1097"/>
      <c r="KOK1097"/>
      <c r="KOL1097"/>
      <c r="KOO1097"/>
      <c r="KOP1097"/>
      <c r="KOS1097"/>
      <c r="KOT1097"/>
      <c r="KOW1097"/>
      <c r="KOX1097"/>
      <c r="KPA1097"/>
      <c r="KPB1097"/>
      <c r="KPE1097"/>
      <c r="KPF1097"/>
      <c r="KPI1097"/>
      <c r="KPJ1097"/>
      <c r="KPM1097"/>
      <c r="KPN1097"/>
      <c r="KPQ1097"/>
      <c r="KPR1097"/>
      <c r="KPU1097"/>
      <c r="KPV1097"/>
      <c r="KPY1097"/>
      <c r="KPZ1097"/>
      <c r="KQC1097"/>
      <c r="KQD1097"/>
      <c r="KQG1097"/>
      <c r="KQH1097"/>
      <c r="KQK1097"/>
      <c r="KQL1097"/>
      <c r="KQO1097"/>
      <c r="KQP1097"/>
      <c r="KQS1097"/>
      <c r="KQT1097"/>
      <c r="KQW1097"/>
      <c r="KQX1097"/>
      <c r="KRA1097"/>
      <c r="KRB1097"/>
      <c r="KRE1097"/>
      <c r="KRF1097"/>
      <c r="KRI1097"/>
      <c r="KRJ1097"/>
      <c r="KRM1097"/>
      <c r="KRN1097"/>
      <c r="KRQ1097"/>
      <c r="KRR1097"/>
      <c r="KRU1097"/>
      <c r="KRV1097"/>
      <c r="KRY1097"/>
      <c r="KRZ1097"/>
      <c r="KSC1097"/>
      <c r="KSD1097"/>
      <c r="KSG1097"/>
      <c r="KSH1097"/>
      <c r="KSK1097"/>
      <c r="KSL1097"/>
      <c r="KSO1097"/>
      <c r="KSP1097"/>
      <c r="KSS1097"/>
      <c r="KST1097"/>
      <c r="KSW1097"/>
      <c r="KSX1097"/>
      <c r="KTA1097"/>
      <c r="KTB1097"/>
      <c r="KTE1097"/>
      <c r="KTF1097"/>
      <c r="KTI1097"/>
      <c r="KTJ1097"/>
      <c r="KTM1097"/>
      <c r="KTN1097"/>
      <c r="KTQ1097"/>
      <c r="KTR1097"/>
      <c r="KTU1097"/>
      <c r="KTV1097"/>
      <c r="KTY1097"/>
      <c r="KTZ1097"/>
      <c r="KUC1097"/>
      <c r="KUD1097"/>
      <c r="KUG1097"/>
      <c r="KUH1097"/>
      <c r="KUK1097"/>
      <c r="KUL1097"/>
      <c r="KUO1097"/>
      <c r="KUP1097"/>
      <c r="KUS1097"/>
      <c r="KUT1097"/>
      <c r="KUW1097"/>
      <c r="KUX1097"/>
      <c r="KVA1097"/>
      <c r="KVB1097"/>
      <c r="KVE1097"/>
      <c r="KVF1097"/>
      <c r="KVI1097"/>
      <c r="KVJ1097"/>
      <c r="KVM1097"/>
      <c r="KVN1097"/>
      <c r="KVQ1097"/>
      <c r="KVR1097"/>
      <c r="KVU1097"/>
      <c r="KVV1097"/>
      <c r="KVY1097"/>
      <c r="KVZ1097"/>
      <c r="KWC1097"/>
      <c r="KWD1097"/>
      <c r="KWG1097"/>
      <c r="KWH1097"/>
      <c r="KWK1097"/>
      <c r="KWL1097"/>
      <c r="KWO1097"/>
      <c r="KWP1097"/>
      <c r="KWS1097"/>
      <c r="KWT1097"/>
      <c r="KWW1097"/>
      <c r="KWX1097"/>
      <c r="KXA1097"/>
      <c r="KXB1097"/>
      <c r="KXE1097"/>
      <c r="KXF1097"/>
      <c r="KXI1097"/>
      <c r="KXJ1097"/>
      <c r="KXM1097"/>
      <c r="KXN1097"/>
      <c r="KXQ1097"/>
      <c r="KXR1097"/>
      <c r="KXU1097"/>
      <c r="KXV1097"/>
      <c r="KXY1097"/>
      <c r="KXZ1097"/>
      <c r="KYC1097"/>
      <c r="KYD1097"/>
      <c r="KYG1097"/>
      <c r="KYH1097"/>
      <c r="KYK1097"/>
      <c r="KYL1097"/>
      <c r="KYO1097"/>
      <c r="KYP1097"/>
      <c r="KYS1097"/>
      <c r="KYT1097"/>
      <c r="KYW1097"/>
      <c r="KYX1097"/>
      <c r="KZA1097"/>
      <c r="KZB1097"/>
      <c r="KZE1097"/>
      <c r="KZF1097"/>
      <c r="KZI1097"/>
      <c r="KZJ1097"/>
      <c r="KZM1097"/>
      <c r="KZN1097"/>
      <c r="KZQ1097"/>
      <c r="KZR1097"/>
      <c r="KZU1097"/>
      <c r="KZV1097"/>
      <c r="KZY1097"/>
      <c r="KZZ1097"/>
      <c r="LAC1097"/>
      <c r="LAD1097"/>
      <c r="LAG1097"/>
      <c r="LAH1097"/>
      <c r="LAK1097"/>
      <c r="LAL1097"/>
      <c r="LAO1097"/>
      <c r="LAP1097"/>
      <c r="LAS1097"/>
      <c r="LAT1097"/>
      <c r="LAW1097"/>
      <c r="LAX1097"/>
      <c r="LBA1097"/>
      <c r="LBB1097"/>
      <c r="LBE1097"/>
      <c r="LBF1097"/>
      <c r="LBI1097"/>
      <c r="LBJ1097"/>
      <c r="LBM1097"/>
      <c r="LBN1097"/>
      <c r="LBQ1097"/>
      <c r="LBR1097"/>
      <c r="LBU1097"/>
      <c r="LBV1097"/>
      <c r="LBY1097"/>
      <c r="LBZ1097"/>
      <c r="LCC1097"/>
      <c r="LCD1097"/>
      <c r="LCG1097"/>
      <c r="LCH1097"/>
      <c r="LCK1097"/>
      <c r="LCL1097"/>
      <c r="LCO1097"/>
      <c r="LCP1097"/>
      <c r="LCS1097"/>
      <c r="LCT1097"/>
      <c r="LCW1097"/>
      <c r="LCX1097"/>
      <c r="LDA1097"/>
      <c r="LDB1097"/>
      <c r="LDE1097"/>
      <c r="LDF1097"/>
      <c r="LDI1097"/>
      <c r="LDJ1097"/>
      <c r="LDM1097"/>
      <c r="LDN1097"/>
      <c r="LDQ1097"/>
      <c r="LDR1097"/>
      <c r="LDU1097"/>
      <c r="LDV1097"/>
      <c r="LDY1097"/>
      <c r="LDZ1097"/>
      <c r="LEC1097"/>
      <c r="LED1097"/>
      <c r="LEG1097"/>
      <c r="LEH1097"/>
      <c r="LEK1097"/>
      <c r="LEL1097"/>
      <c r="LEO1097"/>
      <c r="LEP1097"/>
      <c r="LES1097"/>
      <c r="LET1097"/>
      <c r="LEW1097"/>
      <c r="LEX1097"/>
      <c r="LFA1097"/>
      <c r="LFB1097"/>
      <c r="LFE1097"/>
      <c r="LFF1097"/>
      <c r="LFI1097"/>
      <c r="LFJ1097"/>
      <c r="LFM1097"/>
      <c r="LFN1097"/>
      <c r="LFQ1097"/>
      <c r="LFR1097"/>
      <c r="LFU1097"/>
      <c r="LFV1097"/>
      <c r="LFY1097"/>
      <c r="LFZ1097"/>
      <c r="LGC1097"/>
      <c r="LGD1097"/>
      <c r="LGG1097"/>
      <c r="LGH1097"/>
      <c r="LGK1097"/>
      <c r="LGL1097"/>
      <c r="LGO1097"/>
      <c r="LGP1097"/>
      <c r="LGS1097"/>
      <c r="LGT1097"/>
      <c r="LGW1097"/>
      <c r="LGX1097"/>
      <c r="LHA1097"/>
      <c r="LHB1097"/>
      <c r="LHE1097"/>
      <c r="LHF1097"/>
      <c r="LHI1097"/>
      <c r="LHJ1097"/>
      <c r="LHM1097"/>
      <c r="LHN1097"/>
      <c r="LHQ1097"/>
      <c r="LHR1097"/>
      <c r="LHU1097"/>
      <c r="LHV1097"/>
      <c r="LHY1097"/>
      <c r="LHZ1097"/>
      <c r="LIC1097"/>
      <c r="LID1097"/>
      <c r="LIG1097"/>
      <c r="LIH1097"/>
      <c r="LIK1097"/>
      <c r="LIL1097"/>
      <c r="LIO1097"/>
      <c r="LIP1097"/>
      <c r="LIS1097"/>
      <c r="LIT1097"/>
      <c r="LIW1097"/>
      <c r="LIX1097"/>
      <c r="LJA1097"/>
      <c r="LJB1097"/>
      <c r="LJE1097"/>
      <c r="LJF1097"/>
      <c r="LJI1097"/>
      <c r="LJJ1097"/>
      <c r="LJM1097"/>
      <c r="LJN1097"/>
      <c r="LJQ1097"/>
      <c r="LJR1097"/>
      <c r="LJU1097"/>
      <c r="LJV1097"/>
      <c r="LJY1097"/>
      <c r="LJZ1097"/>
      <c r="LKC1097"/>
      <c r="LKD1097"/>
      <c r="LKG1097"/>
      <c r="LKH1097"/>
      <c r="LKK1097"/>
      <c r="LKL1097"/>
      <c r="LKO1097"/>
      <c r="LKP1097"/>
      <c r="LKS1097"/>
      <c r="LKT1097"/>
      <c r="LKW1097"/>
      <c r="LKX1097"/>
      <c r="LLA1097"/>
      <c r="LLB1097"/>
      <c r="LLE1097"/>
      <c r="LLF1097"/>
      <c r="LLI1097"/>
      <c r="LLJ1097"/>
      <c r="LLM1097"/>
      <c r="LLN1097"/>
      <c r="LLQ1097"/>
      <c r="LLR1097"/>
      <c r="LLU1097"/>
      <c r="LLV1097"/>
      <c r="LLY1097"/>
      <c r="LLZ1097"/>
      <c r="LMC1097"/>
      <c r="LMD1097"/>
      <c r="LMG1097"/>
      <c r="LMH1097"/>
      <c r="LMK1097"/>
      <c r="LML1097"/>
      <c r="LMO1097"/>
      <c r="LMP1097"/>
      <c r="LMS1097"/>
      <c r="LMT1097"/>
      <c r="LMW1097"/>
      <c r="LMX1097"/>
      <c r="LNA1097"/>
      <c r="LNB1097"/>
      <c r="LNE1097"/>
      <c r="LNF1097"/>
      <c r="LNI1097"/>
      <c r="LNJ1097"/>
      <c r="LNM1097"/>
      <c r="LNN1097"/>
      <c r="LNQ1097"/>
      <c r="LNR1097"/>
      <c r="LNU1097"/>
      <c r="LNV1097"/>
      <c r="LNY1097"/>
      <c r="LNZ1097"/>
      <c r="LOC1097"/>
      <c r="LOD1097"/>
      <c r="LOG1097"/>
      <c r="LOH1097"/>
      <c r="LOK1097"/>
      <c r="LOL1097"/>
      <c r="LOO1097"/>
      <c r="LOP1097"/>
      <c r="LOS1097"/>
      <c r="LOT1097"/>
      <c r="LOW1097"/>
      <c r="LOX1097"/>
      <c r="LPA1097"/>
      <c r="LPB1097"/>
      <c r="LPE1097"/>
      <c r="LPF1097"/>
      <c r="LPI1097"/>
      <c r="LPJ1097"/>
      <c r="LPM1097"/>
      <c r="LPN1097"/>
      <c r="LPQ1097"/>
      <c r="LPR1097"/>
      <c r="LPU1097"/>
      <c r="LPV1097"/>
      <c r="LPY1097"/>
      <c r="LPZ1097"/>
      <c r="LQC1097"/>
      <c r="LQD1097"/>
      <c r="LQG1097"/>
      <c r="LQH1097"/>
      <c r="LQK1097"/>
      <c r="LQL1097"/>
      <c r="LQO1097"/>
      <c r="LQP1097"/>
      <c r="LQS1097"/>
      <c r="LQT1097"/>
      <c r="LQW1097"/>
      <c r="LQX1097"/>
      <c r="LRA1097"/>
      <c r="LRB1097"/>
      <c r="LRE1097"/>
      <c r="LRF1097"/>
      <c r="LRI1097"/>
      <c r="LRJ1097"/>
      <c r="LRM1097"/>
      <c r="LRN1097"/>
      <c r="LRQ1097"/>
      <c r="LRR1097"/>
      <c r="LRU1097"/>
      <c r="LRV1097"/>
      <c r="LRY1097"/>
      <c r="LRZ1097"/>
      <c r="LSC1097"/>
      <c r="LSD1097"/>
      <c r="LSG1097"/>
      <c r="LSH1097"/>
      <c r="LSK1097"/>
      <c r="LSL1097"/>
      <c r="LSO1097"/>
      <c r="LSP1097"/>
      <c r="LSS1097"/>
      <c r="LST1097"/>
      <c r="LSW1097"/>
      <c r="LSX1097"/>
      <c r="LTA1097"/>
      <c r="LTB1097"/>
      <c r="LTE1097"/>
      <c r="LTF1097"/>
      <c r="LTI1097"/>
      <c r="LTJ1097"/>
      <c r="LTM1097"/>
      <c r="LTN1097"/>
      <c r="LTQ1097"/>
      <c r="LTR1097"/>
      <c r="LTU1097"/>
      <c r="LTV1097"/>
      <c r="LTY1097"/>
      <c r="LTZ1097"/>
      <c r="LUC1097"/>
      <c r="LUD1097"/>
      <c r="LUG1097"/>
      <c r="LUH1097"/>
      <c r="LUK1097"/>
      <c r="LUL1097"/>
      <c r="LUO1097"/>
      <c r="LUP1097"/>
      <c r="LUS1097"/>
      <c r="LUT1097"/>
      <c r="LUW1097"/>
      <c r="LUX1097"/>
      <c r="LVA1097"/>
      <c r="LVB1097"/>
      <c r="LVE1097"/>
      <c r="LVF1097"/>
      <c r="LVI1097"/>
      <c r="LVJ1097"/>
      <c r="LVM1097"/>
      <c r="LVN1097"/>
      <c r="LVQ1097"/>
      <c r="LVR1097"/>
      <c r="LVU1097"/>
      <c r="LVV1097"/>
      <c r="LVY1097"/>
      <c r="LVZ1097"/>
      <c r="LWC1097"/>
      <c r="LWD1097"/>
      <c r="LWG1097"/>
      <c r="LWH1097"/>
      <c r="LWK1097"/>
      <c r="LWL1097"/>
      <c r="LWO1097"/>
      <c r="LWP1097"/>
      <c r="LWS1097"/>
      <c r="LWT1097"/>
      <c r="LWW1097"/>
      <c r="LWX1097"/>
      <c r="LXA1097"/>
      <c r="LXB1097"/>
      <c r="LXE1097"/>
      <c r="LXF1097"/>
      <c r="LXI1097"/>
      <c r="LXJ1097"/>
      <c r="LXM1097"/>
      <c r="LXN1097"/>
      <c r="LXQ1097"/>
      <c r="LXR1097"/>
      <c r="LXU1097"/>
      <c r="LXV1097"/>
      <c r="LXY1097"/>
      <c r="LXZ1097"/>
      <c r="LYC1097"/>
      <c r="LYD1097"/>
      <c r="LYG1097"/>
      <c r="LYH1097"/>
      <c r="LYK1097"/>
      <c r="LYL1097"/>
      <c r="LYO1097"/>
      <c r="LYP1097"/>
      <c r="LYS1097"/>
      <c r="LYT1097"/>
      <c r="LYW1097"/>
      <c r="LYX1097"/>
      <c r="LZA1097"/>
      <c r="LZB1097"/>
      <c r="LZE1097"/>
      <c r="LZF1097"/>
      <c r="LZI1097"/>
      <c r="LZJ1097"/>
      <c r="LZM1097"/>
      <c r="LZN1097"/>
      <c r="LZQ1097"/>
      <c r="LZR1097"/>
      <c r="LZU1097"/>
      <c r="LZV1097"/>
      <c r="LZY1097"/>
      <c r="LZZ1097"/>
      <c r="MAC1097"/>
      <c r="MAD1097"/>
      <c r="MAG1097"/>
      <c r="MAH1097"/>
      <c r="MAK1097"/>
      <c r="MAL1097"/>
      <c r="MAO1097"/>
      <c r="MAP1097"/>
      <c r="MAS1097"/>
      <c r="MAT1097"/>
      <c r="MAW1097"/>
      <c r="MAX1097"/>
      <c r="MBA1097"/>
      <c r="MBB1097"/>
      <c r="MBE1097"/>
      <c r="MBF1097"/>
      <c r="MBI1097"/>
      <c r="MBJ1097"/>
      <c r="MBM1097"/>
      <c r="MBN1097"/>
      <c r="MBQ1097"/>
      <c r="MBR1097"/>
      <c r="MBU1097"/>
      <c r="MBV1097"/>
      <c r="MBY1097"/>
      <c r="MBZ1097"/>
      <c r="MCC1097"/>
      <c r="MCD1097"/>
      <c r="MCG1097"/>
      <c r="MCH1097"/>
      <c r="MCK1097"/>
      <c r="MCL1097"/>
      <c r="MCO1097"/>
      <c r="MCP1097"/>
      <c r="MCS1097"/>
      <c r="MCT1097"/>
      <c r="MCW1097"/>
      <c r="MCX1097"/>
      <c r="MDA1097"/>
      <c r="MDB1097"/>
      <c r="MDE1097"/>
      <c r="MDF1097"/>
      <c r="MDI1097"/>
      <c r="MDJ1097"/>
      <c r="MDM1097"/>
      <c r="MDN1097"/>
      <c r="MDQ1097"/>
      <c r="MDR1097"/>
      <c r="MDU1097"/>
      <c r="MDV1097"/>
      <c r="MDY1097"/>
      <c r="MDZ1097"/>
      <c r="MEC1097"/>
      <c r="MED1097"/>
      <c r="MEG1097"/>
      <c r="MEH1097"/>
      <c r="MEK1097"/>
      <c r="MEL1097"/>
      <c r="MEO1097"/>
      <c r="MEP1097"/>
      <c r="MES1097"/>
      <c r="MET1097"/>
      <c r="MEW1097"/>
      <c r="MEX1097"/>
      <c r="MFA1097"/>
      <c r="MFB1097"/>
      <c r="MFE1097"/>
      <c r="MFF1097"/>
      <c r="MFI1097"/>
      <c r="MFJ1097"/>
      <c r="MFM1097"/>
      <c r="MFN1097"/>
      <c r="MFQ1097"/>
      <c r="MFR1097"/>
      <c r="MFU1097"/>
      <c r="MFV1097"/>
      <c r="MFY1097"/>
      <c r="MFZ1097"/>
      <c r="MGC1097"/>
      <c r="MGD1097"/>
      <c r="MGG1097"/>
      <c r="MGH1097"/>
      <c r="MGK1097"/>
      <c r="MGL1097"/>
      <c r="MGO1097"/>
      <c r="MGP1097"/>
      <c r="MGS1097"/>
      <c r="MGT1097"/>
      <c r="MGW1097"/>
      <c r="MGX1097"/>
      <c r="MHA1097"/>
      <c r="MHB1097"/>
      <c r="MHE1097"/>
      <c r="MHF1097"/>
      <c r="MHI1097"/>
      <c r="MHJ1097"/>
      <c r="MHM1097"/>
      <c r="MHN1097"/>
      <c r="MHQ1097"/>
      <c r="MHR1097"/>
      <c r="MHU1097"/>
      <c r="MHV1097"/>
      <c r="MHY1097"/>
      <c r="MHZ1097"/>
      <c r="MIC1097"/>
      <c r="MID1097"/>
      <c r="MIG1097"/>
      <c r="MIH1097"/>
      <c r="MIK1097"/>
      <c r="MIL1097"/>
      <c r="MIO1097"/>
      <c r="MIP1097"/>
      <c r="MIS1097"/>
      <c r="MIT1097"/>
      <c r="MIW1097"/>
      <c r="MIX1097"/>
      <c r="MJA1097"/>
      <c r="MJB1097"/>
      <c r="MJE1097"/>
      <c r="MJF1097"/>
      <c r="MJI1097"/>
      <c r="MJJ1097"/>
      <c r="MJM1097"/>
      <c r="MJN1097"/>
      <c r="MJQ1097"/>
      <c r="MJR1097"/>
      <c r="MJU1097"/>
      <c r="MJV1097"/>
      <c r="MJY1097"/>
      <c r="MJZ1097"/>
      <c r="MKC1097"/>
      <c r="MKD1097"/>
      <c r="MKG1097"/>
      <c r="MKH1097"/>
      <c r="MKK1097"/>
      <c r="MKL1097"/>
      <c r="MKO1097"/>
      <c r="MKP1097"/>
      <c r="MKS1097"/>
      <c r="MKT1097"/>
      <c r="MKW1097"/>
      <c r="MKX1097"/>
      <c r="MLA1097"/>
      <c r="MLB1097"/>
      <c r="MLE1097"/>
      <c r="MLF1097"/>
      <c r="MLI1097"/>
      <c r="MLJ1097"/>
      <c r="MLM1097"/>
      <c r="MLN1097"/>
      <c r="MLQ1097"/>
      <c r="MLR1097"/>
      <c r="MLU1097"/>
      <c r="MLV1097"/>
      <c r="MLY1097"/>
      <c r="MLZ1097"/>
      <c r="MMC1097"/>
      <c r="MMD1097"/>
      <c r="MMG1097"/>
      <c r="MMH1097"/>
      <c r="MMK1097"/>
      <c r="MML1097"/>
      <c r="MMO1097"/>
      <c r="MMP1097"/>
      <c r="MMS1097"/>
      <c r="MMT1097"/>
      <c r="MMW1097"/>
      <c r="MMX1097"/>
      <c r="MNA1097"/>
      <c r="MNB1097"/>
      <c r="MNE1097"/>
      <c r="MNF1097"/>
      <c r="MNI1097"/>
      <c r="MNJ1097"/>
      <c r="MNM1097"/>
      <c r="MNN1097"/>
      <c r="MNQ1097"/>
      <c r="MNR1097"/>
      <c r="MNU1097"/>
      <c r="MNV1097"/>
      <c r="MNY1097"/>
      <c r="MNZ1097"/>
      <c r="MOC1097"/>
      <c r="MOD1097"/>
      <c r="MOG1097"/>
      <c r="MOH1097"/>
      <c r="MOK1097"/>
      <c r="MOL1097"/>
      <c r="MOO1097"/>
      <c r="MOP1097"/>
      <c r="MOS1097"/>
      <c r="MOT1097"/>
      <c r="MOW1097"/>
      <c r="MOX1097"/>
      <c r="MPA1097"/>
      <c r="MPB1097"/>
      <c r="MPE1097"/>
      <c r="MPF1097"/>
      <c r="MPI1097"/>
      <c r="MPJ1097"/>
      <c r="MPM1097"/>
      <c r="MPN1097"/>
      <c r="MPQ1097"/>
      <c r="MPR1097"/>
      <c r="MPU1097"/>
      <c r="MPV1097"/>
      <c r="MPY1097"/>
      <c r="MPZ1097"/>
      <c r="MQC1097"/>
      <c r="MQD1097"/>
      <c r="MQG1097"/>
      <c r="MQH1097"/>
      <c r="MQK1097"/>
      <c r="MQL1097"/>
      <c r="MQO1097"/>
      <c r="MQP1097"/>
      <c r="MQS1097"/>
      <c r="MQT1097"/>
      <c r="MQW1097"/>
      <c r="MQX1097"/>
      <c r="MRA1097"/>
      <c r="MRB1097"/>
      <c r="MRE1097"/>
      <c r="MRF1097"/>
      <c r="MRI1097"/>
      <c r="MRJ1097"/>
      <c r="MRM1097"/>
      <c r="MRN1097"/>
      <c r="MRQ1097"/>
      <c r="MRR1097"/>
      <c r="MRU1097"/>
      <c r="MRV1097"/>
      <c r="MRY1097"/>
      <c r="MRZ1097"/>
      <c r="MSC1097"/>
      <c r="MSD1097"/>
      <c r="MSG1097"/>
      <c r="MSH1097"/>
      <c r="MSK1097"/>
      <c r="MSL1097"/>
      <c r="MSO1097"/>
      <c r="MSP1097"/>
      <c r="MSS1097"/>
      <c r="MST1097"/>
      <c r="MSW1097"/>
      <c r="MSX1097"/>
      <c r="MTA1097"/>
      <c r="MTB1097"/>
      <c r="MTE1097"/>
      <c r="MTF1097"/>
      <c r="MTI1097"/>
      <c r="MTJ1097"/>
      <c r="MTM1097"/>
      <c r="MTN1097"/>
      <c r="MTQ1097"/>
      <c r="MTR1097"/>
      <c r="MTU1097"/>
      <c r="MTV1097"/>
      <c r="MTY1097"/>
      <c r="MTZ1097"/>
      <c r="MUC1097"/>
      <c r="MUD1097"/>
      <c r="MUG1097"/>
      <c r="MUH1097"/>
      <c r="MUK1097"/>
      <c r="MUL1097"/>
      <c r="MUO1097"/>
      <c r="MUP1097"/>
      <c r="MUS1097"/>
      <c r="MUT1097"/>
      <c r="MUW1097"/>
      <c r="MUX1097"/>
      <c r="MVA1097"/>
      <c r="MVB1097"/>
      <c r="MVE1097"/>
      <c r="MVF1097"/>
      <c r="MVI1097"/>
      <c r="MVJ1097"/>
      <c r="MVM1097"/>
      <c r="MVN1097"/>
      <c r="MVQ1097"/>
      <c r="MVR1097"/>
      <c r="MVU1097"/>
      <c r="MVV1097"/>
      <c r="MVY1097"/>
      <c r="MVZ1097"/>
      <c r="MWC1097"/>
      <c r="MWD1097"/>
      <c r="MWG1097"/>
      <c r="MWH1097"/>
      <c r="MWK1097"/>
      <c r="MWL1097"/>
      <c r="MWO1097"/>
      <c r="MWP1097"/>
      <c r="MWS1097"/>
      <c r="MWT1097"/>
      <c r="MWW1097"/>
      <c r="MWX1097"/>
      <c r="MXA1097"/>
      <c r="MXB1097"/>
      <c r="MXE1097"/>
      <c r="MXF1097"/>
      <c r="MXI1097"/>
      <c r="MXJ1097"/>
      <c r="MXM1097"/>
      <c r="MXN1097"/>
      <c r="MXQ1097"/>
      <c r="MXR1097"/>
      <c r="MXU1097"/>
      <c r="MXV1097"/>
      <c r="MXY1097"/>
      <c r="MXZ1097"/>
      <c r="MYC1097"/>
      <c r="MYD1097"/>
      <c r="MYG1097"/>
      <c r="MYH1097"/>
      <c r="MYK1097"/>
      <c r="MYL1097"/>
      <c r="MYO1097"/>
      <c r="MYP1097"/>
      <c r="MYS1097"/>
      <c r="MYT1097"/>
      <c r="MYW1097"/>
      <c r="MYX1097"/>
      <c r="MZA1097"/>
      <c r="MZB1097"/>
      <c r="MZE1097"/>
      <c r="MZF1097"/>
      <c r="MZI1097"/>
      <c r="MZJ1097"/>
      <c r="MZM1097"/>
      <c r="MZN1097"/>
      <c r="MZQ1097"/>
      <c r="MZR1097"/>
      <c r="MZU1097"/>
      <c r="MZV1097"/>
      <c r="MZY1097"/>
      <c r="MZZ1097"/>
      <c r="NAC1097"/>
      <c r="NAD1097"/>
      <c r="NAG1097"/>
      <c r="NAH1097"/>
      <c r="NAK1097"/>
      <c r="NAL1097"/>
      <c r="NAO1097"/>
      <c r="NAP1097"/>
      <c r="NAS1097"/>
      <c r="NAT1097"/>
      <c r="NAW1097"/>
      <c r="NAX1097"/>
      <c r="NBA1097"/>
      <c r="NBB1097"/>
      <c r="NBE1097"/>
      <c r="NBF1097"/>
      <c r="NBI1097"/>
      <c r="NBJ1097"/>
      <c r="NBM1097"/>
      <c r="NBN1097"/>
      <c r="NBQ1097"/>
      <c r="NBR1097"/>
      <c r="NBU1097"/>
      <c r="NBV1097"/>
      <c r="NBY1097"/>
      <c r="NBZ1097"/>
      <c r="NCC1097"/>
      <c r="NCD1097"/>
      <c r="NCG1097"/>
      <c r="NCH1097"/>
      <c r="NCK1097"/>
      <c r="NCL1097"/>
      <c r="NCO1097"/>
      <c r="NCP1097"/>
      <c r="NCS1097"/>
      <c r="NCT1097"/>
      <c r="NCW1097"/>
      <c r="NCX1097"/>
      <c r="NDA1097"/>
      <c r="NDB1097"/>
      <c r="NDE1097"/>
      <c r="NDF1097"/>
      <c r="NDI1097"/>
      <c r="NDJ1097"/>
      <c r="NDM1097"/>
      <c r="NDN1097"/>
      <c r="NDQ1097"/>
      <c r="NDR1097"/>
      <c r="NDU1097"/>
      <c r="NDV1097"/>
      <c r="NDY1097"/>
      <c r="NDZ1097"/>
      <c r="NEC1097"/>
      <c r="NED1097"/>
      <c r="NEG1097"/>
      <c r="NEH1097"/>
      <c r="NEK1097"/>
      <c r="NEL1097"/>
      <c r="NEO1097"/>
      <c r="NEP1097"/>
      <c r="NES1097"/>
      <c r="NET1097"/>
      <c r="NEW1097"/>
      <c r="NEX1097"/>
      <c r="NFA1097"/>
      <c r="NFB1097"/>
      <c r="NFE1097"/>
      <c r="NFF1097"/>
      <c r="NFI1097"/>
      <c r="NFJ1097"/>
      <c r="NFM1097"/>
      <c r="NFN1097"/>
      <c r="NFQ1097"/>
      <c r="NFR1097"/>
      <c r="NFU1097"/>
      <c r="NFV1097"/>
      <c r="NFY1097"/>
      <c r="NFZ1097"/>
      <c r="NGC1097"/>
      <c r="NGD1097"/>
      <c r="NGG1097"/>
      <c r="NGH1097"/>
      <c r="NGK1097"/>
      <c r="NGL1097"/>
      <c r="NGO1097"/>
      <c r="NGP1097"/>
      <c r="NGS1097"/>
      <c r="NGT1097"/>
      <c r="NGW1097"/>
      <c r="NGX1097"/>
      <c r="NHA1097"/>
      <c r="NHB1097"/>
      <c r="NHE1097"/>
      <c r="NHF1097"/>
      <c r="NHI1097"/>
      <c r="NHJ1097"/>
      <c r="NHM1097"/>
      <c r="NHN1097"/>
      <c r="NHQ1097"/>
      <c r="NHR1097"/>
      <c r="NHU1097"/>
      <c r="NHV1097"/>
      <c r="NHY1097"/>
      <c r="NHZ1097"/>
      <c r="NIC1097"/>
      <c r="NID1097"/>
      <c r="NIG1097"/>
      <c r="NIH1097"/>
      <c r="NIK1097"/>
      <c r="NIL1097"/>
      <c r="NIO1097"/>
      <c r="NIP1097"/>
      <c r="NIS1097"/>
      <c r="NIT1097"/>
      <c r="NIW1097"/>
      <c r="NIX1097"/>
      <c r="NJA1097"/>
      <c r="NJB1097"/>
      <c r="NJE1097"/>
      <c r="NJF1097"/>
      <c r="NJI1097"/>
      <c r="NJJ1097"/>
      <c r="NJM1097"/>
      <c r="NJN1097"/>
      <c r="NJQ1097"/>
      <c r="NJR1097"/>
      <c r="NJU1097"/>
      <c r="NJV1097"/>
      <c r="NJY1097"/>
      <c r="NJZ1097"/>
      <c r="NKC1097"/>
      <c r="NKD1097"/>
      <c r="NKG1097"/>
      <c r="NKH1097"/>
      <c r="NKK1097"/>
      <c r="NKL1097"/>
      <c r="NKO1097"/>
      <c r="NKP1097"/>
      <c r="NKS1097"/>
      <c r="NKT1097"/>
      <c r="NKW1097"/>
      <c r="NKX1097"/>
      <c r="NLA1097"/>
      <c r="NLB1097"/>
      <c r="NLE1097"/>
      <c r="NLF1097"/>
      <c r="NLI1097"/>
      <c r="NLJ1097"/>
      <c r="NLM1097"/>
      <c r="NLN1097"/>
      <c r="NLQ1097"/>
      <c r="NLR1097"/>
      <c r="NLU1097"/>
      <c r="NLV1097"/>
      <c r="NLY1097"/>
      <c r="NLZ1097"/>
      <c r="NMC1097"/>
      <c r="NMD1097"/>
      <c r="NMG1097"/>
      <c r="NMH1097"/>
      <c r="NMK1097"/>
      <c r="NML1097"/>
      <c r="NMO1097"/>
      <c r="NMP1097"/>
      <c r="NMS1097"/>
      <c r="NMT1097"/>
      <c r="NMW1097"/>
      <c r="NMX1097"/>
      <c r="NNA1097"/>
      <c r="NNB1097"/>
      <c r="NNE1097"/>
      <c r="NNF1097"/>
      <c r="NNI1097"/>
      <c r="NNJ1097"/>
      <c r="NNM1097"/>
      <c r="NNN1097"/>
      <c r="NNQ1097"/>
      <c r="NNR1097"/>
      <c r="NNU1097"/>
      <c r="NNV1097"/>
      <c r="NNY1097"/>
      <c r="NNZ1097"/>
      <c r="NOC1097"/>
      <c r="NOD1097"/>
      <c r="NOG1097"/>
      <c r="NOH1097"/>
      <c r="NOK1097"/>
      <c r="NOL1097"/>
      <c r="NOO1097"/>
      <c r="NOP1097"/>
      <c r="NOS1097"/>
      <c r="NOT1097"/>
      <c r="NOW1097"/>
      <c r="NOX1097"/>
      <c r="NPA1097"/>
      <c r="NPB1097"/>
      <c r="NPE1097"/>
      <c r="NPF1097"/>
      <c r="NPI1097"/>
      <c r="NPJ1097"/>
      <c r="NPM1097"/>
      <c r="NPN1097"/>
      <c r="NPQ1097"/>
      <c r="NPR1097"/>
      <c r="NPU1097"/>
      <c r="NPV1097"/>
      <c r="NPY1097"/>
      <c r="NPZ1097"/>
      <c r="NQC1097"/>
      <c r="NQD1097"/>
      <c r="NQG1097"/>
      <c r="NQH1097"/>
      <c r="NQK1097"/>
      <c r="NQL1097"/>
      <c r="NQO1097"/>
      <c r="NQP1097"/>
      <c r="NQS1097"/>
      <c r="NQT1097"/>
      <c r="NQW1097"/>
      <c r="NQX1097"/>
      <c r="NRA1097"/>
      <c r="NRB1097"/>
      <c r="NRE1097"/>
      <c r="NRF1097"/>
      <c r="NRI1097"/>
      <c r="NRJ1097"/>
      <c r="NRM1097"/>
      <c r="NRN1097"/>
      <c r="NRQ1097"/>
      <c r="NRR1097"/>
      <c r="NRU1097"/>
      <c r="NRV1097"/>
      <c r="NRY1097"/>
      <c r="NRZ1097"/>
      <c r="NSC1097"/>
      <c r="NSD1097"/>
      <c r="NSG1097"/>
      <c r="NSH1097"/>
      <c r="NSK1097"/>
      <c r="NSL1097"/>
      <c r="NSO1097"/>
      <c r="NSP1097"/>
      <c r="NSS1097"/>
      <c r="NST1097"/>
      <c r="NSW1097"/>
      <c r="NSX1097"/>
      <c r="NTA1097"/>
      <c r="NTB1097"/>
      <c r="NTE1097"/>
      <c r="NTF1097"/>
      <c r="NTI1097"/>
      <c r="NTJ1097"/>
      <c r="NTM1097"/>
      <c r="NTN1097"/>
      <c r="NTQ1097"/>
      <c r="NTR1097"/>
      <c r="NTU1097"/>
      <c r="NTV1097"/>
      <c r="NTY1097"/>
      <c r="NTZ1097"/>
      <c r="NUC1097"/>
      <c r="NUD1097"/>
      <c r="NUG1097"/>
      <c r="NUH1097"/>
      <c r="NUK1097"/>
      <c r="NUL1097"/>
      <c r="NUO1097"/>
      <c r="NUP1097"/>
      <c r="NUS1097"/>
      <c r="NUT1097"/>
      <c r="NUW1097"/>
      <c r="NUX1097"/>
      <c r="NVA1097"/>
      <c r="NVB1097"/>
      <c r="NVE1097"/>
      <c r="NVF1097"/>
      <c r="NVI1097"/>
      <c r="NVJ1097"/>
      <c r="NVM1097"/>
      <c r="NVN1097"/>
      <c r="NVQ1097"/>
      <c r="NVR1097"/>
      <c r="NVU1097"/>
      <c r="NVV1097"/>
      <c r="NVY1097"/>
      <c r="NVZ1097"/>
      <c r="NWC1097"/>
      <c r="NWD1097"/>
      <c r="NWG1097"/>
      <c r="NWH1097"/>
      <c r="NWK1097"/>
      <c r="NWL1097"/>
      <c r="NWO1097"/>
      <c r="NWP1097"/>
      <c r="NWS1097"/>
      <c r="NWT1097"/>
      <c r="NWW1097"/>
      <c r="NWX1097"/>
      <c r="NXA1097"/>
      <c r="NXB1097"/>
      <c r="NXE1097"/>
      <c r="NXF1097"/>
      <c r="NXI1097"/>
      <c r="NXJ1097"/>
      <c r="NXM1097"/>
      <c r="NXN1097"/>
      <c r="NXQ1097"/>
      <c r="NXR1097"/>
      <c r="NXU1097"/>
      <c r="NXV1097"/>
      <c r="NXY1097"/>
      <c r="NXZ1097"/>
      <c r="NYC1097"/>
      <c r="NYD1097"/>
      <c r="NYG1097"/>
      <c r="NYH1097"/>
      <c r="NYK1097"/>
      <c r="NYL1097"/>
      <c r="NYO1097"/>
      <c r="NYP1097"/>
      <c r="NYS1097"/>
      <c r="NYT1097"/>
      <c r="NYW1097"/>
      <c r="NYX1097"/>
      <c r="NZA1097"/>
      <c r="NZB1097"/>
      <c r="NZE1097"/>
      <c r="NZF1097"/>
      <c r="NZI1097"/>
      <c r="NZJ1097"/>
      <c r="NZM1097"/>
      <c r="NZN1097"/>
      <c r="NZQ1097"/>
      <c r="NZR1097"/>
      <c r="NZU1097"/>
      <c r="NZV1097"/>
      <c r="NZY1097"/>
      <c r="NZZ1097"/>
      <c r="OAC1097"/>
      <c r="OAD1097"/>
      <c r="OAG1097"/>
      <c r="OAH1097"/>
      <c r="OAK1097"/>
      <c r="OAL1097"/>
      <c r="OAO1097"/>
      <c r="OAP1097"/>
      <c r="OAS1097"/>
      <c r="OAT1097"/>
      <c r="OAW1097"/>
      <c r="OAX1097"/>
      <c r="OBA1097"/>
      <c r="OBB1097"/>
      <c r="OBE1097"/>
      <c r="OBF1097"/>
      <c r="OBI1097"/>
      <c r="OBJ1097"/>
      <c r="OBM1097"/>
      <c r="OBN1097"/>
      <c r="OBQ1097"/>
      <c r="OBR1097"/>
      <c r="OBU1097"/>
      <c r="OBV1097"/>
      <c r="OBY1097"/>
      <c r="OBZ1097"/>
      <c r="OCC1097"/>
      <c r="OCD1097"/>
      <c r="OCG1097"/>
      <c r="OCH1097"/>
      <c r="OCK1097"/>
      <c r="OCL1097"/>
      <c r="OCO1097"/>
      <c r="OCP1097"/>
      <c r="OCS1097"/>
      <c r="OCT1097"/>
      <c r="OCW1097"/>
      <c r="OCX1097"/>
      <c r="ODA1097"/>
      <c r="ODB1097"/>
      <c r="ODE1097"/>
      <c r="ODF1097"/>
      <c r="ODI1097"/>
      <c r="ODJ1097"/>
      <c r="ODM1097"/>
      <c r="ODN1097"/>
      <c r="ODQ1097"/>
      <c r="ODR1097"/>
      <c r="ODU1097"/>
      <c r="ODV1097"/>
      <c r="ODY1097"/>
      <c r="ODZ1097"/>
      <c r="OEC1097"/>
      <c r="OED1097"/>
      <c r="OEG1097"/>
      <c r="OEH1097"/>
      <c r="OEK1097"/>
      <c r="OEL1097"/>
      <c r="OEO1097"/>
      <c r="OEP1097"/>
      <c r="OES1097"/>
      <c r="OET1097"/>
      <c r="OEW1097"/>
      <c r="OEX1097"/>
      <c r="OFA1097"/>
      <c r="OFB1097"/>
      <c r="OFE1097"/>
      <c r="OFF1097"/>
      <c r="OFI1097"/>
      <c r="OFJ1097"/>
      <c r="OFM1097"/>
      <c r="OFN1097"/>
      <c r="OFQ1097"/>
      <c r="OFR1097"/>
      <c r="OFU1097"/>
      <c r="OFV1097"/>
      <c r="OFY1097"/>
      <c r="OFZ1097"/>
      <c r="OGC1097"/>
      <c r="OGD1097"/>
      <c r="OGG1097"/>
      <c r="OGH1097"/>
      <c r="OGK1097"/>
      <c r="OGL1097"/>
      <c r="OGO1097"/>
      <c r="OGP1097"/>
      <c r="OGS1097"/>
      <c r="OGT1097"/>
      <c r="OGW1097"/>
      <c r="OGX1097"/>
      <c r="OHA1097"/>
      <c r="OHB1097"/>
      <c r="OHE1097"/>
      <c r="OHF1097"/>
      <c r="OHI1097"/>
      <c r="OHJ1097"/>
      <c r="OHM1097"/>
      <c r="OHN1097"/>
      <c r="OHQ1097"/>
      <c r="OHR1097"/>
      <c r="OHU1097"/>
      <c r="OHV1097"/>
      <c r="OHY1097"/>
      <c r="OHZ1097"/>
      <c r="OIC1097"/>
      <c r="OID1097"/>
      <c r="OIG1097"/>
      <c r="OIH1097"/>
      <c r="OIK1097"/>
      <c r="OIL1097"/>
      <c r="OIO1097"/>
      <c r="OIP1097"/>
      <c r="OIS1097"/>
      <c r="OIT1097"/>
      <c r="OIW1097"/>
      <c r="OIX1097"/>
      <c r="OJA1097"/>
      <c r="OJB1097"/>
      <c r="OJE1097"/>
      <c r="OJF1097"/>
      <c r="OJI1097"/>
      <c r="OJJ1097"/>
      <c r="OJM1097"/>
      <c r="OJN1097"/>
      <c r="OJQ1097"/>
      <c r="OJR1097"/>
      <c r="OJU1097"/>
      <c r="OJV1097"/>
      <c r="OJY1097"/>
      <c r="OJZ1097"/>
      <c r="OKC1097"/>
      <c r="OKD1097"/>
      <c r="OKG1097"/>
      <c r="OKH1097"/>
      <c r="OKK1097"/>
      <c r="OKL1097"/>
      <c r="OKO1097"/>
      <c r="OKP1097"/>
      <c r="OKS1097"/>
      <c r="OKT1097"/>
      <c r="OKW1097"/>
      <c r="OKX1097"/>
      <c r="OLA1097"/>
      <c r="OLB1097"/>
      <c r="OLE1097"/>
      <c r="OLF1097"/>
      <c r="OLI1097"/>
      <c r="OLJ1097"/>
      <c r="OLM1097"/>
      <c r="OLN1097"/>
      <c r="OLQ1097"/>
      <c r="OLR1097"/>
      <c r="OLU1097"/>
      <c r="OLV1097"/>
      <c r="OLY1097"/>
      <c r="OLZ1097"/>
      <c r="OMC1097"/>
      <c r="OMD1097"/>
      <c r="OMG1097"/>
      <c r="OMH1097"/>
      <c r="OMK1097"/>
      <c r="OML1097"/>
      <c r="OMO1097"/>
      <c r="OMP1097"/>
      <c r="OMS1097"/>
      <c r="OMT1097"/>
      <c r="OMW1097"/>
      <c r="OMX1097"/>
      <c r="ONA1097"/>
      <c r="ONB1097"/>
      <c r="ONE1097"/>
      <c r="ONF1097"/>
      <c r="ONI1097"/>
      <c r="ONJ1097"/>
      <c r="ONM1097"/>
      <c r="ONN1097"/>
      <c r="ONQ1097"/>
      <c r="ONR1097"/>
      <c r="ONU1097"/>
      <c r="ONV1097"/>
      <c r="ONY1097"/>
      <c r="ONZ1097"/>
      <c r="OOC1097"/>
      <c r="OOD1097"/>
      <c r="OOG1097"/>
      <c r="OOH1097"/>
      <c r="OOK1097"/>
      <c r="OOL1097"/>
      <c r="OOO1097"/>
      <c r="OOP1097"/>
      <c r="OOS1097"/>
      <c r="OOT1097"/>
      <c r="OOW1097"/>
      <c r="OOX1097"/>
      <c r="OPA1097"/>
      <c r="OPB1097"/>
      <c r="OPE1097"/>
      <c r="OPF1097"/>
      <c r="OPI1097"/>
      <c r="OPJ1097"/>
      <c r="OPM1097"/>
      <c r="OPN1097"/>
      <c r="OPQ1097"/>
      <c r="OPR1097"/>
      <c r="OPU1097"/>
      <c r="OPV1097"/>
      <c r="OPY1097"/>
      <c r="OPZ1097"/>
      <c r="OQC1097"/>
      <c r="OQD1097"/>
      <c r="OQG1097"/>
      <c r="OQH1097"/>
      <c r="OQK1097"/>
      <c r="OQL1097"/>
      <c r="OQO1097"/>
      <c r="OQP1097"/>
      <c r="OQS1097"/>
      <c r="OQT1097"/>
      <c r="OQW1097"/>
      <c r="OQX1097"/>
      <c r="ORA1097"/>
      <c r="ORB1097"/>
      <c r="ORE1097"/>
      <c r="ORF1097"/>
      <c r="ORI1097"/>
      <c r="ORJ1097"/>
      <c r="ORM1097"/>
      <c r="ORN1097"/>
      <c r="ORQ1097"/>
      <c r="ORR1097"/>
      <c r="ORU1097"/>
      <c r="ORV1097"/>
      <c r="ORY1097"/>
      <c r="ORZ1097"/>
      <c r="OSC1097"/>
      <c r="OSD1097"/>
      <c r="OSG1097"/>
      <c r="OSH1097"/>
      <c r="OSK1097"/>
      <c r="OSL1097"/>
      <c r="OSO1097"/>
      <c r="OSP1097"/>
      <c r="OSS1097"/>
      <c r="OST1097"/>
      <c r="OSW1097"/>
      <c r="OSX1097"/>
      <c r="OTA1097"/>
      <c r="OTB1097"/>
      <c r="OTE1097"/>
      <c r="OTF1097"/>
      <c r="OTI1097"/>
      <c r="OTJ1097"/>
      <c r="OTM1097"/>
      <c r="OTN1097"/>
      <c r="OTQ1097"/>
      <c r="OTR1097"/>
      <c r="OTU1097"/>
      <c r="OTV1097"/>
      <c r="OTY1097"/>
      <c r="OTZ1097"/>
      <c r="OUC1097"/>
      <c r="OUD1097"/>
      <c r="OUG1097"/>
      <c r="OUH1097"/>
      <c r="OUK1097"/>
      <c r="OUL1097"/>
      <c r="OUO1097"/>
      <c r="OUP1097"/>
      <c r="OUS1097"/>
      <c r="OUT1097"/>
      <c r="OUW1097"/>
      <c r="OUX1097"/>
      <c r="OVA1097"/>
      <c r="OVB1097"/>
      <c r="OVE1097"/>
      <c r="OVF1097"/>
      <c r="OVI1097"/>
      <c r="OVJ1097"/>
      <c r="OVM1097"/>
      <c r="OVN1097"/>
      <c r="OVQ1097"/>
      <c r="OVR1097"/>
      <c r="OVU1097"/>
      <c r="OVV1097"/>
      <c r="OVY1097"/>
      <c r="OVZ1097"/>
      <c r="OWC1097"/>
      <c r="OWD1097"/>
      <c r="OWG1097"/>
      <c r="OWH1097"/>
      <c r="OWK1097"/>
      <c r="OWL1097"/>
      <c r="OWO1097"/>
      <c r="OWP1097"/>
      <c r="OWS1097"/>
      <c r="OWT1097"/>
      <c r="OWW1097"/>
      <c r="OWX1097"/>
      <c r="OXA1097"/>
      <c r="OXB1097"/>
      <c r="OXE1097"/>
      <c r="OXF1097"/>
      <c r="OXI1097"/>
      <c r="OXJ1097"/>
      <c r="OXM1097"/>
      <c r="OXN1097"/>
      <c r="OXQ1097"/>
      <c r="OXR1097"/>
      <c r="OXU1097"/>
      <c r="OXV1097"/>
      <c r="OXY1097"/>
      <c r="OXZ1097"/>
      <c r="OYC1097"/>
      <c r="OYD1097"/>
      <c r="OYG1097"/>
      <c r="OYH1097"/>
      <c r="OYK1097"/>
      <c r="OYL1097"/>
      <c r="OYO1097"/>
      <c r="OYP1097"/>
      <c r="OYS1097"/>
      <c r="OYT1097"/>
      <c r="OYW1097"/>
      <c r="OYX1097"/>
      <c r="OZA1097"/>
      <c r="OZB1097"/>
      <c r="OZE1097"/>
      <c r="OZF1097"/>
      <c r="OZI1097"/>
      <c r="OZJ1097"/>
      <c r="OZM1097"/>
      <c r="OZN1097"/>
      <c r="OZQ1097"/>
      <c r="OZR1097"/>
      <c r="OZU1097"/>
      <c r="OZV1097"/>
      <c r="OZY1097"/>
      <c r="OZZ1097"/>
      <c r="PAC1097"/>
      <c r="PAD1097"/>
      <c r="PAG1097"/>
      <c r="PAH1097"/>
      <c r="PAK1097"/>
      <c r="PAL1097"/>
      <c r="PAO1097"/>
      <c r="PAP1097"/>
      <c r="PAS1097"/>
      <c r="PAT1097"/>
      <c r="PAW1097"/>
      <c r="PAX1097"/>
      <c r="PBA1097"/>
      <c r="PBB1097"/>
      <c r="PBE1097"/>
      <c r="PBF1097"/>
      <c r="PBI1097"/>
      <c r="PBJ1097"/>
      <c r="PBM1097"/>
      <c r="PBN1097"/>
      <c r="PBQ1097"/>
      <c r="PBR1097"/>
      <c r="PBU1097"/>
      <c r="PBV1097"/>
      <c r="PBY1097"/>
      <c r="PBZ1097"/>
      <c r="PCC1097"/>
      <c r="PCD1097"/>
      <c r="PCG1097"/>
      <c r="PCH1097"/>
      <c r="PCK1097"/>
      <c r="PCL1097"/>
      <c r="PCO1097"/>
      <c r="PCP1097"/>
      <c r="PCS1097"/>
      <c r="PCT1097"/>
      <c r="PCW1097"/>
      <c r="PCX1097"/>
      <c r="PDA1097"/>
      <c r="PDB1097"/>
      <c r="PDE1097"/>
      <c r="PDF1097"/>
      <c r="PDI1097"/>
      <c r="PDJ1097"/>
      <c r="PDM1097"/>
      <c r="PDN1097"/>
      <c r="PDQ1097"/>
      <c r="PDR1097"/>
      <c r="PDU1097"/>
      <c r="PDV1097"/>
      <c r="PDY1097"/>
      <c r="PDZ1097"/>
      <c r="PEC1097"/>
      <c r="PED1097"/>
      <c r="PEG1097"/>
      <c r="PEH1097"/>
      <c r="PEK1097"/>
      <c r="PEL1097"/>
      <c r="PEO1097"/>
      <c r="PEP1097"/>
      <c r="PES1097"/>
      <c r="PET1097"/>
      <c r="PEW1097"/>
      <c r="PEX1097"/>
      <c r="PFA1097"/>
      <c r="PFB1097"/>
      <c r="PFE1097"/>
      <c r="PFF1097"/>
      <c r="PFI1097"/>
      <c r="PFJ1097"/>
      <c r="PFM1097"/>
      <c r="PFN1097"/>
      <c r="PFQ1097"/>
      <c r="PFR1097"/>
      <c r="PFU1097"/>
      <c r="PFV1097"/>
      <c r="PFY1097"/>
      <c r="PFZ1097"/>
      <c r="PGC1097"/>
      <c r="PGD1097"/>
      <c r="PGG1097"/>
      <c r="PGH1097"/>
      <c r="PGK1097"/>
      <c r="PGL1097"/>
      <c r="PGO1097"/>
      <c r="PGP1097"/>
      <c r="PGS1097"/>
      <c r="PGT1097"/>
      <c r="PGW1097"/>
      <c r="PGX1097"/>
      <c r="PHA1097"/>
      <c r="PHB1097"/>
      <c r="PHE1097"/>
      <c r="PHF1097"/>
      <c r="PHI1097"/>
      <c r="PHJ1097"/>
      <c r="PHM1097"/>
      <c r="PHN1097"/>
      <c r="PHQ1097"/>
      <c r="PHR1097"/>
      <c r="PHU1097"/>
      <c r="PHV1097"/>
      <c r="PHY1097"/>
      <c r="PHZ1097"/>
      <c r="PIC1097"/>
      <c r="PID1097"/>
      <c r="PIG1097"/>
      <c r="PIH1097"/>
      <c r="PIK1097"/>
      <c r="PIL1097"/>
      <c r="PIO1097"/>
      <c r="PIP1097"/>
      <c r="PIS1097"/>
      <c r="PIT1097"/>
      <c r="PIW1097"/>
      <c r="PIX1097"/>
      <c r="PJA1097"/>
      <c r="PJB1097"/>
      <c r="PJE1097"/>
      <c r="PJF1097"/>
      <c r="PJI1097"/>
      <c r="PJJ1097"/>
      <c r="PJM1097"/>
      <c r="PJN1097"/>
      <c r="PJQ1097"/>
      <c r="PJR1097"/>
      <c r="PJU1097"/>
      <c r="PJV1097"/>
      <c r="PJY1097"/>
      <c r="PJZ1097"/>
      <c r="PKC1097"/>
      <c r="PKD1097"/>
      <c r="PKG1097"/>
      <c r="PKH1097"/>
      <c r="PKK1097"/>
      <c r="PKL1097"/>
      <c r="PKO1097"/>
      <c r="PKP1097"/>
      <c r="PKS1097"/>
      <c r="PKT1097"/>
      <c r="PKW1097"/>
      <c r="PKX1097"/>
      <c r="PLA1097"/>
      <c r="PLB1097"/>
      <c r="PLE1097"/>
      <c r="PLF1097"/>
      <c r="PLI1097"/>
      <c r="PLJ1097"/>
      <c r="PLM1097"/>
      <c r="PLN1097"/>
      <c r="PLQ1097"/>
      <c r="PLR1097"/>
      <c r="PLU1097"/>
      <c r="PLV1097"/>
      <c r="PLY1097"/>
      <c r="PLZ1097"/>
      <c r="PMC1097"/>
      <c r="PMD1097"/>
      <c r="PMG1097"/>
      <c r="PMH1097"/>
      <c r="PMK1097"/>
      <c r="PML1097"/>
      <c r="PMO1097"/>
      <c r="PMP1097"/>
      <c r="PMS1097"/>
      <c r="PMT1097"/>
      <c r="PMW1097"/>
      <c r="PMX1097"/>
      <c r="PNA1097"/>
      <c r="PNB1097"/>
      <c r="PNE1097"/>
      <c r="PNF1097"/>
      <c r="PNI1097"/>
      <c r="PNJ1097"/>
      <c r="PNM1097"/>
      <c r="PNN1097"/>
      <c r="PNQ1097"/>
      <c r="PNR1097"/>
      <c r="PNU1097"/>
      <c r="PNV1097"/>
      <c r="PNY1097"/>
      <c r="PNZ1097"/>
      <c r="POC1097"/>
      <c r="POD1097"/>
      <c r="POG1097"/>
      <c r="POH1097"/>
      <c r="POK1097"/>
      <c r="POL1097"/>
      <c r="POO1097"/>
      <c r="POP1097"/>
      <c r="POS1097"/>
      <c r="POT1097"/>
      <c r="POW1097"/>
      <c r="POX1097"/>
      <c r="PPA1097"/>
      <c r="PPB1097"/>
      <c r="PPE1097"/>
      <c r="PPF1097"/>
      <c r="PPI1097"/>
      <c r="PPJ1097"/>
      <c r="PPM1097"/>
      <c r="PPN1097"/>
      <c r="PPQ1097"/>
      <c r="PPR1097"/>
      <c r="PPU1097"/>
      <c r="PPV1097"/>
      <c r="PPY1097"/>
      <c r="PPZ1097"/>
      <c r="PQC1097"/>
      <c r="PQD1097"/>
      <c r="PQG1097"/>
      <c r="PQH1097"/>
      <c r="PQK1097"/>
      <c r="PQL1097"/>
      <c r="PQO1097"/>
      <c r="PQP1097"/>
      <c r="PQS1097"/>
      <c r="PQT1097"/>
      <c r="PQW1097"/>
      <c r="PQX1097"/>
      <c r="PRA1097"/>
      <c r="PRB1097"/>
      <c r="PRE1097"/>
      <c r="PRF1097"/>
      <c r="PRI1097"/>
      <c r="PRJ1097"/>
      <c r="PRM1097"/>
      <c r="PRN1097"/>
      <c r="PRQ1097"/>
      <c r="PRR1097"/>
      <c r="PRU1097"/>
      <c r="PRV1097"/>
      <c r="PRY1097"/>
      <c r="PRZ1097"/>
      <c r="PSC1097"/>
      <c r="PSD1097"/>
      <c r="PSG1097"/>
      <c r="PSH1097"/>
      <c r="PSK1097"/>
      <c r="PSL1097"/>
      <c r="PSO1097"/>
      <c r="PSP1097"/>
      <c r="PSS1097"/>
      <c r="PST1097"/>
      <c r="PSW1097"/>
      <c r="PSX1097"/>
      <c r="PTA1097"/>
      <c r="PTB1097"/>
      <c r="PTE1097"/>
      <c r="PTF1097"/>
      <c r="PTI1097"/>
      <c r="PTJ1097"/>
      <c r="PTM1097"/>
      <c r="PTN1097"/>
      <c r="PTQ1097"/>
      <c r="PTR1097"/>
      <c r="PTU1097"/>
      <c r="PTV1097"/>
      <c r="PTY1097"/>
      <c r="PTZ1097"/>
      <c r="PUC1097"/>
      <c r="PUD1097"/>
      <c r="PUG1097"/>
      <c r="PUH1097"/>
      <c r="PUK1097"/>
      <c r="PUL1097"/>
      <c r="PUO1097"/>
      <c r="PUP1097"/>
      <c r="PUS1097"/>
      <c r="PUT1097"/>
      <c r="PUW1097"/>
      <c r="PUX1097"/>
      <c r="PVA1097"/>
      <c r="PVB1097"/>
      <c r="PVE1097"/>
      <c r="PVF1097"/>
      <c r="PVI1097"/>
      <c r="PVJ1097"/>
      <c r="PVM1097"/>
      <c r="PVN1097"/>
      <c r="PVQ1097"/>
      <c r="PVR1097"/>
      <c r="PVU1097"/>
      <c r="PVV1097"/>
      <c r="PVY1097"/>
      <c r="PVZ1097"/>
      <c r="PWC1097"/>
      <c r="PWD1097"/>
      <c r="PWG1097"/>
      <c r="PWH1097"/>
      <c r="PWK1097"/>
      <c r="PWL1097"/>
      <c r="PWO1097"/>
      <c r="PWP1097"/>
      <c r="PWS1097"/>
      <c r="PWT1097"/>
      <c r="PWW1097"/>
      <c r="PWX1097"/>
      <c r="PXA1097"/>
      <c r="PXB1097"/>
      <c r="PXE1097"/>
      <c r="PXF1097"/>
      <c r="PXI1097"/>
      <c r="PXJ1097"/>
      <c r="PXM1097"/>
      <c r="PXN1097"/>
      <c r="PXQ1097"/>
      <c r="PXR1097"/>
      <c r="PXU1097"/>
      <c r="PXV1097"/>
      <c r="PXY1097"/>
      <c r="PXZ1097"/>
      <c r="PYC1097"/>
      <c r="PYD1097"/>
      <c r="PYG1097"/>
      <c r="PYH1097"/>
      <c r="PYK1097"/>
      <c r="PYL1097"/>
      <c r="PYO1097"/>
      <c r="PYP1097"/>
      <c r="PYS1097"/>
      <c r="PYT1097"/>
      <c r="PYW1097"/>
      <c r="PYX1097"/>
      <c r="PZA1097"/>
      <c r="PZB1097"/>
      <c r="PZE1097"/>
      <c r="PZF1097"/>
      <c r="PZI1097"/>
      <c r="PZJ1097"/>
      <c r="PZM1097"/>
      <c r="PZN1097"/>
      <c r="PZQ1097"/>
      <c r="PZR1097"/>
      <c r="PZU1097"/>
      <c r="PZV1097"/>
      <c r="PZY1097"/>
      <c r="PZZ1097"/>
      <c r="QAC1097"/>
      <c r="QAD1097"/>
      <c r="QAG1097"/>
      <c r="QAH1097"/>
      <c r="QAK1097"/>
      <c r="QAL1097"/>
      <c r="QAO1097"/>
      <c r="QAP1097"/>
      <c r="QAS1097"/>
      <c r="QAT1097"/>
      <c r="QAW1097"/>
      <c r="QAX1097"/>
      <c r="QBA1097"/>
      <c r="QBB1097"/>
      <c r="QBE1097"/>
      <c r="QBF1097"/>
      <c r="QBI1097"/>
      <c r="QBJ1097"/>
      <c r="QBM1097"/>
      <c r="QBN1097"/>
      <c r="QBQ1097"/>
      <c r="QBR1097"/>
      <c r="QBU1097"/>
      <c r="QBV1097"/>
      <c r="QBY1097"/>
      <c r="QBZ1097"/>
      <c r="QCC1097"/>
      <c r="QCD1097"/>
      <c r="QCG1097"/>
      <c r="QCH1097"/>
      <c r="QCK1097"/>
      <c r="QCL1097"/>
      <c r="QCO1097"/>
      <c r="QCP1097"/>
      <c r="QCS1097"/>
      <c r="QCT1097"/>
      <c r="QCW1097"/>
      <c r="QCX1097"/>
      <c r="QDA1097"/>
      <c r="QDB1097"/>
      <c r="QDE1097"/>
      <c r="QDF1097"/>
      <c r="QDI1097"/>
      <c r="QDJ1097"/>
      <c r="QDM1097"/>
      <c r="QDN1097"/>
      <c r="QDQ1097"/>
      <c r="QDR1097"/>
      <c r="QDU1097"/>
      <c r="QDV1097"/>
      <c r="QDY1097"/>
      <c r="QDZ1097"/>
      <c r="QEC1097"/>
      <c r="QED1097"/>
      <c r="QEG1097"/>
      <c r="QEH1097"/>
      <c r="QEK1097"/>
      <c r="QEL1097"/>
      <c r="QEO1097"/>
      <c r="QEP1097"/>
      <c r="QES1097"/>
      <c r="QET1097"/>
      <c r="QEW1097"/>
      <c r="QEX1097"/>
      <c r="QFA1097"/>
      <c r="QFB1097"/>
      <c r="QFE1097"/>
      <c r="QFF1097"/>
      <c r="QFI1097"/>
      <c r="QFJ1097"/>
      <c r="QFM1097"/>
      <c r="QFN1097"/>
      <c r="QFQ1097"/>
      <c r="QFR1097"/>
      <c r="QFU1097"/>
      <c r="QFV1097"/>
      <c r="QFY1097"/>
      <c r="QFZ1097"/>
      <c r="QGC1097"/>
      <c r="QGD1097"/>
      <c r="QGG1097"/>
      <c r="QGH1097"/>
      <c r="QGK1097"/>
      <c r="QGL1097"/>
      <c r="QGO1097"/>
      <c r="QGP1097"/>
      <c r="QGS1097"/>
      <c r="QGT1097"/>
      <c r="QGW1097"/>
      <c r="QGX1097"/>
      <c r="QHA1097"/>
      <c r="QHB1097"/>
      <c r="QHE1097"/>
      <c r="QHF1097"/>
      <c r="QHI1097"/>
      <c r="QHJ1097"/>
      <c r="QHM1097"/>
      <c r="QHN1097"/>
      <c r="QHQ1097"/>
      <c r="QHR1097"/>
      <c r="QHU1097"/>
      <c r="QHV1097"/>
      <c r="QHY1097"/>
      <c r="QHZ1097"/>
      <c r="QIC1097"/>
      <c r="QID1097"/>
      <c r="QIG1097"/>
      <c r="QIH1097"/>
      <c r="QIK1097"/>
      <c r="QIL1097"/>
      <c r="QIO1097"/>
      <c r="QIP1097"/>
      <c r="QIS1097"/>
      <c r="QIT1097"/>
      <c r="QIW1097"/>
      <c r="QIX1097"/>
      <c r="QJA1097"/>
      <c r="QJB1097"/>
      <c r="QJE1097"/>
      <c r="QJF1097"/>
      <c r="QJI1097"/>
      <c r="QJJ1097"/>
      <c r="QJM1097"/>
      <c r="QJN1097"/>
      <c r="QJQ1097"/>
      <c r="QJR1097"/>
      <c r="QJU1097"/>
      <c r="QJV1097"/>
      <c r="QJY1097"/>
      <c r="QJZ1097"/>
      <c r="QKC1097"/>
      <c r="QKD1097"/>
      <c r="QKG1097"/>
      <c r="QKH1097"/>
      <c r="QKK1097"/>
      <c r="QKL1097"/>
      <c r="QKO1097"/>
      <c r="QKP1097"/>
      <c r="QKS1097"/>
      <c r="QKT1097"/>
      <c r="QKW1097"/>
      <c r="QKX1097"/>
      <c r="QLA1097"/>
      <c r="QLB1097"/>
      <c r="QLE1097"/>
      <c r="QLF1097"/>
      <c r="QLI1097"/>
      <c r="QLJ1097"/>
      <c r="QLM1097"/>
      <c r="QLN1097"/>
      <c r="QLQ1097"/>
      <c r="QLR1097"/>
      <c r="QLU1097"/>
      <c r="QLV1097"/>
      <c r="QLY1097"/>
      <c r="QLZ1097"/>
      <c r="QMC1097"/>
      <c r="QMD1097"/>
      <c r="QMG1097"/>
      <c r="QMH1097"/>
      <c r="QMK1097"/>
      <c r="QML1097"/>
      <c r="QMO1097"/>
      <c r="QMP1097"/>
      <c r="QMS1097"/>
      <c r="QMT1097"/>
      <c r="QMW1097"/>
      <c r="QMX1097"/>
      <c r="QNA1097"/>
      <c r="QNB1097"/>
      <c r="QNE1097"/>
      <c r="QNF1097"/>
      <c r="QNI1097"/>
      <c r="QNJ1097"/>
      <c r="QNM1097"/>
      <c r="QNN1097"/>
      <c r="QNQ1097"/>
      <c r="QNR1097"/>
      <c r="QNU1097"/>
      <c r="QNV1097"/>
      <c r="QNY1097"/>
      <c r="QNZ1097"/>
      <c r="QOC1097"/>
      <c r="QOD1097"/>
      <c r="QOG1097"/>
      <c r="QOH1097"/>
      <c r="QOK1097"/>
      <c r="QOL1097"/>
      <c r="QOO1097"/>
      <c r="QOP1097"/>
      <c r="QOS1097"/>
      <c r="QOT1097"/>
      <c r="QOW1097"/>
      <c r="QOX1097"/>
      <c r="QPA1097"/>
      <c r="QPB1097"/>
      <c r="QPE1097"/>
      <c r="QPF1097"/>
      <c r="QPI1097"/>
      <c r="QPJ1097"/>
      <c r="QPM1097"/>
      <c r="QPN1097"/>
      <c r="QPQ1097"/>
      <c r="QPR1097"/>
      <c r="QPU1097"/>
      <c r="QPV1097"/>
      <c r="QPY1097"/>
      <c r="QPZ1097"/>
      <c r="QQC1097"/>
      <c r="QQD1097"/>
      <c r="QQG1097"/>
      <c r="QQH1097"/>
      <c r="QQK1097"/>
      <c r="QQL1097"/>
      <c r="QQO1097"/>
      <c r="QQP1097"/>
      <c r="QQS1097"/>
      <c r="QQT1097"/>
      <c r="QQW1097"/>
      <c r="QQX1097"/>
      <c r="QRA1097"/>
      <c r="QRB1097"/>
      <c r="QRE1097"/>
      <c r="QRF1097"/>
      <c r="QRI1097"/>
      <c r="QRJ1097"/>
      <c r="QRM1097"/>
      <c r="QRN1097"/>
      <c r="QRQ1097"/>
      <c r="QRR1097"/>
      <c r="QRU1097"/>
      <c r="QRV1097"/>
      <c r="QRY1097"/>
      <c r="QRZ1097"/>
      <c r="QSC1097"/>
      <c r="QSD1097"/>
      <c r="QSG1097"/>
      <c r="QSH1097"/>
      <c r="QSK1097"/>
      <c r="QSL1097"/>
      <c r="QSO1097"/>
      <c r="QSP1097"/>
      <c r="QSS1097"/>
      <c r="QST1097"/>
      <c r="QSW1097"/>
      <c r="QSX1097"/>
      <c r="QTA1097"/>
      <c r="QTB1097"/>
      <c r="QTE1097"/>
      <c r="QTF1097"/>
      <c r="QTI1097"/>
      <c r="QTJ1097"/>
      <c r="QTM1097"/>
      <c r="QTN1097"/>
      <c r="QTQ1097"/>
      <c r="QTR1097"/>
      <c r="QTU1097"/>
      <c r="QTV1097"/>
      <c r="QTY1097"/>
      <c r="QTZ1097"/>
      <c r="QUC1097"/>
      <c r="QUD1097"/>
      <c r="QUG1097"/>
      <c r="QUH1097"/>
      <c r="QUK1097"/>
      <c r="QUL1097"/>
      <c r="QUO1097"/>
      <c r="QUP1097"/>
      <c r="QUS1097"/>
      <c r="QUT1097"/>
      <c r="QUW1097"/>
      <c r="QUX1097"/>
      <c r="QVA1097"/>
      <c r="QVB1097"/>
      <c r="QVE1097"/>
      <c r="QVF1097"/>
      <c r="QVI1097"/>
      <c r="QVJ1097"/>
      <c r="QVM1097"/>
      <c r="QVN1097"/>
      <c r="QVQ1097"/>
      <c r="QVR1097"/>
      <c r="QVU1097"/>
      <c r="QVV1097"/>
      <c r="QVY1097"/>
      <c r="QVZ1097"/>
      <c r="QWC1097"/>
      <c r="QWD1097"/>
      <c r="QWG1097"/>
      <c r="QWH1097"/>
      <c r="QWK1097"/>
      <c r="QWL1097"/>
      <c r="QWO1097"/>
      <c r="QWP1097"/>
      <c r="QWS1097"/>
      <c r="QWT1097"/>
      <c r="QWW1097"/>
      <c r="QWX1097"/>
      <c r="QXA1097"/>
      <c r="QXB1097"/>
      <c r="QXE1097"/>
      <c r="QXF1097"/>
      <c r="QXI1097"/>
      <c r="QXJ1097"/>
      <c r="QXM1097"/>
      <c r="QXN1097"/>
      <c r="QXQ1097"/>
      <c r="QXR1097"/>
      <c r="QXU1097"/>
      <c r="QXV1097"/>
      <c r="QXY1097"/>
      <c r="QXZ1097"/>
      <c r="QYC1097"/>
      <c r="QYD1097"/>
      <c r="QYG1097"/>
      <c r="QYH1097"/>
      <c r="QYK1097"/>
      <c r="QYL1097"/>
      <c r="QYO1097"/>
      <c r="QYP1097"/>
      <c r="QYS1097"/>
      <c r="QYT1097"/>
      <c r="QYW1097"/>
      <c r="QYX1097"/>
      <c r="QZA1097"/>
      <c r="QZB1097"/>
      <c r="QZE1097"/>
      <c r="QZF1097"/>
      <c r="QZI1097"/>
      <c r="QZJ1097"/>
      <c r="QZM1097"/>
      <c r="QZN1097"/>
      <c r="QZQ1097"/>
      <c r="QZR1097"/>
      <c r="QZU1097"/>
      <c r="QZV1097"/>
      <c r="QZY1097"/>
      <c r="QZZ1097"/>
      <c r="RAC1097"/>
      <c r="RAD1097"/>
      <c r="RAG1097"/>
      <c r="RAH1097"/>
      <c r="RAK1097"/>
      <c r="RAL1097"/>
      <c r="RAO1097"/>
      <c r="RAP1097"/>
      <c r="RAS1097"/>
      <c r="RAT1097"/>
      <c r="RAW1097"/>
      <c r="RAX1097"/>
      <c r="RBA1097"/>
      <c r="RBB1097"/>
      <c r="RBE1097"/>
      <c r="RBF1097"/>
      <c r="RBI1097"/>
      <c r="RBJ1097"/>
      <c r="RBM1097"/>
      <c r="RBN1097"/>
      <c r="RBQ1097"/>
      <c r="RBR1097"/>
      <c r="RBU1097"/>
      <c r="RBV1097"/>
      <c r="RBY1097"/>
      <c r="RBZ1097"/>
      <c r="RCC1097"/>
      <c r="RCD1097"/>
      <c r="RCG1097"/>
      <c r="RCH1097"/>
      <c r="RCK1097"/>
      <c r="RCL1097"/>
      <c r="RCO1097"/>
      <c r="RCP1097"/>
      <c r="RCS1097"/>
      <c r="RCT1097"/>
      <c r="RCW1097"/>
      <c r="RCX1097"/>
      <c r="RDA1097"/>
      <c r="RDB1097"/>
      <c r="RDE1097"/>
      <c r="RDF1097"/>
      <c r="RDI1097"/>
      <c r="RDJ1097"/>
      <c r="RDM1097"/>
      <c r="RDN1097"/>
      <c r="RDQ1097"/>
      <c r="RDR1097"/>
      <c r="RDU1097"/>
      <c r="RDV1097"/>
      <c r="RDY1097"/>
      <c r="RDZ1097"/>
      <c r="REC1097"/>
      <c r="RED1097"/>
      <c r="REG1097"/>
      <c r="REH1097"/>
      <c r="REK1097"/>
      <c r="REL1097"/>
      <c r="REO1097"/>
      <c r="REP1097"/>
      <c r="RES1097"/>
      <c r="RET1097"/>
      <c r="REW1097"/>
      <c r="REX1097"/>
      <c r="RFA1097"/>
      <c r="RFB1097"/>
      <c r="RFE1097"/>
      <c r="RFF1097"/>
      <c r="RFI1097"/>
      <c r="RFJ1097"/>
      <c r="RFM1097"/>
      <c r="RFN1097"/>
      <c r="RFQ1097"/>
      <c r="RFR1097"/>
      <c r="RFU1097"/>
      <c r="RFV1097"/>
      <c r="RFY1097"/>
      <c r="RFZ1097"/>
      <c r="RGC1097"/>
      <c r="RGD1097"/>
      <c r="RGG1097"/>
      <c r="RGH1097"/>
      <c r="RGK1097"/>
      <c r="RGL1097"/>
      <c r="RGO1097"/>
      <c r="RGP1097"/>
      <c r="RGS1097"/>
      <c r="RGT1097"/>
      <c r="RGW1097"/>
      <c r="RGX1097"/>
      <c r="RHA1097"/>
      <c r="RHB1097"/>
      <c r="RHE1097"/>
      <c r="RHF1097"/>
      <c r="RHI1097"/>
      <c r="RHJ1097"/>
      <c r="RHM1097"/>
      <c r="RHN1097"/>
      <c r="RHQ1097"/>
      <c r="RHR1097"/>
      <c r="RHU1097"/>
      <c r="RHV1097"/>
      <c r="RHY1097"/>
      <c r="RHZ1097"/>
      <c r="RIC1097"/>
      <c r="RID1097"/>
      <c r="RIG1097"/>
      <c r="RIH1097"/>
      <c r="RIK1097"/>
      <c r="RIL1097"/>
      <c r="RIO1097"/>
      <c r="RIP1097"/>
      <c r="RIS1097"/>
      <c r="RIT1097"/>
      <c r="RIW1097"/>
      <c r="RIX1097"/>
      <c r="RJA1097"/>
      <c r="RJB1097"/>
      <c r="RJE1097"/>
      <c r="RJF1097"/>
      <c r="RJI1097"/>
      <c r="RJJ1097"/>
      <c r="RJM1097"/>
      <c r="RJN1097"/>
      <c r="RJQ1097"/>
      <c r="RJR1097"/>
      <c r="RJU1097"/>
      <c r="RJV1097"/>
      <c r="RJY1097"/>
      <c r="RJZ1097"/>
      <c r="RKC1097"/>
      <c r="RKD1097"/>
      <c r="RKG1097"/>
      <c r="RKH1097"/>
      <c r="RKK1097"/>
      <c r="RKL1097"/>
      <c r="RKO1097"/>
      <c r="RKP1097"/>
      <c r="RKS1097"/>
      <c r="RKT1097"/>
      <c r="RKW1097"/>
      <c r="RKX1097"/>
      <c r="RLA1097"/>
      <c r="RLB1097"/>
      <c r="RLE1097"/>
      <c r="RLF1097"/>
      <c r="RLI1097"/>
      <c r="RLJ1097"/>
      <c r="RLM1097"/>
      <c r="RLN1097"/>
      <c r="RLQ1097"/>
      <c r="RLR1097"/>
      <c r="RLU1097"/>
      <c r="RLV1097"/>
      <c r="RLY1097"/>
      <c r="RLZ1097"/>
      <c r="RMC1097"/>
      <c r="RMD1097"/>
      <c r="RMG1097"/>
      <c r="RMH1097"/>
      <c r="RMK1097"/>
      <c r="RML1097"/>
      <c r="RMO1097"/>
      <c r="RMP1097"/>
      <c r="RMS1097"/>
      <c r="RMT1097"/>
      <c r="RMW1097"/>
      <c r="RMX1097"/>
      <c r="RNA1097"/>
      <c r="RNB1097"/>
      <c r="RNE1097"/>
      <c r="RNF1097"/>
      <c r="RNI1097"/>
      <c r="RNJ1097"/>
      <c r="RNM1097"/>
      <c r="RNN1097"/>
      <c r="RNQ1097"/>
      <c r="RNR1097"/>
      <c r="RNU1097"/>
      <c r="RNV1097"/>
      <c r="RNY1097"/>
      <c r="RNZ1097"/>
      <c r="ROC1097"/>
      <c r="ROD1097"/>
      <c r="ROG1097"/>
      <c r="ROH1097"/>
      <c r="ROK1097"/>
      <c r="ROL1097"/>
      <c r="ROO1097"/>
      <c r="ROP1097"/>
      <c r="ROS1097"/>
      <c r="ROT1097"/>
      <c r="ROW1097"/>
      <c r="ROX1097"/>
      <c r="RPA1097"/>
      <c r="RPB1097"/>
      <c r="RPE1097"/>
      <c r="RPF1097"/>
      <c r="RPI1097"/>
      <c r="RPJ1097"/>
      <c r="RPM1097"/>
      <c r="RPN1097"/>
      <c r="RPQ1097"/>
      <c r="RPR1097"/>
      <c r="RPU1097"/>
      <c r="RPV1097"/>
      <c r="RPY1097"/>
      <c r="RPZ1097"/>
      <c r="RQC1097"/>
      <c r="RQD1097"/>
      <c r="RQG1097"/>
      <c r="RQH1097"/>
      <c r="RQK1097"/>
      <c r="RQL1097"/>
      <c r="RQO1097"/>
      <c r="RQP1097"/>
      <c r="RQS1097"/>
      <c r="RQT1097"/>
      <c r="RQW1097"/>
      <c r="RQX1097"/>
      <c r="RRA1097"/>
      <c r="RRB1097"/>
      <c r="RRE1097"/>
      <c r="RRF1097"/>
      <c r="RRI1097"/>
      <c r="RRJ1097"/>
      <c r="RRM1097"/>
      <c r="RRN1097"/>
      <c r="RRQ1097"/>
      <c r="RRR1097"/>
      <c r="RRU1097"/>
      <c r="RRV1097"/>
      <c r="RRY1097"/>
      <c r="RRZ1097"/>
      <c r="RSC1097"/>
      <c r="RSD1097"/>
      <c r="RSG1097"/>
      <c r="RSH1097"/>
      <c r="RSK1097"/>
      <c r="RSL1097"/>
      <c r="RSO1097"/>
      <c r="RSP1097"/>
      <c r="RSS1097"/>
      <c r="RST1097"/>
      <c r="RSW1097"/>
      <c r="RSX1097"/>
      <c r="RTA1097"/>
      <c r="RTB1097"/>
      <c r="RTE1097"/>
      <c r="RTF1097"/>
      <c r="RTI1097"/>
      <c r="RTJ1097"/>
      <c r="RTM1097"/>
      <c r="RTN1097"/>
      <c r="RTQ1097"/>
      <c r="RTR1097"/>
      <c r="RTU1097"/>
      <c r="RTV1097"/>
      <c r="RTY1097"/>
      <c r="RTZ1097"/>
      <c r="RUC1097"/>
      <c r="RUD1097"/>
      <c r="RUG1097"/>
      <c r="RUH1097"/>
      <c r="RUK1097"/>
      <c r="RUL1097"/>
      <c r="RUO1097"/>
      <c r="RUP1097"/>
      <c r="RUS1097"/>
      <c r="RUT1097"/>
      <c r="RUW1097"/>
      <c r="RUX1097"/>
      <c r="RVA1097"/>
      <c r="RVB1097"/>
      <c r="RVE1097"/>
      <c r="RVF1097"/>
      <c r="RVI1097"/>
      <c r="RVJ1097"/>
      <c r="RVM1097"/>
      <c r="RVN1097"/>
      <c r="RVQ1097"/>
      <c r="RVR1097"/>
      <c r="RVU1097"/>
      <c r="RVV1097"/>
      <c r="RVY1097"/>
      <c r="RVZ1097"/>
      <c r="RWC1097"/>
      <c r="RWD1097"/>
      <c r="RWG1097"/>
      <c r="RWH1097"/>
      <c r="RWK1097"/>
      <c r="RWL1097"/>
      <c r="RWO1097"/>
      <c r="RWP1097"/>
      <c r="RWS1097"/>
      <c r="RWT1097"/>
      <c r="RWW1097"/>
      <c r="RWX1097"/>
      <c r="RXA1097"/>
      <c r="RXB1097"/>
      <c r="RXE1097"/>
      <c r="RXF1097"/>
      <c r="RXI1097"/>
      <c r="RXJ1097"/>
      <c r="RXM1097"/>
      <c r="RXN1097"/>
      <c r="RXQ1097"/>
      <c r="RXR1097"/>
      <c r="RXU1097"/>
      <c r="RXV1097"/>
      <c r="RXY1097"/>
      <c r="RXZ1097"/>
      <c r="RYC1097"/>
      <c r="RYD1097"/>
      <c r="RYG1097"/>
      <c r="RYH1097"/>
      <c r="RYK1097"/>
      <c r="RYL1097"/>
      <c r="RYO1097"/>
      <c r="RYP1097"/>
      <c r="RYS1097"/>
      <c r="RYT1097"/>
      <c r="RYW1097"/>
      <c r="RYX1097"/>
      <c r="RZA1097"/>
      <c r="RZB1097"/>
      <c r="RZE1097"/>
      <c r="RZF1097"/>
      <c r="RZI1097"/>
      <c r="RZJ1097"/>
      <c r="RZM1097"/>
      <c r="RZN1097"/>
      <c r="RZQ1097"/>
      <c r="RZR1097"/>
      <c r="RZU1097"/>
      <c r="RZV1097"/>
      <c r="RZY1097"/>
      <c r="RZZ1097"/>
      <c r="SAC1097"/>
      <c r="SAD1097"/>
      <c r="SAG1097"/>
      <c r="SAH1097"/>
      <c r="SAK1097"/>
      <c r="SAL1097"/>
      <c r="SAO1097"/>
      <c r="SAP1097"/>
      <c r="SAS1097"/>
      <c r="SAT1097"/>
      <c r="SAW1097"/>
      <c r="SAX1097"/>
      <c r="SBA1097"/>
      <c r="SBB1097"/>
      <c r="SBE1097"/>
      <c r="SBF1097"/>
      <c r="SBI1097"/>
      <c r="SBJ1097"/>
      <c r="SBM1097"/>
      <c r="SBN1097"/>
      <c r="SBQ1097"/>
      <c r="SBR1097"/>
      <c r="SBU1097"/>
      <c r="SBV1097"/>
      <c r="SBY1097"/>
      <c r="SBZ1097"/>
      <c r="SCC1097"/>
      <c r="SCD1097"/>
      <c r="SCG1097"/>
      <c r="SCH1097"/>
      <c r="SCK1097"/>
      <c r="SCL1097"/>
      <c r="SCO1097"/>
      <c r="SCP1097"/>
      <c r="SCS1097"/>
      <c r="SCT1097"/>
      <c r="SCW1097"/>
      <c r="SCX1097"/>
      <c r="SDA1097"/>
      <c r="SDB1097"/>
      <c r="SDE1097"/>
      <c r="SDF1097"/>
      <c r="SDI1097"/>
      <c r="SDJ1097"/>
      <c r="SDM1097"/>
      <c r="SDN1097"/>
      <c r="SDQ1097"/>
      <c r="SDR1097"/>
      <c r="SDU1097"/>
      <c r="SDV1097"/>
      <c r="SDY1097"/>
      <c r="SDZ1097"/>
      <c r="SEC1097"/>
      <c r="SED1097"/>
      <c r="SEG1097"/>
      <c r="SEH1097"/>
      <c r="SEK1097"/>
      <c r="SEL1097"/>
      <c r="SEO1097"/>
      <c r="SEP1097"/>
      <c r="SES1097"/>
      <c r="SET1097"/>
      <c r="SEW1097"/>
      <c r="SEX1097"/>
      <c r="SFA1097"/>
      <c r="SFB1097"/>
      <c r="SFE1097"/>
      <c r="SFF1097"/>
      <c r="SFI1097"/>
      <c r="SFJ1097"/>
      <c r="SFM1097"/>
      <c r="SFN1097"/>
      <c r="SFQ1097"/>
      <c r="SFR1097"/>
      <c r="SFU1097"/>
      <c r="SFV1097"/>
      <c r="SFY1097"/>
      <c r="SFZ1097"/>
      <c r="SGC1097"/>
      <c r="SGD1097"/>
      <c r="SGG1097"/>
      <c r="SGH1097"/>
      <c r="SGK1097"/>
      <c r="SGL1097"/>
      <c r="SGO1097"/>
      <c r="SGP1097"/>
      <c r="SGS1097"/>
      <c r="SGT1097"/>
      <c r="SGW1097"/>
      <c r="SGX1097"/>
      <c r="SHA1097"/>
      <c r="SHB1097"/>
      <c r="SHE1097"/>
      <c r="SHF1097"/>
      <c r="SHI1097"/>
      <c r="SHJ1097"/>
      <c r="SHM1097"/>
      <c r="SHN1097"/>
      <c r="SHQ1097"/>
      <c r="SHR1097"/>
      <c r="SHU1097"/>
      <c r="SHV1097"/>
      <c r="SHY1097"/>
      <c r="SHZ1097"/>
      <c r="SIC1097"/>
      <c r="SID1097"/>
      <c r="SIG1097"/>
      <c r="SIH1097"/>
      <c r="SIK1097"/>
      <c r="SIL1097"/>
      <c r="SIO1097"/>
      <c r="SIP1097"/>
      <c r="SIS1097"/>
      <c r="SIT1097"/>
      <c r="SIW1097"/>
      <c r="SIX1097"/>
      <c r="SJA1097"/>
      <c r="SJB1097"/>
      <c r="SJE1097"/>
      <c r="SJF1097"/>
      <c r="SJI1097"/>
      <c r="SJJ1097"/>
      <c r="SJM1097"/>
      <c r="SJN1097"/>
      <c r="SJQ1097"/>
      <c r="SJR1097"/>
      <c r="SJU1097"/>
      <c r="SJV1097"/>
      <c r="SJY1097"/>
      <c r="SJZ1097"/>
      <c r="SKC1097"/>
      <c r="SKD1097"/>
      <c r="SKG1097"/>
      <c r="SKH1097"/>
      <c r="SKK1097"/>
      <c r="SKL1097"/>
      <c r="SKO1097"/>
      <c r="SKP1097"/>
      <c r="SKS1097"/>
      <c r="SKT1097"/>
      <c r="SKW1097"/>
      <c r="SKX1097"/>
      <c r="SLA1097"/>
      <c r="SLB1097"/>
      <c r="SLE1097"/>
      <c r="SLF1097"/>
      <c r="SLI1097"/>
      <c r="SLJ1097"/>
      <c r="SLM1097"/>
      <c r="SLN1097"/>
      <c r="SLQ1097"/>
      <c r="SLR1097"/>
      <c r="SLU1097"/>
      <c r="SLV1097"/>
      <c r="SLY1097"/>
      <c r="SLZ1097"/>
      <c r="SMC1097"/>
      <c r="SMD1097"/>
      <c r="SMG1097"/>
      <c r="SMH1097"/>
      <c r="SMK1097"/>
      <c r="SML1097"/>
      <c r="SMO1097"/>
      <c r="SMP1097"/>
      <c r="SMS1097"/>
      <c r="SMT1097"/>
      <c r="SMW1097"/>
      <c r="SMX1097"/>
      <c r="SNA1097"/>
      <c r="SNB1097"/>
      <c r="SNE1097"/>
      <c r="SNF1097"/>
      <c r="SNI1097"/>
      <c r="SNJ1097"/>
      <c r="SNM1097"/>
      <c r="SNN1097"/>
      <c r="SNQ1097"/>
      <c r="SNR1097"/>
      <c r="SNU1097"/>
      <c r="SNV1097"/>
      <c r="SNY1097"/>
      <c r="SNZ1097"/>
      <c r="SOC1097"/>
      <c r="SOD1097"/>
      <c r="SOG1097"/>
      <c r="SOH1097"/>
      <c r="SOK1097"/>
      <c r="SOL1097"/>
      <c r="SOO1097"/>
      <c r="SOP1097"/>
      <c r="SOS1097"/>
      <c r="SOT1097"/>
      <c r="SOW1097"/>
      <c r="SOX1097"/>
      <c r="SPA1097"/>
      <c r="SPB1097"/>
      <c r="SPE1097"/>
      <c r="SPF1097"/>
      <c r="SPI1097"/>
      <c r="SPJ1097"/>
      <c r="SPM1097"/>
      <c r="SPN1097"/>
      <c r="SPQ1097"/>
      <c r="SPR1097"/>
      <c r="SPU1097"/>
      <c r="SPV1097"/>
      <c r="SPY1097"/>
      <c r="SPZ1097"/>
      <c r="SQC1097"/>
      <c r="SQD1097"/>
      <c r="SQG1097"/>
      <c r="SQH1097"/>
      <c r="SQK1097"/>
      <c r="SQL1097"/>
      <c r="SQO1097"/>
      <c r="SQP1097"/>
      <c r="SQS1097"/>
      <c r="SQT1097"/>
      <c r="SQW1097"/>
      <c r="SQX1097"/>
      <c r="SRA1097"/>
      <c r="SRB1097"/>
      <c r="SRE1097"/>
      <c r="SRF1097"/>
      <c r="SRI1097"/>
      <c r="SRJ1097"/>
      <c r="SRM1097"/>
      <c r="SRN1097"/>
      <c r="SRQ1097"/>
      <c r="SRR1097"/>
      <c r="SRU1097"/>
      <c r="SRV1097"/>
      <c r="SRY1097"/>
      <c r="SRZ1097"/>
      <c r="SSC1097"/>
      <c r="SSD1097"/>
      <c r="SSG1097"/>
      <c r="SSH1097"/>
      <c r="SSK1097"/>
      <c r="SSL1097"/>
      <c r="SSO1097"/>
      <c r="SSP1097"/>
      <c r="SSS1097"/>
      <c r="SST1097"/>
      <c r="SSW1097"/>
      <c r="SSX1097"/>
      <c r="STA1097"/>
      <c r="STB1097"/>
      <c r="STE1097"/>
      <c r="STF1097"/>
      <c r="STI1097"/>
      <c r="STJ1097"/>
      <c r="STM1097"/>
      <c r="STN1097"/>
      <c r="STQ1097"/>
      <c r="STR1097"/>
      <c r="STU1097"/>
      <c r="STV1097"/>
      <c r="STY1097"/>
      <c r="STZ1097"/>
      <c r="SUC1097"/>
      <c r="SUD1097"/>
      <c r="SUG1097"/>
      <c r="SUH1097"/>
      <c r="SUK1097"/>
      <c r="SUL1097"/>
      <c r="SUO1097"/>
      <c r="SUP1097"/>
      <c r="SUS1097"/>
      <c r="SUT1097"/>
      <c r="SUW1097"/>
      <c r="SUX1097"/>
      <c r="SVA1097"/>
      <c r="SVB1097"/>
      <c r="SVE1097"/>
      <c r="SVF1097"/>
      <c r="SVI1097"/>
      <c r="SVJ1097"/>
      <c r="SVM1097"/>
      <c r="SVN1097"/>
      <c r="SVQ1097"/>
      <c r="SVR1097"/>
      <c r="SVU1097"/>
      <c r="SVV1097"/>
      <c r="SVY1097"/>
      <c r="SVZ1097"/>
      <c r="SWC1097"/>
      <c r="SWD1097"/>
      <c r="SWG1097"/>
      <c r="SWH1097"/>
      <c r="SWK1097"/>
      <c r="SWL1097"/>
      <c r="SWO1097"/>
      <c r="SWP1097"/>
      <c r="SWS1097"/>
      <c r="SWT1097"/>
      <c r="SWW1097"/>
      <c r="SWX1097"/>
      <c r="SXA1097"/>
      <c r="SXB1097"/>
      <c r="SXE1097"/>
      <c r="SXF1097"/>
      <c r="SXI1097"/>
      <c r="SXJ1097"/>
      <c r="SXM1097"/>
      <c r="SXN1097"/>
      <c r="SXQ1097"/>
      <c r="SXR1097"/>
      <c r="SXU1097"/>
      <c r="SXV1097"/>
      <c r="SXY1097"/>
      <c r="SXZ1097"/>
      <c r="SYC1097"/>
      <c r="SYD1097"/>
      <c r="SYG1097"/>
      <c r="SYH1097"/>
      <c r="SYK1097"/>
      <c r="SYL1097"/>
      <c r="SYO1097"/>
      <c r="SYP1097"/>
      <c r="SYS1097"/>
      <c r="SYT1097"/>
      <c r="SYW1097"/>
      <c r="SYX1097"/>
      <c r="SZA1097"/>
      <c r="SZB1097"/>
      <c r="SZE1097"/>
      <c r="SZF1097"/>
      <c r="SZI1097"/>
      <c r="SZJ1097"/>
      <c r="SZM1097"/>
      <c r="SZN1097"/>
      <c r="SZQ1097"/>
      <c r="SZR1097"/>
      <c r="SZU1097"/>
      <c r="SZV1097"/>
      <c r="SZY1097"/>
      <c r="SZZ1097"/>
      <c r="TAC1097"/>
      <c r="TAD1097"/>
      <c r="TAG1097"/>
      <c r="TAH1097"/>
      <c r="TAK1097"/>
      <c r="TAL1097"/>
      <c r="TAO1097"/>
      <c r="TAP1097"/>
      <c r="TAS1097"/>
      <c r="TAT1097"/>
      <c r="TAW1097"/>
      <c r="TAX1097"/>
      <c r="TBA1097"/>
      <c r="TBB1097"/>
      <c r="TBE1097"/>
      <c r="TBF1097"/>
      <c r="TBI1097"/>
      <c r="TBJ1097"/>
      <c r="TBM1097"/>
      <c r="TBN1097"/>
      <c r="TBQ1097"/>
      <c r="TBR1097"/>
      <c r="TBU1097"/>
      <c r="TBV1097"/>
      <c r="TBY1097"/>
      <c r="TBZ1097"/>
      <c r="TCC1097"/>
      <c r="TCD1097"/>
      <c r="TCG1097"/>
      <c r="TCH1097"/>
      <c r="TCK1097"/>
      <c r="TCL1097"/>
      <c r="TCO1097"/>
      <c r="TCP1097"/>
      <c r="TCS1097"/>
      <c r="TCT1097"/>
      <c r="TCW1097"/>
      <c r="TCX1097"/>
      <c r="TDA1097"/>
      <c r="TDB1097"/>
      <c r="TDE1097"/>
      <c r="TDF1097"/>
      <c r="TDI1097"/>
      <c r="TDJ1097"/>
      <c r="TDM1097"/>
      <c r="TDN1097"/>
      <c r="TDQ1097"/>
      <c r="TDR1097"/>
      <c r="TDU1097"/>
      <c r="TDV1097"/>
      <c r="TDY1097"/>
      <c r="TDZ1097"/>
      <c r="TEC1097"/>
      <c r="TED1097"/>
      <c r="TEG1097"/>
      <c r="TEH1097"/>
      <c r="TEK1097"/>
      <c r="TEL1097"/>
      <c r="TEO1097"/>
      <c r="TEP1097"/>
      <c r="TES1097"/>
      <c r="TET1097"/>
      <c r="TEW1097"/>
      <c r="TEX1097"/>
      <c r="TFA1097"/>
      <c r="TFB1097"/>
      <c r="TFE1097"/>
      <c r="TFF1097"/>
      <c r="TFI1097"/>
      <c r="TFJ1097"/>
      <c r="TFM1097"/>
      <c r="TFN1097"/>
      <c r="TFQ1097"/>
      <c r="TFR1097"/>
      <c r="TFU1097"/>
      <c r="TFV1097"/>
      <c r="TFY1097"/>
      <c r="TFZ1097"/>
      <c r="TGC1097"/>
      <c r="TGD1097"/>
      <c r="TGG1097"/>
      <c r="TGH1097"/>
      <c r="TGK1097"/>
      <c r="TGL1097"/>
      <c r="TGO1097"/>
      <c r="TGP1097"/>
      <c r="TGS1097"/>
      <c r="TGT1097"/>
      <c r="TGW1097"/>
      <c r="TGX1097"/>
      <c r="THA1097"/>
      <c r="THB1097"/>
      <c r="THE1097"/>
      <c r="THF1097"/>
      <c r="THI1097"/>
      <c r="THJ1097"/>
      <c r="THM1097"/>
      <c r="THN1097"/>
      <c r="THQ1097"/>
      <c r="THR1097"/>
      <c r="THU1097"/>
      <c r="THV1097"/>
      <c r="THY1097"/>
      <c r="THZ1097"/>
      <c r="TIC1097"/>
      <c r="TID1097"/>
      <c r="TIG1097"/>
      <c r="TIH1097"/>
      <c r="TIK1097"/>
      <c r="TIL1097"/>
      <c r="TIO1097"/>
      <c r="TIP1097"/>
      <c r="TIS1097"/>
      <c r="TIT1097"/>
      <c r="TIW1097"/>
      <c r="TIX1097"/>
      <c r="TJA1097"/>
      <c r="TJB1097"/>
      <c r="TJE1097"/>
      <c r="TJF1097"/>
      <c r="TJI1097"/>
      <c r="TJJ1097"/>
      <c r="TJM1097"/>
      <c r="TJN1097"/>
      <c r="TJQ1097"/>
      <c r="TJR1097"/>
      <c r="TJU1097"/>
      <c r="TJV1097"/>
      <c r="TJY1097"/>
      <c r="TJZ1097"/>
      <c r="TKC1097"/>
      <c r="TKD1097"/>
      <c r="TKG1097"/>
      <c r="TKH1097"/>
      <c r="TKK1097"/>
      <c r="TKL1097"/>
      <c r="TKO1097"/>
      <c r="TKP1097"/>
      <c r="TKS1097"/>
      <c r="TKT1097"/>
      <c r="TKW1097"/>
      <c r="TKX1097"/>
      <c r="TLA1097"/>
      <c r="TLB1097"/>
      <c r="TLE1097"/>
      <c r="TLF1097"/>
      <c r="TLI1097"/>
      <c r="TLJ1097"/>
      <c r="TLM1097"/>
      <c r="TLN1097"/>
      <c r="TLQ1097"/>
      <c r="TLR1097"/>
      <c r="TLU1097"/>
      <c r="TLV1097"/>
      <c r="TLY1097"/>
      <c r="TLZ1097"/>
      <c r="TMC1097"/>
      <c r="TMD1097"/>
      <c r="TMG1097"/>
      <c r="TMH1097"/>
      <c r="TMK1097"/>
      <c r="TML1097"/>
      <c r="TMO1097"/>
      <c r="TMP1097"/>
      <c r="TMS1097"/>
      <c r="TMT1097"/>
      <c r="TMW1097"/>
      <c r="TMX1097"/>
      <c r="TNA1097"/>
      <c r="TNB1097"/>
      <c r="TNE1097"/>
      <c r="TNF1097"/>
      <c r="TNI1097"/>
      <c r="TNJ1097"/>
      <c r="TNM1097"/>
      <c r="TNN1097"/>
      <c r="TNQ1097"/>
      <c r="TNR1097"/>
      <c r="TNU1097"/>
      <c r="TNV1097"/>
      <c r="TNY1097"/>
      <c r="TNZ1097"/>
      <c r="TOC1097"/>
      <c r="TOD1097"/>
      <c r="TOG1097"/>
      <c r="TOH1097"/>
      <c r="TOK1097"/>
      <c r="TOL1097"/>
      <c r="TOO1097"/>
      <c r="TOP1097"/>
      <c r="TOS1097"/>
      <c r="TOT1097"/>
      <c r="TOW1097"/>
      <c r="TOX1097"/>
      <c r="TPA1097"/>
      <c r="TPB1097"/>
      <c r="TPE1097"/>
      <c r="TPF1097"/>
      <c r="TPI1097"/>
      <c r="TPJ1097"/>
      <c r="TPM1097"/>
      <c r="TPN1097"/>
      <c r="TPQ1097"/>
      <c r="TPR1097"/>
      <c r="TPU1097"/>
      <c r="TPV1097"/>
      <c r="TPY1097"/>
      <c r="TPZ1097"/>
      <c r="TQC1097"/>
      <c r="TQD1097"/>
      <c r="TQG1097"/>
      <c r="TQH1097"/>
      <c r="TQK1097"/>
      <c r="TQL1097"/>
      <c r="TQO1097"/>
      <c r="TQP1097"/>
      <c r="TQS1097"/>
      <c r="TQT1097"/>
      <c r="TQW1097"/>
      <c r="TQX1097"/>
      <c r="TRA1097"/>
      <c r="TRB1097"/>
      <c r="TRE1097"/>
      <c r="TRF1097"/>
      <c r="TRI1097"/>
      <c r="TRJ1097"/>
      <c r="TRM1097"/>
      <c r="TRN1097"/>
      <c r="TRQ1097"/>
      <c r="TRR1097"/>
      <c r="TRU1097"/>
      <c r="TRV1097"/>
      <c r="TRY1097"/>
      <c r="TRZ1097"/>
      <c r="TSC1097"/>
      <c r="TSD1097"/>
      <c r="TSG1097"/>
      <c r="TSH1097"/>
      <c r="TSK1097"/>
      <c r="TSL1097"/>
      <c r="TSO1097"/>
      <c r="TSP1097"/>
      <c r="TSS1097"/>
      <c r="TST1097"/>
      <c r="TSW1097"/>
      <c r="TSX1097"/>
      <c r="TTA1097"/>
      <c r="TTB1097"/>
      <c r="TTE1097"/>
      <c r="TTF1097"/>
      <c r="TTI1097"/>
      <c r="TTJ1097"/>
      <c r="TTM1097"/>
      <c r="TTN1097"/>
      <c r="TTQ1097"/>
      <c r="TTR1097"/>
      <c r="TTU1097"/>
      <c r="TTV1097"/>
      <c r="TTY1097"/>
      <c r="TTZ1097"/>
      <c r="TUC1097"/>
      <c r="TUD1097"/>
      <c r="TUG1097"/>
      <c r="TUH1097"/>
      <c r="TUK1097"/>
      <c r="TUL1097"/>
      <c r="TUO1097"/>
      <c r="TUP1097"/>
      <c r="TUS1097"/>
      <c r="TUT1097"/>
      <c r="TUW1097"/>
      <c r="TUX1097"/>
      <c r="TVA1097"/>
      <c r="TVB1097"/>
      <c r="TVE1097"/>
      <c r="TVF1097"/>
      <c r="TVI1097"/>
      <c r="TVJ1097"/>
      <c r="TVM1097"/>
      <c r="TVN1097"/>
      <c r="TVQ1097"/>
      <c r="TVR1097"/>
      <c r="TVU1097"/>
      <c r="TVV1097"/>
      <c r="TVY1097"/>
      <c r="TVZ1097"/>
      <c r="TWC1097"/>
      <c r="TWD1097"/>
      <c r="TWG1097"/>
      <c r="TWH1097"/>
      <c r="TWK1097"/>
      <c r="TWL1097"/>
      <c r="TWO1097"/>
      <c r="TWP1097"/>
      <c r="TWS1097"/>
      <c r="TWT1097"/>
      <c r="TWW1097"/>
      <c r="TWX1097"/>
      <c r="TXA1097"/>
      <c r="TXB1097"/>
      <c r="TXE1097"/>
      <c r="TXF1097"/>
      <c r="TXI1097"/>
      <c r="TXJ1097"/>
      <c r="TXM1097"/>
      <c r="TXN1097"/>
      <c r="TXQ1097"/>
      <c r="TXR1097"/>
      <c r="TXU1097"/>
      <c r="TXV1097"/>
      <c r="TXY1097"/>
      <c r="TXZ1097"/>
      <c r="TYC1097"/>
      <c r="TYD1097"/>
      <c r="TYG1097"/>
      <c r="TYH1097"/>
      <c r="TYK1097"/>
      <c r="TYL1097"/>
      <c r="TYO1097"/>
      <c r="TYP1097"/>
      <c r="TYS1097"/>
      <c r="TYT1097"/>
      <c r="TYW1097"/>
      <c r="TYX1097"/>
      <c r="TZA1097"/>
      <c r="TZB1097"/>
      <c r="TZE1097"/>
      <c r="TZF1097"/>
      <c r="TZI1097"/>
      <c r="TZJ1097"/>
      <c r="TZM1097"/>
      <c r="TZN1097"/>
      <c r="TZQ1097"/>
      <c r="TZR1097"/>
      <c r="TZU1097"/>
      <c r="TZV1097"/>
      <c r="TZY1097"/>
      <c r="TZZ1097"/>
      <c r="UAC1097"/>
      <c r="UAD1097"/>
      <c r="UAG1097"/>
      <c r="UAH1097"/>
      <c r="UAK1097"/>
      <c r="UAL1097"/>
      <c r="UAO1097"/>
      <c r="UAP1097"/>
      <c r="UAS1097"/>
      <c r="UAT1097"/>
      <c r="UAW1097"/>
      <c r="UAX1097"/>
      <c r="UBA1097"/>
      <c r="UBB1097"/>
      <c r="UBE1097"/>
      <c r="UBF1097"/>
      <c r="UBI1097"/>
      <c r="UBJ1097"/>
      <c r="UBM1097"/>
      <c r="UBN1097"/>
      <c r="UBQ1097"/>
      <c r="UBR1097"/>
      <c r="UBU1097"/>
      <c r="UBV1097"/>
      <c r="UBY1097"/>
      <c r="UBZ1097"/>
      <c r="UCC1097"/>
      <c r="UCD1097"/>
      <c r="UCG1097"/>
      <c r="UCH1097"/>
      <c r="UCK1097"/>
      <c r="UCL1097"/>
      <c r="UCO1097"/>
      <c r="UCP1097"/>
      <c r="UCS1097"/>
      <c r="UCT1097"/>
      <c r="UCW1097"/>
      <c r="UCX1097"/>
      <c r="UDA1097"/>
      <c r="UDB1097"/>
      <c r="UDE1097"/>
      <c r="UDF1097"/>
      <c r="UDI1097"/>
      <c r="UDJ1097"/>
      <c r="UDM1097"/>
      <c r="UDN1097"/>
      <c r="UDQ1097"/>
      <c r="UDR1097"/>
      <c r="UDU1097"/>
      <c r="UDV1097"/>
      <c r="UDY1097"/>
      <c r="UDZ1097"/>
      <c r="UEC1097"/>
      <c r="UED1097"/>
      <c r="UEG1097"/>
      <c r="UEH1097"/>
      <c r="UEK1097"/>
      <c r="UEL1097"/>
      <c r="UEO1097"/>
      <c r="UEP1097"/>
      <c r="UES1097"/>
      <c r="UET1097"/>
      <c r="UEW1097"/>
      <c r="UEX1097"/>
      <c r="UFA1097"/>
      <c r="UFB1097"/>
      <c r="UFE1097"/>
      <c r="UFF1097"/>
      <c r="UFI1097"/>
      <c r="UFJ1097"/>
      <c r="UFM1097"/>
      <c r="UFN1097"/>
      <c r="UFQ1097"/>
      <c r="UFR1097"/>
      <c r="UFU1097"/>
      <c r="UFV1097"/>
      <c r="UFY1097"/>
      <c r="UFZ1097"/>
      <c r="UGC1097"/>
      <c r="UGD1097"/>
      <c r="UGG1097"/>
      <c r="UGH1097"/>
      <c r="UGK1097"/>
      <c r="UGL1097"/>
      <c r="UGO1097"/>
      <c r="UGP1097"/>
      <c r="UGS1097"/>
      <c r="UGT1097"/>
      <c r="UGW1097"/>
      <c r="UGX1097"/>
      <c r="UHA1097"/>
      <c r="UHB1097"/>
      <c r="UHE1097"/>
      <c r="UHF1097"/>
      <c r="UHI1097"/>
      <c r="UHJ1097"/>
      <c r="UHM1097"/>
      <c r="UHN1097"/>
      <c r="UHQ1097"/>
      <c r="UHR1097"/>
      <c r="UHU1097"/>
      <c r="UHV1097"/>
      <c r="UHY1097"/>
      <c r="UHZ1097"/>
      <c r="UIC1097"/>
      <c r="UID1097"/>
      <c r="UIG1097"/>
      <c r="UIH1097"/>
      <c r="UIK1097"/>
      <c r="UIL1097"/>
      <c r="UIO1097"/>
      <c r="UIP1097"/>
      <c r="UIS1097"/>
      <c r="UIT1097"/>
      <c r="UIW1097"/>
      <c r="UIX1097"/>
      <c r="UJA1097"/>
      <c r="UJB1097"/>
      <c r="UJE1097"/>
      <c r="UJF1097"/>
      <c r="UJI1097"/>
      <c r="UJJ1097"/>
      <c r="UJM1097"/>
      <c r="UJN1097"/>
      <c r="UJQ1097"/>
      <c r="UJR1097"/>
      <c r="UJU1097"/>
      <c r="UJV1097"/>
      <c r="UJY1097"/>
      <c r="UJZ1097"/>
      <c r="UKC1097"/>
      <c r="UKD1097"/>
      <c r="UKG1097"/>
      <c r="UKH1097"/>
      <c r="UKK1097"/>
      <c r="UKL1097"/>
      <c r="UKO1097"/>
      <c r="UKP1097"/>
      <c r="UKS1097"/>
      <c r="UKT1097"/>
      <c r="UKW1097"/>
      <c r="UKX1097"/>
      <c r="ULA1097"/>
      <c r="ULB1097"/>
      <c r="ULE1097"/>
      <c r="ULF1097"/>
      <c r="ULI1097"/>
      <c r="ULJ1097"/>
      <c r="ULM1097"/>
      <c r="ULN1097"/>
      <c r="ULQ1097"/>
      <c r="ULR1097"/>
      <c r="ULU1097"/>
      <c r="ULV1097"/>
      <c r="ULY1097"/>
      <c r="ULZ1097"/>
      <c r="UMC1097"/>
      <c r="UMD1097"/>
      <c r="UMG1097"/>
      <c r="UMH1097"/>
      <c r="UMK1097"/>
      <c r="UML1097"/>
      <c r="UMO1097"/>
      <c r="UMP1097"/>
      <c r="UMS1097"/>
      <c r="UMT1097"/>
      <c r="UMW1097"/>
      <c r="UMX1097"/>
      <c r="UNA1097"/>
      <c r="UNB1097"/>
      <c r="UNE1097"/>
      <c r="UNF1097"/>
      <c r="UNI1097"/>
      <c r="UNJ1097"/>
      <c r="UNM1097"/>
      <c r="UNN1097"/>
      <c r="UNQ1097"/>
      <c r="UNR1097"/>
      <c r="UNU1097"/>
      <c r="UNV1097"/>
      <c r="UNY1097"/>
      <c r="UNZ1097"/>
      <c r="UOC1097"/>
      <c r="UOD1097"/>
      <c r="UOG1097"/>
      <c r="UOH1097"/>
      <c r="UOK1097"/>
      <c r="UOL1097"/>
      <c r="UOO1097"/>
      <c r="UOP1097"/>
      <c r="UOS1097"/>
      <c r="UOT1097"/>
      <c r="UOW1097"/>
      <c r="UOX1097"/>
      <c r="UPA1097"/>
      <c r="UPB1097"/>
      <c r="UPE1097"/>
      <c r="UPF1097"/>
      <c r="UPI1097"/>
      <c r="UPJ1097"/>
      <c r="UPM1097"/>
      <c r="UPN1097"/>
      <c r="UPQ1097"/>
      <c r="UPR1097"/>
      <c r="UPU1097"/>
      <c r="UPV1097"/>
      <c r="UPY1097"/>
      <c r="UPZ1097"/>
      <c r="UQC1097"/>
      <c r="UQD1097"/>
      <c r="UQG1097"/>
      <c r="UQH1097"/>
      <c r="UQK1097"/>
      <c r="UQL1097"/>
      <c r="UQO1097"/>
      <c r="UQP1097"/>
      <c r="UQS1097"/>
      <c r="UQT1097"/>
      <c r="UQW1097"/>
      <c r="UQX1097"/>
      <c r="URA1097"/>
      <c r="URB1097"/>
      <c r="URE1097"/>
      <c r="URF1097"/>
      <c r="URI1097"/>
      <c r="URJ1097"/>
      <c r="URM1097"/>
      <c r="URN1097"/>
      <c r="URQ1097"/>
      <c r="URR1097"/>
      <c r="URU1097"/>
      <c r="URV1097"/>
      <c r="URY1097"/>
      <c r="URZ1097"/>
      <c r="USC1097"/>
      <c r="USD1097"/>
      <c r="USG1097"/>
      <c r="USH1097"/>
      <c r="USK1097"/>
      <c r="USL1097"/>
      <c r="USO1097"/>
      <c r="USP1097"/>
      <c r="USS1097"/>
      <c r="UST1097"/>
      <c r="USW1097"/>
      <c r="USX1097"/>
      <c r="UTA1097"/>
      <c r="UTB1097"/>
      <c r="UTE1097"/>
      <c r="UTF1097"/>
      <c r="UTI1097"/>
      <c r="UTJ1097"/>
      <c r="UTM1097"/>
      <c r="UTN1097"/>
      <c r="UTQ1097"/>
      <c r="UTR1097"/>
      <c r="UTU1097"/>
      <c r="UTV1097"/>
      <c r="UTY1097"/>
      <c r="UTZ1097"/>
      <c r="UUC1097"/>
      <c r="UUD1097"/>
      <c r="UUG1097"/>
      <c r="UUH1097"/>
      <c r="UUK1097"/>
      <c r="UUL1097"/>
      <c r="UUO1097"/>
      <c r="UUP1097"/>
      <c r="UUS1097"/>
      <c r="UUT1097"/>
      <c r="UUW1097"/>
      <c r="UUX1097"/>
      <c r="UVA1097"/>
      <c r="UVB1097"/>
      <c r="UVE1097"/>
      <c r="UVF1097"/>
      <c r="UVI1097"/>
      <c r="UVJ1097"/>
      <c r="UVM1097"/>
      <c r="UVN1097"/>
      <c r="UVQ1097"/>
      <c r="UVR1097"/>
      <c r="UVU1097"/>
      <c r="UVV1097"/>
      <c r="UVY1097"/>
      <c r="UVZ1097"/>
      <c r="UWC1097"/>
      <c r="UWD1097"/>
      <c r="UWG1097"/>
      <c r="UWH1097"/>
      <c r="UWK1097"/>
      <c r="UWL1097"/>
      <c r="UWO1097"/>
      <c r="UWP1097"/>
      <c r="UWS1097"/>
      <c r="UWT1097"/>
      <c r="UWW1097"/>
      <c r="UWX1097"/>
      <c r="UXA1097"/>
      <c r="UXB1097"/>
      <c r="UXE1097"/>
      <c r="UXF1097"/>
      <c r="UXI1097"/>
      <c r="UXJ1097"/>
      <c r="UXM1097"/>
      <c r="UXN1097"/>
      <c r="UXQ1097"/>
      <c r="UXR1097"/>
      <c r="UXU1097"/>
      <c r="UXV1097"/>
      <c r="UXY1097"/>
      <c r="UXZ1097"/>
      <c r="UYC1097"/>
      <c r="UYD1097"/>
      <c r="UYG1097"/>
      <c r="UYH1097"/>
      <c r="UYK1097"/>
      <c r="UYL1097"/>
      <c r="UYO1097"/>
      <c r="UYP1097"/>
      <c r="UYS1097"/>
      <c r="UYT1097"/>
      <c r="UYW1097"/>
      <c r="UYX1097"/>
      <c r="UZA1097"/>
      <c r="UZB1097"/>
      <c r="UZE1097"/>
      <c r="UZF1097"/>
      <c r="UZI1097"/>
      <c r="UZJ1097"/>
      <c r="UZM1097"/>
      <c r="UZN1097"/>
      <c r="UZQ1097"/>
      <c r="UZR1097"/>
      <c r="UZU1097"/>
      <c r="UZV1097"/>
      <c r="UZY1097"/>
      <c r="UZZ1097"/>
      <c r="VAC1097"/>
      <c r="VAD1097"/>
      <c r="VAG1097"/>
      <c r="VAH1097"/>
      <c r="VAK1097"/>
      <c r="VAL1097"/>
      <c r="VAO1097"/>
      <c r="VAP1097"/>
      <c r="VAS1097"/>
      <c r="VAT1097"/>
      <c r="VAW1097"/>
      <c r="VAX1097"/>
      <c r="VBA1097"/>
      <c r="VBB1097"/>
      <c r="VBE1097"/>
      <c r="VBF1097"/>
      <c r="VBI1097"/>
      <c r="VBJ1097"/>
      <c r="VBM1097"/>
      <c r="VBN1097"/>
      <c r="VBQ1097"/>
      <c r="VBR1097"/>
      <c r="VBU1097"/>
      <c r="VBV1097"/>
      <c r="VBY1097"/>
      <c r="VBZ1097"/>
      <c r="VCC1097"/>
      <c r="VCD1097"/>
      <c r="VCG1097"/>
      <c r="VCH1097"/>
      <c r="VCK1097"/>
      <c r="VCL1097"/>
      <c r="VCO1097"/>
      <c r="VCP1097"/>
      <c r="VCS1097"/>
      <c r="VCT1097"/>
      <c r="VCW1097"/>
      <c r="VCX1097"/>
      <c r="VDA1097"/>
      <c r="VDB1097"/>
      <c r="VDE1097"/>
      <c r="VDF1097"/>
      <c r="VDI1097"/>
      <c r="VDJ1097"/>
      <c r="VDM1097"/>
      <c r="VDN1097"/>
      <c r="VDQ1097"/>
      <c r="VDR1097"/>
      <c r="VDU1097"/>
      <c r="VDV1097"/>
      <c r="VDY1097"/>
      <c r="VDZ1097"/>
      <c r="VEC1097"/>
      <c r="VED1097"/>
      <c r="VEG1097"/>
      <c r="VEH1097"/>
      <c r="VEK1097"/>
      <c r="VEL1097"/>
      <c r="VEO1097"/>
      <c r="VEP1097"/>
      <c r="VES1097"/>
      <c r="VET1097"/>
      <c r="VEW1097"/>
      <c r="VEX1097"/>
      <c r="VFA1097"/>
      <c r="VFB1097"/>
      <c r="VFE1097"/>
      <c r="VFF1097"/>
      <c r="VFI1097"/>
      <c r="VFJ1097"/>
      <c r="VFM1097"/>
      <c r="VFN1097"/>
      <c r="VFQ1097"/>
      <c r="VFR1097"/>
      <c r="VFU1097"/>
      <c r="VFV1097"/>
      <c r="VFY1097"/>
      <c r="VFZ1097"/>
      <c r="VGC1097"/>
      <c r="VGD1097"/>
      <c r="VGG1097"/>
      <c r="VGH1097"/>
      <c r="VGK1097"/>
      <c r="VGL1097"/>
      <c r="VGO1097"/>
      <c r="VGP1097"/>
      <c r="VGS1097"/>
      <c r="VGT1097"/>
      <c r="VGW1097"/>
      <c r="VGX1097"/>
      <c r="VHA1097"/>
      <c r="VHB1097"/>
      <c r="VHE1097"/>
      <c r="VHF1097"/>
      <c r="VHI1097"/>
      <c r="VHJ1097"/>
      <c r="VHM1097"/>
      <c r="VHN1097"/>
      <c r="VHQ1097"/>
      <c r="VHR1097"/>
      <c r="VHU1097"/>
      <c r="VHV1097"/>
      <c r="VHY1097"/>
      <c r="VHZ1097"/>
      <c r="VIC1097"/>
      <c r="VID1097"/>
      <c r="VIG1097"/>
      <c r="VIH1097"/>
      <c r="VIK1097"/>
      <c r="VIL1097"/>
      <c r="VIO1097"/>
      <c r="VIP1097"/>
      <c r="VIS1097"/>
      <c r="VIT1097"/>
      <c r="VIW1097"/>
      <c r="VIX1097"/>
      <c r="VJA1097"/>
      <c r="VJB1097"/>
      <c r="VJE1097"/>
      <c r="VJF1097"/>
      <c r="VJI1097"/>
      <c r="VJJ1097"/>
      <c r="VJM1097"/>
      <c r="VJN1097"/>
      <c r="VJQ1097"/>
      <c r="VJR1097"/>
      <c r="VJU1097"/>
      <c r="VJV1097"/>
      <c r="VJY1097"/>
      <c r="VJZ1097"/>
      <c r="VKC1097"/>
      <c r="VKD1097"/>
      <c r="VKG1097"/>
      <c r="VKH1097"/>
      <c r="VKK1097"/>
      <c r="VKL1097"/>
      <c r="VKO1097"/>
      <c r="VKP1097"/>
      <c r="VKS1097"/>
      <c r="VKT1097"/>
      <c r="VKW1097"/>
      <c r="VKX1097"/>
      <c r="VLA1097"/>
      <c r="VLB1097"/>
      <c r="VLE1097"/>
      <c r="VLF1097"/>
      <c r="VLI1097"/>
      <c r="VLJ1097"/>
      <c r="VLM1097"/>
      <c r="VLN1097"/>
      <c r="VLQ1097"/>
      <c r="VLR1097"/>
      <c r="VLU1097"/>
      <c r="VLV1097"/>
      <c r="VLY1097"/>
      <c r="VLZ1097"/>
      <c r="VMC1097"/>
      <c r="VMD1097"/>
      <c r="VMG1097"/>
      <c r="VMH1097"/>
      <c r="VMK1097"/>
      <c r="VML1097"/>
      <c r="VMO1097"/>
      <c r="VMP1097"/>
      <c r="VMS1097"/>
      <c r="VMT1097"/>
      <c r="VMW1097"/>
      <c r="VMX1097"/>
      <c r="VNA1097"/>
      <c r="VNB1097"/>
      <c r="VNE1097"/>
      <c r="VNF1097"/>
      <c r="VNI1097"/>
      <c r="VNJ1097"/>
      <c r="VNM1097"/>
      <c r="VNN1097"/>
      <c r="VNQ1097"/>
      <c r="VNR1097"/>
      <c r="VNU1097"/>
      <c r="VNV1097"/>
      <c r="VNY1097"/>
      <c r="VNZ1097"/>
      <c r="VOC1097"/>
      <c r="VOD1097"/>
      <c r="VOG1097"/>
      <c r="VOH1097"/>
      <c r="VOK1097"/>
      <c r="VOL1097"/>
      <c r="VOO1097"/>
      <c r="VOP1097"/>
      <c r="VOS1097"/>
      <c r="VOT1097"/>
      <c r="VOW1097"/>
      <c r="VOX1097"/>
      <c r="VPA1097"/>
      <c r="VPB1097"/>
      <c r="VPE1097"/>
      <c r="VPF1097"/>
      <c r="VPI1097"/>
      <c r="VPJ1097"/>
      <c r="VPM1097"/>
      <c r="VPN1097"/>
      <c r="VPQ1097"/>
      <c r="VPR1097"/>
      <c r="VPU1097"/>
      <c r="VPV1097"/>
      <c r="VPY1097"/>
      <c r="VPZ1097"/>
      <c r="VQC1097"/>
      <c r="VQD1097"/>
      <c r="VQG1097"/>
      <c r="VQH1097"/>
      <c r="VQK1097"/>
      <c r="VQL1097"/>
      <c r="VQO1097"/>
      <c r="VQP1097"/>
      <c r="VQS1097"/>
      <c r="VQT1097"/>
      <c r="VQW1097"/>
      <c r="VQX1097"/>
      <c r="VRA1097"/>
      <c r="VRB1097"/>
      <c r="VRE1097"/>
      <c r="VRF1097"/>
      <c r="VRI1097"/>
      <c r="VRJ1097"/>
      <c r="VRM1097"/>
      <c r="VRN1097"/>
      <c r="VRQ1097"/>
      <c r="VRR1097"/>
      <c r="VRU1097"/>
      <c r="VRV1097"/>
      <c r="VRY1097"/>
      <c r="VRZ1097"/>
      <c r="VSC1097"/>
      <c r="VSD1097"/>
      <c r="VSG1097"/>
      <c r="VSH1097"/>
      <c r="VSK1097"/>
      <c r="VSL1097"/>
      <c r="VSO1097"/>
      <c r="VSP1097"/>
      <c r="VSS1097"/>
      <c r="VST1097"/>
      <c r="VSW1097"/>
      <c r="VSX1097"/>
      <c r="VTA1097"/>
      <c r="VTB1097"/>
      <c r="VTE1097"/>
      <c r="VTF1097"/>
      <c r="VTI1097"/>
      <c r="VTJ1097"/>
      <c r="VTM1097"/>
      <c r="VTN1097"/>
      <c r="VTQ1097"/>
      <c r="VTR1097"/>
      <c r="VTU1097"/>
      <c r="VTV1097"/>
      <c r="VTY1097"/>
      <c r="VTZ1097"/>
      <c r="VUC1097"/>
      <c r="VUD1097"/>
      <c r="VUG1097"/>
      <c r="VUH1097"/>
      <c r="VUK1097"/>
      <c r="VUL1097"/>
      <c r="VUO1097"/>
      <c r="VUP1097"/>
      <c r="VUS1097"/>
      <c r="VUT1097"/>
      <c r="VUW1097"/>
      <c r="VUX1097"/>
      <c r="VVA1097"/>
      <c r="VVB1097"/>
      <c r="VVE1097"/>
      <c r="VVF1097"/>
      <c r="VVI1097"/>
      <c r="VVJ1097"/>
      <c r="VVM1097"/>
      <c r="VVN1097"/>
      <c r="VVQ1097"/>
      <c r="VVR1097"/>
      <c r="VVU1097"/>
      <c r="VVV1097"/>
      <c r="VVY1097"/>
      <c r="VVZ1097"/>
      <c r="VWC1097"/>
      <c r="VWD1097"/>
      <c r="VWG1097"/>
      <c r="VWH1097"/>
      <c r="VWK1097"/>
      <c r="VWL1097"/>
      <c r="VWO1097"/>
      <c r="VWP1097"/>
      <c r="VWS1097"/>
      <c r="VWT1097"/>
      <c r="VWW1097"/>
      <c r="VWX1097"/>
      <c r="VXA1097"/>
      <c r="VXB1097"/>
      <c r="VXE1097"/>
      <c r="VXF1097"/>
      <c r="VXI1097"/>
      <c r="VXJ1097"/>
      <c r="VXM1097"/>
      <c r="VXN1097"/>
      <c r="VXQ1097"/>
      <c r="VXR1097"/>
      <c r="VXU1097"/>
      <c r="VXV1097"/>
      <c r="VXY1097"/>
      <c r="VXZ1097"/>
      <c r="VYC1097"/>
      <c r="VYD1097"/>
      <c r="VYG1097"/>
      <c r="VYH1097"/>
      <c r="VYK1097"/>
      <c r="VYL1097"/>
      <c r="VYO1097"/>
      <c r="VYP1097"/>
      <c r="VYS1097"/>
      <c r="VYT1097"/>
      <c r="VYW1097"/>
      <c r="VYX1097"/>
      <c r="VZA1097"/>
      <c r="VZB1097"/>
      <c r="VZE1097"/>
      <c r="VZF1097"/>
      <c r="VZI1097"/>
      <c r="VZJ1097"/>
      <c r="VZM1097"/>
      <c r="VZN1097"/>
      <c r="VZQ1097"/>
      <c r="VZR1097"/>
      <c r="VZU1097"/>
      <c r="VZV1097"/>
      <c r="VZY1097"/>
      <c r="VZZ1097"/>
      <c r="WAC1097"/>
      <c r="WAD1097"/>
      <c r="WAG1097"/>
      <c r="WAH1097"/>
      <c r="WAK1097"/>
      <c r="WAL1097"/>
      <c r="WAO1097"/>
      <c r="WAP1097"/>
      <c r="WAS1097"/>
      <c r="WAT1097"/>
      <c r="WAW1097"/>
      <c r="WAX1097"/>
      <c r="WBA1097"/>
      <c r="WBB1097"/>
      <c r="WBE1097"/>
      <c r="WBF1097"/>
      <c r="WBI1097"/>
      <c r="WBJ1097"/>
      <c r="WBM1097"/>
      <c r="WBN1097"/>
      <c r="WBQ1097"/>
      <c r="WBR1097"/>
      <c r="WBU1097"/>
      <c r="WBV1097"/>
      <c r="WBY1097"/>
      <c r="WBZ1097"/>
      <c r="WCC1097"/>
      <c r="WCD1097"/>
      <c r="WCG1097"/>
      <c r="WCH1097"/>
      <c r="WCK1097"/>
      <c r="WCL1097"/>
      <c r="WCO1097"/>
      <c r="WCP1097"/>
      <c r="WCS1097"/>
      <c r="WCT1097"/>
      <c r="WCW1097"/>
      <c r="WCX1097"/>
      <c r="WDA1097"/>
      <c r="WDB1097"/>
      <c r="WDE1097"/>
      <c r="WDF1097"/>
      <c r="WDI1097"/>
      <c r="WDJ1097"/>
      <c r="WDM1097"/>
      <c r="WDN1097"/>
      <c r="WDQ1097"/>
      <c r="WDR1097"/>
      <c r="WDU1097"/>
      <c r="WDV1097"/>
      <c r="WDY1097"/>
      <c r="WDZ1097"/>
      <c r="WEC1097"/>
      <c r="WED1097"/>
      <c r="WEG1097"/>
      <c r="WEH1097"/>
      <c r="WEK1097"/>
      <c r="WEL1097"/>
      <c r="WEO1097"/>
      <c r="WEP1097"/>
      <c r="WES1097"/>
      <c r="WET1097"/>
      <c r="WEW1097"/>
      <c r="WEX1097"/>
      <c r="WFA1097"/>
      <c r="WFB1097"/>
      <c r="WFE1097"/>
      <c r="WFF1097"/>
      <c r="WFI1097"/>
      <c r="WFJ1097"/>
      <c r="WFM1097"/>
      <c r="WFN1097"/>
      <c r="WFQ1097"/>
      <c r="WFR1097"/>
      <c r="WFU1097"/>
      <c r="WFV1097"/>
      <c r="WFY1097"/>
      <c r="WFZ1097"/>
      <c r="WGC1097"/>
      <c r="WGD1097"/>
      <c r="WGG1097"/>
      <c r="WGH1097"/>
      <c r="WGK1097"/>
      <c r="WGL1097"/>
      <c r="WGO1097"/>
      <c r="WGP1097"/>
      <c r="WGS1097"/>
      <c r="WGT1097"/>
      <c r="WGW1097"/>
      <c r="WGX1097"/>
      <c r="WHA1097"/>
      <c r="WHB1097"/>
      <c r="WHE1097"/>
      <c r="WHF1097"/>
      <c r="WHI1097"/>
      <c r="WHJ1097"/>
      <c r="WHM1097"/>
      <c r="WHN1097"/>
      <c r="WHQ1097"/>
      <c r="WHR1097"/>
      <c r="WHU1097"/>
      <c r="WHV1097"/>
      <c r="WHY1097"/>
      <c r="WHZ1097"/>
      <c r="WIC1097"/>
      <c r="WID1097"/>
      <c r="WIG1097"/>
      <c r="WIH1097"/>
      <c r="WIK1097"/>
      <c r="WIL1097"/>
      <c r="WIO1097"/>
      <c r="WIP1097"/>
      <c r="WIS1097"/>
      <c r="WIT1097"/>
      <c r="WIW1097"/>
      <c r="WIX1097"/>
      <c r="WJA1097"/>
      <c r="WJB1097"/>
      <c r="WJE1097"/>
      <c r="WJF1097"/>
      <c r="WJI1097"/>
      <c r="WJJ1097"/>
      <c r="WJM1097"/>
      <c r="WJN1097"/>
      <c r="WJQ1097"/>
      <c r="WJR1097"/>
      <c r="WJU1097"/>
      <c r="WJV1097"/>
      <c r="WJY1097"/>
      <c r="WJZ1097"/>
      <c r="WKC1097"/>
      <c r="WKD1097"/>
      <c r="WKG1097"/>
      <c r="WKH1097"/>
      <c r="WKK1097"/>
      <c r="WKL1097"/>
      <c r="WKO1097"/>
      <c r="WKP1097"/>
      <c r="WKS1097"/>
      <c r="WKT1097"/>
      <c r="WKW1097"/>
      <c r="WKX1097"/>
      <c r="WLA1097"/>
      <c r="WLB1097"/>
      <c r="WLE1097"/>
      <c r="WLF1097"/>
      <c r="WLI1097"/>
      <c r="WLJ1097"/>
      <c r="WLM1097"/>
      <c r="WLN1097"/>
      <c r="WLQ1097"/>
      <c r="WLR1097"/>
      <c r="WLU1097"/>
      <c r="WLV1097"/>
      <c r="WLY1097"/>
      <c r="WLZ1097"/>
      <c r="WMC1097"/>
      <c r="WMD1097"/>
      <c r="WMG1097"/>
      <c r="WMH1097"/>
      <c r="WMK1097"/>
      <c r="WML1097"/>
      <c r="WMO1097"/>
      <c r="WMP1097"/>
      <c r="WMS1097"/>
      <c r="WMT1097"/>
      <c r="WMW1097"/>
      <c r="WMX1097"/>
      <c r="WNA1097"/>
      <c r="WNB1097"/>
      <c r="WNE1097"/>
      <c r="WNF1097"/>
      <c r="WNI1097"/>
      <c r="WNJ1097"/>
      <c r="WNM1097"/>
      <c r="WNN1097"/>
      <c r="WNQ1097"/>
      <c r="WNR1097"/>
      <c r="WNU1097"/>
      <c r="WNV1097"/>
      <c r="WNY1097"/>
      <c r="WNZ1097"/>
      <c r="WOC1097"/>
      <c r="WOD1097"/>
      <c r="WOG1097"/>
      <c r="WOH1097"/>
      <c r="WOK1097"/>
      <c r="WOL1097"/>
      <c r="WOO1097"/>
      <c r="WOP1097"/>
      <c r="WOS1097"/>
      <c r="WOT1097"/>
      <c r="WOW1097"/>
      <c r="WOX1097"/>
      <c r="WPA1097"/>
      <c r="WPB1097"/>
      <c r="WPE1097"/>
      <c r="WPF1097"/>
      <c r="WPI1097"/>
      <c r="WPJ1097"/>
      <c r="WPM1097"/>
      <c r="WPN1097"/>
      <c r="WPQ1097"/>
      <c r="WPR1097"/>
      <c r="WPU1097"/>
      <c r="WPV1097"/>
      <c r="WPY1097"/>
      <c r="WPZ1097"/>
      <c r="WQC1097"/>
      <c r="WQD1097"/>
      <c r="WQG1097"/>
      <c r="WQH1097"/>
      <c r="WQK1097"/>
      <c r="WQL1097"/>
      <c r="WQO1097"/>
      <c r="WQP1097"/>
      <c r="WQS1097"/>
      <c r="WQT1097"/>
      <c r="WQW1097"/>
      <c r="WQX1097"/>
      <c r="WRA1097"/>
      <c r="WRB1097"/>
      <c r="WRE1097"/>
      <c r="WRF1097"/>
      <c r="WRI1097"/>
      <c r="WRJ1097"/>
      <c r="WRM1097"/>
      <c r="WRN1097"/>
      <c r="WRQ1097"/>
      <c r="WRR1097"/>
      <c r="WRU1097"/>
      <c r="WRV1097"/>
      <c r="WRY1097"/>
      <c r="WRZ1097"/>
      <c r="WSC1097"/>
      <c r="WSD1097"/>
      <c r="WSG1097"/>
      <c r="WSH1097"/>
      <c r="WSK1097"/>
      <c r="WSL1097"/>
      <c r="WSO1097"/>
      <c r="WSP1097"/>
      <c r="WSS1097"/>
      <c r="WST1097"/>
      <c r="WSW1097"/>
      <c r="WSX1097"/>
      <c r="WTA1097"/>
      <c r="WTB1097"/>
      <c r="WTE1097"/>
      <c r="WTF1097"/>
      <c r="WTI1097"/>
      <c r="WTJ1097"/>
      <c r="WTM1097"/>
      <c r="WTN1097"/>
      <c r="WTQ1097"/>
      <c r="WTR1097"/>
      <c r="WTU1097"/>
      <c r="WTV1097"/>
      <c r="WTY1097"/>
      <c r="WTZ1097"/>
      <c r="WUC1097"/>
      <c r="WUD1097"/>
      <c r="WUG1097"/>
      <c r="WUH1097"/>
      <c r="WUK1097"/>
      <c r="WUL1097"/>
      <c r="WUO1097"/>
      <c r="WUP1097"/>
      <c r="WUS1097"/>
      <c r="WUT1097"/>
      <c r="WUW1097"/>
      <c r="WUX1097"/>
      <c r="WVA1097"/>
      <c r="WVB1097"/>
      <c r="WVE1097"/>
      <c r="WVF1097"/>
      <c r="WVI1097"/>
      <c r="WVJ1097"/>
      <c r="WVM1097"/>
      <c r="WVN1097"/>
      <c r="WVQ1097"/>
      <c r="WVR1097"/>
      <c r="WVU1097"/>
      <c r="WVV1097"/>
      <c r="WVY1097"/>
      <c r="WVZ1097"/>
      <c r="WWC1097"/>
      <c r="WWD1097"/>
      <c r="WWG1097"/>
      <c r="WWH1097"/>
      <c r="WWK1097"/>
      <c r="WWL1097"/>
      <c r="WWO1097"/>
      <c r="WWP1097"/>
      <c r="WWS1097"/>
      <c r="WWT1097"/>
      <c r="WWW1097"/>
      <c r="WWX1097"/>
      <c r="WXA1097"/>
      <c r="WXB1097"/>
      <c r="WXE1097"/>
      <c r="WXF1097"/>
      <c r="WXI1097"/>
      <c r="WXJ1097"/>
      <c r="WXM1097"/>
      <c r="WXN1097"/>
      <c r="WXQ1097"/>
      <c r="WXR1097"/>
      <c r="WXU1097"/>
      <c r="WXV1097"/>
      <c r="WXY1097"/>
      <c r="WXZ1097"/>
      <c r="WYC1097"/>
      <c r="WYD1097"/>
      <c r="WYG1097"/>
      <c r="WYH1097"/>
      <c r="WYK1097"/>
      <c r="WYL1097"/>
      <c r="WYO1097"/>
      <c r="WYP1097"/>
      <c r="WYS1097"/>
      <c r="WYT1097"/>
      <c r="WYW1097"/>
      <c r="WYX1097"/>
      <c r="WZA1097"/>
      <c r="WZB1097"/>
      <c r="WZE1097"/>
      <c r="WZF1097"/>
      <c r="WZI1097"/>
      <c r="WZJ1097"/>
      <c r="WZM1097"/>
      <c r="WZN1097"/>
      <c r="WZQ1097"/>
      <c r="WZR1097"/>
      <c r="WZU1097"/>
      <c r="WZV1097"/>
      <c r="WZY1097"/>
      <c r="WZZ1097"/>
      <c r="XAC1097"/>
      <c r="XAD1097"/>
      <c r="XAG1097"/>
      <c r="XAH1097"/>
      <c r="XAK1097"/>
      <c r="XAL1097"/>
      <c r="XAO1097"/>
      <c r="XAP1097"/>
      <c r="XAS1097"/>
      <c r="XAT1097"/>
      <c r="XAW1097"/>
      <c r="XAX1097"/>
      <c r="XBA1097"/>
      <c r="XBB1097"/>
      <c r="XBE1097"/>
      <c r="XBF1097"/>
      <c r="XBI1097"/>
      <c r="XBJ1097"/>
      <c r="XBM1097"/>
      <c r="XBN1097"/>
      <c r="XBQ1097"/>
      <c r="XBR1097"/>
      <c r="XBU1097"/>
      <c r="XBV1097"/>
      <c r="XBY1097"/>
      <c r="XBZ1097"/>
      <c r="XCC1097"/>
      <c r="XCD1097"/>
      <c r="XCG1097"/>
      <c r="XCH1097"/>
      <c r="XCK1097"/>
      <c r="XCL1097"/>
      <c r="XCO1097"/>
      <c r="XCP1097"/>
      <c r="XCS1097"/>
      <c r="XCT1097"/>
      <c r="XCW1097"/>
      <c r="XCX1097"/>
      <c r="XDA1097"/>
      <c r="XDB1097"/>
      <c r="XDE1097"/>
      <c r="XDF1097"/>
      <c r="XDI1097"/>
      <c r="XDJ1097"/>
      <c r="XDM1097"/>
      <c r="XDN1097"/>
      <c r="XDQ1097"/>
      <c r="XDR1097"/>
      <c r="XDU1097"/>
      <c r="XDV1097"/>
      <c r="XDY1097"/>
      <c r="XDZ1097"/>
      <c r="XEC1097"/>
      <c r="XED1097"/>
      <c r="XEG1097"/>
      <c r="XEH1097"/>
      <c r="XEK1097"/>
      <c r="XEL1097"/>
      <c r="XEO1097"/>
      <c r="XEP1097"/>
      <c r="XES1097"/>
      <c r="XET1097"/>
      <c r="XEW1097"/>
      <c r="XEX1097"/>
      <c r="XFA1097"/>
      <c r="XFB1097"/>
    </row>
    <row r="1098" spans="1:1022 1025:2046 2049:3070 3073:4094 4097:5118 5121:6142 6145:7166 7169:8190 8193:9214 9217:10238 10241:11262 11265:12286 12289:13310 13313:14334 14337:15358 15361:16382" s="15" customFormat="1" outlineLevel="1" x14ac:dyDescent="0.3">
      <c r="A1098" t="s">
        <v>1823</v>
      </c>
      <c r="B1098" t="s">
        <v>266</v>
      </c>
      <c r="C1098" s="15" t="s">
        <v>10</v>
      </c>
      <c r="D1098" s="15" t="s">
        <v>1824</v>
      </c>
      <c r="E1098" t="s">
        <v>8478</v>
      </c>
      <c r="F1098"/>
      <c r="I1098"/>
      <c r="J1098" t="inlineStr">
        <is>
          <t>Analog Resource</t>
        </is>
      </c>
      <c r="K1098" t="inlineStr">
        <is>
          <t>QNL/BF.jpg</t>
        </is>
      </c>
      <c r="L1098" t="inlineStr">
        <is>
          <t>SAME - screen and column D name the same room</t>
        </is>
      </c>
      <c r="N1098"/>
      <c r="Q1098"/>
      <c r="R1098"/>
      <c r="U1098"/>
      <c r="V1098"/>
      <c r="Y1098"/>
      <c r="Z1098"/>
      <c r="AC1098"/>
      <c r="AD1098"/>
      <c r="AG1098"/>
      <c r="AH1098"/>
      <c r="AK1098"/>
      <c r="AL1098"/>
      <c r="AO1098"/>
      <c r="AP1098"/>
      <c r="AS1098"/>
      <c r="AT1098"/>
      <c r="AW1098"/>
      <c r="AX1098"/>
      <c r="BA1098"/>
      <c r="BB1098"/>
      <c r="BE1098"/>
      <c r="BF1098"/>
      <c r="BI1098"/>
      <c r="BJ1098"/>
      <c r="BM1098"/>
      <c r="BN1098"/>
      <c r="BQ1098"/>
      <c r="BR1098"/>
      <c r="BU1098"/>
      <c r="BV1098"/>
      <c r="BY1098"/>
      <c r="BZ1098"/>
      <c r="CC1098"/>
      <c r="CD1098"/>
      <c r="CG1098"/>
      <c r="CH1098"/>
      <c r="CK1098"/>
      <c r="CL1098"/>
      <c r="CO1098"/>
      <c r="CP1098"/>
      <c r="CS1098"/>
      <c r="CT1098"/>
      <c r="CW1098"/>
      <c r="CX1098"/>
      <c r="DA1098"/>
      <c r="DB1098"/>
      <c r="DE1098"/>
      <c r="DF1098"/>
      <c r="DI1098"/>
      <c r="DJ1098"/>
      <c r="DM1098"/>
      <c r="DN1098"/>
      <c r="DQ1098"/>
      <c r="DR1098"/>
      <c r="DU1098"/>
      <c r="DV1098"/>
      <c r="DY1098"/>
      <c r="DZ1098"/>
      <c r="EC1098"/>
      <c r="ED1098"/>
      <c r="EG1098"/>
      <c r="EH1098"/>
      <c r="EK1098"/>
      <c r="EL1098"/>
      <c r="EO1098"/>
      <c r="EP1098"/>
      <c r="ES1098"/>
      <c r="ET1098"/>
      <c r="EW1098"/>
      <c r="EX1098"/>
      <c r="FA1098"/>
      <c r="FB1098"/>
      <c r="FE1098"/>
      <c r="FF1098"/>
      <c r="FI1098"/>
      <c r="FJ1098"/>
      <c r="FM1098"/>
      <c r="FN1098"/>
      <c r="FQ1098"/>
      <c r="FR1098"/>
      <c r="FU1098"/>
      <c r="FV1098"/>
      <c r="FY1098"/>
      <c r="FZ1098"/>
      <c r="GC1098"/>
      <c r="GD1098"/>
      <c r="GG1098"/>
      <c r="GH1098"/>
      <c r="GK1098"/>
      <c r="GL1098"/>
      <c r="GO1098"/>
      <c r="GP1098"/>
      <c r="GS1098"/>
      <c r="GT1098"/>
      <c r="GW1098"/>
      <c r="GX1098"/>
      <c r="HA1098"/>
      <c r="HB1098"/>
      <c r="HE1098"/>
      <c r="HF1098"/>
      <c r="HI1098"/>
      <c r="HJ1098"/>
      <c r="HM1098"/>
      <c r="HN1098"/>
      <c r="HQ1098"/>
      <c r="HR1098"/>
      <c r="HU1098"/>
      <c r="HV1098"/>
      <c r="HY1098"/>
      <c r="HZ1098"/>
      <c r="IC1098"/>
      <c r="ID1098"/>
      <c r="IG1098"/>
      <c r="IH1098"/>
      <c r="IK1098"/>
      <c r="IL1098"/>
      <c r="IO1098"/>
      <c r="IP1098"/>
      <c r="IS1098"/>
      <c r="IT1098"/>
      <c r="IW1098"/>
      <c r="IX1098"/>
      <c r="JA1098"/>
      <c r="JB1098"/>
      <c r="JE1098"/>
      <c r="JF1098"/>
      <c r="JI1098"/>
      <c r="JJ1098"/>
      <c r="JM1098"/>
      <c r="JN1098"/>
      <c r="JQ1098"/>
      <c r="JR1098"/>
      <c r="JU1098"/>
      <c r="JV1098"/>
      <c r="JY1098"/>
      <c r="JZ1098"/>
      <c r="KC1098"/>
      <c r="KD1098"/>
      <c r="KG1098"/>
      <c r="KH1098"/>
      <c r="KK1098"/>
      <c r="KL1098"/>
      <c r="KO1098"/>
      <c r="KP1098"/>
      <c r="KS1098"/>
      <c r="KT1098"/>
      <c r="KW1098"/>
      <c r="KX1098"/>
      <c r="LA1098"/>
      <c r="LB1098"/>
      <c r="LE1098"/>
      <c r="LF1098"/>
      <c r="LI1098"/>
      <c r="LJ1098"/>
      <c r="LM1098"/>
      <c r="LN1098"/>
      <c r="LQ1098"/>
      <c r="LR1098"/>
      <c r="LU1098"/>
      <c r="LV1098"/>
      <c r="LY1098"/>
      <c r="LZ1098"/>
      <c r="MC1098"/>
      <c r="MD1098"/>
      <c r="MG1098"/>
      <c r="MH1098"/>
      <c r="MK1098"/>
      <c r="ML1098"/>
      <c r="MO1098"/>
      <c r="MP1098"/>
      <c r="MS1098"/>
      <c r="MT1098"/>
      <c r="MW1098"/>
      <c r="MX1098"/>
      <c r="NA1098"/>
      <c r="NB1098"/>
      <c r="NE1098"/>
      <c r="NF1098"/>
      <c r="NI1098"/>
      <c r="NJ1098"/>
      <c r="NM1098"/>
      <c r="NN1098"/>
      <c r="NQ1098"/>
      <c r="NR1098"/>
      <c r="NU1098"/>
      <c r="NV1098"/>
      <c r="NY1098"/>
      <c r="NZ1098"/>
      <c r="OC1098"/>
      <c r="OD1098"/>
      <c r="OG1098"/>
      <c r="OH1098"/>
      <c r="OK1098"/>
      <c r="OL1098"/>
      <c r="OO1098"/>
      <c r="OP1098"/>
      <c r="OS1098"/>
      <c r="OT1098"/>
      <c r="OW1098"/>
      <c r="OX1098"/>
      <c r="PA1098"/>
      <c r="PB1098"/>
      <c r="PE1098"/>
      <c r="PF1098"/>
      <c r="PI1098"/>
      <c r="PJ1098"/>
      <c r="PM1098"/>
      <c r="PN1098"/>
      <c r="PQ1098"/>
      <c r="PR1098"/>
      <c r="PU1098"/>
      <c r="PV1098"/>
      <c r="PY1098"/>
      <c r="PZ1098"/>
      <c r="QC1098"/>
      <c r="QD1098"/>
      <c r="QG1098"/>
      <c r="QH1098"/>
      <c r="QK1098"/>
      <c r="QL1098"/>
      <c r="QO1098"/>
      <c r="QP1098"/>
      <c r="QS1098"/>
      <c r="QT1098"/>
      <c r="QW1098"/>
      <c r="QX1098"/>
      <c r="RA1098"/>
      <c r="RB1098"/>
      <c r="RE1098"/>
      <c r="RF1098"/>
      <c r="RI1098"/>
      <c r="RJ1098"/>
      <c r="RM1098"/>
      <c r="RN1098"/>
      <c r="RQ1098"/>
      <c r="RR1098"/>
      <c r="RU1098"/>
      <c r="RV1098"/>
      <c r="RY1098"/>
      <c r="RZ1098"/>
      <c r="SC1098"/>
      <c r="SD1098"/>
      <c r="SG1098"/>
      <c r="SH1098"/>
      <c r="SK1098"/>
      <c r="SL1098"/>
      <c r="SO1098"/>
      <c r="SP1098"/>
      <c r="SS1098"/>
      <c r="ST1098"/>
      <c r="SW1098"/>
      <c r="SX1098"/>
      <c r="TA1098"/>
      <c r="TB1098"/>
      <c r="TE1098"/>
      <c r="TF1098"/>
      <c r="TI1098"/>
      <c r="TJ1098"/>
      <c r="TM1098"/>
      <c r="TN1098"/>
      <c r="TQ1098"/>
      <c r="TR1098"/>
      <c r="TU1098"/>
      <c r="TV1098"/>
      <c r="TY1098"/>
      <c r="TZ1098"/>
      <c r="UC1098"/>
      <c r="UD1098"/>
      <c r="UG1098"/>
      <c r="UH1098"/>
      <c r="UK1098"/>
      <c r="UL1098"/>
      <c r="UO1098"/>
      <c r="UP1098"/>
      <c r="US1098"/>
      <c r="UT1098"/>
      <c r="UW1098"/>
      <c r="UX1098"/>
      <c r="VA1098"/>
      <c r="VB1098"/>
      <c r="VE1098"/>
      <c r="VF1098"/>
      <c r="VI1098"/>
      <c r="VJ1098"/>
      <c r="VM1098"/>
      <c r="VN1098"/>
      <c r="VQ1098"/>
      <c r="VR1098"/>
      <c r="VU1098"/>
      <c r="VV1098"/>
      <c r="VY1098"/>
      <c r="VZ1098"/>
      <c r="WC1098"/>
      <c r="WD1098"/>
      <c r="WG1098"/>
      <c r="WH1098"/>
      <c r="WK1098"/>
      <c r="WL1098"/>
      <c r="WO1098"/>
      <c r="WP1098"/>
      <c r="WS1098"/>
      <c r="WT1098"/>
      <c r="WW1098"/>
      <c r="WX1098"/>
      <c r="XA1098"/>
      <c r="XB1098"/>
      <c r="XE1098"/>
      <c r="XF1098"/>
      <c r="XI1098"/>
      <c r="XJ1098"/>
      <c r="XM1098"/>
      <c r="XN1098"/>
      <c r="XQ1098"/>
      <c r="XR1098"/>
      <c r="XU1098"/>
      <c r="XV1098"/>
      <c r="XY1098"/>
      <c r="XZ1098"/>
      <c r="YC1098"/>
      <c r="YD1098"/>
      <c r="YG1098"/>
      <c r="YH1098"/>
      <c r="YK1098"/>
      <c r="YL1098"/>
      <c r="YO1098"/>
      <c r="YP1098"/>
      <c r="YS1098"/>
      <c r="YT1098"/>
      <c r="YW1098"/>
      <c r="YX1098"/>
      <c r="ZA1098"/>
      <c r="ZB1098"/>
      <c r="ZE1098"/>
      <c r="ZF1098"/>
      <c r="ZI1098"/>
      <c r="ZJ1098"/>
      <c r="ZM1098"/>
      <c r="ZN1098"/>
      <c r="ZQ1098"/>
      <c r="ZR1098"/>
      <c r="ZU1098"/>
      <c r="ZV1098"/>
      <c r="ZY1098"/>
      <c r="ZZ1098"/>
      <c r="AAC1098"/>
      <c r="AAD1098"/>
      <c r="AAG1098"/>
      <c r="AAH1098"/>
      <c r="AAK1098"/>
      <c r="AAL1098"/>
      <c r="AAO1098"/>
      <c r="AAP1098"/>
      <c r="AAS1098"/>
      <c r="AAT1098"/>
      <c r="AAW1098"/>
      <c r="AAX1098"/>
      <c r="ABA1098"/>
      <c r="ABB1098"/>
      <c r="ABE1098"/>
      <c r="ABF1098"/>
      <c r="ABI1098"/>
      <c r="ABJ1098"/>
      <c r="ABM1098"/>
      <c r="ABN1098"/>
      <c r="ABQ1098"/>
      <c r="ABR1098"/>
      <c r="ABU1098"/>
      <c r="ABV1098"/>
      <c r="ABY1098"/>
      <c r="ABZ1098"/>
      <c r="ACC1098"/>
      <c r="ACD1098"/>
      <c r="ACG1098"/>
      <c r="ACH1098"/>
      <c r="ACK1098"/>
      <c r="ACL1098"/>
      <c r="ACO1098"/>
      <c r="ACP1098"/>
      <c r="ACS1098"/>
      <c r="ACT1098"/>
      <c r="ACW1098"/>
      <c r="ACX1098"/>
      <c r="ADA1098"/>
      <c r="ADB1098"/>
      <c r="ADE1098"/>
      <c r="ADF1098"/>
      <c r="ADI1098"/>
      <c r="ADJ1098"/>
      <c r="ADM1098"/>
      <c r="ADN1098"/>
      <c r="ADQ1098"/>
      <c r="ADR1098"/>
      <c r="ADU1098"/>
      <c r="ADV1098"/>
      <c r="ADY1098"/>
      <c r="ADZ1098"/>
      <c r="AEC1098"/>
      <c r="AED1098"/>
      <c r="AEG1098"/>
      <c r="AEH1098"/>
      <c r="AEK1098"/>
      <c r="AEL1098"/>
      <c r="AEO1098"/>
      <c r="AEP1098"/>
      <c r="AES1098"/>
      <c r="AET1098"/>
      <c r="AEW1098"/>
      <c r="AEX1098"/>
      <c r="AFA1098"/>
      <c r="AFB1098"/>
      <c r="AFE1098"/>
      <c r="AFF1098"/>
      <c r="AFI1098"/>
      <c r="AFJ1098"/>
      <c r="AFM1098"/>
      <c r="AFN1098"/>
      <c r="AFQ1098"/>
      <c r="AFR1098"/>
      <c r="AFU1098"/>
      <c r="AFV1098"/>
      <c r="AFY1098"/>
      <c r="AFZ1098"/>
      <c r="AGC1098"/>
      <c r="AGD1098"/>
      <c r="AGG1098"/>
      <c r="AGH1098"/>
      <c r="AGK1098"/>
      <c r="AGL1098"/>
      <c r="AGO1098"/>
      <c r="AGP1098"/>
      <c r="AGS1098"/>
      <c r="AGT1098"/>
      <c r="AGW1098"/>
      <c r="AGX1098"/>
      <c r="AHA1098"/>
      <c r="AHB1098"/>
      <c r="AHE1098"/>
      <c r="AHF1098"/>
      <c r="AHI1098"/>
      <c r="AHJ1098"/>
      <c r="AHM1098"/>
      <c r="AHN1098"/>
      <c r="AHQ1098"/>
      <c r="AHR1098"/>
      <c r="AHU1098"/>
      <c r="AHV1098"/>
      <c r="AHY1098"/>
      <c r="AHZ1098"/>
      <c r="AIC1098"/>
      <c r="AID1098"/>
      <c r="AIG1098"/>
      <c r="AIH1098"/>
      <c r="AIK1098"/>
      <c r="AIL1098"/>
      <c r="AIO1098"/>
      <c r="AIP1098"/>
      <c r="AIS1098"/>
      <c r="AIT1098"/>
      <c r="AIW1098"/>
      <c r="AIX1098"/>
      <c r="AJA1098"/>
      <c r="AJB1098"/>
      <c r="AJE1098"/>
      <c r="AJF1098"/>
      <c r="AJI1098"/>
      <c r="AJJ1098"/>
      <c r="AJM1098"/>
      <c r="AJN1098"/>
      <c r="AJQ1098"/>
      <c r="AJR1098"/>
      <c r="AJU1098"/>
      <c r="AJV1098"/>
      <c r="AJY1098"/>
      <c r="AJZ1098"/>
      <c r="AKC1098"/>
      <c r="AKD1098"/>
      <c r="AKG1098"/>
      <c r="AKH1098"/>
      <c r="AKK1098"/>
      <c r="AKL1098"/>
      <c r="AKO1098"/>
      <c r="AKP1098"/>
      <c r="AKS1098"/>
      <c r="AKT1098"/>
      <c r="AKW1098"/>
      <c r="AKX1098"/>
      <c r="ALA1098"/>
      <c r="ALB1098"/>
      <c r="ALE1098"/>
      <c r="ALF1098"/>
      <c r="ALI1098"/>
      <c r="ALJ1098"/>
      <c r="ALM1098"/>
      <c r="ALN1098"/>
      <c r="ALQ1098"/>
      <c r="ALR1098"/>
      <c r="ALU1098"/>
      <c r="ALV1098"/>
      <c r="ALY1098"/>
      <c r="ALZ1098"/>
      <c r="AMC1098"/>
      <c r="AMD1098"/>
      <c r="AMG1098"/>
      <c r="AMH1098"/>
      <c r="AMK1098"/>
      <c r="AML1098"/>
      <c r="AMO1098"/>
      <c r="AMP1098"/>
      <c r="AMS1098"/>
      <c r="AMT1098"/>
      <c r="AMW1098"/>
      <c r="AMX1098"/>
      <c r="ANA1098"/>
      <c r="ANB1098"/>
      <c r="ANE1098"/>
      <c r="ANF1098"/>
      <c r="ANI1098"/>
      <c r="ANJ1098"/>
      <c r="ANM1098"/>
      <c r="ANN1098"/>
      <c r="ANQ1098"/>
      <c r="ANR1098"/>
      <c r="ANU1098"/>
      <c r="ANV1098"/>
      <c r="ANY1098"/>
      <c r="ANZ1098"/>
      <c r="AOC1098"/>
      <c r="AOD1098"/>
      <c r="AOG1098"/>
      <c r="AOH1098"/>
      <c r="AOK1098"/>
      <c r="AOL1098"/>
      <c r="AOO1098"/>
      <c r="AOP1098"/>
      <c r="AOS1098"/>
      <c r="AOT1098"/>
      <c r="AOW1098"/>
      <c r="AOX1098"/>
      <c r="APA1098"/>
      <c r="APB1098"/>
      <c r="APE1098"/>
      <c r="APF1098"/>
      <c r="API1098"/>
      <c r="APJ1098"/>
      <c r="APM1098"/>
      <c r="APN1098"/>
      <c r="APQ1098"/>
      <c r="APR1098"/>
      <c r="APU1098"/>
      <c r="APV1098"/>
      <c r="APY1098"/>
      <c r="APZ1098"/>
      <c r="AQC1098"/>
      <c r="AQD1098"/>
      <c r="AQG1098"/>
      <c r="AQH1098"/>
      <c r="AQK1098"/>
      <c r="AQL1098"/>
      <c r="AQO1098"/>
      <c r="AQP1098"/>
      <c r="AQS1098"/>
      <c r="AQT1098"/>
      <c r="AQW1098"/>
      <c r="AQX1098"/>
      <c r="ARA1098"/>
      <c r="ARB1098"/>
      <c r="ARE1098"/>
      <c r="ARF1098"/>
      <c r="ARI1098"/>
      <c r="ARJ1098"/>
      <c r="ARM1098"/>
      <c r="ARN1098"/>
      <c r="ARQ1098"/>
      <c r="ARR1098"/>
      <c r="ARU1098"/>
      <c r="ARV1098"/>
      <c r="ARY1098"/>
      <c r="ARZ1098"/>
      <c r="ASC1098"/>
      <c r="ASD1098"/>
      <c r="ASG1098"/>
      <c r="ASH1098"/>
      <c r="ASK1098"/>
      <c r="ASL1098"/>
      <c r="ASO1098"/>
      <c r="ASP1098"/>
      <c r="ASS1098"/>
      <c r="AST1098"/>
      <c r="ASW1098"/>
      <c r="ASX1098"/>
      <c r="ATA1098"/>
      <c r="ATB1098"/>
      <c r="ATE1098"/>
      <c r="ATF1098"/>
      <c r="ATI1098"/>
      <c r="ATJ1098"/>
      <c r="ATM1098"/>
      <c r="ATN1098"/>
      <c r="ATQ1098"/>
      <c r="ATR1098"/>
      <c r="ATU1098"/>
      <c r="ATV1098"/>
      <c r="ATY1098"/>
      <c r="ATZ1098"/>
      <c r="AUC1098"/>
      <c r="AUD1098"/>
      <c r="AUG1098"/>
      <c r="AUH1098"/>
      <c r="AUK1098"/>
      <c r="AUL1098"/>
      <c r="AUO1098"/>
      <c r="AUP1098"/>
      <c r="AUS1098"/>
      <c r="AUT1098"/>
      <c r="AUW1098"/>
      <c r="AUX1098"/>
      <c r="AVA1098"/>
      <c r="AVB1098"/>
      <c r="AVE1098"/>
      <c r="AVF1098"/>
      <c r="AVI1098"/>
      <c r="AVJ1098"/>
      <c r="AVM1098"/>
      <c r="AVN1098"/>
      <c r="AVQ1098"/>
      <c r="AVR1098"/>
      <c r="AVU1098"/>
      <c r="AVV1098"/>
      <c r="AVY1098"/>
      <c r="AVZ1098"/>
      <c r="AWC1098"/>
      <c r="AWD1098"/>
      <c r="AWG1098"/>
      <c r="AWH1098"/>
      <c r="AWK1098"/>
      <c r="AWL1098"/>
      <c r="AWO1098"/>
      <c r="AWP1098"/>
      <c r="AWS1098"/>
      <c r="AWT1098"/>
      <c r="AWW1098"/>
      <c r="AWX1098"/>
      <c r="AXA1098"/>
      <c r="AXB1098"/>
      <c r="AXE1098"/>
      <c r="AXF1098"/>
      <c r="AXI1098"/>
      <c r="AXJ1098"/>
      <c r="AXM1098"/>
      <c r="AXN1098"/>
      <c r="AXQ1098"/>
      <c r="AXR1098"/>
      <c r="AXU1098"/>
      <c r="AXV1098"/>
      <c r="AXY1098"/>
      <c r="AXZ1098"/>
      <c r="AYC1098"/>
      <c r="AYD1098"/>
      <c r="AYG1098"/>
      <c r="AYH1098"/>
      <c r="AYK1098"/>
      <c r="AYL1098"/>
      <c r="AYO1098"/>
      <c r="AYP1098"/>
      <c r="AYS1098"/>
      <c r="AYT1098"/>
      <c r="AYW1098"/>
      <c r="AYX1098"/>
      <c r="AZA1098"/>
      <c r="AZB1098"/>
      <c r="AZE1098"/>
      <c r="AZF1098"/>
      <c r="AZI1098"/>
      <c r="AZJ1098"/>
      <c r="AZM1098"/>
      <c r="AZN1098"/>
      <c r="AZQ1098"/>
      <c r="AZR1098"/>
      <c r="AZU1098"/>
      <c r="AZV1098"/>
      <c r="AZY1098"/>
      <c r="AZZ1098"/>
      <c r="BAC1098"/>
      <c r="BAD1098"/>
      <c r="BAG1098"/>
      <c r="BAH1098"/>
      <c r="BAK1098"/>
      <c r="BAL1098"/>
      <c r="BAO1098"/>
      <c r="BAP1098"/>
      <c r="BAS1098"/>
      <c r="BAT1098"/>
      <c r="BAW1098"/>
      <c r="BAX1098"/>
      <c r="BBA1098"/>
      <c r="BBB1098"/>
      <c r="BBE1098"/>
      <c r="BBF1098"/>
      <c r="BBI1098"/>
      <c r="BBJ1098"/>
      <c r="BBM1098"/>
      <c r="BBN1098"/>
      <c r="BBQ1098"/>
      <c r="BBR1098"/>
      <c r="BBU1098"/>
      <c r="BBV1098"/>
      <c r="BBY1098"/>
      <c r="BBZ1098"/>
      <c r="BCC1098"/>
      <c r="BCD1098"/>
      <c r="BCG1098"/>
      <c r="BCH1098"/>
      <c r="BCK1098"/>
      <c r="BCL1098"/>
      <c r="BCO1098"/>
      <c r="BCP1098"/>
      <c r="BCS1098"/>
      <c r="BCT1098"/>
      <c r="BCW1098"/>
      <c r="BCX1098"/>
      <c r="BDA1098"/>
      <c r="BDB1098"/>
      <c r="BDE1098"/>
      <c r="BDF1098"/>
      <c r="BDI1098"/>
      <c r="BDJ1098"/>
      <c r="BDM1098"/>
      <c r="BDN1098"/>
      <c r="BDQ1098"/>
      <c r="BDR1098"/>
      <c r="BDU1098"/>
      <c r="BDV1098"/>
      <c r="BDY1098"/>
      <c r="BDZ1098"/>
      <c r="BEC1098"/>
      <c r="BED1098"/>
      <c r="BEG1098"/>
      <c r="BEH1098"/>
      <c r="BEK1098"/>
      <c r="BEL1098"/>
      <c r="BEO1098"/>
      <c r="BEP1098"/>
      <c r="BES1098"/>
      <c r="BET1098"/>
      <c r="BEW1098"/>
      <c r="BEX1098"/>
      <c r="BFA1098"/>
      <c r="BFB1098"/>
      <c r="BFE1098"/>
      <c r="BFF1098"/>
      <c r="BFI1098"/>
      <c r="BFJ1098"/>
      <c r="BFM1098"/>
      <c r="BFN1098"/>
      <c r="BFQ1098"/>
      <c r="BFR1098"/>
      <c r="BFU1098"/>
      <c r="BFV1098"/>
      <c r="BFY1098"/>
      <c r="BFZ1098"/>
      <c r="BGC1098"/>
      <c r="BGD1098"/>
      <c r="BGG1098"/>
      <c r="BGH1098"/>
      <c r="BGK1098"/>
      <c r="BGL1098"/>
      <c r="BGO1098"/>
      <c r="BGP1098"/>
      <c r="BGS1098"/>
      <c r="BGT1098"/>
      <c r="BGW1098"/>
      <c r="BGX1098"/>
      <c r="BHA1098"/>
      <c r="BHB1098"/>
      <c r="BHE1098"/>
      <c r="BHF1098"/>
      <c r="BHI1098"/>
      <c r="BHJ1098"/>
      <c r="BHM1098"/>
      <c r="BHN1098"/>
      <c r="BHQ1098"/>
      <c r="BHR1098"/>
      <c r="BHU1098"/>
      <c r="BHV1098"/>
      <c r="BHY1098"/>
      <c r="BHZ1098"/>
      <c r="BIC1098"/>
      <c r="BID1098"/>
      <c r="BIG1098"/>
      <c r="BIH1098"/>
      <c r="BIK1098"/>
      <c r="BIL1098"/>
      <c r="BIO1098"/>
      <c r="BIP1098"/>
      <c r="BIS1098"/>
      <c r="BIT1098"/>
      <c r="BIW1098"/>
      <c r="BIX1098"/>
      <c r="BJA1098"/>
      <c r="BJB1098"/>
      <c r="BJE1098"/>
      <c r="BJF1098"/>
      <c r="BJI1098"/>
      <c r="BJJ1098"/>
      <c r="BJM1098"/>
      <c r="BJN1098"/>
      <c r="BJQ1098"/>
      <c r="BJR1098"/>
      <c r="BJU1098"/>
      <c r="BJV1098"/>
      <c r="BJY1098"/>
      <c r="BJZ1098"/>
      <c r="BKC1098"/>
      <c r="BKD1098"/>
      <c r="BKG1098"/>
      <c r="BKH1098"/>
      <c r="BKK1098"/>
      <c r="BKL1098"/>
      <c r="BKO1098"/>
      <c r="BKP1098"/>
      <c r="BKS1098"/>
      <c r="BKT1098"/>
      <c r="BKW1098"/>
      <c r="BKX1098"/>
      <c r="BLA1098"/>
      <c r="BLB1098"/>
      <c r="BLE1098"/>
      <c r="BLF1098"/>
      <c r="BLI1098"/>
      <c r="BLJ1098"/>
      <c r="BLM1098"/>
      <c r="BLN1098"/>
      <c r="BLQ1098"/>
      <c r="BLR1098"/>
      <c r="BLU1098"/>
      <c r="BLV1098"/>
      <c r="BLY1098"/>
      <c r="BLZ1098"/>
      <c r="BMC1098"/>
      <c r="BMD1098"/>
      <c r="BMG1098"/>
      <c r="BMH1098"/>
      <c r="BMK1098"/>
      <c r="BML1098"/>
      <c r="BMO1098"/>
      <c r="BMP1098"/>
      <c r="BMS1098"/>
      <c r="BMT1098"/>
      <c r="BMW1098"/>
      <c r="BMX1098"/>
      <c r="BNA1098"/>
      <c r="BNB1098"/>
      <c r="BNE1098"/>
      <c r="BNF1098"/>
      <c r="BNI1098"/>
      <c r="BNJ1098"/>
      <c r="BNM1098"/>
      <c r="BNN1098"/>
      <c r="BNQ1098"/>
      <c r="BNR1098"/>
      <c r="BNU1098"/>
      <c r="BNV1098"/>
      <c r="BNY1098"/>
      <c r="BNZ1098"/>
      <c r="BOC1098"/>
      <c r="BOD1098"/>
      <c r="BOG1098"/>
      <c r="BOH1098"/>
      <c r="BOK1098"/>
      <c r="BOL1098"/>
      <c r="BOO1098"/>
      <c r="BOP1098"/>
      <c r="BOS1098"/>
      <c r="BOT1098"/>
      <c r="BOW1098"/>
      <c r="BOX1098"/>
      <c r="BPA1098"/>
      <c r="BPB1098"/>
      <c r="BPE1098"/>
      <c r="BPF1098"/>
      <c r="BPI1098"/>
      <c r="BPJ1098"/>
      <c r="BPM1098"/>
      <c r="BPN1098"/>
      <c r="BPQ1098"/>
      <c r="BPR1098"/>
      <c r="BPU1098"/>
      <c r="BPV1098"/>
      <c r="BPY1098"/>
      <c r="BPZ1098"/>
      <c r="BQC1098"/>
      <c r="BQD1098"/>
      <c r="BQG1098"/>
      <c r="BQH1098"/>
      <c r="BQK1098"/>
      <c r="BQL1098"/>
      <c r="BQO1098"/>
      <c r="BQP1098"/>
      <c r="BQS1098"/>
      <c r="BQT1098"/>
      <c r="BQW1098"/>
      <c r="BQX1098"/>
      <c r="BRA1098"/>
      <c r="BRB1098"/>
      <c r="BRE1098"/>
      <c r="BRF1098"/>
      <c r="BRI1098"/>
      <c r="BRJ1098"/>
      <c r="BRM1098"/>
      <c r="BRN1098"/>
      <c r="BRQ1098"/>
      <c r="BRR1098"/>
      <c r="BRU1098"/>
      <c r="BRV1098"/>
      <c r="BRY1098"/>
      <c r="BRZ1098"/>
      <c r="BSC1098"/>
      <c r="BSD1098"/>
      <c r="BSG1098"/>
      <c r="BSH1098"/>
      <c r="BSK1098"/>
      <c r="BSL1098"/>
      <c r="BSO1098"/>
      <c r="BSP1098"/>
      <c r="BSS1098"/>
      <c r="BST1098"/>
      <c r="BSW1098"/>
      <c r="BSX1098"/>
      <c r="BTA1098"/>
      <c r="BTB1098"/>
      <c r="BTE1098"/>
      <c r="BTF1098"/>
      <c r="BTI1098"/>
      <c r="BTJ1098"/>
      <c r="BTM1098"/>
      <c r="BTN1098"/>
      <c r="BTQ1098"/>
      <c r="BTR1098"/>
      <c r="BTU1098"/>
      <c r="BTV1098"/>
      <c r="BTY1098"/>
      <c r="BTZ1098"/>
      <c r="BUC1098"/>
      <c r="BUD1098"/>
      <c r="BUG1098"/>
      <c r="BUH1098"/>
      <c r="BUK1098"/>
      <c r="BUL1098"/>
      <c r="BUO1098"/>
      <c r="BUP1098"/>
      <c r="BUS1098"/>
      <c r="BUT1098"/>
      <c r="BUW1098"/>
      <c r="BUX1098"/>
      <c r="BVA1098"/>
      <c r="BVB1098"/>
      <c r="BVE1098"/>
      <c r="BVF1098"/>
      <c r="BVI1098"/>
      <c r="BVJ1098"/>
      <c r="BVM1098"/>
      <c r="BVN1098"/>
      <c r="BVQ1098"/>
      <c r="BVR1098"/>
      <c r="BVU1098"/>
      <c r="BVV1098"/>
      <c r="BVY1098"/>
      <c r="BVZ1098"/>
      <c r="BWC1098"/>
      <c r="BWD1098"/>
      <c r="BWG1098"/>
      <c r="BWH1098"/>
      <c r="BWK1098"/>
      <c r="BWL1098"/>
      <c r="BWO1098"/>
      <c r="BWP1098"/>
      <c r="BWS1098"/>
      <c r="BWT1098"/>
      <c r="BWW1098"/>
      <c r="BWX1098"/>
      <c r="BXA1098"/>
      <c r="BXB1098"/>
      <c r="BXE1098"/>
      <c r="BXF1098"/>
      <c r="BXI1098"/>
      <c r="BXJ1098"/>
      <c r="BXM1098"/>
      <c r="BXN1098"/>
      <c r="BXQ1098"/>
      <c r="BXR1098"/>
      <c r="BXU1098"/>
      <c r="BXV1098"/>
      <c r="BXY1098"/>
      <c r="BXZ1098"/>
      <c r="BYC1098"/>
      <c r="BYD1098"/>
      <c r="BYG1098"/>
      <c r="BYH1098"/>
      <c r="BYK1098"/>
      <c r="BYL1098"/>
      <c r="BYO1098"/>
      <c r="BYP1098"/>
      <c r="BYS1098"/>
      <c r="BYT1098"/>
      <c r="BYW1098"/>
      <c r="BYX1098"/>
      <c r="BZA1098"/>
      <c r="BZB1098"/>
      <c r="BZE1098"/>
      <c r="BZF1098"/>
      <c r="BZI1098"/>
      <c r="BZJ1098"/>
      <c r="BZM1098"/>
      <c r="BZN1098"/>
      <c r="BZQ1098"/>
      <c r="BZR1098"/>
      <c r="BZU1098"/>
      <c r="BZV1098"/>
      <c r="BZY1098"/>
      <c r="BZZ1098"/>
      <c r="CAC1098"/>
      <c r="CAD1098"/>
      <c r="CAG1098"/>
      <c r="CAH1098"/>
      <c r="CAK1098"/>
      <c r="CAL1098"/>
      <c r="CAO1098"/>
      <c r="CAP1098"/>
      <c r="CAS1098"/>
      <c r="CAT1098"/>
      <c r="CAW1098"/>
      <c r="CAX1098"/>
      <c r="CBA1098"/>
      <c r="CBB1098"/>
      <c r="CBE1098"/>
      <c r="CBF1098"/>
      <c r="CBI1098"/>
      <c r="CBJ1098"/>
      <c r="CBM1098"/>
      <c r="CBN1098"/>
      <c r="CBQ1098"/>
      <c r="CBR1098"/>
      <c r="CBU1098"/>
      <c r="CBV1098"/>
      <c r="CBY1098"/>
      <c r="CBZ1098"/>
      <c r="CCC1098"/>
      <c r="CCD1098"/>
      <c r="CCG1098"/>
      <c r="CCH1098"/>
      <c r="CCK1098"/>
      <c r="CCL1098"/>
      <c r="CCO1098"/>
      <c r="CCP1098"/>
      <c r="CCS1098"/>
      <c r="CCT1098"/>
      <c r="CCW1098"/>
      <c r="CCX1098"/>
      <c r="CDA1098"/>
      <c r="CDB1098"/>
      <c r="CDE1098"/>
      <c r="CDF1098"/>
      <c r="CDI1098"/>
      <c r="CDJ1098"/>
      <c r="CDM1098"/>
      <c r="CDN1098"/>
      <c r="CDQ1098"/>
      <c r="CDR1098"/>
      <c r="CDU1098"/>
      <c r="CDV1098"/>
      <c r="CDY1098"/>
      <c r="CDZ1098"/>
      <c r="CEC1098"/>
      <c r="CED1098"/>
      <c r="CEG1098"/>
      <c r="CEH1098"/>
      <c r="CEK1098"/>
      <c r="CEL1098"/>
      <c r="CEO1098"/>
      <c r="CEP1098"/>
      <c r="CES1098"/>
      <c r="CET1098"/>
      <c r="CEW1098"/>
      <c r="CEX1098"/>
      <c r="CFA1098"/>
      <c r="CFB1098"/>
      <c r="CFE1098"/>
      <c r="CFF1098"/>
      <c r="CFI1098"/>
      <c r="CFJ1098"/>
      <c r="CFM1098"/>
      <c r="CFN1098"/>
      <c r="CFQ1098"/>
      <c r="CFR1098"/>
      <c r="CFU1098"/>
      <c r="CFV1098"/>
      <c r="CFY1098"/>
      <c r="CFZ1098"/>
      <c r="CGC1098"/>
      <c r="CGD1098"/>
      <c r="CGG1098"/>
      <c r="CGH1098"/>
      <c r="CGK1098"/>
      <c r="CGL1098"/>
      <c r="CGO1098"/>
      <c r="CGP1098"/>
      <c r="CGS1098"/>
      <c r="CGT1098"/>
      <c r="CGW1098"/>
      <c r="CGX1098"/>
      <c r="CHA1098"/>
      <c r="CHB1098"/>
      <c r="CHE1098"/>
      <c r="CHF1098"/>
      <c r="CHI1098"/>
      <c r="CHJ1098"/>
      <c r="CHM1098"/>
      <c r="CHN1098"/>
      <c r="CHQ1098"/>
      <c r="CHR1098"/>
      <c r="CHU1098"/>
      <c r="CHV1098"/>
      <c r="CHY1098"/>
      <c r="CHZ1098"/>
      <c r="CIC1098"/>
      <c r="CID1098"/>
      <c r="CIG1098"/>
      <c r="CIH1098"/>
      <c r="CIK1098"/>
      <c r="CIL1098"/>
      <c r="CIO1098"/>
      <c r="CIP1098"/>
      <c r="CIS1098"/>
      <c r="CIT1098"/>
      <c r="CIW1098"/>
      <c r="CIX1098"/>
      <c r="CJA1098"/>
      <c r="CJB1098"/>
      <c r="CJE1098"/>
      <c r="CJF1098"/>
      <c r="CJI1098"/>
      <c r="CJJ1098"/>
      <c r="CJM1098"/>
      <c r="CJN1098"/>
      <c r="CJQ1098"/>
      <c r="CJR1098"/>
      <c r="CJU1098"/>
      <c r="CJV1098"/>
      <c r="CJY1098"/>
      <c r="CJZ1098"/>
      <c r="CKC1098"/>
      <c r="CKD1098"/>
      <c r="CKG1098"/>
      <c r="CKH1098"/>
      <c r="CKK1098"/>
      <c r="CKL1098"/>
      <c r="CKO1098"/>
      <c r="CKP1098"/>
      <c r="CKS1098"/>
      <c r="CKT1098"/>
      <c r="CKW1098"/>
      <c r="CKX1098"/>
      <c r="CLA1098"/>
      <c r="CLB1098"/>
      <c r="CLE1098"/>
      <c r="CLF1098"/>
      <c r="CLI1098"/>
      <c r="CLJ1098"/>
      <c r="CLM1098"/>
      <c r="CLN1098"/>
      <c r="CLQ1098"/>
      <c r="CLR1098"/>
      <c r="CLU1098"/>
      <c r="CLV1098"/>
      <c r="CLY1098"/>
      <c r="CLZ1098"/>
      <c r="CMC1098"/>
      <c r="CMD1098"/>
      <c r="CMG1098"/>
      <c r="CMH1098"/>
      <c r="CMK1098"/>
      <c r="CML1098"/>
      <c r="CMO1098"/>
      <c r="CMP1098"/>
      <c r="CMS1098"/>
      <c r="CMT1098"/>
      <c r="CMW1098"/>
      <c r="CMX1098"/>
      <c r="CNA1098"/>
      <c r="CNB1098"/>
      <c r="CNE1098"/>
      <c r="CNF1098"/>
      <c r="CNI1098"/>
      <c r="CNJ1098"/>
      <c r="CNM1098"/>
      <c r="CNN1098"/>
      <c r="CNQ1098"/>
      <c r="CNR1098"/>
      <c r="CNU1098"/>
      <c r="CNV1098"/>
      <c r="CNY1098"/>
      <c r="CNZ1098"/>
      <c r="COC1098"/>
      <c r="COD1098"/>
      <c r="COG1098"/>
      <c r="COH1098"/>
      <c r="COK1098"/>
      <c r="COL1098"/>
      <c r="COO1098"/>
      <c r="COP1098"/>
      <c r="COS1098"/>
      <c r="COT1098"/>
      <c r="COW1098"/>
      <c r="COX1098"/>
      <c r="CPA1098"/>
      <c r="CPB1098"/>
      <c r="CPE1098"/>
      <c r="CPF1098"/>
      <c r="CPI1098"/>
      <c r="CPJ1098"/>
      <c r="CPM1098"/>
      <c r="CPN1098"/>
      <c r="CPQ1098"/>
      <c r="CPR1098"/>
      <c r="CPU1098"/>
      <c r="CPV1098"/>
      <c r="CPY1098"/>
      <c r="CPZ1098"/>
      <c r="CQC1098"/>
      <c r="CQD1098"/>
      <c r="CQG1098"/>
      <c r="CQH1098"/>
      <c r="CQK1098"/>
      <c r="CQL1098"/>
      <c r="CQO1098"/>
      <c r="CQP1098"/>
      <c r="CQS1098"/>
      <c r="CQT1098"/>
      <c r="CQW1098"/>
      <c r="CQX1098"/>
      <c r="CRA1098"/>
      <c r="CRB1098"/>
      <c r="CRE1098"/>
      <c r="CRF1098"/>
      <c r="CRI1098"/>
      <c r="CRJ1098"/>
      <c r="CRM1098"/>
      <c r="CRN1098"/>
      <c r="CRQ1098"/>
      <c r="CRR1098"/>
      <c r="CRU1098"/>
      <c r="CRV1098"/>
      <c r="CRY1098"/>
      <c r="CRZ1098"/>
      <c r="CSC1098"/>
      <c r="CSD1098"/>
      <c r="CSG1098"/>
      <c r="CSH1098"/>
      <c r="CSK1098"/>
      <c r="CSL1098"/>
      <c r="CSO1098"/>
      <c r="CSP1098"/>
      <c r="CSS1098"/>
      <c r="CST1098"/>
      <c r="CSW1098"/>
      <c r="CSX1098"/>
      <c r="CTA1098"/>
      <c r="CTB1098"/>
      <c r="CTE1098"/>
      <c r="CTF1098"/>
      <c r="CTI1098"/>
      <c r="CTJ1098"/>
      <c r="CTM1098"/>
      <c r="CTN1098"/>
      <c r="CTQ1098"/>
      <c r="CTR1098"/>
      <c r="CTU1098"/>
      <c r="CTV1098"/>
      <c r="CTY1098"/>
      <c r="CTZ1098"/>
      <c r="CUC1098"/>
      <c r="CUD1098"/>
      <c r="CUG1098"/>
      <c r="CUH1098"/>
      <c r="CUK1098"/>
      <c r="CUL1098"/>
      <c r="CUO1098"/>
      <c r="CUP1098"/>
      <c r="CUS1098"/>
      <c r="CUT1098"/>
      <c r="CUW1098"/>
      <c r="CUX1098"/>
      <c r="CVA1098"/>
      <c r="CVB1098"/>
      <c r="CVE1098"/>
      <c r="CVF1098"/>
      <c r="CVI1098"/>
      <c r="CVJ1098"/>
      <c r="CVM1098"/>
      <c r="CVN1098"/>
      <c r="CVQ1098"/>
      <c r="CVR1098"/>
      <c r="CVU1098"/>
      <c r="CVV1098"/>
      <c r="CVY1098"/>
      <c r="CVZ1098"/>
      <c r="CWC1098"/>
      <c r="CWD1098"/>
      <c r="CWG1098"/>
      <c r="CWH1098"/>
      <c r="CWK1098"/>
      <c r="CWL1098"/>
      <c r="CWO1098"/>
      <c r="CWP1098"/>
      <c r="CWS1098"/>
      <c r="CWT1098"/>
      <c r="CWW1098"/>
      <c r="CWX1098"/>
      <c r="CXA1098"/>
      <c r="CXB1098"/>
      <c r="CXE1098"/>
      <c r="CXF1098"/>
      <c r="CXI1098"/>
      <c r="CXJ1098"/>
      <c r="CXM1098"/>
      <c r="CXN1098"/>
      <c r="CXQ1098"/>
      <c r="CXR1098"/>
      <c r="CXU1098"/>
      <c r="CXV1098"/>
      <c r="CXY1098"/>
      <c r="CXZ1098"/>
      <c r="CYC1098"/>
      <c r="CYD1098"/>
      <c r="CYG1098"/>
      <c r="CYH1098"/>
      <c r="CYK1098"/>
      <c r="CYL1098"/>
      <c r="CYO1098"/>
      <c r="CYP1098"/>
      <c r="CYS1098"/>
      <c r="CYT1098"/>
      <c r="CYW1098"/>
      <c r="CYX1098"/>
      <c r="CZA1098"/>
      <c r="CZB1098"/>
      <c r="CZE1098"/>
      <c r="CZF1098"/>
      <c r="CZI1098"/>
      <c r="CZJ1098"/>
      <c r="CZM1098"/>
      <c r="CZN1098"/>
      <c r="CZQ1098"/>
      <c r="CZR1098"/>
      <c r="CZU1098"/>
      <c r="CZV1098"/>
      <c r="CZY1098"/>
      <c r="CZZ1098"/>
      <c r="DAC1098"/>
      <c r="DAD1098"/>
      <c r="DAG1098"/>
      <c r="DAH1098"/>
      <c r="DAK1098"/>
      <c r="DAL1098"/>
      <c r="DAO1098"/>
      <c r="DAP1098"/>
      <c r="DAS1098"/>
      <c r="DAT1098"/>
      <c r="DAW1098"/>
      <c r="DAX1098"/>
      <c r="DBA1098"/>
      <c r="DBB1098"/>
      <c r="DBE1098"/>
      <c r="DBF1098"/>
      <c r="DBI1098"/>
      <c r="DBJ1098"/>
      <c r="DBM1098"/>
      <c r="DBN1098"/>
      <c r="DBQ1098"/>
      <c r="DBR1098"/>
      <c r="DBU1098"/>
      <c r="DBV1098"/>
      <c r="DBY1098"/>
      <c r="DBZ1098"/>
      <c r="DCC1098"/>
      <c r="DCD1098"/>
      <c r="DCG1098"/>
      <c r="DCH1098"/>
      <c r="DCK1098"/>
      <c r="DCL1098"/>
      <c r="DCO1098"/>
      <c r="DCP1098"/>
      <c r="DCS1098"/>
      <c r="DCT1098"/>
      <c r="DCW1098"/>
      <c r="DCX1098"/>
      <c r="DDA1098"/>
      <c r="DDB1098"/>
      <c r="DDE1098"/>
      <c r="DDF1098"/>
      <c r="DDI1098"/>
      <c r="DDJ1098"/>
      <c r="DDM1098"/>
      <c r="DDN1098"/>
      <c r="DDQ1098"/>
      <c r="DDR1098"/>
      <c r="DDU1098"/>
      <c r="DDV1098"/>
      <c r="DDY1098"/>
      <c r="DDZ1098"/>
      <c r="DEC1098"/>
      <c r="DED1098"/>
      <c r="DEG1098"/>
      <c r="DEH1098"/>
      <c r="DEK1098"/>
      <c r="DEL1098"/>
      <c r="DEO1098"/>
      <c r="DEP1098"/>
      <c r="DES1098"/>
      <c r="DET1098"/>
      <c r="DEW1098"/>
      <c r="DEX1098"/>
      <c r="DFA1098"/>
      <c r="DFB1098"/>
      <c r="DFE1098"/>
      <c r="DFF1098"/>
      <c r="DFI1098"/>
      <c r="DFJ1098"/>
      <c r="DFM1098"/>
      <c r="DFN1098"/>
      <c r="DFQ1098"/>
      <c r="DFR1098"/>
      <c r="DFU1098"/>
      <c r="DFV1098"/>
      <c r="DFY1098"/>
      <c r="DFZ1098"/>
      <c r="DGC1098"/>
      <c r="DGD1098"/>
      <c r="DGG1098"/>
      <c r="DGH1098"/>
      <c r="DGK1098"/>
      <c r="DGL1098"/>
      <c r="DGO1098"/>
      <c r="DGP1098"/>
      <c r="DGS1098"/>
      <c r="DGT1098"/>
      <c r="DGW1098"/>
      <c r="DGX1098"/>
      <c r="DHA1098"/>
      <c r="DHB1098"/>
      <c r="DHE1098"/>
      <c r="DHF1098"/>
      <c r="DHI1098"/>
      <c r="DHJ1098"/>
      <c r="DHM1098"/>
      <c r="DHN1098"/>
      <c r="DHQ1098"/>
      <c r="DHR1098"/>
      <c r="DHU1098"/>
      <c r="DHV1098"/>
      <c r="DHY1098"/>
      <c r="DHZ1098"/>
      <c r="DIC1098"/>
      <c r="DID1098"/>
      <c r="DIG1098"/>
      <c r="DIH1098"/>
      <c r="DIK1098"/>
      <c r="DIL1098"/>
      <c r="DIO1098"/>
      <c r="DIP1098"/>
      <c r="DIS1098"/>
      <c r="DIT1098"/>
      <c r="DIW1098"/>
      <c r="DIX1098"/>
      <c r="DJA1098"/>
      <c r="DJB1098"/>
      <c r="DJE1098"/>
      <c r="DJF1098"/>
      <c r="DJI1098"/>
      <c r="DJJ1098"/>
      <c r="DJM1098"/>
      <c r="DJN1098"/>
      <c r="DJQ1098"/>
      <c r="DJR1098"/>
      <c r="DJU1098"/>
      <c r="DJV1098"/>
      <c r="DJY1098"/>
      <c r="DJZ1098"/>
      <c r="DKC1098"/>
      <c r="DKD1098"/>
      <c r="DKG1098"/>
      <c r="DKH1098"/>
      <c r="DKK1098"/>
      <c r="DKL1098"/>
      <c r="DKO1098"/>
      <c r="DKP1098"/>
      <c r="DKS1098"/>
      <c r="DKT1098"/>
      <c r="DKW1098"/>
      <c r="DKX1098"/>
      <c r="DLA1098"/>
      <c r="DLB1098"/>
      <c r="DLE1098"/>
      <c r="DLF1098"/>
      <c r="DLI1098"/>
      <c r="DLJ1098"/>
      <c r="DLM1098"/>
      <c r="DLN1098"/>
      <c r="DLQ1098"/>
      <c r="DLR1098"/>
      <c r="DLU1098"/>
      <c r="DLV1098"/>
      <c r="DLY1098"/>
      <c r="DLZ1098"/>
      <c r="DMC1098"/>
      <c r="DMD1098"/>
      <c r="DMG1098"/>
      <c r="DMH1098"/>
      <c r="DMK1098"/>
      <c r="DML1098"/>
      <c r="DMO1098"/>
      <c r="DMP1098"/>
      <c r="DMS1098"/>
      <c r="DMT1098"/>
      <c r="DMW1098"/>
      <c r="DMX1098"/>
      <c r="DNA1098"/>
      <c r="DNB1098"/>
      <c r="DNE1098"/>
      <c r="DNF1098"/>
      <c r="DNI1098"/>
      <c r="DNJ1098"/>
      <c r="DNM1098"/>
      <c r="DNN1098"/>
      <c r="DNQ1098"/>
      <c r="DNR1098"/>
      <c r="DNU1098"/>
      <c r="DNV1098"/>
      <c r="DNY1098"/>
      <c r="DNZ1098"/>
      <c r="DOC1098"/>
      <c r="DOD1098"/>
      <c r="DOG1098"/>
      <c r="DOH1098"/>
      <c r="DOK1098"/>
      <c r="DOL1098"/>
      <c r="DOO1098"/>
      <c r="DOP1098"/>
      <c r="DOS1098"/>
      <c r="DOT1098"/>
      <c r="DOW1098"/>
      <c r="DOX1098"/>
      <c r="DPA1098"/>
      <c r="DPB1098"/>
      <c r="DPE1098"/>
      <c r="DPF1098"/>
      <c r="DPI1098"/>
      <c r="DPJ1098"/>
      <c r="DPM1098"/>
      <c r="DPN1098"/>
      <c r="DPQ1098"/>
      <c r="DPR1098"/>
      <c r="DPU1098"/>
      <c r="DPV1098"/>
      <c r="DPY1098"/>
      <c r="DPZ1098"/>
      <c r="DQC1098"/>
      <c r="DQD1098"/>
      <c r="DQG1098"/>
      <c r="DQH1098"/>
      <c r="DQK1098"/>
      <c r="DQL1098"/>
      <c r="DQO1098"/>
      <c r="DQP1098"/>
      <c r="DQS1098"/>
      <c r="DQT1098"/>
      <c r="DQW1098"/>
      <c r="DQX1098"/>
      <c r="DRA1098"/>
      <c r="DRB1098"/>
      <c r="DRE1098"/>
      <c r="DRF1098"/>
      <c r="DRI1098"/>
      <c r="DRJ1098"/>
      <c r="DRM1098"/>
      <c r="DRN1098"/>
      <c r="DRQ1098"/>
      <c r="DRR1098"/>
      <c r="DRU1098"/>
      <c r="DRV1098"/>
      <c r="DRY1098"/>
      <c r="DRZ1098"/>
      <c r="DSC1098"/>
      <c r="DSD1098"/>
      <c r="DSG1098"/>
      <c r="DSH1098"/>
      <c r="DSK1098"/>
      <c r="DSL1098"/>
      <c r="DSO1098"/>
      <c r="DSP1098"/>
      <c r="DSS1098"/>
      <c r="DST1098"/>
      <c r="DSW1098"/>
      <c r="DSX1098"/>
      <c r="DTA1098"/>
      <c r="DTB1098"/>
      <c r="DTE1098"/>
      <c r="DTF1098"/>
      <c r="DTI1098"/>
      <c r="DTJ1098"/>
      <c r="DTM1098"/>
      <c r="DTN1098"/>
      <c r="DTQ1098"/>
      <c r="DTR1098"/>
      <c r="DTU1098"/>
      <c r="DTV1098"/>
      <c r="DTY1098"/>
      <c r="DTZ1098"/>
      <c r="DUC1098"/>
      <c r="DUD1098"/>
      <c r="DUG1098"/>
      <c r="DUH1098"/>
      <c r="DUK1098"/>
      <c r="DUL1098"/>
      <c r="DUO1098"/>
      <c r="DUP1098"/>
      <c r="DUS1098"/>
      <c r="DUT1098"/>
      <c r="DUW1098"/>
      <c r="DUX1098"/>
      <c r="DVA1098"/>
      <c r="DVB1098"/>
      <c r="DVE1098"/>
      <c r="DVF1098"/>
      <c r="DVI1098"/>
      <c r="DVJ1098"/>
      <c r="DVM1098"/>
      <c r="DVN1098"/>
      <c r="DVQ1098"/>
      <c r="DVR1098"/>
      <c r="DVU1098"/>
      <c r="DVV1098"/>
      <c r="DVY1098"/>
      <c r="DVZ1098"/>
      <c r="DWC1098"/>
      <c r="DWD1098"/>
      <c r="DWG1098"/>
      <c r="DWH1098"/>
      <c r="DWK1098"/>
      <c r="DWL1098"/>
      <c r="DWO1098"/>
      <c r="DWP1098"/>
      <c r="DWS1098"/>
      <c r="DWT1098"/>
      <c r="DWW1098"/>
      <c r="DWX1098"/>
      <c r="DXA1098"/>
      <c r="DXB1098"/>
      <c r="DXE1098"/>
      <c r="DXF1098"/>
      <c r="DXI1098"/>
      <c r="DXJ1098"/>
      <c r="DXM1098"/>
      <c r="DXN1098"/>
      <c r="DXQ1098"/>
      <c r="DXR1098"/>
      <c r="DXU1098"/>
      <c r="DXV1098"/>
      <c r="DXY1098"/>
      <c r="DXZ1098"/>
      <c r="DYC1098"/>
      <c r="DYD1098"/>
      <c r="DYG1098"/>
      <c r="DYH1098"/>
      <c r="DYK1098"/>
      <c r="DYL1098"/>
      <c r="DYO1098"/>
      <c r="DYP1098"/>
      <c r="DYS1098"/>
      <c r="DYT1098"/>
      <c r="DYW1098"/>
      <c r="DYX1098"/>
      <c r="DZA1098"/>
      <c r="DZB1098"/>
      <c r="DZE1098"/>
      <c r="DZF1098"/>
      <c r="DZI1098"/>
      <c r="DZJ1098"/>
      <c r="DZM1098"/>
      <c r="DZN1098"/>
      <c r="DZQ1098"/>
      <c r="DZR1098"/>
      <c r="DZU1098"/>
      <c r="DZV1098"/>
      <c r="DZY1098"/>
      <c r="DZZ1098"/>
      <c r="EAC1098"/>
      <c r="EAD1098"/>
      <c r="EAG1098"/>
      <c r="EAH1098"/>
      <c r="EAK1098"/>
      <c r="EAL1098"/>
      <c r="EAO1098"/>
      <c r="EAP1098"/>
      <c r="EAS1098"/>
      <c r="EAT1098"/>
      <c r="EAW1098"/>
      <c r="EAX1098"/>
      <c r="EBA1098"/>
      <c r="EBB1098"/>
      <c r="EBE1098"/>
      <c r="EBF1098"/>
      <c r="EBI1098"/>
      <c r="EBJ1098"/>
      <c r="EBM1098"/>
      <c r="EBN1098"/>
      <c r="EBQ1098"/>
      <c r="EBR1098"/>
      <c r="EBU1098"/>
      <c r="EBV1098"/>
      <c r="EBY1098"/>
      <c r="EBZ1098"/>
      <c r="ECC1098"/>
      <c r="ECD1098"/>
      <c r="ECG1098"/>
      <c r="ECH1098"/>
      <c r="ECK1098"/>
      <c r="ECL1098"/>
      <c r="ECO1098"/>
      <c r="ECP1098"/>
      <c r="ECS1098"/>
      <c r="ECT1098"/>
      <c r="ECW1098"/>
      <c r="ECX1098"/>
      <c r="EDA1098"/>
      <c r="EDB1098"/>
      <c r="EDE1098"/>
      <c r="EDF1098"/>
      <c r="EDI1098"/>
      <c r="EDJ1098"/>
      <c r="EDM1098"/>
      <c r="EDN1098"/>
      <c r="EDQ1098"/>
      <c r="EDR1098"/>
      <c r="EDU1098"/>
      <c r="EDV1098"/>
      <c r="EDY1098"/>
      <c r="EDZ1098"/>
      <c r="EEC1098"/>
      <c r="EED1098"/>
      <c r="EEG1098"/>
      <c r="EEH1098"/>
      <c r="EEK1098"/>
      <c r="EEL1098"/>
      <c r="EEO1098"/>
      <c r="EEP1098"/>
      <c r="EES1098"/>
      <c r="EET1098"/>
      <c r="EEW1098"/>
      <c r="EEX1098"/>
      <c r="EFA1098"/>
      <c r="EFB1098"/>
      <c r="EFE1098"/>
      <c r="EFF1098"/>
      <c r="EFI1098"/>
      <c r="EFJ1098"/>
      <c r="EFM1098"/>
      <c r="EFN1098"/>
      <c r="EFQ1098"/>
      <c r="EFR1098"/>
      <c r="EFU1098"/>
      <c r="EFV1098"/>
      <c r="EFY1098"/>
      <c r="EFZ1098"/>
      <c r="EGC1098"/>
      <c r="EGD1098"/>
      <c r="EGG1098"/>
      <c r="EGH1098"/>
      <c r="EGK1098"/>
      <c r="EGL1098"/>
      <c r="EGO1098"/>
      <c r="EGP1098"/>
      <c r="EGS1098"/>
      <c r="EGT1098"/>
      <c r="EGW1098"/>
      <c r="EGX1098"/>
      <c r="EHA1098"/>
      <c r="EHB1098"/>
      <c r="EHE1098"/>
      <c r="EHF1098"/>
      <c r="EHI1098"/>
      <c r="EHJ1098"/>
      <c r="EHM1098"/>
      <c r="EHN1098"/>
      <c r="EHQ1098"/>
      <c r="EHR1098"/>
      <c r="EHU1098"/>
      <c r="EHV1098"/>
      <c r="EHY1098"/>
      <c r="EHZ1098"/>
      <c r="EIC1098"/>
      <c r="EID1098"/>
      <c r="EIG1098"/>
      <c r="EIH1098"/>
      <c r="EIK1098"/>
      <c r="EIL1098"/>
      <c r="EIO1098"/>
      <c r="EIP1098"/>
      <c r="EIS1098"/>
      <c r="EIT1098"/>
      <c r="EIW1098"/>
      <c r="EIX1098"/>
      <c r="EJA1098"/>
      <c r="EJB1098"/>
      <c r="EJE1098"/>
      <c r="EJF1098"/>
      <c r="EJI1098"/>
      <c r="EJJ1098"/>
      <c r="EJM1098"/>
      <c r="EJN1098"/>
      <c r="EJQ1098"/>
      <c r="EJR1098"/>
      <c r="EJU1098"/>
      <c r="EJV1098"/>
      <c r="EJY1098"/>
      <c r="EJZ1098"/>
      <c r="EKC1098"/>
      <c r="EKD1098"/>
      <c r="EKG1098"/>
      <c r="EKH1098"/>
      <c r="EKK1098"/>
      <c r="EKL1098"/>
      <c r="EKO1098"/>
      <c r="EKP1098"/>
      <c r="EKS1098"/>
      <c r="EKT1098"/>
      <c r="EKW1098"/>
      <c r="EKX1098"/>
      <c r="ELA1098"/>
      <c r="ELB1098"/>
      <c r="ELE1098"/>
      <c r="ELF1098"/>
      <c r="ELI1098"/>
      <c r="ELJ1098"/>
      <c r="ELM1098"/>
      <c r="ELN1098"/>
      <c r="ELQ1098"/>
      <c r="ELR1098"/>
      <c r="ELU1098"/>
      <c r="ELV1098"/>
      <c r="ELY1098"/>
      <c r="ELZ1098"/>
      <c r="EMC1098"/>
      <c r="EMD1098"/>
      <c r="EMG1098"/>
      <c r="EMH1098"/>
      <c r="EMK1098"/>
      <c r="EML1098"/>
      <c r="EMO1098"/>
      <c r="EMP1098"/>
      <c r="EMS1098"/>
      <c r="EMT1098"/>
      <c r="EMW1098"/>
      <c r="EMX1098"/>
      <c r="ENA1098"/>
      <c r="ENB1098"/>
      <c r="ENE1098"/>
      <c r="ENF1098"/>
      <c r="ENI1098"/>
      <c r="ENJ1098"/>
      <c r="ENM1098"/>
      <c r="ENN1098"/>
      <c r="ENQ1098"/>
      <c r="ENR1098"/>
      <c r="ENU1098"/>
      <c r="ENV1098"/>
      <c r="ENY1098"/>
      <c r="ENZ1098"/>
      <c r="EOC1098"/>
      <c r="EOD1098"/>
      <c r="EOG1098"/>
      <c r="EOH1098"/>
      <c r="EOK1098"/>
      <c r="EOL1098"/>
      <c r="EOO1098"/>
      <c r="EOP1098"/>
      <c r="EOS1098"/>
      <c r="EOT1098"/>
      <c r="EOW1098"/>
      <c r="EOX1098"/>
      <c r="EPA1098"/>
      <c r="EPB1098"/>
      <c r="EPE1098"/>
      <c r="EPF1098"/>
      <c r="EPI1098"/>
      <c r="EPJ1098"/>
      <c r="EPM1098"/>
      <c r="EPN1098"/>
      <c r="EPQ1098"/>
      <c r="EPR1098"/>
      <c r="EPU1098"/>
      <c r="EPV1098"/>
      <c r="EPY1098"/>
      <c r="EPZ1098"/>
      <c r="EQC1098"/>
      <c r="EQD1098"/>
      <c r="EQG1098"/>
      <c r="EQH1098"/>
      <c r="EQK1098"/>
      <c r="EQL1098"/>
      <c r="EQO1098"/>
      <c r="EQP1098"/>
      <c r="EQS1098"/>
      <c r="EQT1098"/>
      <c r="EQW1098"/>
      <c r="EQX1098"/>
      <c r="ERA1098"/>
      <c r="ERB1098"/>
      <c r="ERE1098"/>
      <c r="ERF1098"/>
      <c r="ERI1098"/>
      <c r="ERJ1098"/>
      <c r="ERM1098"/>
      <c r="ERN1098"/>
      <c r="ERQ1098"/>
      <c r="ERR1098"/>
      <c r="ERU1098"/>
      <c r="ERV1098"/>
      <c r="ERY1098"/>
      <c r="ERZ1098"/>
      <c r="ESC1098"/>
      <c r="ESD1098"/>
      <c r="ESG1098"/>
      <c r="ESH1098"/>
      <c r="ESK1098"/>
      <c r="ESL1098"/>
      <c r="ESO1098"/>
      <c r="ESP1098"/>
      <c r="ESS1098"/>
      <c r="EST1098"/>
      <c r="ESW1098"/>
      <c r="ESX1098"/>
      <c r="ETA1098"/>
      <c r="ETB1098"/>
      <c r="ETE1098"/>
      <c r="ETF1098"/>
      <c r="ETI1098"/>
      <c r="ETJ1098"/>
      <c r="ETM1098"/>
      <c r="ETN1098"/>
      <c r="ETQ1098"/>
      <c r="ETR1098"/>
      <c r="ETU1098"/>
      <c r="ETV1098"/>
      <c r="ETY1098"/>
      <c r="ETZ1098"/>
      <c r="EUC1098"/>
      <c r="EUD1098"/>
      <c r="EUG1098"/>
      <c r="EUH1098"/>
      <c r="EUK1098"/>
      <c r="EUL1098"/>
      <c r="EUO1098"/>
      <c r="EUP1098"/>
      <c r="EUS1098"/>
      <c r="EUT1098"/>
      <c r="EUW1098"/>
      <c r="EUX1098"/>
      <c r="EVA1098"/>
      <c r="EVB1098"/>
      <c r="EVE1098"/>
      <c r="EVF1098"/>
      <c r="EVI1098"/>
      <c r="EVJ1098"/>
      <c r="EVM1098"/>
      <c r="EVN1098"/>
      <c r="EVQ1098"/>
      <c r="EVR1098"/>
      <c r="EVU1098"/>
      <c r="EVV1098"/>
      <c r="EVY1098"/>
      <c r="EVZ1098"/>
      <c r="EWC1098"/>
      <c r="EWD1098"/>
      <c r="EWG1098"/>
      <c r="EWH1098"/>
      <c r="EWK1098"/>
      <c r="EWL1098"/>
      <c r="EWO1098"/>
      <c r="EWP1098"/>
      <c r="EWS1098"/>
      <c r="EWT1098"/>
      <c r="EWW1098"/>
      <c r="EWX1098"/>
      <c r="EXA1098"/>
      <c r="EXB1098"/>
      <c r="EXE1098"/>
      <c r="EXF1098"/>
      <c r="EXI1098"/>
      <c r="EXJ1098"/>
      <c r="EXM1098"/>
      <c r="EXN1098"/>
      <c r="EXQ1098"/>
      <c r="EXR1098"/>
      <c r="EXU1098"/>
      <c r="EXV1098"/>
      <c r="EXY1098"/>
      <c r="EXZ1098"/>
      <c r="EYC1098"/>
      <c r="EYD1098"/>
      <c r="EYG1098"/>
      <c r="EYH1098"/>
      <c r="EYK1098"/>
      <c r="EYL1098"/>
      <c r="EYO1098"/>
      <c r="EYP1098"/>
      <c r="EYS1098"/>
      <c r="EYT1098"/>
      <c r="EYW1098"/>
      <c r="EYX1098"/>
      <c r="EZA1098"/>
      <c r="EZB1098"/>
      <c r="EZE1098"/>
      <c r="EZF1098"/>
      <c r="EZI1098"/>
      <c r="EZJ1098"/>
      <c r="EZM1098"/>
      <c r="EZN1098"/>
      <c r="EZQ1098"/>
      <c r="EZR1098"/>
      <c r="EZU1098"/>
      <c r="EZV1098"/>
      <c r="EZY1098"/>
      <c r="EZZ1098"/>
      <c r="FAC1098"/>
      <c r="FAD1098"/>
      <c r="FAG1098"/>
      <c r="FAH1098"/>
      <c r="FAK1098"/>
      <c r="FAL1098"/>
      <c r="FAO1098"/>
      <c r="FAP1098"/>
      <c r="FAS1098"/>
      <c r="FAT1098"/>
      <c r="FAW1098"/>
      <c r="FAX1098"/>
      <c r="FBA1098"/>
      <c r="FBB1098"/>
      <c r="FBE1098"/>
      <c r="FBF1098"/>
      <c r="FBI1098"/>
      <c r="FBJ1098"/>
      <c r="FBM1098"/>
      <c r="FBN1098"/>
      <c r="FBQ1098"/>
      <c r="FBR1098"/>
      <c r="FBU1098"/>
      <c r="FBV1098"/>
      <c r="FBY1098"/>
      <c r="FBZ1098"/>
      <c r="FCC1098"/>
      <c r="FCD1098"/>
      <c r="FCG1098"/>
      <c r="FCH1098"/>
      <c r="FCK1098"/>
      <c r="FCL1098"/>
      <c r="FCO1098"/>
      <c r="FCP1098"/>
      <c r="FCS1098"/>
      <c r="FCT1098"/>
      <c r="FCW1098"/>
      <c r="FCX1098"/>
      <c r="FDA1098"/>
      <c r="FDB1098"/>
      <c r="FDE1098"/>
      <c r="FDF1098"/>
      <c r="FDI1098"/>
      <c r="FDJ1098"/>
      <c r="FDM1098"/>
      <c r="FDN1098"/>
      <c r="FDQ1098"/>
      <c r="FDR1098"/>
      <c r="FDU1098"/>
      <c r="FDV1098"/>
      <c r="FDY1098"/>
      <c r="FDZ1098"/>
      <c r="FEC1098"/>
      <c r="FED1098"/>
      <c r="FEG1098"/>
      <c r="FEH1098"/>
      <c r="FEK1098"/>
      <c r="FEL1098"/>
      <c r="FEO1098"/>
      <c r="FEP1098"/>
      <c r="FES1098"/>
      <c r="FET1098"/>
      <c r="FEW1098"/>
      <c r="FEX1098"/>
      <c r="FFA1098"/>
      <c r="FFB1098"/>
      <c r="FFE1098"/>
      <c r="FFF1098"/>
      <c r="FFI1098"/>
      <c r="FFJ1098"/>
      <c r="FFM1098"/>
      <c r="FFN1098"/>
      <c r="FFQ1098"/>
      <c r="FFR1098"/>
      <c r="FFU1098"/>
      <c r="FFV1098"/>
      <c r="FFY1098"/>
      <c r="FFZ1098"/>
      <c r="FGC1098"/>
      <c r="FGD1098"/>
      <c r="FGG1098"/>
      <c r="FGH1098"/>
      <c r="FGK1098"/>
      <c r="FGL1098"/>
      <c r="FGO1098"/>
      <c r="FGP1098"/>
      <c r="FGS1098"/>
      <c r="FGT1098"/>
      <c r="FGW1098"/>
      <c r="FGX1098"/>
      <c r="FHA1098"/>
      <c r="FHB1098"/>
      <c r="FHE1098"/>
      <c r="FHF1098"/>
      <c r="FHI1098"/>
      <c r="FHJ1098"/>
      <c r="FHM1098"/>
      <c r="FHN1098"/>
      <c r="FHQ1098"/>
      <c r="FHR1098"/>
      <c r="FHU1098"/>
      <c r="FHV1098"/>
      <c r="FHY1098"/>
      <c r="FHZ1098"/>
      <c r="FIC1098"/>
      <c r="FID1098"/>
      <c r="FIG1098"/>
      <c r="FIH1098"/>
      <c r="FIK1098"/>
      <c r="FIL1098"/>
      <c r="FIO1098"/>
      <c r="FIP1098"/>
      <c r="FIS1098"/>
      <c r="FIT1098"/>
      <c r="FIW1098"/>
      <c r="FIX1098"/>
      <c r="FJA1098"/>
      <c r="FJB1098"/>
      <c r="FJE1098"/>
      <c r="FJF1098"/>
      <c r="FJI1098"/>
      <c r="FJJ1098"/>
      <c r="FJM1098"/>
      <c r="FJN1098"/>
      <c r="FJQ1098"/>
      <c r="FJR1098"/>
      <c r="FJU1098"/>
      <c r="FJV1098"/>
      <c r="FJY1098"/>
      <c r="FJZ1098"/>
      <c r="FKC1098"/>
      <c r="FKD1098"/>
      <c r="FKG1098"/>
      <c r="FKH1098"/>
      <c r="FKK1098"/>
      <c r="FKL1098"/>
      <c r="FKO1098"/>
      <c r="FKP1098"/>
      <c r="FKS1098"/>
      <c r="FKT1098"/>
      <c r="FKW1098"/>
      <c r="FKX1098"/>
      <c r="FLA1098"/>
      <c r="FLB1098"/>
      <c r="FLE1098"/>
      <c r="FLF1098"/>
      <c r="FLI1098"/>
      <c r="FLJ1098"/>
      <c r="FLM1098"/>
      <c r="FLN1098"/>
      <c r="FLQ1098"/>
      <c r="FLR1098"/>
      <c r="FLU1098"/>
      <c r="FLV1098"/>
      <c r="FLY1098"/>
      <c r="FLZ1098"/>
      <c r="FMC1098"/>
      <c r="FMD1098"/>
      <c r="FMG1098"/>
      <c r="FMH1098"/>
      <c r="FMK1098"/>
      <c r="FML1098"/>
      <c r="FMO1098"/>
      <c r="FMP1098"/>
      <c r="FMS1098"/>
      <c r="FMT1098"/>
      <c r="FMW1098"/>
      <c r="FMX1098"/>
      <c r="FNA1098"/>
      <c r="FNB1098"/>
      <c r="FNE1098"/>
      <c r="FNF1098"/>
      <c r="FNI1098"/>
      <c r="FNJ1098"/>
      <c r="FNM1098"/>
      <c r="FNN1098"/>
      <c r="FNQ1098"/>
      <c r="FNR1098"/>
      <c r="FNU1098"/>
      <c r="FNV1098"/>
      <c r="FNY1098"/>
      <c r="FNZ1098"/>
      <c r="FOC1098"/>
      <c r="FOD1098"/>
      <c r="FOG1098"/>
      <c r="FOH1098"/>
      <c r="FOK1098"/>
      <c r="FOL1098"/>
      <c r="FOO1098"/>
      <c r="FOP1098"/>
      <c r="FOS1098"/>
      <c r="FOT1098"/>
      <c r="FOW1098"/>
      <c r="FOX1098"/>
      <c r="FPA1098"/>
      <c r="FPB1098"/>
      <c r="FPE1098"/>
      <c r="FPF1098"/>
      <c r="FPI1098"/>
      <c r="FPJ1098"/>
      <c r="FPM1098"/>
      <c r="FPN1098"/>
      <c r="FPQ1098"/>
      <c r="FPR1098"/>
      <c r="FPU1098"/>
      <c r="FPV1098"/>
      <c r="FPY1098"/>
      <c r="FPZ1098"/>
      <c r="FQC1098"/>
      <c r="FQD1098"/>
      <c r="FQG1098"/>
      <c r="FQH1098"/>
      <c r="FQK1098"/>
      <c r="FQL1098"/>
      <c r="FQO1098"/>
      <c r="FQP1098"/>
      <c r="FQS1098"/>
      <c r="FQT1098"/>
      <c r="FQW1098"/>
      <c r="FQX1098"/>
      <c r="FRA1098"/>
      <c r="FRB1098"/>
      <c r="FRE1098"/>
      <c r="FRF1098"/>
      <c r="FRI1098"/>
      <c r="FRJ1098"/>
      <c r="FRM1098"/>
      <c r="FRN1098"/>
      <c r="FRQ1098"/>
      <c r="FRR1098"/>
      <c r="FRU1098"/>
      <c r="FRV1098"/>
      <c r="FRY1098"/>
      <c r="FRZ1098"/>
      <c r="FSC1098"/>
      <c r="FSD1098"/>
      <c r="FSG1098"/>
      <c r="FSH1098"/>
      <c r="FSK1098"/>
      <c r="FSL1098"/>
      <c r="FSO1098"/>
      <c r="FSP1098"/>
      <c r="FSS1098"/>
      <c r="FST1098"/>
      <c r="FSW1098"/>
      <c r="FSX1098"/>
      <c r="FTA1098"/>
      <c r="FTB1098"/>
      <c r="FTE1098"/>
      <c r="FTF1098"/>
      <c r="FTI1098"/>
      <c r="FTJ1098"/>
      <c r="FTM1098"/>
      <c r="FTN1098"/>
      <c r="FTQ1098"/>
      <c r="FTR1098"/>
      <c r="FTU1098"/>
      <c r="FTV1098"/>
      <c r="FTY1098"/>
      <c r="FTZ1098"/>
      <c r="FUC1098"/>
      <c r="FUD1098"/>
      <c r="FUG1098"/>
      <c r="FUH1098"/>
      <c r="FUK1098"/>
      <c r="FUL1098"/>
      <c r="FUO1098"/>
      <c r="FUP1098"/>
      <c r="FUS1098"/>
      <c r="FUT1098"/>
      <c r="FUW1098"/>
      <c r="FUX1098"/>
      <c r="FVA1098"/>
      <c r="FVB1098"/>
      <c r="FVE1098"/>
      <c r="FVF1098"/>
      <c r="FVI1098"/>
      <c r="FVJ1098"/>
      <c r="FVM1098"/>
      <c r="FVN1098"/>
      <c r="FVQ1098"/>
      <c r="FVR1098"/>
      <c r="FVU1098"/>
      <c r="FVV1098"/>
      <c r="FVY1098"/>
      <c r="FVZ1098"/>
      <c r="FWC1098"/>
      <c r="FWD1098"/>
      <c r="FWG1098"/>
      <c r="FWH1098"/>
      <c r="FWK1098"/>
      <c r="FWL1098"/>
      <c r="FWO1098"/>
      <c r="FWP1098"/>
      <c r="FWS1098"/>
      <c r="FWT1098"/>
      <c r="FWW1098"/>
      <c r="FWX1098"/>
      <c r="FXA1098"/>
      <c r="FXB1098"/>
      <c r="FXE1098"/>
      <c r="FXF1098"/>
      <c r="FXI1098"/>
      <c r="FXJ1098"/>
      <c r="FXM1098"/>
      <c r="FXN1098"/>
      <c r="FXQ1098"/>
      <c r="FXR1098"/>
      <c r="FXU1098"/>
      <c r="FXV1098"/>
      <c r="FXY1098"/>
      <c r="FXZ1098"/>
      <c r="FYC1098"/>
      <c r="FYD1098"/>
      <c r="FYG1098"/>
      <c r="FYH1098"/>
      <c r="FYK1098"/>
      <c r="FYL1098"/>
      <c r="FYO1098"/>
      <c r="FYP1098"/>
      <c r="FYS1098"/>
      <c r="FYT1098"/>
      <c r="FYW1098"/>
      <c r="FYX1098"/>
      <c r="FZA1098"/>
      <c r="FZB1098"/>
      <c r="FZE1098"/>
      <c r="FZF1098"/>
      <c r="FZI1098"/>
      <c r="FZJ1098"/>
      <c r="FZM1098"/>
      <c r="FZN1098"/>
      <c r="FZQ1098"/>
      <c r="FZR1098"/>
      <c r="FZU1098"/>
      <c r="FZV1098"/>
      <c r="FZY1098"/>
      <c r="FZZ1098"/>
      <c r="GAC1098"/>
      <c r="GAD1098"/>
      <c r="GAG1098"/>
      <c r="GAH1098"/>
      <c r="GAK1098"/>
      <c r="GAL1098"/>
      <c r="GAO1098"/>
      <c r="GAP1098"/>
      <c r="GAS1098"/>
      <c r="GAT1098"/>
      <c r="GAW1098"/>
      <c r="GAX1098"/>
      <c r="GBA1098"/>
      <c r="GBB1098"/>
      <c r="GBE1098"/>
      <c r="GBF1098"/>
      <c r="GBI1098"/>
      <c r="GBJ1098"/>
      <c r="GBM1098"/>
      <c r="GBN1098"/>
      <c r="GBQ1098"/>
      <c r="GBR1098"/>
      <c r="GBU1098"/>
      <c r="GBV1098"/>
      <c r="GBY1098"/>
      <c r="GBZ1098"/>
      <c r="GCC1098"/>
      <c r="GCD1098"/>
      <c r="GCG1098"/>
      <c r="GCH1098"/>
      <c r="GCK1098"/>
      <c r="GCL1098"/>
      <c r="GCO1098"/>
      <c r="GCP1098"/>
      <c r="GCS1098"/>
      <c r="GCT1098"/>
      <c r="GCW1098"/>
      <c r="GCX1098"/>
      <c r="GDA1098"/>
      <c r="GDB1098"/>
      <c r="GDE1098"/>
      <c r="GDF1098"/>
      <c r="GDI1098"/>
      <c r="GDJ1098"/>
      <c r="GDM1098"/>
      <c r="GDN1098"/>
      <c r="GDQ1098"/>
      <c r="GDR1098"/>
      <c r="GDU1098"/>
      <c r="GDV1098"/>
      <c r="GDY1098"/>
      <c r="GDZ1098"/>
      <c r="GEC1098"/>
      <c r="GED1098"/>
      <c r="GEG1098"/>
      <c r="GEH1098"/>
      <c r="GEK1098"/>
      <c r="GEL1098"/>
      <c r="GEO1098"/>
      <c r="GEP1098"/>
      <c r="GES1098"/>
      <c r="GET1098"/>
      <c r="GEW1098"/>
      <c r="GEX1098"/>
      <c r="GFA1098"/>
      <c r="GFB1098"/>
      <c r="GFE1098"/>
      <c r="GFF1098"/>
      <c r="GFI1098"/>
      <c r="GFJ1098"/>
      <c r="GFM1098"/>
      <c r="GFN1098"/>
      <c r="GFQ1098"/>
      <c r="GFR1098"/>
      <c r="GFU1098"/>
      <c r="GFV1098"/>
      <c r="GFY1098"/>
      <c r="GFZ1098"/>
      <c r="GGC1098"/>
      <c r="GGD1098"/>
      <c r="GGG1098"/>
      <c r="GGH1098"/>
      <c r="GGK1098"/>
      <c r="GGL1098"/>
      <c r="GGO1098"/>
      <c r="GGP1098"/>
      <c r="GGS1098"/>
      <c r="GGT1098"/>
      <c r="GGW1098"/>
      <c r="GGX1098"/>
      <c r="GHA1098"/>
      <c r="GHB1098"/>
      <c r="GHE1098"/>
      <c r="GHF1098"/>
      <c r="GHI1098"/>
      <c r="GHJ1098"/>
      <c r="GHM1098"/>
      <c r="GHN1098"/>
      <c r="GHQ1098"/>
      <c r="GHR1098"/>
      <c r="GHU1098"/>
      <c r="GHV1098"/>
      <c r="GHY1098"/>
      <c r="GHZ1098"/>
      <c r="GIC1098"/>
      <c r="GID1098"/>
      <c r="GIG1098"/>
      <c r="GIH1098"/>
      <c r="GIK1098"/>
      <c r="GIL1098"/>
      <c r="GIO1098"/>
      <c r="GIP1098"/>
      <c r="GIS1098"/>
      <c r="GIT1098"/>
      <c r="GIW1098"/>
      <c r="GIX1098"/>
      <c r="GJA1098"/>
      <c r="GJB1098"/>
      <c r="GJE1098"/>
      <c r="GJF1098"/>
      <c r="GJI1098"/>
      <c r="GJJ1098"/>
      <c r="GJM1098"/>
      <c r="GJN1098"/>
      <c r="GJQ1098"/>
      <c r="GJR1098"/>
      <c r="GJU1098"/>
      <c r="GJV1098"/>
      <c r="GJY1098"/>
      <c r="GJZ1098"/>
      <c r="GKC1098"/>
      <c r="GKD1098"/>
      <c r="GKG1098"/>
      <c r="GKH1098"/>
      <c r="GKK1098"/>
      <c r="GKL1098"/>
      <c r="GKO1098"/>
      <c r="GKP1098"/>
      <c r="GKS1098"/>
      <c r="GKT1098"/>
      <c r="GKW1098"/>
      <c r="GKX1098"/>
      <c r="GLA1098"/>
      <c r="GLB1098"/>
      <c r="GLE1098"/>
      <c r="GLF1098"/>
      <c r="GLI1098"/>
      <c r="GLJ1098"/>
      <c r="GLM1098"/>
      <c r="GLN1098"/>
      <c r="GLQ1098"/>
      <c r="GLR1098"/>
      <c r="GLU1098"/>
      <c r="GLV1098"/>
      <c r="GLY1098"/>
      <c r="GLZ1098"/>
      <c r="GMC1098"/>
      <c r="GMD1098"/>
      <c r="GMG1098"/>
      <c r="GMH1098"/>
      <c r="GMK1098"/>
      <c r="GML1098"/>
      <c r="GMO1098"/>
      <c r="GMP1098"/>
      <c r="GMS1098"/>
      <c r="GMT1098"/>
      <c r="GMW1098"/>
      <c r="GMX1098"/>
      <c r="GNA1098"/>
      <c r="GNB1098"/>
      <c r="GNE1098"/>
      <c r="GNF1098"/>
      <c r="GNI1098"/>
      <c r="GNJ1098"/>
      <c r="GNM1098"/>
      <c r="GNN1098"/>
      <c r="GNQ1098"/>
      <c r="GNR1098"/>
      <c r="GNU1098"/>
      <c r="GNV1098"/>
      <c r="GNY1098"/>
      <c r="GNZ1098"/>
      <c r="GOC1098"/>
      <c r="GOD1098"/>
      <c r="GOG1098"/>
      <c r="GOH1098"/>
      <c r="GOK1098"/>
      <c r="GOL1098"/>
      <c r="GOO1098"/>
      <c r="GOP1098"/>
      <c r="GOS1098"/>
      <c r="GOT1098"/>
      <c r="GOW1098"/>
      <c r="GOX1098"/>
      <c r="GPA1098"/>
      <c r="GPB1098"/>
      <c r="GPE1098"/>
      <c r="GPF1098"/>
      <c r="GPI1098"/>
      <c r="GPJ1098"/>
      <c r="GPM1098"/>
      <c r="GPN1098"/>
      <c r="GPQ1098"/>
      <c r="GPR1098"/>
      <c r="GPU1098"/>
      <c r="GPV1098"/>
      <c r="GPY1098"/>
      <c r="GPZ1098"/>
      <c r="GQC1098"/>
      <c r="GQD1098"/>
      <c r="GQG1098"/>
      <c r="GQH1098"/>
      <c r="GQK1098"/>
      <c r="GQL1098"/>
      <c r="GQO1098"/>
      <c r="GQP1098"/>
      <c r="GQS1098"/>
      <c r="GQT1098"/>
      <c r="GQW1098"/>
      <c r="GQX1098"/>
      <c r="GRA1098"/>
      <c r="GRB1098"/>
      <c r="GRE1098"/>
      <c r="GRF1098"/>
      <c r="GRI1098"/>
      <c r="GRJ1098"/>
      <c r="GRM1098"/>
      <c r="GRN1098"/>
      <c r="GRQ1098"/>
      <c r="GRR1098"/>
      <c r="GRU1098"/>
      <c r="GRV1098"/>
      <c r="GRY1098"/>
      <c r="GRZ1098"/>
      <c r="GSC1098"/>
      <c r="GSD1098"/>
      <c r="GSG1098"/>
      <c r="GSH1098"/>
      <c r="GSK1098"/>
      <c r="GSL1098"/>
      <c r="GSO1098"/>
      <c r="GSP1098"/>
      <c r="GSS1098"/>
      <c r="GST1098"/>
      <c r="GSW1098"/>
      <c r="GSX1098"/>
      <c r="GTA1098"/>
      <c r="GTB1098"/>
      <c r="GTE1098"/>
      <c r="GTF1098"/>
      <c r="GTI1098"/>
      <c r="GTJ1098"/>
      <c r="GTM1098"/>
      <c r="GTN1098"/>
      <c r="GTQ1098"/>
      <c r="GTR1098"/>
      <c r="GTU1098"/>
      <c r="GTV1098"/>
      <c r="GTY1098"/>
      <c r="GTZ1098"/>
      <c r="GUC1098"/>
      <c r="GUD1098"/>
      <c r="GUG1098"/>
      <c r="GUH1098"/>
      <c r="GUK1098"/>
      <c r="GUL1098"/>
      <c r="GUO1098"/>
      <c r="GUP1098"/>
      <c r="GUS1098"/>
      <c r="GUT1098"/>
      <c r="GUW1098"/>
      <c r="GUX1098"/>
      <c r="GVA1098"/>
      <c r="GVB1098"/>
      <c r="GVE1098"/>
      <c r="GVF1098"/>
      <c r="GVI1098"/>
      <c r="GVJ1098"/>
      <c r="GVM1098"/>
      <c r="GVN1098"/>
      <c r="GVQ1098"/>
      <c r="GVR1098"/>
      <c r="GVU1098"/>
      <c r="GVV1098"/>
      <c r="GVY1098"/>
      <c r="GVZ1098"/>
      <c r="GWC1098"/>
      <c r="GWD1098"/>
      <c r="GWG1098"/>
      <c r="GWH1098"/>
      <c r="GWK1098"/>
      <c r="GWL1098"/>
      <c r="GWO1098"/>
      <c r="GWP1098"/>
      <c r="GWS1098"/>
      <c r="GWT1098"/>
      <c r="GWW1098"/>
      <c r="GWX1098"/>
      <c r="GXA1098"/>
      <c r="GXB1098"/>
      <c r="GXE1098"/>
      <c r="GXF1098"/>
      <c r="GXI1098"/>
      <c r="GXJ1098"/>
      <c r="GXM1098"/>
      <c r="GXN1098"/>
      <c r="GXQ1098"/>
      <c r="GXR1098"/>
      <c r="GXU1098"/>
      <c r="GXV1098"/>
      <c r="GXY1098"/>
      <c r="GXZ1098"/>
      <c r="GYC1098"/>
      <c r="GYD1098"/>
      <c r="GYG1098"/>
      <c r="GYH1098"/>
      <c r="GYK1098"/>
      <c r="GYL1098"/>
      <c r="GYO1098"/>
      <c r="GYP1098"/>
      <c r="GYS1098"/>
      <c r="GYT1098"/>
      <c r="GYW1098"/>
      <c r="GYX1098"/>
      <c r="GZA1098"/>
      <c r="GZB1098"/>
      <c r="GZE1098"/>
      <c r="GZF1098"/>
      <c r="GZI1098"/>
      <c r="GZJ1098"/>
      <c r="GZM1098"/>
      <c r="GZN1098"/>
      <c r="GZQ1098"/>
      <c r="GZR1098"/>
      <c r="GZU1098"/>
      <c r="GZV1098"/>
      <c r="GZY1098"/>
      <c r="GZZ1098"/>
      <c r="HAC1098"/>
      <c r="HAD1098"/>
      <c r="HAG1098"/>
      <c r="HAH1098"/>
      <c r="HAK1098"/>
      <c r="HAL1098"/>
      <c r="HAO1098"/>
      <c r="HAP1098"/>
      <c r="HAS1098"/>
      <c r="HAT1098"/>
      <c r="HAW1098"/>
      <c r="HAX1098"/>
      <c r="HBA1098"/>
      <c r="HBB1098"/>
      <c r="HBE1098"/>
      <c r="HBF1098"/>
      <c r="HBI1098"/>
      <c r="HBJ1098"/>
      <c r="HBM1098"/>
      <c r="HBN1098"/>
      <c r="HBQ1098"/>
      <c r="HBR1098"/>
      <c r="HBU1098"/>
      <c r="HBV1098"/>
      <c r="HBY1098"/>
      <c r="HBZ1098"/>
      <c r="HCC1098"/>
      <c r="HCD1098"/>
      <c r="HCG1098"/>
      <c r="HCH1098"/>
      <c r="HCK1098"/>
      <c r="HCL1098"/>
      <c r="HCO1098"/>
      <c r="HCP1098"/>
      <c r="HCS1098"/>
      <c r="HCT1098"/>
      <c r="HCW1098"/>
      <c r="HCX1098"/>
      <c r="HDA1098"/>
      <c r="HDB1098"/>
      <c r="HDE1098"/>
      <c r="HDF1098"/>
      <c r="HDI1098"/>
      <c r="HDJ1098"/>
      <c r="HDM1098"/>
      <c r="HDN1098"/>
      <c r="HDQ1098"/>
      <c r="HDR1098"/>
      <c r="HDU1098"/>
      <c r="HDV1098"/>
      <c r="HDY1098"/>
      <c r="HDZ1098"/>
      <c r="HEC1098"/>
      <c r="HED1098"/>
      <c r="HEG1098"/>
      <c r="HEH1098"/>
      <c r="HEK1098"/>
      <c r="HEL1098"/>
      <c r="HEO1098"/>
      <c r="HEP1098"/>
      <c r="HES1098"/>
      <c r="HET1098"/>
      <c r="HEW1098"/>
      <c r="HEX1098"/>
      <c r="HFA1098"/>
      <c r="HFB1098"/>
      <c r="HFE1098"/>
      <c r="HFF1098"/>
      <c r="HFI1098"/>
      <c r="HFJ1098"/>
      <c r="HFM1098"/>
      <c r="HFN1098"/>
      <c r="HFQ1098"/>
      <c r="HFR1098"/>
      <c r="HFU1098"/>
      <c r="HFV1098"/>
      <c r="HFY1098"/>
      <c r="HFZ1098"/>
      <c r="HGC1098"/>
      <c r="HGD1098"/>
      <c r="HGG1098"/>
      <c r="HGH1098"/>
      <c r="HGK1098"/>
      <c r="HGL1098"/>
      <c r="HGO1098"/>
      <c r="HGP1098"/>
      <c r="HGS1098"/>
      <c r="HGT1098"/>
      <c r="HGW1098"/>
      <c r="HGX1098"/>
      <c r="HHA1098"/>
      <c r="HHB1098"/>
      <c r="HHE1098"/>
      <c r="HHF1098"/>
      <c r="HHI1098"/>
      <c r="HHJ1098"/>
      <c r="HHM1098"/>
      <c r="HHN1098"/>
      <c r="HHQ1098"/>
      <c r="HHR1098"/>
      <c r="HHU1098"/>
      <c r="HHV1098"/>
      <c r="HHY1098"/>
      <c r="HHZ1098"/>
      <c r="HIC1098"/>
      <c r="HID1098"/>
      <c r="HIG1098"/>
      <c r="HIH1098"/>
      <c r="HIK1098"/>
      <c r="HIL1098"/>
      <c r="HIO1098"/>
      <c r="HIP1098"/>
      <c r="HIS1098"/>
      <c r="HIT1098"/>
      <c r="HIW1098"/>
      <c r="HIX1098"/>
      <c r="HJA1098"/>
      <c r="HJB1098"/>
      <c r="HJE1098"/>
      <c r="HJF1098"/>
      <c r="HJI1098"/>
      <c r="HJJ1098"/>
      <c r="HJM1098"/>
      <c r="HJN1098"/>
      <c r="HJQ1098"/>
      <c r="HJR1098"/>
      <c r="HJU1098"/>
      <c r="HJV1098"/>
      <c r="HJY1098"/>
      <c r="HJZ1098"/>
      <c r="HKC1098"/>
      <c r="HKD1098"/>
      <c r="HKG1098"/>
      <c r="HKH1098"/>
      <c r="HKK1098"/>
      <c r="HKL1098"/>
      <c r="HKO1098"/>
      <c r="HKP1098"/>
      <c r="HKS1098"/>
      <c r="HKT1098"/>
      <c r="HKW1098"/>
      <c r="HKX1098"/>
      <c r="HLA1098"/>
      <c r="HLB1098"/>
      <c r="HLE1098"/>
      <c r="HLF1098"/>
      <c r="HLI1098"/>
      <c r="HLJ1098"/>
      <c r="HLM1098"/>
      <c r="HLN1098"/>
      <c r="HLQ1098"/>
      <c r="HLR1098"/>
      <c r="HLU1098"/>
      <c r="HLV1098"/>
      <c r="HLY1098"/>
      <c r="HLZ1098"/>
      <c r="HMC1098"/>
      <c r="HMD1098"/>
      <c r="HMG1098"/>
      <c r="HMH1098"/>
      <c r="HMK1098"/>
      <c r="HML1098"/>
      <c r="HMO1098"/>
      <c r="HMP1098"/>
      <c r="HMS1098"/>
      <c r="HMT1098"/>
      <c r="HMW1098"/>
      <c r="HMX1098"/>
      <c r="HNA1098"/>
      <c r="HNB1098"/>
      <c r="HNE1098"/>
      <c r="HNF1098"/>
      <c r="HNI1098"/>
      <c r="HNJ1098"/>
      <c r="HNM1098"/>
      <c r="HNN1098"/>
      <c r="HNQ1098"/>
      <c r="HNR1098"/>
      <c r="HNU1098"/>
      <c r="HNV1098"/>
      <c r="HNY1098"/>
      <c r="HNZ1098"/>
      <c r="HOC1098"/>
      <c r="HOD1098"/>
      <c r="HOG1098"/>
      <c r="HOH1098"/>
      <c r="HOK1098"/>
      <c r="HOL1098"/>
      <c r="HOO1098"/>
      <c r="HOP1098"/>
      <c r="HOS1098"/>
      <c r="HOT1098"/>
      <c r="HOW1098"/>
      <c r="HOX1098"/>
      <c r="HPA1098"/>
      <c r="HPB1098"/>
      <c r="HPE1098"/>
      <c r="HPF1098"/>
      <c r="HPI1098"/>
      <c r="HPJ1098"/>
      <c r="HPM1098"/>
      <c r="HPN1098"/>
      <c r="HPQ1098"/>
      <c r="HPR1098"/>
      <c r="HPU1098"/>
      <c r="HPV1098"/>
      <c r="HPY1098"/>
      <c r="HPZ1098"/>
      <c r="HQC1098"/>
      <c r="HQD1098"/>
      <c r="HQG1098"/>
      <c r="HQH1098"/>
      <c r="HQK1098"/>
      <c r="HQL1098"/>
      <c r="HQO1098"/>
      <c r="HQP1098"/>
      <c r="HQS1098"/>
      <c r="HQT1098"/>
      <c r="HQW1098"/>
      <c r="HQX1098"/>
      <c r="HRA1098"/>
      <c r="HRB1098"/>
      <c r="HRE1098"/>
      <c r="HRF1098"/>
      <c r="HRI1098"/>
      <c r="HRJ1098"/>
      <c r="HRM1098"/>
      <c r="HRN1098"/>
      <c r="HRQ1098"/>
      <c r="HRR1098"/>
      <c r="HRU1098"/>
      <c r="HRV1098"/>
      <c r="HRY1098"/>
      <c r="HRZ1098"/>
      <c r="HSC1098"/>
      <c r="HSD1098"/>
      <c r="HSG1098"/>
      <c r="HSH1098"/>
      <c r="HSK1098"/>
      <c r="HSL1098"/>
      <c r="HSO1098"/>
      <c r="HSP1098"/>
      <c r="HSS1098"/>
      <c r="HST1098"/>
      <c r="HSW1098"/>
      <c r="HSX1098"/>
      <c r="HTA1098"/>
      <c r="HTB1098"/>
      <c r="HTE1098"/>
      <c r="HTF1098"/>
      <c r="HTI1098"/>
      <c r="HTJ1098"/>
      <c r="HTM1098"/>
      <c r="HTN1098"/>
      <c r="HTQ1098"/>
      <c r="HTR1098"/>
      <c r="HTU1098"/>
      <c r="HTV1098"/>
      <c r="HTY1098"/>
      <c r="HTZ1098"/>
      <c r="HUC1098"/>
      <c r="HUD1098"/>
      <c r="HUG1098"/>
      <c r="HUH1098"/>
      <c r="HUK1098"/>
      <c r="HUL1098"/>
      <c r="HUO1098"/>
      <c r="HUP1098"/>
      <c r="HUS1098"/>
      <c r="HUT1098"/>
      <c r="HUW1098"/>
      <c r="HUX1098"/>
      <c r="HVA1098"/>
      <c r="HVB1098"/>
      <c r="HVE1098"/>
      <c r="HVF1098"/>
      <c r="HVI1098"/>
      <c r="HVJ1098"/>
      <c r="HVM1098"/>
      <c r="HVN1098"/>
      <c r="HVQ1098"/>
      <c r="HVR1098"/>
      <c r="HVU1098"/>
      <c r="HVV1098"/>
      <c r="HVY1098"/>
      <c r="HVZ1098"/>
      <c r="HWC1098"/>
      <c r="HWD1098"/>
      <c r="HWG1098"/>
      <c r="HWH1098"/>
      <c r="HWK1098"/>
      <c r="HWL1098"/>
      <c r="HWO1098"/>
      <c r="HWP1098"/>
      <c r="HWS1098"/>
      <c r="HWT1098"/>
      <c r="HWW1098"/>
      <c r="HWX1098"/>
      <c r="HXA1098"/>
      <c r="HXB1098"/>
      <c r="HXE1098"/>
      <c r="HXF1098"/>
      <c r="HXI1098"/>
      <c r="HXJ1098"/>
      <c r="HXM1098"/>
      <c r="HXN1098"/>
      <c r="HXQ1098"/>
      <c r="HXR1098"/>
      <c r="HXU1098"/>
      <c r="HXV1098"/>
      <c r="HXY1098"/>
      <c r="HXZ1098"/>
      <c r="HYC1098"/>
      <c r="HYD1098"/>
      <c r="HYG1098"/>
      <c r="HYH1098"/>
      <c r="HYK1098"/>
      <c r="HYL1098"/>
      <c r="HYO1098"/>
      <c r="HYP1098"/>
      <c r="HYS1098"/>
      <c r="HYT1098"/>
      <c r="HYW1098"/>
      <c r="HYX1098"/>
      <c r="HZA1098"/>
      <c r="HZB1098"/>
      <c r="HZE1098"/>
      <c r="HZF1098"/>
      <c r="HZI1098"/>
      <c r="HZJ1098"/>
      <c r="HZM1098"/>
      <c r="HZN1098"/>
      <c r="HZQ1098"/>
      <c r="HZR1098"/>
      <c r="HZU1098"/>
      <c r="HZV1098"/>
      <c r="HZY1098"/>
      <c r="HZZ1098"/>
      <c r="IAC1098"/>
      <c r="IAD1098"/>
      <c r="IAG1098"/>
      <c r="IAH1098"/>
      <c r="IAK1098"/>
      <c r="IAL1098"/>
      <c r="IAO1098"/>
      <c r="IAP1098"/>
      <c r="IAS1098"/>
      <c r="IAT1098"/>
      <c r="IAW1098"/>
      <c r="IAX1098"/>
      <c r="IBA1098"/>
      <c r="IBB1098"/>
      <c r="IBE1098"/>
      <c r="IBF1098"/>
      <c r="IBI1098"/>
      <c r="IBJ1098"/>
      <c r="IBM1098"/>
      <c r="IBN1098"/>
      <c r="IBQ1098"/>
      <c r="IBR1098"/>
      <c r="IBU1098"/>
      <c r="IBV1098"/>
      <c r="IBY1098"/>
      <c r="IBZ1098"/>
      <c r="ICC1098"/>
      <c r="ICD1098"/>
      <c r="ICG1098"/>
      <c r="ICH1098"/>
      <c r="ICK1098"/>
      <c r="ICL1098"/>
      <c r="ICO1098"/>
      <c r="ICP1098"/>
      <c r="ICS1098"/>
      <c r="ICT1098"/>
      <c r="ICW1098"/>
      <c r="ICX1098"/>
      <c r="IDA1098"/>
      <c r="IDB1098"/>
      <c r="IDE1098"/>
      <c r="IDF1098"/>
      <c r="IDI1098"/>
      <c r="IDJ1098"/>
      <c r="IDM1098"/>
      <c r="IDN1098"/>
      <c r="IDQ1098"/>
      <c r="IDR1098"/>
      <c r="IDU1098"/>
      <c r="IDV1098"/>
      <c r="IDY1098"/>
      <c r="IDZ1098"/>
      <c r="IEC1098"/>
      <c r="IED1098"/>
      <c r="IEG1098"/>
      <c r="IEH1098"/>
      <c r="IEK1098"/>
      <c r="IEL1098"/>
      <c r="IEO1098"/>
      <c r="IEP1098"/>
      <c r="IES1098"/>
      <c r="IET1098"/>
      <c r="IEW1098"/>
      <c r="IEX1098"/>
      <c r="IFA1098"/>
      <c r="IFB1098"/>
      <c r="IFE1098"/>
      <c r="IFF1098"/>
      <c r="IFI1098"/>
      <c r="IFJ1098"/>
      <c r="IFM1098"/>
      <c r="IFN1098"/>
      <c r="IFQ1098"/>
      <c r="IFR1098"/>
      <c r="IFU1098"/>
      <c r="IFV1098"/>
      <c r="IFY1098"/>
      <c r="IFZ1098"/>
      <c r="IGC1098"/>
      <c r="IGD1098"/>
      <c r="IGG1098"/>
      <c r="IGH1098"/>
      <c r="IGK1098"/>
      <c r="IGL1098"/>
      <c r="IGO1098"/>
      <c r="IGP1098"/>
      <c r="IGS1098"/>
      <c r="IGT1098"/>
      <c r="IGW1098"/>
      <c r="IGX1098"/>
      <c r="IHA1098"/>
      <c r="IHB1098"/>
      <c r="IHE1098"/>
      <c r="IHF1098"/>
      <c r="IHI1098"/>
      <c r="IHJ1098"/>
      <c r="IHM1098"/>
      <c r="IHN1098"/>
      <c r="IHQ1098"/>
      <c r="IHR1098"/>
      <c r="IHU1098"/>
      <c r="IHV1098"/>
      <c r="IHY1098"/>
      <c r="IHZ1098"/>
      <c r="IIC1098"/>
      <c r="IID1098"/>
      <c r="IIG1098"/>
      <c r="IIH1098"/>
      <c r="IIK1098"/>
      <c r="IIL1098"/>
      <c r="IIO1098"/>
      <c r="IIP1098"/>
      <c r="IIS1098"/>
      <c r="IIT1098"/>
      <c r="IIW1098"/>
      <c r="IIX1098"/>
      <c r="IJA1098"/>
      <c r="IJB1098"/>
      <c r="IJE1098"/>
      <c r="IJF1098"/>
      <c r="IJI1098"/>
      <c r="IJJ1098"/>
      <c r="IJM1098"/>
      <c r="IJN1098"/>
      <c r="IJQ1098"/>
      <c r="IJR1098"/>
      <c r="IJU1098"/>
      <c r="IJV1098"/>
      <c r="IJY1098"/>
      <c r="IJZ1098"/>
      <c r="IKC1098"/>
      <c r="IKD1098"/>
      <c r="IKG1098"/>
      <c r="IKH1098"/>
      <c r="IKK1098"/>
      <c r="IKL1098"/>
      <c r="IKO1098"/>
      <c r="IKP1098"/>
      <c r="IKS1098"/>
      <c r="IKT1098"/>
      <c r="IKW1098"/>
      <c r="IKX1098"/>
      <c r="ILA1098"/>
      <c r="ILB1098"/>
      <c r="ILE1098"/>
      <c r="ILF1098"/>
      <c r="ILI1098"/>
      <c r="ILJ1098"/>
      <c r="ILM1098"/>
      <c r="ILN1098"/>
      <c r="ILQ1098"/>
      <c r="ILR1098"/>
      <c r="ILU1098"/>
      <c r="ILV1098"/>
      <c r="ILY1098"/>
      <c r="ILZ1098"/>
      <c r="IMC1098"/>
      <c r="IMD1098"/>
      <c r="IMG1098"/>
      <c r="IMH1098"/>
      <c r="IMK1098"/>
      <c r="IML1098"/>
      <c r="IMO1098"/>
      <c r="IMP1098"/>
      <c r="IMS1098"/>
      <c r="IMT1098"/>
      <c r="IMW1098"/>
      <c r="IMX1098"/>
      <c r="INA1098"/>
      <c r="INB1098"/>
      <c r="INE1098"/>
      <c r="INF1098"/>
      <c r="INI1098"/>
      <c r="INJ1098"/>
      <c r="INM1098"/>
      <c r="INN1098"/>
      <c r="INQ1098"/>
      <c r="INR1098"/>
      <c r="INU1098"/>
      <c r="INV1098"/>
      <c r="INY1098"/>
      <c r="INZ1098"/>
      <c r="IOC1098"/>
      <c r="IOD1098"/>
      <c r="IOG1098"/>
      <c r="IOH1098"/>
      <c r="IOK1098"/>
      <c r="IOL1098"/>
      <c r="IOO1098"/>
      <c r="IOP1098"/>
      <c r="IOS1098"/>
      <c r="IOT1098"/>
      <c r="IOW1098"/>
      <c r="IOX1098"/>
      <c r="IPA1098"/>
      <c r="IPB1098"/>
      <c r="IPE1098"/>
      <c r="IPF1098"/>
      <c r="IPI1098"/>
      <c r="IPJ1098"/>
      <c r="IPM1098"/>
      <c r="IPN1098"/>
      <c r="IPQ1098"/>
      <c r="IPR1098"/>
      <c r="IPU1098"/>
      <c r="IPV1098"/>
      <c r="IPY1098"/>
      <c r="IPZ1098"/>
      <c r="IQC1098"/>
      <c r="IQD1098"/>
      <c r="IQG1098"/>
      <c r="IQH1098"/>
      <c r="IQK1098"/>
      <c r="IQL1098"/>
      <c r="IQO1098"/>
      <c r="IQP1098"/>
      <c r="IQS1098"/>
      <c r="IQT1098"/>
      <c r="IQW1098"/>
      <c r="IQX1098"/>
      <c r="IRA1098"/>
      <c r="IRB1098"/>
      <c r="IRE1098"/>
      <c r="IRF1098"/>
      <c r="IRI1098"/>
      <c r="IRJ1098"/>
      <c r="IRM1098"/>
      <c r="IRN1098"/>
      <c r="IRQ1098"/>
      <c r="IRR1098"/>
      <c r="IRU1098"/>
      <c r="IRV1098"/>
      <c r="IRY1098"/>
      <c r="IRZ1098"/>
      <c r="ISC1098"/>
      <c r="ISD1098"/>
      <c r="ISG1098"/>
      <c r="ISH1098"/>
      <c r="ISK1098"/>
      <c r="ISL1098"/>
      <c r="ISO1098"/>
      <c r="ISP1098"/>
      <c r="ISS1098"/>
      <c r="IST1098"/>
      <c r="ISW1098"/>
      <c r="ISX1098"/>
      <c r="ITA1098"/>
      <c r="ITB1098"/>
      <c r="ITE1098"/>
      <c r="ITF1098"/>
      <c r="ITI1098"/>
      <c r="ITJ1098"/>
      <c r="ITM1098"/>
      <c r="ITN1098"/>
      <c r="ITQ1098"/>
      <c r="ITR1098"/>
      <c r="ITU1098"/>
      <c r="ITV1098"/>
      <c r="ITY1098"/>
      <c r="ITZ1098"/>
      <c r="IUC1098"/>
      <c r="IUD1098"/>
      <c r="IUG1098"/>
      <c r="IUH1098"/>
      <c r="IUK1098"/>
      <c r="IUL1098"/>
      <c r="IUO1098"/>
      <c r="IUP1098"/>
      <c r="IUS1098"/>
      <c r="IUT1098"/>
      <c r="IUW1098"/>
      <c r="IUX1098"/>
      <c r="IVA1098"/>
      <c r="IVB1098"/>
      <c r="IVE1098"/>
      <c r="IVF1098"/>
      <c r="IVI1098"/>
      <c r="IVJ1098"/>
      <c r="IVM1098"/>
      <c r="IVN1098"/>
      <c r="IVQ1098"/>
      <c r="IVR1098"/>
      <c r="IVU1098"/>
      <c r="IVV1098"/>
      <c r="IVY1098"/>
      <c r="IVZ1098"/>
      <c r="IWC1098"/>
      <c r="IWD1098"/>
      <c r="IWG1098"/>
      <c r="IWH1098"/>
      <c r="IWK1098"/>
      <c r="IWL1098"/>
      <c r="IWO1098"/>
      <c r="IWP1098"/>
      <c r="IWS1098"/>
      <c r="IWT1098"/>
      <c r="IWW1098"/>
      <c r="IWX1098"/>
      <c r="IXA1098"/>
      <c r="IXB1098"/>
      <c r="IXE1098"/>
      <c r="IXF1098"/>
      <c r="IXI1098"/>
      <c r="IXJ1098"/>
      <c r="IXM1098"/>
      <c r="IXN1098"/>
      <c r="IXQ1098"/>
      <c r="IXR1098"/>
      <c r="IXU1098"/>
      <c r="IXV1098"/>
      <c r="IXY1098"/>
      <c r="IXZ1098"/>
      <c r="IYC1098"/>
      <c r="IYD1098"/>
      <c r="IYG1098"/>
      <c r="IYH1098"/>
      <c r="IYK1098"/>
      <c r="IYL1098"/>
      <c r="IYO1098"/>
      <c r="IYP1098"/>
      <c r="IYS1098"/>
      <c r="IYT1098"/>
      <c r="IYW1098"/>
      <c r="IYX1098"/>
      <c r="IZA1098"/>
      <c r="IZB1098"/>
      <c r="IZE1098"/>
      <c r="IZF1098"/>
      <c r="IZI1098"/>
      <c r="IZJ1098"/>
      <c r="IZM1098"/>
      <c r="IZN1098"/>
      <c r="IZQ1098"/>
      <c r="IZR1098"/>
      <c r="IZU1098"/>
      <c r="IZV1098"/>
      <c r="IZY1098"/>
      <c r="IZZ1098"/>
      <c r="JAC1098"/>
      <c r="JAD1098"/>
      <c r="JAG1098"/>
      <c r="JAH1098"/>
      <c r="JAK1098"/>
      <c r="JAL1098"/>
      <c r="JAO1098"/>
      <c r="JAP1098"/>
      <c r="JAS1098"/>
      <c r="JAT1098"/>
      <c r="JAW1098"/>
      <c r="JAX1098"/>
      <c r="JBA1098"/>
      <c r="JBB1098"/>
      <c r="JBE1098"/>
      <c r="JBF1098"/>
      <c r="JBI1098"/>
      <c r="JBJ1098"/>
      <c r="JBM1098"/>
      <c r="JBN1098"/>
      <c r="JBQ1098"/>
      <c r="JBR1098"/>
      <c r="JBU1098"/>
      <c r="JBV1098"/>
      <c r="JBY1098"/>
      <c r="JBZ1098"/>
      <c r="JCC1098"/>
      <c r="JCD1098"/>
      <c r="JCG1098"/>
      <c r="JCH1098"/>
      <c r="JCK1098"/>
      <c r="JCL1098"/>
      <c r="JCO1098"/>
      <c r="JCP1098"/>
      <c r="JCS1098"/>
      <c r="JCT1098"/>
      <c r="JCW1098"/>
      <c r="JCX1098"/>
      <c r="JDA1098"/>
      <c r="JDB1098"/>
      <c r="JDE1098"/>
      <c r="JDF1098"/>
      <c r="JDI1098"/>
      <c r="JDJ1098"/>
      <c r="JDM1098"/>
      <c r="JDN1098"/>
      <c r="JDQ1098"/>
      <c r="JDR1098"/>
      <c r="JDU1098"/>
      <c r="JDV1098"/>
      <c r="JDY1098"/>
      <c r="JDZ1098"/>
      <c r="JEC1098"/>
      <c r="JED1098"/>
      <c r="JEG1098"/>
      <c r="JEH1098"/>
      <c r="JEK1098"/>
      <c r="JEL1098"/>
      <c r="JEO1098"/>
      <c r="JEP1098"/>
      <c r="JES1098"/>
      <c r="JET1098"/>
      <c r="JEW1098"/>
      <c r="JEX1098"/>
      <c r="JFA1098"/>
      <c r="JFB1098"/>
      <c r="JFE1098"/>
      <c r="JFF1098"/>
      <c r="JFI1098"/>
      <c r="JFJ1098"/>
      <c r="JFM1098"/>
      <c r="JFN1098"/>
      <c r="JFQ1098"/>
      <c r="JFR1098"/>
      <c r="JFU1098"/>
      <c r="JFV1098"/>
      <c r="JFY1098"/>
      <c r="JFZ1098"/>
      <c r="JGC1098"/>
      <c r="JGD1098"/>
      <c r="JGG1098"/>
      <c r="JGH1098"/>
      <c r="JGK1098"/>
      <c r="JGL1098"/>
      <c r="JGO1098"/>
      <c r="JGP1098"/>
      <c r="JGS1098"/>
      <c r="JGT1098"/>
      <c r="JGW1098"/>
      <c r="JGX1098"/>
      <c r="JHA1098"/>
      <c r="JHB1098"/>
      <c r="JHE1098"/>
      <c r="JHF1098"/>
      <c r="JHI1098"/>
      <c r="JHJ1098"/>
      <c r="JHM1098"/>
      <c r="JHN1098"/>
      <c r="JHQ1098"/>
      <c r="JHR1098"/>
      <c r="JHU1098"/>
      <c r="JHV1098"/>
      <c r="JHY1098"/>
      <c r="JHZ1098"/>
      <c r="JIC1098"/>
      <c r="JID1098"/>
      <c r="JIG1098"/>
      <c r="JIH1098"/>
      <c r="JIK1098"/>
      <c r="JIL1098"/>
      <c r="JIO1098"/>
      <c r="JIP1098"/>
      <c r="JIS1098"/>
      <c r="JIT1098"/>
      <c r="JIW1098"/>
      <c r="JIX1098"/>
      <c r="JJA1098"/>
      <c r="JJB1098"/>
      <c r="JJE1098"/>
      <c r="JJF1098"/>
      <c r="JJI1098"/>
      <c r="JJJ1098"/>
      <c r="JJM1098"/>
      <c r="JJN1098"/>
      <c r="JJQ1098"/>
      <c r="JJR1098"/>
      <c r="JJU1098"/>
      <c r="JJV1098"/>
      <c r="JJY1098"/>
      <c r="JJZ1098"/>
      <c r="JKC1098"/>
      <c r="JKD1098"/>
      <c r="JKG1098"/>
      <c r="JKH1098"/>
      <c r="JKK1098"/>
      <c r="JKL1098"/>
      <c r="JKO1098"/>
      <c r="JKP1098"/>
      <c r="JKS1098"/>
      <c r="JKT1098"/>
      <c r="JKW1098"/>
      <c r="JKX1098"/>
      <c r="JLA1098"/>
      <c r="JLB1098"/>
      <c r="JLE1098"/>
      <c r="JLF1098"/>
      <c r="JLI1098"/>
      <c r="JLJ1098"/>
      <c r="JLM1098"/>
      <c r="JLN1098"/>
      <c r="JLQ1098"/>
      <c r="JLR1098"/>
      <c r="JLU1098"/>
      <c r="JLV1098"/>
      <c r="JLY1098"/>
      <c r="JLZ1098"/>
      <c r="JMC1098"/>
      <c r="JMD1098"/>
      <c r="JMG1098"/>
      <c r="JMH1098"/>
      <c r="JMK1098"/>
      <c r="JML1098"/>
      <c r="JMO1098"/>
      <c r="JMP1098"/>
      <c r="JMS1098"/>
      <c r="JMT1098"/>
      <c r="JMW1098"/>
      <c r="JMX1098"/>
      <c r="JNA1098"/>
      <c r="JNB1098"/>
      <c r="JNE1098"/>
      <c r="JNF1098"/>
      <c r="JNI1098"/>
      <c r="JNJ1098"/>
      <c r="JNM1098"/>
      <c r="JNN1098"/>
      <c r="JNQ1098"/>
      <c r="JNR1098"/>
      <c r="JNU1098"/>
      <c r="JNV1098"/>
      <c r="JNY1098"/>
      <c r="JNZ1098"/>
      <c r="JOC1098"/>
      <c r="JOD1098"/>
      <c r="JOG1098"/>
      <c r="JOH1098"/>
      <c r="JOK1098"/>
      <c r="JOL1098"/>
      <c r="JOO1098"/>
      <c r="JOP1098"/>
      <c r="JOS1098"/>
      <c r="JOT1098"/>
      <c r="JOW1098"/>
      <c r="JOX1098"/>
      <c r="JPA1098"/>
      <c r="JPB1098"/>
      <c r="JPE1098"/>
      <c r="JPF1098"/>
      <c r="JPI1098"/>
      <c r="JPJ1098"/>
      <c r="JPM1098"/>
      <c r="JPN1098"/>
      <c r="JPQ1098"/>
      <c r="JPR1098"/>
      <c r="JPU1098"/>
      <c r="JPV1098"/>
      <c r="JPY1098"/>
      <c r="JPZ1098"/>
      <c r="JQC1098"/>
      <c r="JQD1098"/>
      <c r="JQG1098"/>
      <c r="JQH1098"/>
      <c r="JQK1098"/>
      <c r="JQL1098"/>
      <c r="JQO1098"/>
      <c r="JQP1098"/>
      <c r="JQS1098"/>
      <c r="JQT1098"/>
      <c r="JQW1098"/>
      <c r="JQX1098"/>
      <c r="JRA1098"/>
      <c r="JRB1098"/>
      <c r="JRE1098"/>
      <c r="JRF1098"/>
      <c r="JRI1098"/>
      <c r="JRJ1098"/>
      <c r="JRM1098"/>
      <c r="JRN1098"/>
      <c r="JRQ1098"/>
      <c r="JRR1098"/>
      <c r="JRU1098"/>
      <c r="JRV1098"/>
      <c r="JRY1098"/>
      <c r="JRZ1098"/>
      <c r="JSC1098"/>
      <c r="JSD1098"/>
      <c r="JSG1098"/>
      <c r="JSH1098"/>
      <c r="JSK1098"/>
      <c r="JSL1098"/>
      <c r="JSO1098"/>
      <c r="JSP1098"/>
      <c r="JSS1098"/>
      <c r="JST1098"/>
      <c r="JSW1098"/>
      <c r="JSX1098"/>
      <c r="JTA1098"/>
      <c r="JTB1098"/>
      <c r="JTE1098"/>
      <c r="JTF1098"/>
      <c r="JTI1098"/>
      <c r="JTJ1098"/>
      <c r="JTM1098"/>
      <c r="JTN1098"/>
      <c r="JTQ1098"/>
      <c r="JTR1098"/>
      <c r="JTU1098"/>
      <c r="JTV1098"/>
      <c r="JTY1098"/>
      <c r="JTZ1098"/>
      <c r="JUC1098"/>
      <c r="JUD1098"/>
      <c r="JUG1098"/>
      <c r="JUH1098"/>
      <c r="JUK1098"/>
      <c r="JUL1098"/>
      <c r="JUO1098"/>
      <c r="JUP1098"/>
      <c r="JUS1098"/>
      <c r="JUT1098"/>
      <c r="JUW1098"/>
      <c r="JUX1098"/>
      <c r="JVA1098"/>
      <c r="JVB1098"/>
      <c r="JVE1098"/>
      <c r="JVF1098"/>
      <c r="JVI1098"/>
      <c r="JVJ1098"/>
      <c r="JVM1098"/>
      <c r="JVN1098"/>
      <c r="JVQ1098"/>
      <c r="JVR1098"/>
      <c r="JVU1098"/>
      <c r="JVV1098"/>
      <c r="JVY1098"/>
      <c r="JVZ1098"/>
      <c r="JWC1098"/>
      <c r="JWD1098"/>
      <c r="JWG1098"/>
      <c r="JWH1098"/>
      <c r="JWK1098"/>
      <c r="JWL1098"/>
      <c r="JWO1098"/>
      <c r="JWP1098"/>
      <c r="JWS1098"/>
      <c r="JWT1098"/>
      <c r="JWW1098"/>
      <c r="JWX1098"/>
      <c r="JXA1098"/>
      <c r="JXB1098"/>
      <c r="JXE1098"/>
      <c r="JXF1098"/>
      <c r="JXI1098"/>
      <c r="JXJ1098"/>
      <c r="JXM1098"/>
      <c r="JXN1098"/>
      <c r="JXQ1098"/>
      <c r="JXR1098"/>
      <c r="JXU1098"/>
      <c r="JXV1098"/>
      <c r="JXY1098"/>
      <c r="JXZ1098"/>
      <c r="JYC1098"/>
      <c r="JYD1098"/>
      <c r="JYG1098"/>
      <c r="JYH1098"/>
      <c r="JYK1098"/>
      <c r="JYL1098"/>
      <c r="JYO1098"/>
      <c r="JYP1098"/>
      <c r="JYS1098"/>
      <c r="JYT1098"/>
      <c r="JYW1098"/>
      <c r="JYX1098"/>
      <c r="JZA1098"/>
      <c r="JZB1098"/>
      <c r="JZE1098"/>
      <c r="JZF1098"/>
      <c r="JZI1098"/>
      <c r="JZJ1098"/>
      <c r="JZM1098"/>
      <c r="JZN1098"/>
      <c r="JZQ1098"/>
      <c r="JZR1098"/>
      <c r="JZU1098"/>
      <c r="JZV1098"/>
      <c r="JZY1098"/>
      <c r="JZZ1098"/>
      <c r="KAC1098"/>
      <c r="KAD1098"/>
      <c r="KAG1098"/>
      <c r="KAH1098"/>
      <c r="KAK1098"/>
      <c r="KAL1098"/>
      <c r="KAO1098"/>
      <c r="KAP1098"/>
      <c r="KAS1098"/>
      <c r="KAT1098"/>
      <c r="KAW1098"/>
      <c r="KAX1098"/>
      <c r="KBA1098"/>
      <c r="KBB1098"/>
      <c r="KBE1098"/>
      <c r="KBF1098"/>
      <c r="KBI1098"/>
      <c r="KBJ1098"/>
      <c r="KBM1098"/>
      <c r="KBN1098"/>
      <c r="KBQ1098"/>
      <c r="KBR1098"/>
      <c r="KBU1098"/>
      <c r="KBV1098"/>
      <c r="KBY1098"/>
      <c r="KBZ1098"/>
      <c r="KCC1098"/>
      <c r="KCD1098"/>
      <c r="KCG1098"/>
      <c r="KCH1098"/>
      <c r="KCK1098"/>
      <c r="KCL1098"/>
      <c r="KCO1098"/>
      <c r="KCP1098"/>
      <c r="KCS1098"/>
      <c r="KCT1098"/>
      <c r="KCW1098"/>
      <c r="KCX1098"/>
      <c r="KDA1098"/>
      <c r="KDB1098"/>
      <c r="KDE1098"/>
      <c r="KDF1098"/>
      <c r="KDI1098"/>
      <c r="KDJ1098"/>
      <c r="KDM1098"/>
      <c r="KDN1098"/>
      <c r="KDQ1098"/>
      <c r="KDR1098"/>
      <c r="KDU1098"/>
      <c r="KDV1098"/>
      <c r="KDY1098"/>
      <c r="KDZ1098"/>
      <c r="KEC1098"/>
      <c r="KED1098"/>
      <c r="KEG1098"/>
      <c r="KEH1098"/>
      <c r="KEK1098"/>
      <c r="KEL1098"/>
      <c r="KEO1098"/>
      <c r="KEP1098"/>
      <c r="KES1098"/>
      <c r="KET1098"/>
      <c r="KEW1098"/>
      <c r="KEX1098"/>
      <c r="KFA1098"/>
      <c r="KFB1098"/>
      <c r="KFE1098"/>
      <c r="KFF1098"/>
      <c r="KFI1098"/>
      <c r="KFJ1098"/>
      <c r="KFM1098"/>
      <c r="KFN1098"/>
      <c r="KFQ1098"/>
      <c r="KFR1098"/>
      <c r="KFU1098"/>
      <c r="KFV1098"/>
      <c r="KFY1098"/>
      <c r="KFZ1098"/>
      <c r="KGC1098"/>
      <c r="KGD1098"/>
      <c r="KGG1098"/>
      <c r="KGH1098"/>
      <c r="KGK1098"/>
      <c r="KGL1098"/>
      <c r="KGO1098"/>
      <c r="KGP1098"/>
      <c r="KGS1098"/>
      <c r="KGT1098"/>
      <c r="KGW1098"/>
      <c r="KGX1098"/>
      <c r="KHA1098"/>
      <c r="KHB1098"/>
      <c r="KHE1098"/>
      <c r="KHF1098"/>
      <c r="KHI1098"/>
      <c r="KHJ1098"/>
      <c r="KHM1098"/>
      <c r="KHN1098"/>
      <c r="KHQ1098"/>
      <c r="KHR1098"/>
      <c r="KHU1098"/>
      <c r="KHV1098"/>
      <c r="KHY1098"/>
      <c r="KHZ1098"/>
      <c r="KIC1098"/>
      <c r="KID1098"/>
      <c r="KIG1098"/>
      <c r="KIH1098"/>
      <c r="KIK1098"/>
      <c r="KIL1098"/>
      <c r="KIO1098"/>
      <c r="KIP1098"/>
      <c r="KIS1098"/>
      <c r="KIT1098"/>
      <c r="KIW1098"/>
      <c r="KIX1098"/>
      <c r="KJA1098"/>
      <c r="KJB1098"/>
      <c r="KJE1098"/>
      <c r="KJF1098"/>
      <c r="KJI1098"/>
      <c r="KJJ1098"/>
      <c r="KJM1098"/>
      <c r="KJN1098"/>
      <c r="KJQ1098"/>
      <c r="KJR1098"/>
      <c r="KJU1098"/>
      <c r="KJV1098"/>
      <c r="KJY1098"/>
      <c r="KJZ1098"/>
      <c r="KKC1098"/>
      <c r="KKD1098"/>
      <c r="KKG1098"/>
      <c r="KKH1098"/>
      <c r="KKK1098"/>
      <c r="KKL1098"/>
      <c r="KKO1098"/>
      <c r="KKP1098"/>
      <c r="KKS1098"/>
      <c r="KKT1098"/>
      <c r="KKW1098"/>
      <c r="KKX1098"/>
      <c r="KLA1098"/>
      <c r="KLB1098"/>
      <c r="KLE1098"/>
      <c r="KLF1098"/>
      <c r="KLI1098"/>
      <c r="KLJ1098"/>
      <c r="KLM1098"/>
      <c r="KLN1098"/>
      <c r="KLQ1098"/>
      <c r="KLR1098"/>
      <c r="KLU1098"/>
      <c r="KLV1098"/>
      <c r="KLY1098"/>
      <c r="KLZ1098"/>
      <c r="KMC1098"/>
      <c r="KMD1098"/>
      <c r="KMG1098"/>
      <c r="KMH1098"/>
      <c r="KMK1098"/>
      <c r="KML1098"/>
      <c r="KMO1098"/>
      <c r="KMP1098"/>
      <c r="KMS1098"/>
      <c r="KMT1098"/>
      <c r="KMW1098"/>
      <c r="KMX1098"/>
      <c r="KNA1098"/>
      <c r="KNB1098"/>
      <c r="KNE1098"/>
      <c r="KNF1098"/>
      <c r="KNI1098"/>
      <c r="KNJ1098"/>
      <c r="KNM1098"/>
      <c r="KNN1098"/>
      <c r="KNQ1098"/>
      <c r="KNR1098"/>
      <c r="KNU1098"/>
      <c r="KNV1098"/>
      <c r="KNY1098"/>
      <c r="KNZ1098"/>
      <c r="KOC1098"/>
      <c r="KOD1098"/>
      <c r="KOG1098"/>
      <c r="KOH1098"/>
      <c r="KOK1098"/>
      <c r="KOL1098"/>
      <c r="KOO1098"/>
      <c r="KOP1098"/>
      <c r="KOS1098"/>
      <c r="KOT1098"/>
      <c r="KOW1098"/>
      <c r="KOX1098"/>
      <c r="KPA1098"/>
      <c r="KPB1098"/>
      <c r="KPE1098"/>
      <c r="KPF1098"/>
      <c r="KPI1098"/>
      <c r="KPJ1098"/>
      <c r="KPM1098"/>
      <c r="KPN1098"/>
      <c r="KPQ1098"/>
      <c r="KPR1098"/>
      <c r="KPU1098"/>
      <c r="KPV1098"/>
      <c r="KPY1098"/>
      <c r="KPZ1098"/>
      <c r="KQC1098"/>
      <c r="KQD1098"/>
      <c r="KQG1098"/>
      <c r="KQH1098"/>
      <c r="KQK1098"/>
      <c r="KQL1098"/>
      <c r="KQO1098"/>
      <c r="KQP1098"/>
      <c r="KQS1098"/>
      <c r="KQT1098"/>
      <c r="KQW1098"/>
      <c r="KQX1098"/>
      <c r="KRA1098"/>
      <c r="KRB1098"/>
      <c r="KRE1098"/>
      <c r="KRF1098"/>
      <c r="KRI1098"/>
      <c r="KRJ1098"/>
      <c r="KRM1098"/>
      <c r="KRN1098"/>
      <c r="KRQ1098"/>
      <c r="KRR1098"/>
      <c r="KRU1098"/>
      <c r="KRV1098"/>
      <c r="KRY1098"/>
      <c r="KRZ1098"/>
      <c r="KSC1098"/>
      <c r="KSD1098"/>
      <c r="KSG1098"/>
      <c r="KSH1098"/>
      <c r="KSK1098"/>
      <c r="KSL1098"/>
      <c r="KSO1098"/>
      <c r="KSP1098"/>
      <c r="KSS1098"/>
      <c r="KST1098"/>
      <c r="KSW1098"/>
      <c r="KSX1098"/>
      <c r="KTA1098"/>
      <c r="KTB1098"/>
      <c r="KTE1098"/>
      <c r="KTF1098"/>
      <c r="KTI1098"/>
      <c r="KTJ1098"/>
      <c r="KTM1098"/>
      <c r="KTN1098"/>
      <c r="KTQ1098"/>
      <c r="KTR1098"/>
      <c r="KTU1098"/>
      <c r="KTV1098"/>
      <c r="KTY1098"/>
      <c r="KTZ1098"/>
      <c r="KUC1098"/>
      <c r="KUD1098"/>
      <c r="KUG1098"/>
      <c r="KUH1098"/>
      <c r="KUK1098"/>
      <c r="KUL1098"/>
      <c r="KUO1098"/>
      <c r="KUP1098"/>
      <c r="KUS1098"/>
      <c r="KUT1098"/>
      <c r="KUW1098"/>
      <c r="KUX1098"/>
      <c r="KVA1098"/>
      <c r="KVB1098"/>
      <c r="KVE1098"/>
      <c r="KVF1098"/>
      <c r="KVI1098"/>
      <c r="KVJ1098"/>
      <c r="KVM1098"/>
      <c r="KVN1098"/>
      <c r="KVQ1098"/>
      <c r="KVR1098"/>
      <c r="KVU1098"/>
      <c r="KVV1098"/>
      <c r="KVY1098"/>
      <c r="KVZ1098"/>
      <c r="KWC1098"/>
      <c r="KWD1098"/>
      <c r="KWG1098"/>
      <c r="KWH1098"/>
      <c r="KWK1098"/>
      <c r="KWL1098"/>
      <c r="KWO1098"/>
      <c r="KWP1098"/>
      <c r="KWS1098"/>
      <c r="KWT1098"/>
      <c r="KWW1098"/>
      <c r="KWX1098"/>
      <c r="KXA1098"/>
      <c r="KXB1098"/>
      <c r="KXE1098"/>
      <c r="KXF1098"/>
      <c r="KXI1098"/>
      <c r="KXJ1098"/>
      <c r="KXM1098"/>
      <c r="KXN1098"/>
      <c r="KXQ1098"/>
      <c r="KXR1098"/>
      <c r="KXU1098"/>
      <c r="KXV1098"/>
      <c r="KXY1098"/>
      <c r="KXZ1098"/>
      <c r="KYC1098"/>
      <c r="KYD1098"/>
      <c r="KYG1098"/>
      <c r="KYH1098"/>
      <c r="KYK1098"/>
      <c r="KYL1098"/>
      <c r="KYO1098"/>
      <c r="KYP1098"/>
      <c r="KYS1098"/>
      <c r="KYT1098"/>
      <c r="KYW1098"/>
      <c r="KYX1098"/>
      <c r="KZA1098"/>
      <c r="KZB1098"/>
      <c r="KZE1098"/>
      <c r="KZF1098"/>
      <c r="KZI1098"/>
      <c r="KZJ1098"/>
      <c r="KZM1098"/>
      <c r="KZN1098"/>
      <c r="KZQ1098"/>
      <c r="KZR1098"/>
      <c r="KZU1098"/>
      <c r="KZV1098"/>
      <c r="KZY1098"/>
      <c r="KZZ1098"/>
      <c r="LAC1098"/>
      <c r="LAD1098"/>
      <c r="LAG1098"/>
      <c r="LAH1098"/>
      <c r="LAK1098"/>
      <c r="LAL1098"/>
      <c r="LAO1098"/>
      <c r="LAP1098"/>
      <c r="LAS1098"/>
      <c r="LAT1098"/>
      <c r="LAW1098"/>
      <c r="LAX1098"/>
      <c r="LBA1098"/>
      <c r="LBB1098"/>
      <c r="LBE1098"/>
      <c r="LBF1098"/>
      <c r="LBI1098"/>
      <c r="LBJ1098"/>
      <c r="LBM1098"/>
      <c r="LBN1098"/>
      <c r="LBQ1098"/>
      <c r="LBR1098"/>
      <c r="LBU1098"/>
      <c r="LBV1098"/>
      <c r="LBY1098"/>
      <c r="LBZ1098"/>
      <c r="LCC1098"/>
      <c r="LCD1098"/>
      <c r="LCG1098"/>
      <c r="LCH1098"/>
      <c r="LCK1098"/>
      <c r="LCL1098"/>
      <c r="LCO1098"/>
      <c r="LCP1098"/>
      <c r="LCS1098"/>
      <c r="LCT1098"/>
      <c r="LCW1098"/>
      <c r="LCX1098"/>
      <c r="LDA1098"/>
      <c r="LDB1098"/>
      <c r="LDE1098"/>
      <c r="LDF1098"/>
      <c r="LDI1098"/>
      <c r="LDJ1098"/>
      <c r="LDM1098"/>
      <c r="LDN1098"/>
      <c r="LDQ1098"/>
      <c r="LDR1098"/>
      <c r="LDU1098"/>
      <c r="LDV1098"/>
      <c r="LDY1098"/>
      <c r="LDZ1098"/>
      <c r="LEC1098"/>
      <c r="LED1098"/>
      <c r="LEG1098"/>
      <c r="LEH1098"/>
      <c r="LEK1098"/>
      <c r="LEL1098"/>
      <c r="LEO1098"/>
      <c r="LEP1098"/>
      <c r="LES1098"/>
      <c r="LET1098"/>
      <c r="LEW1098"/>
      <c r="LEX1098"/>
      <c r="LFA1098"/>
      <c r="LFB1098"/>
      <c r="LFE1098"/>
      <c r="LFF1098"/>
      <c r="LFI1098"/>
      <c r="LFJ1098"/>
      <c r="LFM1098"/>
      <c r="LFN1098"/>
      <c r="LFQ1098"/>
      <c r="LFR1098"/>
      <c r="LFU1098"/>
      <c r="LFV1098"/>
      <c r="LFY1098"/>
      <c r="LFZ1098"/>
      <c r="LGC1098"/>
      <c r="LGD1098"/>
      <c r="LGG1098"/>
      <c r="LGH1098"/>
      <c r="LGK1098"/>
      <c r="LGL1098"/>
      <c r="LGO1098"/>
      <c r="LGP1098"/>
      <c r="LGS1098"/>
      <c r="LGT1098"/>
      <c r="LGW1098"/>
      <c r="LGX1098"/>
      <c r="LHA1098"/>
      <c r="LHB1098"/>
      <c r="LHE1098"/>
      <c r="LHF1098"/>
      <c r="LHI1098"/>
      <c r="LHJ1098"/>
      <c r="LHM1098"/>
      <c r="LHN1098"/>
      <c r="LHQ1098"/>
      <c r="LHR1098"/>
      <c r="LHU1098"/>
      <c r="LHV1098"/>
      <c r="LHY1098"/>
      <c r="LHZ1098"/>
      <c r="LIC1098"/>
      <c r="LID1098"/>
      <c r="LIG1098"/>
      <c r="LIH1098"/>
      <c r="LIK1098"/>
      <c r="LIL1098"/>
      <c r="LIO1098"/>
      <c r="LIP1098"/>
      <c r="LIS1098"/>
      <c r="LIT1098"/>
      <c r="LIW1098"/>
      <c r="LIX1098"/>
      <c r="LJA1098"/>
      <c r="LJB1098"/>
      <c r="LJE1098"/>
      <c r="LJF1098"/>
      <c r="LJI1098"/>
      <c r="LJJ1098"/>
      <c r="LJM1098"/>
      <c r="LJN1098"/>
      <c r="LJQ1098"/>
      <c r="LJR1098"/>
      <c r="LJU1098"/>
      <c r="LJV1098"/>
      <c r="LJY1098"/>
      <c r="LJZ1098"/>
      <c r="LKC1098"/>
      <c r="LKD1098"/>
      <c r="LKG1098"/>
      <c r="LKH1098"/>
      <c r="LKK1098"/>
      <c r="LKL1098"/>
      <c r="LKO1098"/>
      <c r="LKP1098"/>
      <c r="LKS1098"/>
      <c r="LKT1098"/>
      <c r="LKW1098"/>
      <c r="LKX1098"/>
      <c r="LLA1098"/>
      <c r="LLB1098"/>
      <c r="LLE1098"/>
      <c r="LLF1098"/>
      <c r="LLI1098"/>
      <c r="LLJ1098"/>
      <c r="LLM1098"/>
      <c r="LLN1098"/>
      <c r="LLQ1098"/>
      <c r="LLR1098"/>
      <c r="LLU1098"/>
      <c r="LLV1098"/>
      <c r="LLY1098"/>
      <c r="LLZ1098"/>
      <c r="LMC1098"/>
      <c r="LMD1098"/>
      <c r="LMG1098"/>
      <c r="LMH1098"/>
      <c r="LMK1098"/>
      <c r="LML1098"/>
      <c r="LMO1098"/>
      <c r="LMP1098"/>
      <c r="LMS1098"/>
      <c r="LMT1098"/>
      <c r="LMW1098"/>
      <c r="LMX1098"/>
      <c r="LNA1098"/>
      <c r="LNB1098"/>
      <c r="LNE1098"/>
      <c r="LNF1098"/>
      <c r="LNI1098"/>
      <c r="LNJ1098"/>
      <c r="LNM1098"/>
      <c r="LNN1098"/>
      <c r="LNQ1098"/>
      <c r="LNR1098"/>
      <c r="LNU1098"/>
      <c r="LNV1098"/>
      <c r="LNY1098"/>
      <c r="LNZ1098"/>
      <c r="LOC1098"/>
      <c r="LOD1098"/>
      <c r="LOG1098"/>
      <c r="LOH1098"/>
      <c r="LOK1098"/>
      <c r="LOL1098"/>
      <c r="LOO1098"/>
      <c r="LOP1098"/>
      <c r="LOS1098"/>
      <c r="LOT1098"/>
      <c r="LOW1098"/>
      <c r="LOX1098"/>
      <c r="LPA1098"/>
      <c r="LPB1098"/>
      <c r="LPE1098"/>
      <c r="LPF1098"/>
      <c r="LPI1098"/>
      <c r="LPJ1098"/>
      <c r="LPM1098"/>
      <c r="LPN1098"/>
      <c r="LPQ1098"/>
      <c r="LPR1098"/>
      <c r="LPU1098"/>
      <c r="LPV1098"/>
      <c r="LPY1098"/>
      <c r="LPZ1098"/>
      <c r="LQC1098"/>
      <c r="LQD1098"/>
      <c r="LQG1098"/>
      <c r="LQH1098"/>
      <c r="LQK1098"/>
      <c r="LQL1098"/>
      <c r="LQO1098"/>
      <c r="LQP1098"/>
      <c r="LQS1098"/>
      <c r="LQT1098"/>
      <c r="LQW1098"/>
      <c r="LQX1098"/>
      <c r="LRA1098"/>
      <c r="LRB1098"/>
      <c r="LRE1098"/>
      <c r="LRF1098"/>
      <c r="LRI1098"/>
      <c r="LRJ1098"/>
      <c r="LRM1098"/>
      <c r="LRN1098"/>
      <c r="LRQ1098"/>
      <c r="LRR1098"/>
      <c r="LRU1098"/>
      <c r="LRV1098"/>
      <c r="LRY1098"/>
      <c r="LRZ1098"/>
      <c r="LSC1098"/>
      <c r="LSD1098"/>
      <c r="LSG1098"/>
      <c r="LSH1098"/>
      <c r="LSK1098"/>
      <c r="LSL1098"/>
      <c r="LSO1098"/>
      <c r="LSP1098"/>
      <c r="LSS1098"/>
      <c r="LST1098"/>
      <c r="LSW1098"/>
      <c r="LSX1098"/>
      <c r="LTA1098"/>
      <c r="LTB1098"/>
      <c r="LTE1098"/>
      <c r="LTF1098"/>
      <c r="LTI1098"/>
      <c r="LTJ1098"/>
      <c r="LTM1098"/>
      <c r="LTN1098"/>
      <c r="LTQ1098"/>
      <c r="LTR1098"/>
      <c r="LTU1098"/>
      <c r="LTV1098"/>
      <c r="LTY1098"/>
      <c r="LTZ1098"/>
      <c r="LUC1098"/>
      <c r="LUD1098"/>
      <c r="LUG1098"/>
      <c r="LUH1098"/>
      <c r="LUK1098"/>
      <c r="LUL1098"/>
      <c r="LUO1098"/>
      <c r="LUP1098"/>
      <c r="LUS1098"/>
      <c r="LUT1098"/>
      <c r="LUW1098"/>
      <c r="LUX1098"/>
      <c r="LVA1098"/>
      <c r="LVB1098"/>
      <c r="LVE1098"/>
      <c r="LVF1098"/>
      <c r="LVI1098"/>
      <c r="LVJ1098"/>
      <c r="LVM1098"/>
      <c r="LVN1098"/>
      <c r="LVQ1098"/>
      <c r="LVR1098"/>
      <c r="LVU1098"/>
      <c r="LVV1098"/>
      <c r="LVY1098"/>
      <c r="LVZ1098"/>
      <c r="LWC1098"/>
      <c r="LWD1098"/>
      <c r="LWG1098"/>
      <c r="LWH1098"/>
      <c r="LWK1098"/>
      <c r="LWL1098"/>
      <c r="LWO1098"/>
      <c r="LWP1098"/>
      <c r="LWS1098"/>
      <c r="LWT1098"/>
      <c r="LWW1098"/>
      <c r="LWX1098"/>
      <c r="LXA1098"/>
      <c r="LXB1098"/>
      <c r="LXE1098"/>
      <c r="LXF1098"/>
      <c r="LXI1098"/>
      <c r="LXJ1098"/>
      <c r="LXM1098"/>
      <c r="LXN1098"/>
      <c r="LXQ1098"/>
      <c r="LXR1098"/>
      <c r="LXU1098"/>
      <c r="LXV1098"/>
      <c r="LXY1098"/>
      <c r="LXZ1098"/>
      <c r="LYC1098"/>
      <c r="LYD1098"/>
      <c r="LYG1098"/>
      <c r="LYH1098"/>
      <c r="LYK1098"/>
      <c r="LYL1098"/>
      <c r="LYO1098"/>
      <c r="LYP1098"/>
      <c r="LYS1098"/>
      <c r="LYT1098"/>
      <c r="LYW1098"/>
      <c r="LYX1098"/>
      <c r="LZA1098"/>
      <c r="LZB1098"/>
      <c r="LZE1098"/>
      <c r="LZF1098"/>
      <c r="LZI1098"/>
      <c r="LZJ1098"/>
      <c r="LZM1098"/>
      <c r="LZN1098"/>
      <c r="LZQ1098"/>
      <c r="LZR1098"/>
      <c r="LZU1098"/>
      <c r="LZV1098"/>
      <c r="LZY1098"/>
      <c r="LZZ1098"/>
      <c r="MAC1098"/>
      <c r="MAD1098"/>
      <c r="MAG1098"/>
      <c r="MAH1098"/>
      <c r="MAK1098"/>
      <c r="MAL1098"/>
      <c r="MAO1098"/>
      <c r="MAP1098"/>
      <c r="MAS1098"/>
      <c r="MAT1098"/>
      <c r="MAW1098"/>
      <c r="MAX1098"/>
      <c r="MBA1098"/>
      <c r="MBB1098"/>
      <c r="MBE1098"/>
      <c r="MBF1098"/>
      <c r="MBI1098"/>
      <c r="MBJ1098"/>
      <c r="MBM1098"/>
      <c r="MBN1098"/>
      <c r="MBQ1098"/>
      <c r="MBR1098"/>
      <c r="MBU1098"/>
      <c r="MBV1098"/>
      <c r="MBY1098"/>
      <c r="MBZ1098"/>
      <c r="MCC1098"/>
      <c r="MCD1098"/>
      <c r="MCG1098"/>
      <c r="MCH1098"/>
      <c r="MCK1098"/>
      <c r="MCL1098"/>
      <c r="MCO1098"/>
      <c r="MCP1098"/>
      <c r="MCS1098"/>
      <c r="MCT1098"/>
      <c r="MCW1098"/>
      <c r="MCX1098"/>
      <c r="MDA1098"/>
      <c r="MDB1098"/>
      <c r="MDE1098"/>
      <c r="MDF1098"/>
      <c r="MDI1098"/>
      <c r="MDJ1098"/>
      <c r="MDM1098"/>
      <c r="MDN1098"/>
      <c r="MDQ1098"/>
      <c r="MDR1098"/>
      <c r="MDU1098"/>
      <c r="MDV1098"/>
      <c r="MDY1098"/>
      <c r="MDZ1098"/>
      <c r="MEC1098"/>
      <c r="MED1098"/>
      <c r="MEG1098"/>
      <c r="MEH1098"/>
      <c r="MEK1098"/>
      <c r="MEL1098"/>
      <c r="MEO1098"/>
      <c r="MEP1098"/>
      <c r="MES1098"/>
      <c r="MET1098"/>
      <c r="MEW1098"/>
      <c r="MEX1098"/>
      <c r="MFA1098"/>
      <c r="MFB1098"/>
      <c r="MFE1098"/>
      <c r="MFF1098"/>
      <c r="MFI1098"/>
      <c r="MFJ1098"/>
      <c r="MFM1098"/>
      <c r="MFN1098"/>
      <c r="MFQ1098"/>
      <c r="MFR1098"/>
      <c r="MFU1098"/>
      <c r="MFV1098"/>
      <c r="MFY1098"/>
      <c r="MFZ1098"/>
      <c r="MGC1098"/>
      <c r="MGD1098"/>
      <c r="MGG1098"/>
      <c r="MGH1098"/>
      <c r="MGK1098"/>
      <c r="MGL1098"/>
      <c r="MGO1098"/>
      <c r="MGP1098"/>
      <c r="MGS1098"/>
      <c r="MGT1098"/>
      <c r="MGW1098"/>
      <c r="MGX1098"/>
      <c r="MHA1098"/>
      <c r="MHB1098"/>
      <c r="MHE1098"/>
      <c r="MHF1098"/>
      <c r="MHI1098"/>
      <c r="MHJ1098"/>
      <c r="MHM1098"/>
      <c r="MHN1098"/>
      <c r="MHQ1098"/>
      <c r="MHR1098"/>
      <c r="MHU1098"/>
      <c r="MHV1098"/>
      <c r="MHY1098"/>
      <c r="MHZ1098"/>
      <c r="MIC1098"/>
      <c r="MID1098"/>
      <c r="MIG1098"/>
      <c r="MIH1098"/>
      <c r="MIK1098"/>
      <c r="MIL1098"/>
      <c r="MIO1098"/>
      <c r="MIP1098"/>
      <c r="MIS1098"/>
      <c r="MIT1098"/>
      <c r="MIW1098"/>
      <c r="MIX1098"/>
      <c r="MJA1098"/>
      <c r="MJB1098"/>
      <c r="MJE1098"/>
      <c r="MJF1098"/>
      <c r="MJI1098"/>
      <c r="MJJ1098"/>
      <c r="MJM1098"/>
      <c r="MJN1098"/>
      <c r="MJQ1098"/>
      <c r="MJR1098"/>
      <c r="MJU1098"/>
      <c r="MJV1098"/>
      <c r="MJY1098"/>
      <c r="MJZ1098"/>
      <c r="MKC1098"/>
      <c r="MKD1098"/>
      <c r="MKG1098"/>
      <c r="MKH1098"/>
      <c r="MKK1098"/>
      <c r="MKL1098"/>
      <c r="MKO1098"/>
      <c r="MKP1098"/>
      <c r="MKS1098"/>
      <c r="MKT1098"/>
      <c r="MKW1098"/>
      <c r="MKX1098"/>
      <c r="MLA1098"/>
      <c r="MLB1098"/>
      <c r="MLE1098"/>
      <c r="MLF1098"/>
      <c r="MLI1098"/>
      <c r="MLJ1098"/>
      <c r="MLM1098"/>
      <c r="MLN1098"/>
      <c r="MLQ1098"/>
      <c r="MLR1098"/>
      <c r="MLU1098"/>
      <c r="MLV1098"/>
      <c r="MLY1098"/>
      <c r="MLZ1098"/>
      <c r="MMC1098"/>
      <c r="MMD1098"/>
      <c r="MMG1098"/>
      <c r="MMH1098"/>
      <c r="MMK1098"/>
      <c r="MML1098"/>
      <c r="MMO1098"/>
      <c r="MMP1098"/>
      <c r="MMS1098"/>
      <c r="MMT1098"/>
      <c r="MMW1098"/>
      <c r="MMX1098"/>
      <c r="MNA1098"/>
      <c r="MNB1098"/>
      <c r="MNE1098"/>
      <c r="MNF1098"/>
      <c r="MNI1098"/>
      <c r="MNJ1098"/>
      <c r="MNM1098"/>
      <c r="MNN1098"/>
      <c r="MNQ1098"/>
      <c r="MNR1098"/>
      <c r="MNU1098"/>
      <c r="MNV1098"/>
      <c r="MNY1098"/>
      <c r="MNZ1098"/>
      <c r="MOC1098"/>
      <c r="MOD1098"/>
      <c r="MOG1098"/>
      <c r="MOH1098"/>
      <c r="MOK1098"/>
      <c r="MOL1098"/>
      <c r="MOO1098"/>
      <c r="MOP1098"/>
      <c r="MOS1098"/>
      <c r="MOT1098"/>
      <c r="MOW1098"/>
      <c r="MOX1098"/>
      <c r="MPA1098"/>
      <c r="MPB1098"/>
      <c r="MPE1098"/>
      <c r="MPF1098"/>
      <c r="MPI1098"/>
      <c r="MPJ1098"/>
      <c r="MPM1098"/>
      <c r="MPN1098"/>
      <c r="MPQ1098"/>
      <c r="MPR1098"/>
      <c r="MPU1098"/>
      <c r="MPV1098"/>
      <c r="MPY1098"/>
      <c r="MPZ1098"/>
      <c r="MQC1098"/>
      <c r="MQD1098"/>
      <c r="MQG1098"/>
      <c r="MQH1098"/>
      <c r="MQK1098"/>
      <c r="MQL1098"/>
      <c r="MQO1098"/>
      <c r="MQP1098"/>
      <c r="MQS1098"/>
      <c r="MQT1098"/>
      <c r="MQW1098"/>
      <c r="MQX1098"/>
      <c r="MRA1098"/>
      <c r="MRB1098"/>
      <c r="MRE1098"/>
      <c r="MRF1098"/>
      <c r="MRI1098"/>
      <c r="MRJ1098"/>
      <c r="MRM1098"/>
      <c r="MRN1098"/>
      <c r="MRQ1098"/>
      <c r="MRR1098"/>
      <c r="MRU1098"/>
      <c r="MRV1098"/>
      <c r="MRY1098"/>
      <c r="MRZ1098"/>
      <c r="MSC1098"/>
      <c r="MSD1098"/>
      <c r="MSG1098"/>
      <c r="MSH1098"/>
      <c r="MSK1098"/>
      <c r="MSL1098"/>
      <c r="MSO1098"/>
      <c r="MSP1098"/>
      <c r="MSS1098"/>
      <c r="MST1098"/>
      <c r="MSW1098"/>
      <c r="MSX1098"/>
      <c r="MTA1098"/>
      <c r="MTB1098"/>
      <c r="MTE1098"/>
      <c r="MTF1098"/>
      <c r="MTI1098"/>
      <c r="MTJ1098"/>
      <c r="MTM1098"/>
      <c r="MTN1098"/>
      <c r="MTQ1098"/>
      <c r="MTR1098"/>
      <c r="MTU1098"/>
      <c r="MTV1098"/>
      <c r="MTY1098"/>
      <c r="MTZ1098"/>
      <c r="MUC1098"/>
      <c r="MUD1098"/>
      <c r="MUG1098"/>
      <c r="MUH1098"/>
      <c r="MUK1098"/>
      <c r="MUL1098"/>
      <c r="MUO1098"/>
      <c r="MUP1098"/>
      <c r="MUS1098"/>
      <c r="MUT1098"/>
      <c r="MUW1098"/>
      <c r="MUX1098"/>
      <c r="MVA1098"/>
      <c r="MVB1098"/>
      <c r="MVE1098"/>
      <c r="MVF1098"/>
      <c r="MVI1098"/>
      <c r="MVJ1098"/>
      <c r="MVM1098"/>
      <c r="MVN1098"/>
      <c r="MVQ1098"/>
      <c r="MVR1098"/>
      <c r="MVU1098"/>
      <c r="MVV1098"/>
      <c r="MVY1098"/>
      <c r="MVZ1098"/>
      <c r="MWC1098"/>
      <c r="MWD1098"/>
      <c r="MWG1098"/>
      <c r="MWH1098"/>
      <c r="MWK1098"/>
      <c r="MWL1098"/>
      <c r="MWO1098"/>
      <c r="MWP1098"/>
      <c r="MWS1098"/>
      <c r="MWT1098"/>
      <c r="MWW1098"/>
      <c r="MWX1098"/>
      <c r="MXA1098"/>
      <c r="MXB1098"/>
      <c r="MXE1098"/>
      <c r="MXF1098"/>
      <c r="MXI1098"/>
      <c r="MXJ1098"/>
      <c r="MXM1098"/>
      <c r="MXN1098"/>
      <c r="MXQ1098"/>
      <c r="MXR1098"/>
      <c r="MXU1098"/>
      <c r="MXV1098"/>
      <c r="MXY1098"/>
      <c r="MXZ1098"/>
      <c r="MYC1098"/>
      <c r="MYD1098"/>
      <c r="MYG1098"/>
      <c r="MYH1098"/>
      <c r="MYK1098"/>
      <c r="MYL1098"/>
      <c r="MYO1098"/>
      <c r="MYP1098"/>
      <c r="MYS1098"/>
      <c r="MYT1098"/>
      <c r="MYW1098"/>
      <c r="MYX1098"/>
      <c r="MZA1098"/>
      <c r="MZB1098"/>
      <c r="MZE1098"/>
      <c r="MZF1098"/>
      <c r="MZI1098"/>
      <c r="MZJ1098"/>
      <c r="MZM1098"/>
      <c r="MZN1098"/>
      <c r="MZQ1098"/>
      <c r="MZR1098"/>
      <c r="MZU1098"/>
      <c r="MZV1098"/>
      <c r="MZY1098"/>
      <c r="MZZ1098"/>
      <c r="NAC1098"/>
      <c r="NAD1098"/>
      <c r="NAG1098"/>
      <c r="NAH1098"/>
      <c r="NAK1098"/>
      <c r="NAL1098"/>
      <c r="NAO1098"/>
      <c r="NAP1098"/>
      <c r="NAS1098"/>
      <c r="NAT1098"/>
      <c r="NAW1098"/>
      <c r="NAX1098"/>
      <c r="NBA1098"/>
      <c r="NBB1098"/>
      <c r="NBE1098"/>
      <c r="NBF1098"/>
      <c r="NBI1098"/>
      <c r="NBJ1098"/>
      <c r="NBM1098"/>
      <c r="NBN1098"/>
      <c r="NBQ1098"/>
      <c r="NBR1098"/>
      <c r="NBU1098"/>
      <c r="NBV1098"/>
      <c r="NBY1098"/>
      <c r="NBZ1098"/>
      <c r="NCC1098"/>
      <c r="NCD1098"/>
      <c r="NCG1098"/>
      <c r="NCH1098"/>
      <c r="NCK1098"/>
      <c r="NCL1098"/>
      <c r="NCO1098"/>
      <c r="NCP1098"/>
      <c r="NCS1098"/>
      <c r="NCT1098"/>
      <c r="NCW1098"/>
      <c r="NCX1098"/>
      <c r="NDA1098"/>
      <c r="NDB1098"/>
      <c r="NDE1098"/>
      <c r="NDF1098"/>
      <c r="NDI1098"/>
      <c r="NDJ1098"/>
      <c r="NDM1098"/>
      <c r="NDN1098"/>
      <c r="NDQ1098"/>
      <c r="NDR1098"/>
      <c r="NDU1098"/>
      <c r="NDV1098"/>
      <c r="NDY1098"/>
      <c r="NDZ1098"/>
      <c r="NEC1098"/>
      <c r="NED1098"/>
      <c r="NEG1098"/>
      <c r="NEH1098"/>
      <c r="NEK1098"/>
      <c r="NEL1098"/>
      <c r="NEO1098"/>
      <c r="NEP1098"/>
      <c r="NES1098"/>
      <c r="NET1098"/>
      <c r="NEW1098"/>
      <c r="NEX1098"/>
      <c r="NFA1098"/>
      <c r="NFB1098"/>
      <c r="NFE1098"/>
      <c r="NFF1098"/>
      <c r="NFI1098"/>
      <c r="NFJ1098"/>
      <c r="NFM1098"/>
      <c r="NFN1098"/>
      <c r="NFQ1098"/>
      <c r="NFR1098"/>
      <c r="NFU1098"/>
      <c r="NFV1098"/>
      <c r="NFY1098"/>
      <c r="NFZ1098"/>
      <c r="NGC1098"/>
      <c r="NGD1098"/>
      <c r="NGG1098"/>
      <c r="NGH1098"/>
      <c r="NGK1098"/>
      <c r="NGL1098"/>
      <c r="NGO1098"/>
      <c r="NGP1098"/>
      <c r="NGS1098"/>
      <c r="NGT1098"/>
      <c r="NGW1098"/>
      <c r="NGX1098"/>
      <c r="NHA1098"/>
      <c r="NHB1098"/>
      <c r="NHE1098"/>
      <c r="NHF1098"/>
      <c r="NHI1098"/>
      <c r="NHJ1098"/>
      <c r="NHM1098"/>
      <c r="NHN1098"/>
      <c r="NHQ1098"/>
      <c r="NHR1098"/>
      <c r="NHU1098"/>
      <c r="NHV1098"/>
      <c r="NHY1098"/>
      <c r="NHZ1098"/>
      <c r="NIC1098"/>
      <c r="NID1098"/>
      <c r="NIG1098"/>
      <c r="NIH1098"/>
      <c r="NIK1098"/>
      <c r="NIL1098"/>
      <c r="NIO1098"/>
      <c r="NIP1098"/>
      <c r="NIS1098"/>
      <c r="NIT1098"/>
      <c r="NIW1098"/>
      <c r="NIX1098"/>
      <c r="NJA1098"/>
      <c r="NJB1098"/>
      <c r="NJE1098"/>
      <c r="NJF1098"/>
      <c r="NJI1098"/>
      <c r="NJJ1098"/>
      <c r="NJM1098"/>
      <c r="NJN1098"/>
      <c r="NJQ1098"/>
      <c r="NJR1098"/>
      <c r="NJU1098"/>
      <c r="NJV1098"/>
      <c r="NJY1098"/>
      <c r="NJZ1098"/>
      <c r="NKC1098"/>
      <c r="NKD1098"/>
      <c r="NKG1098"/>
      <c r="NKH1098"/>
      <c r="NKK1098"/>
      <c r="NKL1098"/>
      <c r="NKO1098"/>
      <c r="NKP1098"/>
      <c r="NKS1098"/>
      <c r="NKT1098"/>
      <c r="NKW1098"/>
      <c r="NKX1098"/>
      <c r="NLA1098"/>
      <c r="NLB1098"/>
      <c r="NLE1098"/>
      <c r="NLF1098"/>
      <c r="NLI1098"/>
      <c r="NLJ1098"/>
      <c r="NLM1098"/>
      <c r="NLN1098"/>
      <c r="NLQ1098"/>
      <c r="NLR1098"/>
      <c r="NLU1098"/>
      <c r="NLV1098"/>
      <c r="NLY1098"/>
      <c r="NLZ1098"/>
      <c r="NMC1098"/>
      <c r="NMD1098"/>
      <c r="NMG1098"/>
      <c r="NMH1098"/>
      <c r="NMK1098"/>
      <c r="NML1098"/>
      <c r="NMO1098"/>
      <c r="NMP1098"/>
      <c r="NMS1098"/>
      <c r="NMT1098"/>
      <c r="NMW1098"/>
      <c r="NMX1098"/>
      <c r="NNA1098"/>
      <c r="NNB1098"/>
      <c r="NNE1098"/>
      <c r="NNF1098"/>
      <c r="NNI1098"/>
      <c r="NNJ1098"/>
      <c r="NNM1098"/>
      <c r="NNN1098"/>
      <c r="NNQ1098"/>
      <c r="NNR1098"/>
      <c r="NNU1098"/>
      <c r="NNV1098"/>
      <c r="NNY1098"/>
      <c r="NNZ1098"/>
      <c r="NOC1098"/>
      <c r="NOD1098"/>
      <c r="NOG1098"/>
      <c r="NOH1098"/>
      <c r="NOK1098"/>
      <c r="NOL1098"/>
      <c r="NOO1098"/>
      <c r="NOP1098"/>
      <c r="NOS1098"/>
      <c r="NOT1098"/>
      <c r="NOW1098"/>
      <c r="NOX1098"/>
      <c r="NPA1098"/>
      <c r="NPB1098"/>
      <c r="NPE1098"/>
      <c r="NPF1098"/>
      <c r="NPI1098"/>
      <c r="NPJ1098"/>
      <c r="NPM1098"/>
      <c r="NPN1098"/>
      <c r="NPQ1098"/>
      <c r="NPR1098"/>
      <c r="NPU1098"/>
      <c r="NPV1098"/>
      <c r="NPY1098"/>
      <c r="NPZ1098"/>
      <c r="NQC1098"/>
      <c r="NQD1098"/>
      <c r="NQG1098"/>
      <c r="NQH1098"/>
      <c r="NQK1098"/>
      <c r="NQL1098"/>
      <c r="NQO1098"/>
      <c r="NQP1098"/>
      <c r="NQS1098"/>
      <c r="NQT1098"/>
      <c r="NQW1098"/>
      <c r="NQX1098"/>
      <c r="NRA1098"/>
      <c r="NRB1098"/>
      <c r="NRE1098"/>
      <c r="NRF1098"/>
      <c r="NRI1098"/>
      <c r="NRJ1098"/>
      <c r="NRM1098"/>
      <c r="NRN1098"/>
      <c r="NRQ1098"/>
      <c r="NRR1098"/>
      <c r="NRU1098"/>
      <c r="NRV1098"/>
      <c r="NRY1098"/>
      <c r="NRZ1098"/>
      <c r="NSC1098"/>
      <c r="NSD1098"/>
      <c r="NSG1098"/>
      <c r="NSH1098"/>
      <c r="NSK1098"/>
      <c r="NSL1098"/>
      <c r="NSO1098"/>
      <c r="NSP1098"/>
      <c r="NSS1098"/>
      <c r="NST1098"/>
      <c r="NSW1098"/>
      <c r="NSX1098"/>
      <c r="NTA1098"/>
      <c r="NTB1098"/>
      <c r="NTE1098"/>
      <c r="NTF1098"/>
      <c r="NTI1098"/>
      <c r="NTJ1098"/>
      <c r="NTM1098"/>
      <c r="NTN1098"/>
      <c r="NTQ1098"/>
      <c r="NTR1098"/>
      <c r="NTU1098"/>
      <c r="NTV1098"/>
      <c r="NTY1098"/>
      <c r="NTZ1098"/>
      <c r="NUC1098"/>
      <c r="NUD1098"/>
      <c r="NUG1098"/>
      <c r="NUH1098"/>
      <c r="NUK1098"/>
      <c r="NUL1098"/>
      <c r="NUO1098"/>
      <c r="NUP1098"/>
      <c r="NUS1098"/>
      <c r="NUT1098"/>
      <c r="NUW1098"/>
      <c r="NUX1098"/>
      <c r="NVA1098"/>
      <c r="NVB1098"/>
      <c r="NVE1098"/>
      <c r="NVF1098"/>
      <c r="NVI1098"/>
      <c r="NVJ1098"/>
      <c r="NVM1098"/>
      <c r="NVN1098"/>
      <c r="NVQ1098"/>
      <c r="NVR1098"/>
      <c r="NVU1098"/>
      <c r="NVV1098"/>
      <c r="NVY1098"/>
      <c r="NVZ1098"/>
      <c r="NWC1098"/>
      <c r="NWD1098"/>
      <c r="NWG1098"/>
      <c r="NWH1098"/>
      <c r="NWK1098"/>
      <c r="NWL1098"/>
      <c r="NWO1098"/>
      <c r="NWP1098"/>
      <c r="NWS1098"/>
      <c r="NWT1098"/>
      <c r="NWW1098"/>
      <c r="NWX1098"/>
      <c r="NXA1098"/>
      <c r="NXB1098"/>
      <c r="NXE1098"/>
      <c r="NXF1098"/>
      <c r="NXI1098"/>
      <c r="NXJ1098"/>
      <c r="NXM1098"/>
      <c r="NXN1098"/>
      <c r="NXQ1098"/>
      <c r="NXR1098"/>
      <c r="NXU1098"/>
      <c r="NXV1098"/>
      <c r="NXY1098"/>
      <c r="NXZ1098"/>
      <c r="NYC1098"/>
      <c r="NYD1098"/>
      <c r="NYG1098"/>
      <c r="NYH1098"/>
      <c r="NYK1098"/>
      <c r="NYL1098"/>
      <c r="NYO1098"/>
      <c r="NYP1098"/>
      <c r="NYS1098"/>
      <c r="NYT1098"/>
      <c r="NYW1098"/>
      <c r="NYX1098"/>
      <c r="NZA1098"/>
      <c r="NZB1098"/>
      <c r="NZE1098"/>
      <c r="NZF1098"/>
      <c r="NZI1098"/>
      <c r="NZJ1098"/>
      <c r="NZM1098"/>
      <c r="NZN1098"/>
      <c r="NZQ1098"/>
      <c r="NZR1098"/>
      <c r="NZU1098"/>
      <c r="NZV1098"/>
      <c r="NZY1098"/>
      <c r="NZZ1098"/>
      <c r="OAC1098"/>
      <c r="OAD1098"/>
      <c r="OAG1098"/>
      <c r="OAH1098"/>
      <c r="OAK1098"/>
      <c r="OAL1098"/>
      <c r="OAO1098"/>
      <c r="OAP1098"/>
      <c r="OAS1098"/>
      <c r="OAT1098"/>
      <c r="OAW1098"/>
      <c r="OAX1098"/>
      <c r="OBA1098"/>
      <c r="OBB1098"/>
      <c r="OBE1098"/>
      <c r="OBF1098"/>
      <c r="OBI1098"/>
      <c r="OBJ1098"/>
      <c r="OBM1098"/>
      <c r="OBN1098"/>
      <c r="OBQ1098"/>
      <c r="OBR1098"/>
      <c r="OBU1098"/>
      <c r="OBV1098"/>
      <c r="OBY1098"/>
      <c r="OBZ1098"/>
      <c r="OCC1098"/>
      <c r="OCD1098"/>
      <c r="OCG1098"/>
      <c r="OCH1098"/>
      <c r="OCK1098"/>
      <c r="OCL1098"/>
      <c r="OCO1098"/>
      <c r="OCP1098"/>
      <c r="OCS1098"/>
      <c r="OCT1098"/>
      <c r="OCW1098"/>
      <c r="OCX1098"/>
      <c r="ODA1098"/>
      <c r="ODB1098"/>
      <c r="ODE1098"/>
      <c r="ODF1098"/>
      <c r="ODI1098"/>
      <c r="ODJ1098"/>
      <c r="ODM1098"/>
      <c r="ODN1098"/>
      <c r="ODQ1098"/>
      <c r="ODR1098"/>
      <c r="ODU1098"/>
      <c r="ODV1098"/>
      <c r="ODY1098"/>
      <c r="ODZ1098"/>
      <c r="OEC1098"/>
      <c r="OED1098"/>
      <c r="OEG1098"/>
      <c r="OEH1098"/>
      <c r="OEK1098"/>
      <c r="OEL1098"/>
      <c r="OEO1098"/>
      <c r="OEP1098"/>
      <c r="OES1098"/>
      <c r="OET1098"/>
      <c r="OEW1098"/>
      <c r="OEX1098"/>
      <c r="OFA1098"/>
      <c r="OFB1098"/>
      <c r="OFE1098"/>
      <c r="OFF1098"/>
      <c r="OFI1098"/>
      <c r="OFJ1098"/>
      <c r="OFM1098"/>
      <c r="OFN1098"/>
      <c r="OFQ1098"/>
      <c r="OFR1098"/>
      <c r="OFU1098"/>
      <c r="OFV1098"/>
      <c r="OFY1098"/>
      <c r="OFZ1098"/>
      <c r="OGC1098"/>
      <c r="OGD1098"/>
      <c r="OGG1098"/>
      <c r="OGH1098"/>
      <c r="OGK1098"/>
      <c r="OGL1098"/>
      <c r="OGO1098"/>
      <c r="OGP1098"/>
      <c r="OGS1098"/>
      <c r="OGT1098"/>
      <c r="OGW1098"/>
      <c r="OGX1098"/>
      <c r="OHA1098"/>
      <c r="OHB1098"/>
      <c r="OHE1098"/>
      <c r="OHF1098"/>
      <c r="OHI1098"/>
      <c r="OHJ1098"/>
      <c r="OHM1098"/>
      <c r="OHN1098"/>
      <c r="OHQ1098"/>
      <c r="OHR1098"/>
      <c r="OHU1098"/>
      <c r="OHV1098"/>
      <c r="OHY1098"/>
      <c r="OHZ1098"/>
      <c r="OIC1098"/>
      <c r="OID1098"/>
      <c r="OIG1098"/>
      <c r="OIH1098"/>
      <c r="OIK1098"/>
      <c r="OIL1098"/>
      <c r="OIO1098"/>
      <c r="OIP1098"/>
      <c r="OIS1098"/>
      <c r="OIT1098"/>
      <c r="OIW1098"/>
      <c r="OIX1098"/>
      <c r="OJA1098"/>
      <c r="OJB1098"/>
      <c r="OJE1098"/>
      <c r="OJF1098"/>
      <c r="OJI1098"/>
      <c r="OJJ1098"/>
      <c r="OJM1098"/>
      <c r="OJN1098"/>
      <c r="OJQ1098"/>
      <c r="OJR1098"/>
      <c r="OJU1098"/>
      <c r="OJV1098"/>
      <c r="OJY1098"/>
      <c r="OJZ1098"/>
      <c r="OKC1098"/>
      <c r="OKD1098"/>
      <c r="OKG1098"/>
      <c r="OKH1098"/>
      <c r="OKK1098"/>
      <c r="OKL1098"/>
      <c r="OKO1098"/>
      <c r="OKP1098"/>
      <c r="OKS1098"/>
      <c r="OKT1098"/>
      <c r="OKW1098"/>
      <c r="OKX1098"/>
      <c r="OLA1098"/>
      <c r="OLB1098"/>
      <c r="OLE1098"/>
      <c r="OLF1098"/>
      <c r="OLI1098"/>
      <c r="OLJ1098"/>
      <c r="OLM1098"/>
      <c r="OLN1098"/>
      <c r="OLQ1098"/>
      <c r="OLR1098"/>
      <c r="OLU1098"/>
      <c r="OLV1098"/>
      <c r="OLY1098"/>
      <c r="OLZ1098"/>
      <c r="OMC1098"/>
      <c r="OMD1098"/>
      <c r="OMG1098"/>
      <c r="OMH1098"/>
      <c r="OMK1098"/>
      <c r="OML1098"/>
      <c r="OMO1098"/>
      <c r="OMP1098"/>
      <c r="OMS1098"/>
      <c r="OMT1098"/>
      <c r="OMW1098"/>
      <c r="OMX1098"/>
      <c r="ONA1098"/>
      <c r="ONB1098"/>
      <c r="ONE1098"/>
      <c r="ONF1098"/>
      <c r="ONI1098"/>
      <c r="ONJ1098"/>
      <c r="ONM1098"/>
      <c r="ONN1098"/>
      <c r="ONQ1098"/>
      <c r="ONR1098"/>
      <c r="ONU1098"/>
      <c r="ONV1098"/>
      <c r="ONY1098"/>
      <c r="ONZ1098"/>
      <c r="OOC1098"/>
      <c r="OOD1098"/>
      <c r="OOG1098"/>
      <c r="OOH1098"/>
      <c r="OOK1098"/>
      <c r="OOL1098"/>
      <c r="OOO1098"/>
      <c r="OOP1098"/>
      <c r="OOS1098"/>
      <c r="OOT1098"/>
      <c r="OOW1098"/>
      <c r="OOX1098"/>
      <c r="OPA1098"/>
      <c r="OPB1098"/>
      <c r="OPE1098"/>
      <c r="OPF1098"/>
      <c r="OPI1098"/>
      <c r="OPJ1098"/>
      <c r="OPM1098"/>
      <c r="OPN1098"/>
      <c r="OPQ1098"/>
      <c r="OPR1098"/>
      <c r="OPU1098"/>
      <c r="OPV1098"/>
      <c r="OPY1098"/>
      <c r="OPZ1098"/>
      <c r="OQC1098"/>
      <c r="OQD1098"/>
      <c r="OQG1098"/>
      <c r="OQH1098"/>
      <c r="OQK1098"/>
      <c r="OQL1098"/>
      <c r="OQO1098"/>
      <c r="OQP1098"/>
      <c r="OQS1098"/>
      <c r="OQT1098"/>
      <c r="OQW1098"/>
      <c r="OQX1098"/>
      <c r="ORA1098"/>
      <c r="ORB1098"/>
      <c r="ORE1098"/>
      <c r="ORF1098"/>
      <c r="ORI1098"/>
      <c r="ORJ1098"/>
      <c r="ORM1098"/>
      <c r="ORN1098"/>
      <c r="ORQ1098"/>
      <c r="ORR1098"/>
      <c r="ORU1098"/>
      <c r="ORV1098"/>
      <c r="ORY1098"/>
      <c r="ORZ1098"/>
      <c r="OSC1098"/>
      <c r="OSD1098"/>
      <c r="OSG1098"/>
      <c r="OSH1098"/>
      <c r="OSK1098"/>
      <c r="OSL1098"/>
      <c r="OSO1098"/>
      <c r="OSP1098"/>
      <c r="OSS1098"/>
      <c r="OST1098"/>
      <c r="OSW1098"/>
      <c r="OSX1098"/>
      <c r="OTA1098"/>
      <c r="OTB1098"/>
      <c r="OTE1098"/>
      <c r="OTF1098"/>
      <c r="OTI1098"/>
      <c r="OTJ1098"/>
      <c r="OTM1098"/>
      <c r="OTN1098"/>
      <c r="OTQ1098"/>
      <c r="OTR1098"/>
      <c r="OTU1098"/>
      <c r="OTV1098"/>
      <c r="OTY1098"/>
      <c r="OTZ1098"/>
      <c r="OUC1098"/>
      <c r="OUD1098"/>
      <c r="OUG1098"/>
      <c r="OUH1098"/>
      <c r="OUK1098"/>
      <c r="OUL1098"/>
      <c r="OUO1098"/>
      <c r="OUP1098"/>
      <c r="OUS1098"/>
      <c r="OUT1098"/>
      <c r="OUW1098"/>
      <c r="OUX1098"/>
      <c r="OVA1098"/>
      <c r="OVB1098"/>
      <c r="OVE1098"/>
      <c r="OVF1098"/>
      <c r="OVI1098"/>
      <c r="OVJ1098"/>
      <c r="OVM1098"/>
      <c r="OVN1098"/>
      <c r="OVQ1098"/>
      <c r="OVR1098"/>
      <c r="OVU1098"/>
      <c r="OVV1098"/>
      <c r="OVY1098"/>
      <c r="OVZ1098"/>
      <c r="OWC1098"/>
      <c r="OWD1098"/>
      <c r="OWG1098"/>
      <c r="OWH1098"/>
      <c r="OWK1098"/>
      <c r="OWL1098"/>
      <c r="OWO1098"/>
      <c r="OWP1098"/>
      <c r="OWS1098"/>
      <c r="OWT1098"/>
      <c r="OWW1098"/>
      <c r="OWX1098"/>
      <c r="OXA1098"/>
      <c r="OXB1098"/>
      <c r="OXE1098"/>
      <c r="OXF1098"/>
      <c r="OXI1098"/>
      <c r="OXJ1098"/>
      <c r="OXM1098"/>
      <c r="OXN1098"/>
      <c r="OXQ1098"/>
      <c r="OXR1098"/>
      <c r="OXU1098"/>
      <c r="OXV1098"/>
      <c r="OXY1098"/>
      <c r="OXZ1098"/>
      <c r="OYC1098"/>
      <c r="OYD1098"/>
      <c r="OYG1098"/>
      <c r="OYH1098"/>
      <c r="OYK1098"/>
      <c r="OYL1098"/>
      <c r="OYO1098"/>
      <c r="OYP1098"/>
      <c r="OYS1098"/>
      <c r="OYT1098"/>
      <c r="OYW1098"/>
      <c r="OYX1098"/>
      <c r="OZA1098"/>
      <c r="OZB1098"/>
      <c r="OZE1098"/>
      <c r="OZF1098"/>
      <c r="OZI1098"/>
      <c r="OZJ1098"/>
      <c r="OZM1098"/>
      <c r="OZN1098"/>
      <c r="OZQ1098"/>
      <c r="OZR1098"/>
      <c r="OZU1098"/>
      <c r="OZV1098"/>
      <c r="OZY1098"/>
      <c r="OZZ1098"/>
      <c r="PAC1098"/>
      <c r="PAD1098"/>
      <c r="PAG1098"/>
      <c r="PAH1098"/>
      <c r="PAK1098"/>
      <c r="PAL1098"/>
      <c r="PAO1098"/>
      <c r="PAP1098"/>
      <c r="PAS1098"/>
      <c r="PAT1098"/>
      <c r="PAW1098"/>
      <c r="PAX1098"/>
      <c r="PBA1098"/>
      <c r="PBB1098"/>
      <c r="PBE1098"/>
      <c r="PBF1098"/>
      <c r="PBI1098"/>
      <c r="PBJ1098"/>
      <c r="PBM1098"/>
      <c r="PBN1098"/>
      <c r="PBQ1098"/>
      <c r="PBR1098"/>
      <c r="PBU1098"/>
      <c r="PBV1098"/>
      <c r="PBY1098"/>
      <c r="PBZ1098"/>
      <c r="PCC1098"/>
      <c r="PCD1098"/>
      <c r="PCG1098"/>
      <c r="PCH1098"/>
      <c r="PCK1098"/>
      <c r="PCL1098"/>
      <c r="PCO1098"/>
      <c r="PCP1098"/>
      <c r="PCS1098"/>
      <c r="PCT1098"/>
      <c r="PCW1098"/>
      <c r="PCX1098"/>
      <c r="PDA1098"/>
      <c r="PDB1098"/>
      <c r="PDE1098"/>
      <c r="PDF1098"/>
      <c r="PDI1098"/>
      <c r="PDJ1098"/>
      <c r="PDM1098"/>
      <c r="PDN1098"/>
      <c r="PDQ1098"/>
      <c r="PDR1098"/>
      <c r="PDU1098"/>
      <c r="PDV1098"/>
      <c r="PDY1098"/>
      <c r="PDZ1098"/>
      <c r="PEC1098"/>
      <c r="PED1098"/>
      <c r="PEG1098"/>
      <c r="PEH1098"/>
      <c r="PEK1098"/>
      <c r="PEL1098"/>
      <c r="PEO1098"/>
      <c r="PEP1098"/>
      <c r="PES1098"/>
      <c r="PET1098"/>
      <c r="PEW1098"/>
      <c r="PEX1098"/>
      <c r="PFA1098"/>
      <c r="PFB1098"/>
      <c r="PFE1098"/>
      <c r="PFF1098"/>
      <c r="PFI1098"/>
      <c r="PFJ1098"/>
      <c r="PFM1098"/>
      <c r="PFN1098"/>
      <c r="PFQ1098"/>
      <c r="PFR1098"/>
      <c r="PFU1098"/>
      <c r="PFV1098"/>
      <c r="PFY1098"/>
      <c r="PFZ1098"/>
      <c r="PGC1098"/>
      <c r="PGD1098"/>
      <c r="PGG1098"/>
      <c r="PGH1098"/>
      <c r="PGK1098"/>
      <c r="PGL1098"/>
      <c r="PGO1098"/>
      <c r="PGP1098"/>
      <c r="PGS1098"/>
      <c r="PGT1098"/>
      <c r="PGW1098"/>
      <c r="PGX1098"/>
      <c r="PHA1098"/>
      <c r="PHB1098"/>
      <c r="PHE1098"/>
      <c r="PHF1098"/>
      <c r="PHI1098"/>
      <c r="PHJ1098"/>
      <c r="PHM1098"/>
      <c r="PHN1098"/>
      <c r="PHQ1098"/>
      <c r="PHR1098"/>
      <c r="PHU1098"/>
      <c r="PHV1098"/>
      <c r="PHY1098"/>
      <c r="PHZ1098"/>
      <c r="PIC1098"/>
      <c r="PID1098"/>
      <c r="PIG1098"/>
      <c r="PIH1098"/>
      <c r="PIK1098"/>
      <c r="PIL1098"/>
      <c r="PIO1098"/>
      <c r="PIP1098"/>
      <c r="PIS1098"/>
      <c r="PIT1098"/>
      <c r="PIW1098"/>
      <c r="PIX1098"/>
      <c r="PJA1098"/>
      <c r="PJB1098"/>
      <c r="PJE1098"/>
      <c r="PJF1098"/>
      <c r="PJI1098"/>
      <c r="PJJ1098"/>
      <c r="PJM1098"/>
      <c r="PJN1098"/>
      <c r="PJQ1098"/>
      <c r="PJR1098"/>
      <c r="PJU1098"/>
      <c r="PJV1098"/>
      <c r="PJY1098"/>
      <c r="PJZ1098"/>
      <c r="PKC1098"/>
      <c r="PKD1098"/>
      <c r="PKG1098"/>
      <c r="PKH1098"/>
      <c r="PKK1098"/>
      <c r="PKL1098"/>
      <c r="PKO1098"/>
      <c r="PKP1098"/>
      <c r="PKS1098"/>
      <c r="PKT1098"/>
      <c r="PKW1098"/>
      <c r="PKX1098"/>
      <c r="PLA1098"/>
      <c r="PLB1098"/>
      <c r="PLE1098"/>
      <c r="PLF1098"/>
      <c r="PLI1098"/>
      <c r="PLJ1098"/>
      <c r="PLM1098"/>
      <c r="PLN1098"/>
      <c r="PLQ1098"/>
      <c r="PLR1098"/>
      <c r="PLU1098"/>
      <c r="PLV1098"/>
      <c r="PLY1098"/>
      <c r="PLZ1098"/>
      <c r="PMC1098"/>
      <c r="PMD1098"/>
      <c r="PMG1098"/>
      <c r="PMH1098"/>
      <c r="PMK1098"/>
      <c r="PML1098"/>
      <c r="PMO1098"/>
      <c r="PMP1098"/>
      <c r="PMS1098"/>
      <c r="PMT1098"/>
      <c r="PMW1098"/>
      <c r="PMX1098"/>
      <c r="PNA1098"/>
      <c r="PNB1098"/>
      <c r="PNE1098"/>
      <c r="PNF1098"/>
      <c r="PNI1098"/>
      <c r="PNJ1098"/>
      <c r="PNM1098"/>
      <c r="PNN1098"/>
      <c r="PNQ1098"/>
      <c r="PNR1098"/>
      <c r="PNU1098"/>
      <c r="PNV1098"/>
      <c r="PNY1098"/>
      <c r="PNZ1098"/>
      <c r="POC1098"/>
      <c r="POD1098"/>
      <c r="POG1098"/>
      <c r="POH1098"/>
      <c r="POK1098"/>
      <c r="POL1098"/>
      <c r="POO1098"/>
      <c r="POP1098"/>
      <c r="POS1098"/>
      <c r="POT1098"/>
      <c r="POW1098"/>
      <c r="POX1098"/>
      <c r="PPA1098"/>
      <c r="PPB1098"/>
      <c r="PPE1098"/>
      <c r="PPF1098"/>
      <c r="PPI1098"/>
      <c r="PPJ1098"/>
      <c r="PPM1098"/>
      <c r="PPN1098"/>
      <c r="PPQ1098"/>
      <c r="PPR1098"/>
      <c r="PPU1098"/>
      <c r="PPV1098"/>
      <c r="PPY1098"/>
      <c r="PPZ1098"/>
      <c r="PQC1098"/>
      <c r="PQD1098"/>
      <c r="PQG1098"/>
      <c r="PQH1098"/>
      <c r="PQK1098"/>
      <c r="PQL1098"/>
      <c r="PQO1098"/>
      <c r="PQP1098"/>
      <c r="PQS1098"/>
      <c r="PQT1098"/>
      <c r="PQW1098"/>
      <c r="PQX1098"/>
      <c r="PRA1098"/>
      <c r="PRB1098"/>
      <c r="PRE1098"/>
      <c r="PRF1098"/>
      <c r="PRI1098"/>
      <c r="PRJ1098"/>
      <c r="PRM1098"/>
      <c r="PRN1098"/>
      <c r="PRQ1098"/>
      <c r="PRR1098"/>
      <c r="PRU1098"/>
      <c r="PRV1098"/>
      <c r="PRY1098"/>
      <c r="PRZ1098"/>
      <c r="PSC1098"/>
      <c r="PSD1098"/>
      <c r="PSG1098"/>
      <c r="PSH1098"/>
      <c r="PSK1098"/>
      <c r="PSL1098"/>
      <c r="PSO1098"/>
      <c r="PSP1098"/>
      <c r="PSS1098"/>
      <c r="PST1098"/>
      <c r="PSW1098"/>
      <c r="PSX1098"/>
      <c r="PTA1098"/>
      <c r="PTB1098"/>
      <c r="PTE1098"/>
      <c r="PTF1098"/>
      <c r="PTI1098"/>
      <c r="PTJ1098"/>
      <c r="PTM1098"/>
      <c r="PTN1098"/>
      <c r="PTQ1098"/>
      <c r="PTR1098"/>
      <c r="PTU1098"/>
      <c r="PTV1098"/>
      <c r="PTY1098"/>
      <c r="PTZ1098"/>
      <c r="PUC1098"/>
      <c r="PUD1098"/>
      <c r="PUG1098"/>
      <c r="PUH1098"/>
      <c r="PUK1098"/>
      <c r="PUL1098"/>
      <c r="PUO1098"/>
      <c r="PUP1098"/>
      <c r="PUS1098"/>
      <c r="PUT1098"/>
      <c r="PUW1098"/>
      <c r="PUX1098"/>
      <c r="PVA1098"/>
      <c r="PVB1098"/>
      <c r="PVE1098"/>
      <c r="PVF1098"/>
      <c r="PVI1098"/>
      <c r="PVJ1098"/>
      <c r="PVM1098"/>
      <c r="PVN1098"/>
      <c r="PVQ1098"/>
      <c r="PVR1098"/>
      <c r="PVU1098"/>
      <c r="PVV1098"/>
      <c r="PVY1098"/>
      <c r="PVZ1098"/>
      <c r="PWC1098"/>
      <c r="PWD1098"/>
      <c r="PWG1098"/>
      <c r="PWH1098"/>
      <c r="PWK1098"/>
      <c r="PWL1098"/>
      <c r="PWO1098"/>
      <c r="PWP1098"/>
      <c r="PWS1098"/>
      <c r="PWT1098"/>
      <c r="PWW1098"/>
      <c r="PWX1098"/>
      <c r="PXA1098"/>
      <c r="PXB1098"/>
      <c r="PXE1098"/>
      <c r="PXF1098"/>
      <c r="PXI1098"/>
      <c r="PXJ1098"/>
      <c r="PXM1098"/>
      <c r="PXN1098"/>
      <c r="PXQ1098"/>
      <c r="PXR1098"/>
      <c r="PXU1098"/>
      <c r="PXV1098"/>
      <c r="PXY1098"/>
      <c r="PXZ1098"/>
      <c r="PYC1098"/>
      <c r="PYD1098"/>
      <c r="PYG1098"/>
      <c r="PYH1098"/>
      <c r="PYK1098"/>
      <c r="PYL1098"/>
      <c r="PYO1098"/>
      <c r="PYP1098"/>
      <c r="PYS1098"/>
      <c r="PYT1098"/>
      <c r="PYW1098"/>
      <c r="PYX1098"/>
      <c r="PZA1098"/>
      <c r="PZB1098"/>
      <c r="PZE1098"/>
      <c r="PZF1098"/>
      <c r="PZI1098"/>
      <c r="PZJ1098"/>
      <c r="PZM1098"/>
      <c r="PZN1098"/>
      <c r="PZQ1098"/>
      <c r="PZR1098"/>
      <c r="PZU1098"/>
      <c r="PZV1098"/>
      <c r="PZY1098"/>
      <c r="PZZ1098"/>
      <c r="QAC1098"/>
      <c r="QAD1098"/>
      <c r="QAG1098"/>
      <c r="QAH1098"/>
      <c r="QAK1098"/>
      <c r="QAL1098"/>
      <c r="QAO1098"/>
      <c r="QAP1098"/>
      <c r="QAS1098"/>
      <c r="QAT1098"/>
      <c r="QAW1098"/>
      <c r="QAX1098"/>
      <c r="QBA1098"/>
      <c r="QBB1098"/>
      <c r="QBE1098"/>
      <c r="QBF1098"/>
      <c r="QBI1098"/>
      <c r="QBJ1098"/>
      <c r="QBM1098"/>
      <c r="QBN1098"/>
      <c r="QBQ1098"/>
      <c r="QBR1098"/>
      <c r="QBU1098"/>
      <c r="QBV1098"/>
      <c r="QBY1098"/>
      <c r="QBZ1098"/>
      <c r="QCC1098"/>
      <c r="QCD1098"/>
      <c r="QCG1098"/>
      <c r="QCH1098"/>
      <c r="QCK1098"/>
      <c r="QCL1098"/>
      <c r="QCO1098"/>
      <c r="QCP1098"/>
      <c r="QCS1098"/>
      <c r="QCT1098"/>
      <c r="QCW1098"/>
      <c r="QCX1098"/>
      <c r="QDA1098"/>
      <c r="QDB1098"/>
      <c r="QDE1098"/>
      <c r="QDF1098"/>
      <c r="QDI1098"/>
      <c r="QDJ1098"/>
      <c r="QDM1098"/>
      <c r="QDN1098"/>
      <c r="QDQ1098"/>
      <c r="QDR1098"/>
      <c r="QDU1098"/>
      <c r="QDV1098"/>
      <c r="QDY1098"/>
      <c r="QDZ1098"/>
      <c r="QEC1098"/>
      <c r="QED1098"/>
      <c r="QEG1098"/>
      <c r="QEH1098"/>
      <c r="QEK1098"/>
      <c r="QEL1098"/>
      <c r="QEO1098"/>
      <c r="QEP1098"/>
      <c r="QES1098"/>
      <c r="QET1098"/>
      <c r="QEW1098"/>
      <c r="QEX1098"/>
      <c r="QFA1098"/>
      <c r="QFB1098"/>
      <c r="QFE1098"/>
      <c r="QFF1098"/>
      <c r="QFI1098"/>
      <c r="QFJ1098"/>
      <c r="QFM1098"/>
      <c r="QFN1098"/>
      <c r="QFQ1098"/>
      <c r="QFR1098"/>
      <c r="QFU1098"/>
      <c r="QFV1098"/>
      <c r="QFY1098"/>
      <c r="QFZ1098"/>
      <c r="QGC1098"/>
      <c r="QGD1098"/>
      <c r="QGG1098"/>
      <c r="QGH1098"/>
      <c r="QGK1098"/>
      <c r="QGL1098"/>
      <c r="QGO1098"/>
      <c r="QGP1098"/>
      <c r="QGS1098"/>
      <c r="QGT1098"/>
      <c r="QGW1098"/>
      <c r="QGX1098"/>
      <c r="QHA1098"/>
      <c r="QHB1098"/>
      <c r="QHE1098"/>
      <c r="QHF1098"/>
      <c r="QHI1098"/>
      <c r="QHJ1098"/>
      <c r="QHM1098"/>
      <c r="QHN1098"/>
      <c r="QHQ1098"/>
      <c r="QHR1098"/>
      <c r="QHU1098"/>
      <c r="QHV1098"/>
      <c r="QHY1098"/>
      <c r="QHZ1098"/>
      <c r="QIC1098"/>
      <c r="QID1098"/>
      <c r="QIG1098"/>
      <c r="QIH1098"/>
      <c r="QIK1098"/>
      <c r="QIL1098"/>
      <c r="QIO1098"/>
      <c r="QIP1098"/>
      <c r="QIS1098"/>
      <c r="QIT1098"/>
      <c r="QIW1098"/>
      <c r="QIX1098"/>
      <c r="QJA1098"/>
      <c r="QJB1098"/>
      <c r="QJE1098"/>
      <c r="QJF1098"/>
      <c r="QJI1098"/>
      <c r="QJJ1098"/>
      <c r="QJM1098"/>
      <c r="QJN1098"/>
      <c r="QJQ1098"/>
      <c r="QJR1098"/>
      <c r="QJU1098"/>
      <c r="QJV1098"/>
      <c r="QJY1098"/>
      <c r="QJZ1098"/>
      <c r="QKC1098"/>
      <c r="QKD1098"/>
      <c r="QKG1098"/>
      <c r="QKH1098"/>
      <c r="QKK1098"/>
      <c r="QKL1098"/>
      <c r="QKO1098"/>
      <c r="QKP1098"/>
      <c r="QKS1098"/>
      <c r="QKT1098"/>
      <c r="QKW1098"/>
      <c r="QKX1098"/>
      <c r="QLA1098"/>
      <c r="QLB1098"/>
      <c r="QLE1098"/>
      <c r="QLF1098"/>
      <c r="QLI1098"/>
      <c r="QLJ1098"/>
      <c r="QLM1098"/>
      <c r="QLN1098"/>
      <c r="QLQ1098"/>
      <c r="QLR1098"/>
      <c r="QLU1098"/>
      <c r="QLV1098"/>
      <c r="QLY1098"/>
      <c r="QLZ1098"/>
      <c r="QMC1098"/>
      <c r="QMD1098"/>
      <c r="QMG1098"/>
      <c r="QMH1098"/>
      <c r="QMK1098"/>
      <c r="QML1098"/>
      <c r="QMO1098"/>
      <c r="QMP1098"/>
      <c r="QMS1098"/>
      <c r="QMT1098"/>
      <c r="QMW1098"/>
      <c r="QMX1098"/>
      <c r="QNA1098"/>
      <c r="QNB1098"/>
      <c r="QNE1098"/>
      <c r="QNF1098"/>
      <c r="QNI1098"/>
      <c r="QNJ1098"/>
      <c r="QNM1098"/>
      <c r="QNN1098"/>
      <c r="QNQ1098"/>
      <c r="QNR1098"/>
      <c r="QNU1098"/>
      <c r="QNV1098"/>
      <c r="QNY1098"/>
      <c r="QNZ1098"/>
      <c r="QOC1098"/>
      <c r="QOD1098"/>
      <c r="QOG1098"/>
      <c r="QOH1098"/>
      <c r="QOK1098"/>
      <c r="QOL1098"/>
      <c r="QOO1098"/>
      <c r="QOP1098"/>
      <c r="QOS1098"/>
      <c r="QOT1098"/>
      <c r="QOW1098"/>
      <c r="QOX1098"/>
      <c r="QPA1098"/>
      <c r="QPB1098"/>
      <c r="QPE1098"/>
      <c r="QPF1098"/>
      <c r="QPI1098"/>
      <c r="QPJ1098"/>
      <c r="QPM1098"/>
      <c r="QPN1098"/>
      <c r="QPQ1098"/>
      <c r="QPR1098"/>
      <c r="QPU1098"/>
      <c r="QPV1098"/>
      <c r="QPY1098"/>
      <c r="QPZ1098"/>
      <c r="QQC1098"/>
      <c r="QQD1098"/>
      <c r="QQG1098"/>
      <c r="QQH1098"/>
      <c r="QQK1098"/>
      <c r="QQL1098"/>
      <c r="QQO1098"/>
      <c r="QQP1098"/>
      <c r="QQS1098"/>
      <c r="QQT1098"/>
      <c r="QQW1098"/>
      <c r="QQX1098"/>
      <c r="QRA1098"/>
      <c r="QRB1098"/>
      <c r="QRE1098"/>
      <c r="QRF1098"/>
      <c r="QRI1098"/>
      <c r="QRJ1098"/>
      <c r="QRM1098"/>
      <c r="QRN1098"/>
      <c r="QRQ1098"/>
      <c r="QRR1098"/>
      <c r="QRU1098"/>
      <c r="QRV1098"/>
      <c r="QRY1098"/>
      <c r="QRZ1098"/>
      <c r="QSC1098"/>
      <c r="QSD1098"/>
      <c r="QSG1098"/>
      <c r="QSH1098"/>
      <c r="QSK1098"/>
      <c r="QSL1098"/>
      <c r="QSO1098"/>
      <c r="QSP1098"/>
      <c r="QSS1098"/>
      <c r="QST1098"/>
      <c r="QSW1098"/>
      <c r="QSX1098"/>
      <c r="QTA1098"/>
      <c r="QTB1098"/>
      <c r="QTE1098"/>
      <c r="QTF1098"/>
      <c r="QTI1098"/>
      <c r="QTJ1098"/>
      <c r="QTM1098"/>
      <c r="QTN1098"/>
      <c r="QTQ1098"/>
      <c r="QTR1098"/>
      <c r="QTU1098"/>
      <c r="QTV1098"/>
      <c r="QTY1098"/>
      <c r="QTZ1098"/>
      <c r="QUC1098"/>
      <c r="QUD1098"/>
      <c r="QUG1098"/>
      <c r="QUH1098"/>
      <c r="QUK1098"/>
      <c r="QUL1098"/>
      <c r="QUO1098"/>
      <c r="QUP1098"/>
      <c r="QUS1098"/>
      <c r="QUT1098"/>
      <c r="QUW1098"/>
      <c r="QUX1098"/>
      <c r="QVA1098"/>
      <c r="QVB1098"/>
      <c r="QVE1098"/>
      <c r="QVF1098"/>
      <c r="QVI1098"/>
      <c r="QVJ1098"/>
      <c r="QVM1098"/>
      <c r="QVN1098"/>
      <c r="QVQ1098"/>
      <c r="QVR1098"/>
      <c r="QVU1098"/>
      <c r="QVV1098"/>
      <c r="QVY1098"/>
      <c r="QVZ1098"/>
      <c r="QWC1098"/>
      <c r="QWD1098"/>
      <c r="QWG1098"/>
      <c r="QWH1098"/>
      <c r="QWK1098"/>
      <c r="QWL1098"/>
      <c r="QWO1098"/>
      <c r="QWP1098"/>
      <c r="QWS1098"/>
      <c r="QWT1098"/>
      <c r="QWW1098"/>
      <c r="QWX1098"/>
      <c r="QXA1098"/>
      <c r="QXB1098"/>
      <c r="QXE1098"/>
      <c r="QXF1098"/>
      <c r="QXI1098"/>
      <c r="QXJ1098"/>
      <c r="QXM1098"/>
      <c r="QXN1098"/>
      <c r="QXQ1098"/>
      <c r="QXR1098"/>
      <c r="QXU1098"/>
      <c r="QXV1098"/>
      <c r="QXY1098"/>
      <c r="QXZ1098"/>
      <c r="QYC1098"/>
      <c r="QYD1098"/>
      <c r="QYG1098"/>
      <c r="QYH1098"/>
      <c r="QYK1098"/>
      <c r="QYL1098"/>
      <c r="QYO1098"/>
      <c r="QYP1098"/>
      <c r="QYS1098"/>
      <c r="QYT1098"/>
      <c r="QYW1098"/>
      <c r="QYX1098"/>
      <c r="QZA1098"/>
      <c r="QZB1098"/>
      <c r="QZE1098"/>
      <c r="QZF1098"/>
      <c r="QZI1098"/>
      <c r="QZJ1098"/>
      <c r="QZM1098"/>
      <c r="QZN1098"/>
      <c r="QZQ1098"/>
      <c r="QZR1098"/>
      <c r="QZU1098"/>
      <c r="QZV1098"/>
      <c r="QZY1098"/>
      <c r="QZZ1098"/>
      <c r="RAC1098"/>
      <c r="RAD1098"/>
      <c r="RAG1098"/>
      <c r="RAH1098"/>
      <c r="RAK1098"/>
      <c r="RAL1098"/>
      <c r="RAO1098"/>
      <c r="RAP1098"/>
      <c r="RAS1098"/>
      <c r="RAT1098"/>
      <c r="RAW1098"/>
      <c r="RAX1098"/>
      <c r="RBA1098"/>
      <c r="RBB1098"/>
      <c r="RBE1098"/>
      <c r="RBF1098"/>
      <c r="RBI1098"/>
      <c r="RBJ1098"/>
      <c r="RBM1098"/>
      <c r="RBN1098"/>
      <c r="RBQ1098"/>
      <c r="RBR1098"/>
      <c r="RBU1098"/>
      <c r="RBV1098"/>
      <c r="RBY1098"/>
      <c r="RBZ1098"/>
      <c r="RCC1098"/>
      <c r="RCD1098"/>
      <c r="RCG1098"/>
      <c r="RCH1098"/>
      <c r="RCK1098"/>
      <c r="RCL1098"/>
      <c r="RCO1098"/>
      <c r="RCP1098"/>
      <c r="RCS1098"/>
      <c r="RCT1098"/>
      <c r="RCW1098"/>
      <c r="RCX1098"/>
      <c r="RDA1098"/>
      <c r="RDB1098"/>
      <c r="RDE1098"/>
      <c r="RDF1098"/>
      <c r="RDI1098"/>
      <c r="RDJ1098"/>
      <c r="RDM1098"/>
      <c r="RDN1098"/>
      <c r="RDQ1098"/>
      <c r="RDR1098"/>
      <c r="RDU1098"/>
      <c r="RDV1098"/>
      <c r="RDY1098"/>
      <c r="RDZ1098"/>
      <c r="REC1098"/>
      <c r="RED1098"/>
      <c r="REG1098"/>
      <c r="REH1098"/>
      <c r="REK1098"/>
      <c r="REL1098"/>
      <c r="REO1098"/>
      <c r="REP1098"/>
      <c r="RES1098"/>
      <c r="RET1098"/>
      <c r="REW1098"/>
      <c r="REX1098"/>
      <c r="RFA1098"/>
      <c r="RFB1098"/>
      <c r="RFE1098"/>
      <c r="RFF1098"/>
      <c r="RFI1098"/>
      <c r="RFJ1098"/>
      <c r="RFM1098"/>
      <c r="RFN1098"/>
      <c r="RFQ1098"/>
      <c r="RFR1098"/>
      <c r="RFU1098"/>
      <c r="RFV1098"/>
      <c r="RFY1098"/>
      <c r="RFZ1098"/>
      <c r="RGC1098"/>
      <c r="RGD1098"/>
      <c r="RGG1098"/>
      <c r="RGH1098"/>
      <c r="RGK1098"/>
      <c r="RGL1098"/>
      <c r="RGO1098"/>
      <c r="RGP1098"/>
      <c r="RGS1098"/>
      <c r="RGT1098"/>
      <c r="RGW1098"/>
      <c r="RGX1098"/>
      <c r="RHA1098"/>
      <c r="RHB1098"/>
      <c r="RHE1098"/>
      <c r="RHF1098"/>
      <c r="RHI1098"/>
      <c r="RHJ1098"/>
      <c r="RHM1098"/>
      <c r="RHN1098"/>
      <c r="RHQ1098"/>
      <c r="RHR1098"/>
      <c r="RHU1098"/>
      <c r="RHV1098"/>
      <c r="RHY1098"/>
      <c r="RHZ1098"/>
      <c r="RIC1098"/>
      <c r="RID1098"/>
      <c r="RIG1098"/>
      <c r="RIH1098"/>
      <c r="RIK1098"/>
      <c r="RIL1098"/>
      <c r="RIO1098"/>
      <c r="RIP1098"/>
      <c r="RIS1098"/>
      <c r="RIT1098"/>
      <c r="RIW1098"/>
      <c r="RIX1098"/>
      <c r="RJA1098"/>
      <c r="RJB1098"/>
      <c r="RJE1098"/>
      <c r="RJF1098"/>
      <c r="RJI1098"/>
      <c r="RJJ1098"/>
      <c r="RJM1098"/>
      <c r="RJN1098"/>
      <c r="RJQ1098"/>
      <c r="RJR1098"/>
      <c r="RJU1098"/>
      <c r="RJV1098"/>
      <c r="RJY1098"/>
      <c r="RJZ1098"/>
      <c r="RKC1098"/>
      <c r="RKD1098"/>
      <c r="RKG1098"/>
      <c r="RKH1098"/>
      <c r="RKK1098"/>
      <c r="RKL1098"/>
      <c r="RKO1098"/>
      <c r="RKP1098"/>
      <c r="RKS1098"/>
      <c r="RKT1098"/>
      <c r="RKW1098"/>
      <c r="RKX1098"/>
      <c r="RLA1098"/>
      <c r="RLB1098"/>
      <c r="RLE1098"/>
      <c r="RLF1098"/>
      <c r="RLI1098"/>
      <c r="RLJ1098"/>
      <c r="RLM1098"/>
      <c r="RLN1098"/>
      <c r="RLQ1098"/>
      <c r="RLR1098"/>
      <c r="RLU1098"/>
      <c r="RLV1098"/>
      <c r="RLY1098"/>
      <c r="RLZ1098"/>
      <c r="RMC1098"/>
      <c r="RMD1098"/>
      <c r="RMG1098"/>
      <c r="RMH1098"/>
      <c r="RMK1098"/>
      <c r="RML1098"/>
      <c r="RMO1098"/>
      <c r="RMP1098"/>
      <c r="RMS1098"/>
      <c r="RMT1098"/>
      <c r="RMW1098"/>
      <c r="RMX1098"/>
      <c r="RNA1098"/>
      <c r="RNB1098"/>
      <c r="RNE1098"/>
      <c r="RNF1098"/>
      <c r="RNI1098"/>
      <c r="RNJ1098"/>
      <c r="RNM1098"/>
      <c r="RNN1098"/>
      <c r="RNQ1098"/>
      <c r="RNR1098"/>
      <c r="RNU1098"/>
      <c r="RNV1098"/>
      <c r="RNY1098"/>
      <c r="RNZ1098"/>
      <c r="ROC1098"/>
      <c r="ROD1098"/>
      <c r="ROG1098"/>
      <c r="ROH1098"/>
      <c r="ROK1098"/>
      <c r="ROL1098"/>
      <c r="ROO1098"/>
      <c r="ROP1098"/>
      <c r="ROS1098"/>
      <c r="ROT1098"/>
      <c r="ROW1098"/>
      <c r="ROX1098"/>
      <c r="RPA1098"/>
      <c r="RPB1098"/>
      <c r="RPE1098"/>
      <c r="RPF1098"/>
      <c r="RPI1098"/>
      <c r="RPJ1098"/>
      <c r="RPM1098"/>
      <c r="RPN1098"/>
      <c r="RPQ1098"/>
      <c r="RPR1098"/>
      <c r="RPU1098"/>
      <c r="RPV1098"/>
      <c r="RPY1098"/>
      <c r="RPZ1098"/>
      <c r="RQC1098"/>
      <c r="RQD1098"/>
      <c r="RQG1098"/>
      <c r="RQH1098"/>
      <c r="RQK1098"/>
      <c r="RQL1098"/>
      <c r="RQO1098"/>
      <c r="RQP1098"/>
      <c r="RQS1098"/>
      <c r="RQT1098"/>
      <c r="RQW1098"/>
      <c r="RQX1098"/>
      <c r="RRA1098"/>
      <c r="RRB1098"/>
      <c r="RRE1098"/>
      <c r="RRF1098"/>
      <c r="RRI1098"/>
      <c r="RRJ1098"/>
      <c r="RRM1098"/>
      <c r="RRN1098"/>
      <c r="RRQ1098"/>
      <c r="RRR1098"/>
      <c r="RRU1098"/>
      <c r="RRV1098"/>
      <c r="RRY1098"/>
      <c r="RRZ1098"/>
      <c r="RSC1098"/>
      <c r="RSD1098"/>
      <c r="RSG1098"/>
      <c r="RSH1098"/>
      <c r="RSK1098"/>
      <c r="RSL1098"/>
      <c r="RSO1098"/>
      <c r="RSP1098"/>
      <c r="RSS1098"/>
      <c r="RST1098"/>
      <c r="RSW1098"/>
      <c r="RSX1098"/>
      <c r="RTA1098"/>
      <c r="RTB1098"/>
      <c r="RTE1098"/>
      <c r="RTF1098"/>
      <c r="RTI1098"/>
      <c r="RTJ1098"/>
      <c r="RTM1098"/>
      <c r="RTN1098"/>
      <c r="RTQ1098"/>
      <c r="RTR1098"/>
      <c r="RTU1098"/>
      <c r="RTV1098"/>
      <c r="RTY1098"/>
      <c r="RTZ1098"/>
      <c r="RUC1098"/>
      <c r="RUD1098"/>
      <c r="RUG1098"/>
      <c r="RUH1098"/>
      <c r="RUK1098"/>
      <c r="RUL1098"/>
      <c r="RUO1098"/>
      <c r="RUP1098"/>
      <c r="RUS1098"/>
      <c r="RUT1098"/>
      <c r="RUW1098"/>
      <c r="RUX1098"/>
      <c r="RVA1098"/>
      <c r="RVB1098"/>
      <c r="RVE1098"/>
      <c r="RVF1098"/>
      <c r="RVI1098"/>
      <c r="RVJ1098"/>
      <c r="RVM1098"/>
      <c r="RVN1098"/>
      <c r="RVQ1098"/>
      <c r="RVR1098"/>
      <c r="RVU1098"/>
      <c r="RVV1098"/>
      <c r="RVY1098"/>
      <c r="RVZ1098"/>
      <c r="RWC1098"/>
      <c r="RWD1098"/>
      <c r="RWG1098"/>
      <c r="RWH1098"/>
      <c r="RWK1098"/>
      <c r="RWL1098"/>
      <c r="RWO1098"/>
      <c r="RWP1098"/>
      <c r="RWS1098"/>
      <c r="RWT1098"/>
      <c r="RWW1098"/>
      <c r="RWX1098"/>
      <c r="RXA1098"/>
      <c r="RXB1098"/>
      <c r="RXE1098"/>
      <c r="RXF1098"/>
      <c r="RXI1098"/>
      <c r="RXJ1098"/>
      <c r="RXM1098"/>
      <c r="RXN1098"/>
      <c r="RXQ1098"/>
      <c r="RXR1098"/>
      <c r="RXU1098"/>
      <c r="RXV1098"/>
      <c r="RXY1098"/>
      <c r="RXZ1098"/>
      <c r="RYC1098"/>
      <c r="RYD1098"/>
      <c r="RYG1098"/>
      <c r="RYH1098"/>
      <c r="RYK1098"/>
      <c r="RYL1098"/>
      <c r="RYO1098"/>
      <c r="RYP1098"/>
      <c r="RYS1098"/>
      <c r="RYT1098"/>
      <c r="RYW1098"/>
      <c r="RYX1098"/>
      <c r="RZA1098"/>
      <c r="RZB1098"/>
      <c r="RZE1098"/>
      <c r="RZF1098"/>
      <c r="RZI1098"/>
      <c r="RZJ1098"/>
      <c r="RZM1098"/>
      <c r="RZN1098"/>
      <c r="RZQ1098"/>
      <c r="RZR1098"/>
      <c r="RZU1098"/>
      <c r="RZV1098"/>
      <c r="RZY1098"/>
      <c r="RZZ1098"/>
      <c r="SAC1098"/>
      <c r="SAD1098"/>
      <c r="SAG1098"/>
      <c r="SAH1098"/>
      <c r="SAK1098"/>
      <c r="SAL1098"/>
      <c r="SAO1098"/>
      <c r="SAP1098"/>
      <c r="SAS1098"/>
      <c r="SAT1098"/>
      <c r="SAW1098"/>
      <c r="SAX1098"/>
      <c r="SBA1098"/>
      <c r="SBB1098"/>
      <c r="SBE1098"/>
      <c r="SBF1098"/>
      <c r="SBI1098"/>
      <c r="SBJ1098"/>
      <c r="SBM1098"/>
      <c r="SBN1098"/>
      <c r="SBQ1098"/>
      <c r="SBR1098"/>
      <c r="SBU1098"/>
      <c r="SBV1098"/>
      <c r="SBY1098"/>
      <c r="SBZ1098"/>
      <c r="SCC1098"/>
      <c r="SCD1098"/>
      <c r="SCG1098"/>
      <c r="SCH1098"/>
      <c r="SCK1098"/>
      <c r="SCL1098"/>
      <c r="SCO1098"/>
      <c r="SCP1098"/>
      <c r="SCS1098"/>
      <c r="SCT1098"/>
      <c r="SCW1098"/>
      <c r="SCX1098"/>
      <c r="SDA1098"/>
      <c r="SDB1098"/>
      <c r="SDE1098"/>
      <c r="SDF1098"/>
      <c r="SDI1098"/>
      <c r="SDJ1098"/>
      <c r="SDM1098"/>
      <c r="SDN1098"/>
      <c r="SDQ1098"/>
      <c r="SDR1098"/>
      <c r="SDU1098"/>
      <c r="SDV1098"/>
      <c r="SDY1098"/>
      <c r="SDZ1098"/>
      <c r="SEC1098"/>
      <c r="SED1098"/>
      <c r="SEG1098"/>
      <c r="SEH1098"/>
      <c r="SEK1098"/>
      <c r="SEL1098"/>
      <c r="SEO1098"/>
      <c r="SEP1098"/>
      <c r="SES1098"/>
      <c r="SET1098"/>
      <c r="SEW1098"/>
      <c r="SEX1098"/>
      <c r="SFA1098"/>
      <c r="SFB1098"/>
      <c r="SFE1098"/>
      <c r="SFF1098"/>
      <c r="SFI1098"/>
      <c r="SFJ1098"/>
      <c r="SFM1098"/>
      <c r="SFN1098"/>
      <c r="SFQ1098"/>
      <c r="SFR1098"/>
      <c r="SFU1098"/>
      <c r="SFV1098"/>
      <c r="SFY1098"/>
      <c r="SFZ1098"/>
      <c r="SGC1098"/>
      <c r="SGD1098"/>
      <c r="SGG1098"/>
      <c r="SGH1098"/>
      <c r="SGK1098"/>
      <c r="SGL1098"/>
      <c r="SGO1098"/>
      <c r="SGP1098"/>
      <c r="SGS1098"/>
      <c r="SGT1098"/>
      <c r="SGW1098"/>
      <c r="SGX1098"/>
      <c r="SHA1098"/>
      <c r="SHB1098"/>
      <c r="SHE1098"/>
      <c r="SHF1098"/>
      <c r="SHI1098"/>
      <c r="SHJ1098"/>
      <c r="SHM1098"/>
      <c r="SHN1098"/>
      <c r="SHQ1098"/>
      <c r="SHR1098"/>
      <c r="SHU1098"/>
      <c r="SHV1098"/>
      <c r="SHY1098"/>
      <c r="SHZ1098"/>
      <c r="SIC1098"/>
      <c r="SID1098"/>
      <c r="SIG1098"/>
      <c r="SIH1098"/>
      <c r="SIK1098"/>
      <c r="SIL1098"/>
      <c r="SIO1098"/>
      <c r="SIP1098"/>
      <c r="SIS1098"/>
      <c r="SIT1098"/>
      <c r="SIW1098"/>
      <c r="SIX1098"/>
      <c r="SJA1098"/>
      <c r="SJB1098"/>
      <c r="SJE1098"/>
      <c r="SJF1098"/>
      <c r="SJI1098"/>
      <c r="SJJ1098"/>
      <c r="SJM1098"/>
      <c r="SJN1098"/>
      <c r="SJQ1098"/>
      <c r="SJR1098"/>
      <c r="SJU1098"/>
      <c r="SJV1098"/>
      <c r="SJY1098"/>
      <c r="SJZ1098"/>
      <c r="SKC1098"/>
      <c r="SKD1098"/>
      <c r="SKG1098"/>
      <c r="SKH1098"/>
      <c r="SKK1098"/>
      <c r="SKL1098"/>
      <c r="SKO1098"/>
      <c r="SKP1098"/>
      <c r="SKS1098"/>
      <c r="SKT1098"/>
      <c r="SKW1098"/>
      <c r="SKX1098"/>
      <c r="SLA1098"/>
      <c r="SLB1098"/>
      <c r="SLE1098"/>
      <c r="SLF1098"/>
      <c r="SLI1098"/>
      <c r="SLJ1098"/>
      <c r="SLM1098"/>
      <c r="SLN1098"/>
      <c r="SLQ1098"/>
      <c r="SLR1098"/>
      <c r="SLU1098"/>
      <c r="SLV1098"/>
      <c r="SLY1098"/>
      <c r="SLZ1098"/>
      <c r="SMC1098"/>
      <c r="SMD1098"/>
      <c r="SMG1098"/>
      <c r="SMH1098"/>
      <c r="SMK1098"/>
      <c r="SML1098"/>
      <c r="SMO1098"/>
      <c r="SMP1098"/>
      <c r="SMS1098"/>
      <c r="SMT1098"/>
      <c r="SMW1098"/>
      <c r="SMX1098"/>
      <c r="SNA1098"/>
      <c r="SNB1098"/>
      <c r="SNE1098"/>
      <c r="SNF1098"/>
      <c r="SNI1098"/>
      <c r="SNJ1098"/>
      <c r="SNM1098"/>
      <c r="SNN1098"/>
      <c r="SNQ1098"/>
      <c r="SNR1098"/>
      <c r="SNU1098"/>
      <c r="SNV1098"/>
      <c r="SNY1098"/>
      <c r="SNZ1098"/>
      <c r="SOC1098"/>
      <c r="SOD1098"/>
      <c r="SOG1098"/>
      <c r="SOH1098"/>
      <c r="SOK1098"/>
      <c r="SOL1098"/>
      <c r="SOO1098"/>
      <c r="SOP1098"/>
      <c r="SOS1098"/>
      <c r="SOT1098"/>
      <c r="SOW1098"/>
      <c r="SOX1098"/>
      <c r="SPA1098"/>
      <c r="SPB1098"/>
      <c r="SPE1098"/>
      <c r="SPF1098"/>
      <c r="SPI1098"/>
      <c r="SPJ1098"/>
      <c r="SPM1098"/>
      <c r="SPN1098"/>
      <c r="SPQ1098"/>
      <c r="SPR1098"/>
      <c r="SPU1098"/>
      <c r="SPV1098"/>
      <c r="SPY1098"/>
      <c r="SPZ1098"/>
      <c r="SQC1098"/>
      <c r="SQD1098"/>
      <c r="SQG1098"/>
      <c r="SQH1098"/>
      <c r="SQK1098"/>
      <c r="SQL1098"/>
      <c r="SQO1098"/>
      <c r="SQP1098"/>
      <c r="SQS1098"/>
      <c r="SQT1098"/>
      <c r="SQW1098"/>
      <c r="SQX1098"/>
      <c r="SRA1098"/>
      <c r="SRB1098"/>
      <c r="SRE1098"/>
      <c r="SRF1098"/>
      <c r="SRI1098"/>
      <c r="SRJ1098"/>
      <c r="SRM1098"/>
      <c r="SRN1098"/>
      <c r="SRQ1098"/>
      <c r="SRR1098"/>
      <c r="SRU1098"/>
      <c r="SRV1098"/>
      <c r="SRY1098"/>
      <c r="SRZ1098"/>
      <c r="SSC1098"/>
      <c r="SSD1098"/>
      <c r="SSG1098"/>
      <c r="SSH1098"/>
      <c r="SSK1098"/>
      <c r="SSL1098"/>
      <c r="SSO1098"/>
      <c r="SSP1098"/>
      <c r="SSS1098"/>
      <c r="SST1098"/>
      <c r="SSW1098"/>
      <c r="SSX1098"/>
      <c r="STA1098"/>
      <c r="STB1098"/>
      <c r="STE1098"/>
      <c r="STF1098"/>
      <c r="STI1098"/>
      <c r="STJ1098"/>
      <c r="STM1098"/>
      <c r="STN1098"/>
      <c r="STQ1098"/>
      <c r="STR1098"/>
      <c r="STU1098"/>
      <c r="STV1098"/>
      <c r="STY1098"/>
      <c r="STZ1098"/>
      <c r="SUC1098"/>
      <c r="SUD1098"/>
      <c r="SUG1098"/>
      <c r="SUH1098"/>
      <c r="SUK1098"/>
      <c r="SUL1098"/>
      <c r="SUO1098"/>
      <c r="SUP1098"/>
      <c r="SUS1098"/>
      <c r="SUT1098"/>
      <c r="SUW1098"/>
      <c r="SUX1098"/>
      <c r="SVA1098"/>
      <c r="SVB1098"/>
      <c r="SVE1098"/>
      <c r="SVF1098"/>
      <c r="SVI1098"/>
      <c r="SVJ1098"/>
      <c r="SVM1098"/>
      <c r="SVN1098"/>
      <c r="SVQ1098"/>
      <c r="SVR1098"/>
      <c r="SVU1098"/>
      <c r="SVV1098"/>
      <c r="SVY1098"/>
      <c r="SVZ1098"/>
      <c r="SWC1098"/>
      <c r="SWD1098"/>
      <c r="SWG1098"/>
      <c r="SWH1098"/>
      <c r="SWK1098"/>
      <c r="SWL1098"/>
      <c r="SWO1098"/>
      <c r="SWP1098"/>
      <c r="SWS1098"/>
      <c r="SWT1098"/>
      <c r="SWW1098"/>
      <c r="SWX1098"/>
      <c r="SXA1098"/>
      <c r="SXB1098"/>
      <c r="SXE1098"/>
      <c r="SXF1098"/>
      <c r="SXI1098"/>
      <c r="SXJ1098"/>
      <c r="SXM1098"/>
      <c r="SXN1098"/>
      <c r="SXQ1098"/>
      <c r="SXR1098"/>
      <c r="SXU1098"/>
      <c r="SXV1098"/>
      <c r="SXY1098"/>
      <c r="SXZ1098"/>
      <c r="SYC1098"/>
      <c r="SYD1098"/>
      <c r="SYG1098"/>
      <c r="SYH1098"/>
      <c r="SYK1098"/>
      <c r="SYL1098"/>
      <c r="SYO1098"/>
      <c r="SYP1098"/>
      <c r="SYS1098"/>
      <c r="SYT1098"/>
      <c r="SYW1098"/>
      <c r="SYX1098"/>
      <c r="SZA1098"/>
      <c r="SZB1098"/>
      <c r="SZE1098"/>
      <c r="SZF1098"/>
      <c r="SZI1098"/>
      <c r="SZJ1098"/>
      <c r="SZM1098"/>
      <c r="SZN1098"/>
      <c r="SZQ1098"/>
      <c r="SZR1098"/>
      <c r="SZU1098"/>
      <c r="SZV1098"/>
      <c r="SZY1098"/>
      <c r="SZZ1098"/>
      <c r="TAC1098"/>
      <c r="TAD1098"/>
      <c r="TAG1098"/>
      <c r="TAH1098"/>
      <c r="TAK1098"/>
      <c r="TAL1098"/>
      <c r="TAO1098"/>
      <c r="TAP1098"/>
      <c r="TAS1098"/>
      <c r="TAT1098"/>
      <c r="TAW1098"/>
      <c r="TAX1098"/>
      <c r="TBA1098"/>
      <c r="TBB1098"/>
      <c r="TBE1098"/>
      <c r="TBF1098"/>
      <c r="TBI1098"/>
      <c r="TBJ1098"/>
      <c r="TBM1098"/>
      <c r="TBN1098"/>
      <c r="TBQ1098"/>
      <c r="TBR1098"/>
      <c r="TBU1098"/>
      <c r="TBV1098"/>
      <c r="TBY1098"/>
      <c r="TBZ1098"/>
      <c r="TCC1098"/>
      <c r="TCD1098"/>
      <c r="TCG1098"/>
      <c r="TCH1098"/>
      <c r="TCK1098"/>
      <c r="TCL1098"/>
      <c r="TCO1098"/>
      <c r="TCP1098"/>
      <c r="TCS1098"/>
      <c r="TCT1098"/>
      <c r="TCW1098"/>
      <c r="TCX1098"/>
      <c r="TDA1098"/>
      <c r="TDB1098"/>
      <c r="TDE1098"/>
      <c r="TDF1098"/>
      <c r="TDI1098"/>
      <c r="TDJ1098"/>
      <c r="TDM1098"/>
      <c r="TDN1098"/>
      <c r="TDQ1098"/>
      <c r="TDR1098"/>
      <c r="TDU1098"/>
      <c r="TDV1098"/>
      <c r="TDY1098"/>
      <c r="TDZ1098"/>
      <c r="TEC1098"/>
      <c r="TED1098"/>
      <c r="TEG1098"/>
      <c r="TEH1098"/>
      <c r="TEK1098"/>
      <c r="TEL1098"/>
      <c r="TEO1098"/>
      <c r="TEP1098"/>
      <c r="TES1098"/>
      <c r="TET1098"/>
      <c r="TEW1098"/>
      <c r="TEX1098"/>
      <c r="TFA1098"/>
      <c r="TFB1098"/>
      <c r="TFE1098"/>
      <c r="TFF1098"/>
      <c r="TFI1098"/>
      <c r="TFJ1098"/>
      <c r="TFM1098"/>
      <c r="TFN1098"/>
      <c r="TFQ1098"/>
      <c r="TFR1098"/>
      <c r="TFU1098"/>
      <c r="TFV1098"/>
      <c r="TFY1098"/>
      <c r="TFZ1098"/>
      <c r="TGC1098"/>
      <c r="TGD1098"/>
      <c r="TGG1098"/>
      <c r="TGH1098"/>
      <c r="TGK1098"/>
      <c r="TGL1098"/>
      <c r="TGO1098"/>
      <c r="TGP1098"/>
      <c r="TGS1098"/>
      <c r="TGT1098"/>
      <c r="TGW1098"/>
      <c r="TGX1098"/>
      <c r="THA1098"/>
      <c r="THB1098"/>
      <c r="THE1098"/>
      <c r="THF1098"/>
      <c r="THI1098"/>
      <c r="THJ1098"/>
      <c r="THM1098"/>
      <c r="THN1098"/>
      <c r="THQ1098"/>
      <c r="THR1098"/>
      <c r="THU1098"/>
      <c r="THV1098"/>
      <c r="THY1098"/>
      <c r="THZ1098"/>
      <c r="TIC1098"/>
      <c r="TID1098"/>
      <c r="TIG1098"/>
      <c r="TIH1098"/>
      <c r="TIK1098"/>
      <c r="TIL1098"/>
      <c r="TIO1098"/>
      <c r="TIP1098"/>
      <c r="TIS1098"/>
      <c r="TIT1098"/>
      <c r="TIW1098"/>
      <c r="TIX1098"/>
      <c r="TJA1098"/>
      <c r="TJB1098"/>
      <c r="TJE1098"/>
      <c r="TJF1098"/>
      <c r="TJI1098"/>
      <c r="TJJ1098"/>
      <c r="TJM1098"/>
      <c r="TJN1098"/>
      <c r="TJQ1098"/>
      <c r="TJR1098"/>
      <c r="TJU1098"/>
      <c r="TJV1098"/>
      <c r="TJY1098"/>
      <c r="TJZ1098"/>
      <c r="TKC1098"/>
      <c r="TKD1098"/>
      <c r="TKG1098"/>
      <c r="TKH1098"/>
      <c r="TKK1098"/>
      <c r="TKL1098"/>
      <c r="TKO1098"/>
      <c r="TKP1098"/>
      <c r="TKS1098"/>
      <c r="TKT1098"/>
      <c r="TKW1098"/>
      <c r="TKX1098"/>
      <c r="TLA1098"/>
      <c r="TLB1098"/>
      <c r="TLE1098"/>
      <c r="TLF1098"/>
      <c r="TLI1098"/>
      <c r="TLJ1098"/>
      <c r="TLM1098"/>
      <c r="TLN1098"/>
      <c r="TLQ1098"/>
      <c r="TLR1098"/>
      <c r="TLU1098"/>
      <c r="TLV1098"/>
      <c r="TLY1098"/>
      <c r="TLZ1098"/>
      <c r="TMC1098"/>
      <c r="TMD1098"/>
      <c r="TMG1098"/>
      <c r="TMH1098"/>
      <c r="TMK1098"/>
      <c r="TML1098"/>
      <c r="TMO1098"/>
      <c r="TMP1098"/>
      <c r="TMS1098"/>
      <c r="TMT1098"/>
      <c r="TMW1098"/>
      <c r="TMX1098"/>
      <c r="TNA1098"/>
      <c r="TNB1098"/>
      <c r="TNE1098"/>
      <c r="TNF1098"/>
      <c r="TNI1098"/>
      <c r="TNJ1098"/>
      <c r="TNM1098"/>
      <c r="TNN1098"/>
      <c r="TNQ1098"/>
      <c r="TNR1098"/>
      <c r="TNU1098"/>
      <c r="TNV1098"/>
      <c r="TNY1098"/>
      <c r="TNZ1098"/>
      <c r="TOC1098"/>
      <c r="TOD1098"/>
      <c r="TOG1098"/>
      <c r="TOH1098"/>
      <c r="TOK1098"/>
      <c r="TOL1098"/>
      <c r="TOO1098"/>
      <c r="TOP1098"/>
      <c r="TOS1098"/>
      <c r="TOT1098"/>
      <c r="TOW1098"/>
      <c r="TOX1098"/>
      <c r="TPA1098"/>
      <c r="TPB1098"/>
      <c r="TPE1098"/>
      <c r="TPF1098"/>
      <c r="TPI1098"/>
      <c r="TPJ1098"/>
      <c r="TPM1098"/>
      <c r="TPN1098"/>
      <c r="TPQ1098"/>
      <c r="TPR1098"/>
      <c r="TPU1098"/>
      <c r="TPV1098"/>
      <c r="TPY1098"/>
      <c r="TPZ1098"/>
      <c r="TQC1098"/>
      <c r="TQD1098"/>
      <c r="TQG1098"/>
      <c r="TQH1098"/>
      <c r="TQK1098"/>
      <c r="TQL1098"/>
      <c r="TQO1098"/>
      <c r="TQP1098"/>
      <c r="TQS1098"/>
      <c r="TQT1098"/>
      <c r="TQW1098"/>
      <c r="TQX1098"/>
      <c r="TRA1098"/>
      <c r="TRB1098"/>
      <c r="TRE1098"/>
      <c r="TRF1098"/>
      <c r="TRI1098"/>
      <c r="TRJ1098"/>
      <c r="TRM1098"/>
      <c r="TRN1098"/>
      <c r="TRQ1098"/>
      <c r="TRR1098"/>
      <c r="TRU1098"/>
      <c r="TRV1098"/>
      <c r="TRY1098"/>
      <c r="TRZ1098"/>
      <c r="TSC1098"/>
      <c r="TSD1098"/>
      <c r="TSG1098"/>
      <c r="TSH1098"/>
      <c r="TSK1098"/>
      <c r="TSL1098"/>
      <c r="TSO1098"/>
      <c r="TSP1098"/>
      <c r="TSS1098"/>
      <c r="TST1098"/>
      <c r="TSW1098"/>
      <c r="TSX1098"/>
      <c r="TTA1098"/>
      <c r="TTB1098"/>
      <c r="TTE1098"/>
      <c r="TTF1098"/>
      <c r="TTI1098"/>
      <c r="TTJ1098"/>
      <c r="TTM1098"/>
      <c r="TTN1098"/>
      <c r="TTQ1098"/>
      <c r="TTR1098"/>
      <c r="TTU1098"/>
      <c r="TTV1098"/>
      <c r="TTY1098"/>
      <c r="TTZ1098"/>
      <c r="TUC1098"/>
      <c r="TUD1098"/>
      <c r="TUG1098"/>
      <c r="TUH1098"/>
      <c r="TUK1098"/>
      <c r="TUL1098"/>
      <c r="TUO1098"/>
      <c r="TUP1098"/>
      <c r="TUS1098"/>
      <c r="TUT1098"/>
      <c r="TUW1098"/>
      <c r="TUX1098"/>
      <c r="TVA1098"/>
      <c r="TVB1098"/>
      <c r="TVE1098"/>
      <c r="TVF1098"/>
      <c r="TVI1098"/>
      <c r="TVJ1098"/>
      <c r="TVM1098"/>
      <c r="TVN1098"/>
      <c r="TVQ1098"/>
      <c r="TVR1098"/>
      <c r="TVU1098"/>
      <c r="TVV1098"/>
      <c r="TVY1098"/>
      <c r="TVZ1098"/>
      <c r="TWC1098"/>
      <c r="TWD1098"/>
      <c r="TWG1098"/>
      <c r="TWH1098"/>
      <c r="TWK1098"/>
      <c r="TWL1098"/>
      <c r="TWO1098"/>
      <c r="TWP1098"/>
      <c r="TWS1098"/>
      <c r="TWT1098"/>
      <c r="TWW1098"/>
      <c r="TWX1098"/>
      <c r="TXA1098"/>
      <c r="TXB1098"/>
      <c r="TXE1098"/>
      <c r="TXF1098"/>
      <c r="TXI1098"/>
      <c r="TXJ1098"/>
      <c r="TXM1098"/>
      <c r="TXN1098"/>
      <c r="TXQ1098"/>
      <c r="TXR1098"/>
      <c r="TXU1098"/>
      <c r="TXV1098"/>
      <c r="TXY1098"/>
      <c r="TXZ1098"/>
      <c r="TYC1098"/>
      <c r="TYD1098"/>
      <c r="TYG1098"/>
      <c r="TYH1098"/>
      <c r="TYK1098"/>
      <c r="TYL1098"/>
      <c r="TYO1098"/>
      <c r="TYP1098"/>
      <c r="TYS1098"/>
      <c r="TYT1098"/>
      <c r="TYW1098"/>
      <c r="TYX1098"/>
      <c r="TZA1098"/>
      <c r="TZB1098"/>
      <c r="TZE1098"/>
      <c r="TZF1098"/>
      <c r="TZI1098"/>
      <c r="TZJ1098"/>
      <c r="TZM1098"/>
      <c r="TZN1098"/>
      <c r="TZQ1098"/>
      <c r="TZR1098"/>
      <c r="TZU1098"/>
      <c r="TZV1098"/>
      <c r="TZY1098"/>
      <c r="TZZ1098"/>
      <c r="UAC1098"/>
      <c r="UAD1098"/>
      <c r="UAG1098"/>
      <c r="UAH1098"/>
      <c r="UAK1098"/>
      <c r="UAL1098"/>
      <c r="UAO1098"/>
      <c r="UAP1098"/>
      <c r="UAS1098"/>
      <c r="UAT1098"/>
      <c r="UAW1098"/>
      <c r="UAX1098"/>
      <c r="UBA1098"/>
      <c r="UBB1098"/>
      <c r="UBE1098"/>
      <c r="UBF1098"/>
      <c r="UBI1098"/>
      <c r="UBJ1098"/>
      <c r="UBM1098"/>
      <c r="UBN1098"/>
      <c r="UBQ1098"/>
      <c r="UBR1098"/>
      <c r="UBU1098"/>
      <c r="UBV1098"/>
      <c r="UBY1098"/>
      <c r="UBZ1098"/>
      <c r="UCC1098"/>
      <c r="UCD1098"/>
      <c r="UCG1098"/>
      <c r="UCH1098"/>
      <c r="UCK1098"/>
      <c r="UCL1098"/>
      <c r="UCO1098"/>
      <c r="UCP1098"/>
      <c r="UCS1098"/>
      <c r="UCT1098"/>
      <c r="UCW1098"/>
      <c r="UCX1098"/>
      <c r="UDA1098"/>
      <c r="UDB1098"/>
      <c r="UDE1098"/>
      <c r="UDF1098"/>
      <c r="UDI1098"/>
      <c r="UDJ1098"/>
      <c r="UDM1098"/>
      <c r="UDN1098"/>
      <c r="UDQ1098"/>
      <c r="UDR1098"/>
      <c r="UDU1098"/>
      <c r="UDV1098"/>
      <c r="UDY1098"/>
      <c r="UDZ1098"/>
      <c r="UEC1098"/>
      <c r="UED1098"/>
      <c r="UEG1098"/>
      <c r="UEH1098"/>
      <c r="UEK1098"/>
      <c r="UEL1098"/>
      <c r="UEO1098"/>
      <c r="UEP1098"/>
      <c r="UES1098"/>
      <c r="UET1098"/>
      <c r="UEW1098"/>
      <c r="UEX1098"/>
      <c r="UFA1098"/>
      <c r="UFB1098"/>
      <c r="UFE1098"/>
      <c r="UFF1098"/>
      <c r="UFI1098"/>
      <c r="UFJ1098"/>
      <c r="UFM1098"/>
      <c r="UFN1098"/>
      <c r="UFQ1098"/>
      <c r="UFR1098"/>
      <c r="UFU1098"/>
      <c r="UFV1098"/>
      <c r="UFY1098"/>
      <c r="UFZ1098"/>
      <c r="UGC1098"/>
      <c r="UGD1098"/>
      <c r="UGG1098"/>
      <c r="UGH1098"/>
      <c r="UGK1098"/>
      <c r="UGL1098"/>
      <c r="UGO1098"/>
      <c r="UGP1098"/>
      <c r="UGS1098"/>
      <c r="UGT1098"/>
      <c r="UGW1098"/>
      <c r="UGX1098"/>
      <c r="UHA1098"/>
      <c r="UHB1098"/>
      <c r="UHE1098"/>
      <c r="UHF1098"/>
      <c r="UHI1098"/>
      <c r="UHJ1098"/>
      <c r="UHM1098"/>
      <c r="UHN1098"/>
      <c r="UHQ1098"/>
      <c r="UHR1098"/>
      <c r="UHU1098"/>
      <c r="UHV1098"/>
      <c r="UHY1098"/>
      <c r="UHZ1098"/>
      <c r="UIC1098"/>
      <c r="UID1098"/>
      <c r="UIG1098"/>
      <c r="UIH1098"/>
      <c r="UIK1098"/>
      <c r="UIL1098"/>
      <c r="UIO1098"/>
      <c r="UIP1098"/>
      <c r="UIS1098"/>
      <c r="UIT1098"/>
      <c r="UIW1098"/>
      <c r="UIX1098"/>
      <c r="UJA1098"/>
      <c r="UJB1098"/>
      <c r="UJE1098"/>
      <c r="UJF1098"/>
      <c r="UJI1098"/>
      <c r="UJJ1098"/>
      <c r="UJM1098"/>
      <c r="UJN1098"/>
      <c r="UJQ1098"/>
      <c r="UJR1098"/>
      <c r="UJU1098"/>
      <c r="UJV1098"/>
      <c r="UJY1098"/>
      <c r="UJZ1098"/>
      <c r="UKC1098"/>
      <c r="UKD1098"/>
      <c r="UKG1098"/>
      <c r="UKH1098"/>
      <c r="UKK1098"/>
      <c r="UKL1098"/>
      <c r="UKO1098"/>
      <c r="UKP1098"/>
      <c r="UKS1098"/>
      <c r="UKT1098"/>
      <c r="UKW1098"/>
      <c r="UKX1098"/>
      <c r="ULA1098"/>
      <c r="ULB1098"/>
      <c r="ULE1098"/>
      <c r="ULF1098"/>
      <c r="ULI1098"/>
      <c r="ULJ1098"/>
      <c r="ULM1098"/>
      <c r="ULN1098"/>
      <c r="ULQ1098"/>
      <c r="ULR1098"/>
      <c r="ULU1098"/>
      <c r="ULV1098"/>
      <c r="ULY1098"/>
      <c r="ULZ1098"/>
      <c r="UMC1098"/>
      <c r="UMD1098"/>
      <c r="UMG1098"/>
      <c r="UMH1098"/>
      <c r="UMK1098"/>
      <c r="UML1098"/>
      <c r="UMO1098"/>
      <c r="UMP1098"/>
      <c r="UMS1098"/>
      <c r="UMT1098"/>
      <c r="UMW1098"/>
      <c r="UMX1098"/>
      <c r="UNA1098"/>
      <c r="UNB1098"/>
      <c r="UNE1098"/>
      <c r="UNF1098"/>
      <c r="UNI1098"/>
      <c r="UNJ1098"/>
      <c r="UNM1098"/>
      <c r="UNN1098"/>
      <c r="UNQ1098"/>
      <c r="UNR1098"/>
      <c r="UNU1098"/>
      <c r="UNV1098"/>
      <c r="UNY1098"/>
      <c r="UNZ1098"/>
      <c r="UOC1098"/>
      <c r="UOD1098"/>
      <c r="UOG1098"/>
      <c r="UOH1098"/>
      <c r="UOK1098"/>
      <c r="UOL1098"/>
      <c r="UOO1098"/>
      <c r="UOP1098"/>
      <c r="UOS1098"/>
      <c r="UOT1098"/>
      <c r="UOW1098"/>
      <c r="UOX1098"/>
      <c r="UPA1098"/>
      <c r="UPB1098"/>
      <c r="UPE1098"/>
      <c r="UPF1098"/>
      <c r="UPI1098"/>
      <c r="UPJ1098"/>
      <c r="UPM1098"/>
      <c r="UPN1098"/>
      <c r="UPQ1098"/>
      <c r="UPR1098"/>
      <c r="UPU1098"/>
      <c r="UPV1098"/>
      <c r="UPY1098"/>
      <c r="UPZ1098"/>
      <c r="UQC1098"/>
      <c r="UQD1098"/>
      <c r="UQG1098"/>
      <c r="UQH1098"/>
      <c r="UQK1098"/>
      <c r="UQL1098"/>
      <c r="UQO1098"/>
      <c r="UQP1098"/>
      <c r="UQS1098"/>
      <c r="UQT1098"/>
      <c r="UQW1098"/>
      <c r="UQX1098"/>
      <c r="URA1098"/>
      <c r="URB1098"/>
      <c r="URE1098"/>
      <c r="URF1098"/>
      <c r="URI1098"/>
      <c r="URJ1098"/>
      <c r="URM1098"/>
      <c r="URN1098"/>
      <c r="URQ1098"/>
      <c r="URR1098"/>
      <c r="URU1098"/>
      <c r="URV1098"/>
      <c r="URY1098"/>
      <c r="URZ1098"/>
      <c r="USC1098"/>
      <c r="USD1098"/>
      <c r="USG1098"/>
      <c r="USH1098"/>
      <c r="USK1098"/>
      <c r="USL1098"/>
      <c r="USO1098"/>
      <c r="USP1098"/>
      <c r="USS1098"/>
      <c r="UST1098"/>
      <c r="USW1098"/>
      <c r="USX1098"/>
      <c r="UTA1098"/>
      <c r="UTB1098"/>
      <c r="UTE1098"/>
      <c r="UTF1098"/>
      <c r="UTI1098"/>
      <c r="UTJ1098"/>
      <c r="UTM1098"/>
      <c r="UTN1098"/>
      <c r="UTQ1098"/>
      <c r="UTR1098"/>
      <c r="UTU1098"/>
      <c r="UTV1098"/>
      <c r="UTY1098"/>
      <c r="UTZ1098"/>
      <c r="UUC1098"/>
      <c r="UUD1098"/>
      <c r="UUG1098"/>
      <c r="UUH1098"/>
      <c r="UUK1098"/>
      <c r="UUL1098"/>
      <c r="UUO1098"/>
      <c r="UUP1098"/>
      <c r="UUS1098"/>
      <c r="UUT1098"/>
      <c r="UUW1098"/>
      <c r="UUX1098"/>
      <c r="UVA1098"/>
      <c r="UVB1098"/>
      <c r="UVE1098"/>
      <c r="UVF1098"/>
      <c r="UVI1098"/>
      <c r="UVJ1098"/>
      <c r="UVM1098"/>
      <c r="UVN1098"/>
      <c r="UVQ1098"/>
      <c r="UVR1098"/>
      <c r="UVU1098"/>
      <c r="UVV1098"/>
      <c r="UVY1098"/>
      <c r="UVZ1098"/>
      <c r="UWC1098"/>
      <c r="UWD1098"/>
      <c r="UWG1098"/>
      <c r="UWH1098"/>
      <c r="UWK1098"/>
      <c r="UWL1098"/>
      <c r="UWO1098"/>
      <c r="UWP1098"/>
      <c r="UWS1098"/>
      <c r="UWT1098"/>
      <c r="UWW1098"/>
      <c r="UWX1098"/>
      <c r="UXA1098"/>
      <c r="UXB1098"/>
      <c r="UXE1098"/>
      <c r="UXF1098"/>
      <c r="UXI1098"/>
      <c r="UXJ1098"/>
      <c r="UXM1098"/>
      <c r="UXN1098"/>
      <c r="UXQ1098"/>
      <c r="UXR1098"/>
      <c r="UXU1098"/>
      <c r="UXV1098"/>
      <c r="UXY1098"/>
      <c r="UXZ1098"/>
      <c r="UYC1098"/>
      <c r="UYD1098"/>
      <c r="UYG1098"/>
      <c r="UYH1098"/>
      <c r="UYK1098"/>
      <c r="UYL1098"/>
      <c r="UYO1098"/>
      <c r="UYP1098"/>
      <c r="UYS1098"/>
      <c r="UYT1098"/>
      <c r="UYW1098"/>
      <c r="UYX1098"/>
      <c r="UZA1098"/>
      <c r="UZB1098"/>
      <c r="UZE1098"/>
      <c r="UZF1098"/>
      <c r="UZI1098"/>
      <c r="UZJ1098"/>
      <c r="UZM1098"/>
      <c r="UZN1098"/>
      <c r="UZQ1098"/>
      <c r="UZR1098"/>
      <c r="UZU1098"/>
      <c r="UZV1098"/>
      <c r="UZY1098"/>
      <c r="UZZ1098"/>
      <c r="VAC1098"/>
      <c r="VAD1098"/>
      <c r="VAG1098"/>
      <c r="VAH1098"/>
      <c r="VAK1098"/>
      <c r="VAL1098"/>
      <c r="VAO1098"/>
      <c r="VAP1098"/>
      <c r="VAS1098"/>
      <c r="VAT1098"/>
      <c r="VAW1098"/>
      <c r="VAX1098"/>
      <c r="VBA1098"/>
      <c r="VBB1098"/>
      <c r="VBE1098"/>
      <c r="VBF1098"/>
      <c r="VBI1098"/>
      <c r="VBJ1098"/>
      <c r="VBM1098"/>
      <c r="VBN1098"/>
      <c r="VBQ1098"/>
      <c r="VBR1098"/>
      <c r="VBU1098"/>
      <c r="VBV1098"/>
      <c r="VBY1098"/>
      <c r="VBZ1098"/>
      <c r="VCC1098"/>
      <c r="VCD1098"/>
      <c r="VCG1098"/>
      <c r="VCH1098"/>
      <c r="VCK1098"/>
      <c r="VCL1098"/>
      <c r="VCO1098"/>
      <c r="VCP1098"/>
      <c r="VCS1098"/>
      <c r="VCT1098"/>
      <c r="VCW1098"/>
      <c r="VCX1098"/>
      <c r="VDA1098"/>
      <c r="VDB1098"/>
      <c r="VDE1098"/>
      <c r="VDF1098"/>
      <c r="VDI1098"/>
      <c r="VDJ1098"/>
      <c r="VDM1098"/>
      <c r="VDN1098"/>
      <c r="VDQ1098"/>
      <c r="VDR1098"/>
      <c r="VDU1098"/>
      <c r="VDV1098"/>
      <c r="VDY1098"/>
      <c r="VDZ1098"/>
      <c r="VEC1098"/>
      <c r="VED1098"/>
      <c r="VEG1098"/>
      <c r="VEH1098"/>
      <c r="VEK1098"/>
      <c r="VEL1098"/>
      <c r="VEO1098"/>
      <c r="VEP1098"/>
      <c r="VES1098"/>
      <c r="VET1098"/>
      <c r="VEW1098"/>
      <c r="VEX1098"/>
      <c r="VFA1098"/>
      <c r="VFB1098"/>
      <c r="VFE1098"/>
      <c r="VFF1098"/>
      <c r="VFI1098"/>
      <c r="VFJ1098"/>
      <c r="VFM1098"/>
      <c r="VFN1098"/>
      <c r="VFQ1098"/>
      <c r="VFR1098"/>
      <c r="VFU1098"/>
      <c r="VFV1098"/>
      <c r="VFY1098"/>
      <c r="VFZ1098"/>
      <c r="VGC1098"/>
      <c r="VGD1098"/>
      <c r="VGG1098"/>
      <c r="VGH1098"/>
      <c r="VGK1098"/>
      <c r="VGL1098"/>
      <c r="VGO1098"/>
      <c r="VGP1098"/>
      <c r="VGS1098"/>
      <c r="VGT1098"/>
      <c r="VGW1098"/>
      <c r="VGX1098"/>
      <c r="VHA1098"/>
      <c r="VHB1098"/>
      <c r="VHE1098"/>
      <c r="VHF1098"/>
      <c r="VHI1098"/>
      <c r="VHJ1098"/>
      <c r="VHM1098"/>
      <c r="VHN1098"/>
      <c r="VHQ1098"/>
      <c r="VHR1098"/>
      <c r="VHU1098"/>
      <c r="VHV1098"/>
      <c r="VHY1098"/>
      <c r="VHZ1098"/>
      <c r="VIC1098"/>
      <c r="VID1098"/>
      <c r="VIG1098"/>
      <c r="VIH1098"/>
      <c r="VIK1098"/>
      <c r="VIL1098"/>
      <c r="VIO1098"/>
      <c r="VIP1098"/>
      <c r="VIS1098"/>
      <c r="VIT1098"/>
      <c r="VIW1098"/>
      <c r="VIX1098"/>
      <c r="VJA1098"/>
      <c r="VJB1098"/>
      <c r="VJE1098"/>
      <c r="VJF1098"/>
      <c r="VJI1098"/>
      <c r="VJJ1098"/>
      <c r="VJM1098"/>
      <c r="VJN1098"/>
      <c r="VJQ1098"/>
      <c r="VJR1098"/>
      <c r="VJU1098"/>
      <c r="VJV1098"/>
      <c r="VJY1098"/>
      <c r="VJZ1098"/>
      <c r="VKC1098"/>
      <c r="VKD1098"/>
      <c r="VKG1098"/>
      <c r="VKH1098"/>
      <c r="VKK1098"/>
      <c r="VKL1098"/>
      <c r="VKO1098"/>
      <c r="VKP1098"/>
      <c r="VKS1098"/>
      <c r="VKT1098"/>
      <c r="VKW1098"/>
      <c r="VKX1098"/>
      <c r="VLA1098"/>
      <c r="VLB1098"/>
      <c r="VLE1098"/>
      <c r="VLF1098"/>
      <c r="VLI1098"/>
      <c r="VLJ1098"/>
      <c r="VLM1098"/>
      <c r="VLN1098"/>
      <c r="VLQ1098"/>
      <c r="VLR1098"/>
      <c r="VLU1098"/>
      <c r="VLV1098"/>
      <c r="VLY1098"/>
      <c r="VLZ1098"/>
      <c r="VMC1098"/>
      <c r="VMD1098"/>
      <c r="VMG1098"/>
      <c r="VMH1098"/>
      <c r="VMK1098"/>
      <c r="VML1098"/>
      <c r="VMO1098"/>
      <c r="VMP1098"/>
      <c r="VMS1098"/>
      <c r="VMT1098"/>
      <c r="VMW1098"/>
      <c r="VMX1098"/>
      <c r="VNA1098"/>
      <c r="VNB1098"/>
      <c r="VNE1098"/>
      <c r="VNF1098"/>
      <c r="VNI1098"/>
      <c r="VNJ1098"/>
      <c r="VNM1098"/>
      <c r="VNN1098"/>
      <c r="VNQ1098"/>
      <c r="VNR1098"/>
      <c r="VNU1098"/>
      <c r="VNV1098"/>
      <c r="VNY1098"/>
      <c r="VNZ1098"/>
      <c r="VOC1098"/>
      <c r="VOD1098"/>
      <c r="VOG1098"/>
      <c r="VOH1098"/>
      <c r="VOK1098"/>
      <c r="VOL1098"/>
      <c r="VOO1098"/>
      <c r="VOP1098"/>
      <c r="VOS1098"/>
      <c r="VOT1098"/>
      <c r="VOW1098"/>
      <c r="VOX1098"/>
      <c r="VPA1098"/>
      <c r="VPB1098"/>
      <c r="VPE1098"/>
      <c r="VPF1098"/>
      <c r="VPI1098"/>
      <c r="VPJ1098"/>
      <c r="VPM1098"/>
      <c r="VPN1098"/>
      <c r="VPQ1098"/>
      <c r="VPR1098"/>
      <c r="VPU1098"/>
      <c r="VPV1098"/>
      <c r="VPY1098"/>
      <c r="VPZ1098"/>
      <c r="VQC1098"/>
      <c r="VQD1098"/>
      <c r="VQG1098"/>
      <c r="VQH1098"/>
      <c r="VQK1098"/>
      <c r="VQL1098"/>
      <c r="VQO1098"/>
      <c r="VQP1098"/>
      <c r="VQS1098"/>
      <c r="VQT1098"/>
      <c r="VQW1098"/>
      <c r="VQX1098"/>
      <c r="VRA1098"/>
      <c r="VRB1098"/>
      <c r="VRE1098"/>
      <c r="VRF1098"/>
      <c r="VRI1098"/>
      <c r="VRJ1098"/>
      <c r="VRM1098"/>
      <c r="VRN1098"/>
      <c r="VRQ1098"/>
      <c r="VRR1098"/>
      <c r="VRU1098"/>
      <c r="VRV1098"/>
      <c r="VRY1098"/>
      <c r="VRZ1098"/>
      <c r="VSC1098"/>
      <c r="VSD1098"/>
      <c r="VSG1098"/>
      <c r="VSH1098"/>
      <c r="VSK1098"/>
      <c r="VSL1098"/>
      <c r="VSO1098"/>
      <c r="VSP1098"/>
      <c r="VSS1098"/>
      <c r="VST1098"/>
      <c r="VSW1098"/>
      <c r="VSX1098"/>
      <c r="VTA1098"/>
      <c r="VTB1098"/>
      <c r="VTE1098"/>
      <c r="VTF1098"/>
      <c r="VTI1098"/>
      <c r="VTJ1098"/>
      <c r="VTM1098"/>
      <c r="VTN1098"/>
      <c r="VTQ1098"/>
      <c r="VTR1098"/>
      <c r="VTU1098"/>
      <c r="VTV1098"/>
      <c r="VTY1098"/>
      <c r="VTZ1098"/>
      <c r="VUC1098"/>
      <c r="VUD1098"/>
      <c r="VUG1098"/>
      <c r="VUH1098"/>
      <c r="VUK1098"/>
      <c r="VUL1098"/>
      <c r="VUO1098"/>
      <c r="VUP1098"/>
      <c r="VUS1098"/>
      <c r="VUT1098"/>
      <c r="VUW1098"/>
      <c r="VUX1098"/>
      <c r="VVA1098"/>
      <c r="VVB1098"/>
      <c r="VVE1098"/>
      <c r="VVF1098"/>
      <c r="VVI1098"/>
      <c r="VVJ1098"/>
      <c r="VVM1098"/>
      <c r="VVN1098"/>
      <c r="VVQ1098"/>
      <c r="VVR1098"/>
      <c r="VVU1098"/>
      <c r="VVV1098"/>
      <c r="VVY1098"/>
      <c r="VVZ1098"/>
      <c r="VWC1098"/>
      <c r="VWD1098"/>
      <c r="VWG1098"/>
      <c r="VWH1098"/>
      <c r="VWK1098"/>
      <c r="VWL1098"/>
      <c r="VWO1098"/>
      <c r="VWP1098"/>
      <c r="VWS1098"/>
      <c r="VWT1098"/>
      <c r="VWW1098"/>
      <c r="VWX1098"/>
      <c r="VXA1098"/>
      <c r="VXB1098"/>
      <c r="VXE1098"/>
      <c r="VXF1098"/>
      <c r="VXI1098"/>
      <c r="VXJ1098"/>
      <c r="VXM1098"/>
      <c r="VXN1098"/>
      <c r="VXQ1098"/>
      <c r="VXR1098"/>
      <c r="VXU1098"/>
      <c r="VXV1098"/>
      <c r="VXY1098"/>
      <c r="VXZ1098"/>
      <c r="VYC1098"/>
      <c r="VYD1098"/>
      <c r="VYG1098"/>
      <c r="VYH1098"/>
      <c r="VYK1098"/>
      <c r="VYL1098"/>
      <c r="VYO1098"/>
      <c r="VYP1098"/>
      <c r="VYS1098"/>
      <c r="VYT1098"/>
      <c r="VYW1098"/>
      <c r="VYX1098"/>
      <c r="VZA1098"/>
      <c r="VZB1098"/>
      <c r="VZE1098"/>
      <c r="VZF1098"/>
      <c r="VZI1098"/>
      <c r="VZJ1098"/>
      <c r="VZM1098"/>
      <c r="VZN1098"/>
      <c r="VZQ1098"/>
      <c r="VZR1098"/>
      <c r="VZU1098"/>
      <c r="VZV1098"/>
      <c r="VZY1098"/>
      <c r="VZZ1098"/>
      <c r="WAC1098"/>
      <c r="WAD1098"/>
      <c r="WAG1098"/>
      <c r="WAH1098"/>
      <c r="WAK1098"/>
      <c r="WAL1098"/>
      <c r="WAO1098"/>
      <c r="WAP1098"/>
      <c r="WAS1098"/>
      <c r="WAT1098"/>
      <c r="WAW1098"/>
      <c r="WAX1098"/>
      <c r="WBA1098"/>
      <c r="WBB1098"/>
      <c r="WBE1098"/>
      <c r="WBF1098"/>
      <c r="WBI1098"/>
      <c r="WBJ1098"/>
      <c r="WBM1098"/>
      <c r="WBN1098"/>
      <c r="WBQ1098"/>
      <c r="WBR1098"/>
      <c r="WBU1098"/>
      <c r="WBV1098"/>
      <c r="WBY1098"/>
      <c r="WBZ1098"/>
      <c r="WCC1098"/>
      <c r="WCD1098"/>
      <c r="WCG1098"/>
      <c r="WCH1098"/>
      <c r="WCK1098"/>
      <c r="WCL1098"/>
      <c r="WCO1098"/>
      <c r="WCP1098"/>
      <c r="WCS1098"/>
      <c r="WCT1098"/>
      <c r="WCW1098"/>
      <c r="WCX1098"/>
      <c r="WDA1098"/>
      <c r="WDB1098"/>
      <c r="WDE1098"/>
      <c r="WDF1098"/>
      <c r="WDI1098"/>
      <c r="WDJ1098"/>
      <c r="WDM1098"/>
      <c r="WDN1098"/>
      <c r="WDQ1098"/>
      <c r="WDR1098"/>
      <c r="WDU1098"/>
      <c r="WDV1098"/>
      <c r="WDY1098"/>
      <c r="WDZ1098"/>
      <c r="WEC1098"/>
      <c r="WED1098"/>
      <c r="WEG1098"/>
      <c r="WEH1098"/>
      <c r="WEK1098"/>
      <c r="WEL1098"/>
      <c r="WEO1098"/>
      <c r="WEP1098"/>
      <c r="WES1098"/>
      <c r="WET1098"/>
      <c r="WEW1098"/>
      <c r="WEX1098"/>
      <c r="WFA1098"/>
      <c r="WFB1098"/>
      <c r="WFE1098"/>
      <c r="WFF1098"/>
      <c r="WFI1098"/>
      <c r="WFJ1098"/>
      <c r="WFM1098"/>
      <c r="WFN1098"/>
      <c r="WFQ1098"/>
      <c r="WFR1098"/>
      <c r="WFU1098"/>
      <c r="WFV1098"/>
      <c r="WFY1098"/>
      <c r="WFZ1098"/>
      <c r="WGC1098"/>
      <c r="WGD1098"/>
      <c r="WGG1098"/>
      <c r="WGH1098"/>
      <c r="WGK1098"/>
      <c r="WGL1098"/>
      <c r="WGO1098"/>
      <c r="WGP1098"/>
      <c r="WGS1098"/>
      <c r="WGT1098"/>
      <c r="WGW1098"/>
      <c r="WGX1098"/>
      <c r="WHA1098"/>
      <c r="WHB1098"/>
      <c r="WHE1098"/>
      <c r="WHF1098"/>
      <c r="WHI1098"/>
      <c r="WHJ1098"/>
      <c r="WHM1098"/>
      <c r="WHN1098"/>
      <c r="WHQ1098"/>
      <c r="WHR1098"/>
      <c r="WHU1098"/>
      <c r="WHV1098"/>
      <c r="WHY1098"/>
      <c r="WHZ1098"/>
      <c r="WIC1098"/>
      <c r="WID1098"/>
      <c r="WIG1098"/>
      <c r="WIH1098"/>
      <c r="WIK1098"/>
      <c r="WIL1098"/>
      <c r="WIO1098"/>
      <c r="WIP1098"/>
      <c r="WIS1098"/>
      <c r="WIT1098"/>
      <c r="WIW1098"/>
      <c r="WIX1098"/>
      <c r="WJA1098"/>
      <c r="WJB1098"/>
      <c r="WJE1098"/>
      <c r="WJF1098"/>
      <c r="WJI1098"/>
      <c r="WJJ1098"/>
      <c r="WJM1098"/>
      <c r="WJN1098"/>
      <c r="WJQ1098"/>
      <c r="WJR1098"/>
      <c r="WJU1098"/>
      <c r="WJV1098"/>
      <c r="WJY1098"/>
      <c r="WJZ1098"/>
      <c r="WKC1098"/>
      <c r="WKD1098"/>
      <c r="WKG1098"/>
      <c r="WKH1098"/>
      <c r="WKK1098"/>
      <c r="WKL1098"/>
      <c r="WKO1098"/>
      <c r="WKP1098"/>
      <c r="WKS1098"/>
      <c r="WKT1098"/>
      <c r="WKW1098"/>
      <c r="WKX1098"/>
      <c r="WLA1098"/>
      <c r="WLB1098"/>
      <c r="WLE1098"/>
      <c r="WLF1098"/>
      <c r="WLI1098"/>
      <c r="WLJ1098"/>
      <c r="WLM1098"/>
      <c r="WLN1098"/>
      <c r="WLQ1098"/>
      <c r="WLR1098"/>
      <c r="WLU1098"/>
      <c r="WLV1098"/>
      <c r="WLY1098"/>
      <c r="WLZ1098"/>
      <c r="WMC1098"/>
      <c r="WMD1098"/>
      <c r="WMG1098"/>
      <c r="WMH1098"/>
      <c r="WMK1098"/>
      <c r="WML1098"/>
      <c r="WMO1098"/>
      <c r="WMP1098"/>
      <c r="WMS1098"/>
      <c r="WMT1098"/>
      <c r="WMW1098"/>
      <c r="WMX1098"/>
      <c r="WNA1098"/>
      <c r="WNB1098"/>
      <c r="WNE1098"/>
      <c r="WNF1098"/>
      <c r="WNI1098"/>
      <c r="WNJ1098"/>
      <c r="WNM1098"/>
      <c r="WNN1098"/>
      <c r="WNQ1098"/>
      <c r="WNR1098"/>
      <c r="WNU1098"/>
      <c r="WNV1098"/>
      <c r="WNY1098"/>
      <c r="WNZ1098"/>
      <c r="WOC1098"/>
      <c r="WOD1098"/>
      <c r="WOG1098"/>
      <c r="WOH1098"/>
      <c r="WOK1098"/>
      <c r="WOL1098"/>
      <c r="WOO1098"/>
      <c r="WOP1098"/>
      <c r="WOS1098"/>
      <c r="WOT1098"/>
      <c r="WOW1098"/>
      <c r="WOX1098"/>
      <c r="WPA1098"/>
      <c r="WPB1098"/>
      <c r="WPE1098"/>
      <c r="WPF1098"/>
      <c r="WPI1098"/>
      <c r="WPJ1098"/>
      <c r="WPM1098"/>
      <c r="WPN1098"/>
      <c r="WPQ1098"/>
      <c r="WPR1098"/>
      <c r="WPU1098"/>
      <c r="WPV1098"/>
      <c r="WPY1098"/>
      <c r="WPZ1098"/>
      <c r="WQC1098"/>
      <c r="WQD1098"/>
      <c r="WQG1098"/>
      <c r="WQH1098"/>
      <c r="WQK1098"/>
      <c r="WQL1098"/>
      <c r="WQO1098"/>
      <c r="WQP1098"/>
      <c r="WQS1098"/>
      <c r="WQT1098"/>
      <c r="WQW1098"/>
      <c r="WQX1098"/>
      <c r="WRA1098"/>
      <c r="WRB1098"/>
      <c r="WRE1098"/>
      <c r="WRF1098"/>
      <c r="WRI1098"/>
      <c r="WRJ1098"/>
      <c r="WRM1098"/>
      <c r="WRN1098"/>
      <c r="WRQ1098"/>
      <c r="WRR1098"/>
      <c r="WRU1098"/>
      <c r="WRV1098"/>
      <c r="WRY1098"/>
      <c r="WRZ1098"/>
      <c r="WSC1098"/>
      <c r="WSD1098"/>
      <c r="WSG1098"/>
      <c r="WSH1098"/>
      <c r="WSK1098"/>
      <c r="WSL1098"/>
      <c r="WSO1098"/>
      <c r="WSP1098"/>
      <c r="WSS1098"/>
      <c r="WST1098"/>
      <c r="WSW1098"/>
      <c r="WSX1098"/>
      <c r="WTA1098"/>
      <c r="WTB1098"/>
      <c r="WTE1098"/>
      <c r="WTF1098"/>
      <c r="WTI1098"/>
      <c r="WTJ1098"/>
      <c r="WTM1098"/>
      <c r="WTN1098"/>
      <c r="WTQ1098"/>
      <c r="WTR1098"/>
      <c r="WTU1098"/>
      <c r="WTV1098"/>
      <c r="WTY1098"/>
      <c r="WTZ1098"/>
      <c r="WUC1098"/>
      <c r="WUD1098"/>
      <c r="WUG1098"/>
      <c r="WUH1098"/>
      <c r="WUK1098"/>
      <c r="WUL1098"/>
      <c r="WUO1098"/>
      <c r="WUP1098"/>
      <c r="WUS1098"/>
      <c r="WUT1098"/>
      <c r="WUW1098"/>
      <c r="WUX1098"/>
      <c r="WVA1098"/>
      <c r="WVB1098"/>
      <c r="WVE1098"/>
      <c r="WVF1098"/>
      <c r="WVI1098"/>
      <c r="WVJ1098"/>
      <c r="WVM1098"/>
      <c r="WVN1098"/>
      <c r="WVQ1098"/>
      <c r="WVR1098"/>
      <c r="WVU1098"/>
      <c r="WVV1098"/>
      <c r="WVY1098"/>
      <c r="WVZ1098"/>
      <c r="WWC1098"/>
      <c r="WWD1098"/>
      <c r="WWG1098"/>
      <c r="WWH1098"/>
      <c r="WWK1098"/>
      <c r="WWL1098"/>
      <c r="WWO1098"/>
      <c r="WWP1098"/>
      <c r="WWS1098"/>
      <c r="WWT1098"/>
      <c r="WWW1098"/>
      <c r="WWX1098"/>
      <c r="WXA1098"/>
      <c r="WXB1098"/>
      <c r="WXE1098"/>
      <c r="WXF1098"/>
      <c r="WXI1098"/>
      <c r="WXJ1098"/>
      <c r="WXM1098"/>
      <c r="WXN1098"/>
      <c r="WXQ1098"/>
      <c r="WXR1098"/>
      <c r="WXU1098"/>
      <c r="WXV1098"/>
      <c r="WXY1098"/>
      <c r="WXZ1098"/>
      <c r="WYC1098"/>
      <c r="WYD1098"/>
      <c r="WYG1098"/>
      <c r="WYH1098"/>
      <c r="WYK1098"/>
      <c r="WYL1098"/>
      <c r="WYO1098"/>
      <c r="WYP1098"/>
      <c r="WYS1098"/>
      <c r="WYT1098"/>
      <c r="WYW1098"/>
      <c r="WYX1098"/>
      <c r="WZA1098"/>
      <c r="WZB1098"/>
      <c r="WZE1098"/>
      <c r="WZF1098"/>
      <c r="WZI1098"/>
      <c r="WZJ1098"/>
      <c r="WZM1098"/>
      <c r="WZN1098"/>
      <c r="WZQ1098"/>
      <c r="WZR1098"/>
      <c r="WZU1098"/>
      <c r="WZV1098"/>
      <c r="WZY1098"/>
      <c r="WZZ1098"/>
      <c r="XAC1098"/>
      <c r="XAD1098"/>
      <c r="XAG1098"/>
      <c r="XAH1098"/>
      <c r="XAK1098"/>
      <c r="XAL1098"/>
      <c r="XAO1098"/>
      <c r="XAP1098"/>
      <c r="XAS1098"/>
      <c r="XAT1098"/>
      <c r="XAW1098"/>
      <c r="XAX1098"/>
      <c r="XBA1098"/>
      <c r="XBB1098"/>
      <c r="XBE1098"/>
      <c r="XBF1098"/>
      <c r="XBI1098"/>
      <c r="XBJ1098"/>
      <c r="XBM1098"/>
      <c r="XBN1098"/>
      <c r="XBQ1098"/>
      <c r="XBR1098"/>
      <c r="XBU1098"/>
      <c r="XBV1098"/>
      <c r="XBY1098"/>
      <c r="XBZ1098"/>
      <c r="XCC1098"/>
      <c r="XCD1098"/>
      <c r="XCG1098"/>
      <c r="XCH1098"/>
      <c r="XCK1098"/>
      <c r="XCL1098"/>
      <c r="XCO1098"/>
      <c r="XCP1098"/>
      <c r="XCS1098"/>
      <c r="XCT1098"/>
      <c r="XCW1098"/>
      <c r="XCX1098"/>
      <c r="XDA1098"/>
      <c r="XDB1098"/>
      <c r="XDE1098"/>
      <c r="XDF1098"/>
      <c r="XDI1098"/>
      <c r="XDJ1098"/>
      <c r="XDM1098"/>
      <c r="XDN1098"/>
      <c r="XDQ1098"/>
      <c r="XDR1098"/>
      <c r="XDU1098"/>
      <c r="XDV1098"/>
      <c r="XDY1098"/>
      <c r="XDZ1098"/>
      <c r="XEC1098"/>
      <c r="XED1098"/>
      <c r="XEG1098"/>
      <c r="XEH1098"/>
      <c r="XEK1098"/>
      <c r="XEL1098"/>
      <c r="XEO1098"/>
      <c r="XEP1098"/>
      <c r="XES1098"/>
      <c r="XET1098"/>
      <c r="XEW1098"/>
      <c r="XEX1098"/>
      <c r="XFA1098"/>
      <c r="XFB1098"/>
    </row>
    <row r="1099" spans="1:1022 1025:2046 2049:3070 3073:4094 4097:5118 5121:6142 6145:7166 7169:8190 8193:9214 9217:10238 10241:11262 11265:12286 12289:13310 13313:14334 14337:15358 15361:16382" s="15" customFormat="1" outlineLevel="1" x14ac:dyDescent="0.3">
      <c r="A1099" t="s">
        <v>1825</v>
      </c>
      <c r="B1099" t="s">
        <v>266</v>
      </c>
      <c r="C1099" s="15" t="s">
        <v>10</v>
      </c>
      <c r="D1099" s="15" t="s">
        <v>1826</v>
      </c>
      <c r="E1099" t="s">
        <v>8481</v>
      </c>
      <c r="F1099"/>
      <c r="I1099"/>
      <c r="J1099"/>
      <c r="M1099"/>
      <c r="N1099"/>
      <c r="Q1099"/>
      <c r="R1099"/>
      <c r="U1099"/>
      <c r="V1099"/>
      <c r="Y1099"/>
      <c r="Z1099"/>
      <c r="AC1099"/>
      <c r="AD1099"/>
      <c r="AG1099"/>
      <c r="AH1099"/>
      <c r="AK1099"/>
      <c r="AL1099"/>
      <c r="AO1099"/>
      <c r="AP1099"/>
      <c r="AS1099"/>
      <c r="AT1099"/>
      <c r="AW1099"/>
      <c r="AX1099"/>
      <c r="BA1099"/>
      <c r="BB1099"/>
      <c r="BE1099"/>
      <c r="BF1099"/>
      <c r="BI1099"/>
      <c r="BJ1099"/>
      <c r="BM1099"/>
      <c r="BN1099"/>
      <c r="BQ1099"/>
      <c r="BR1099"/>
      <c r="BU1099"/>
      <c r="BV1099"/>
      <c r="BY1099"/>
      <c r="BZ1099"/>
      <c r="CC1099"/>
      <c r="CD1099"/>
      <c r="CG1099"/>
      <c r="CH1099"/>
      <c r="CK1099"/>
      <c r="CL1099"/>
      <c r="CO1099"/>
      <c r="CP1099"/>
      <c r="CS1099"/>
      <c r="CT1099"/>
      <c r="CW1099"/>
      <c r="CX1099"/>
      <c r="DA1099"/>
      <c r="DB1099"/>
      <c r="DE1099"/>
      <c r="DF1099"/>
      <c r="DI1099"/>
      <c r="DJ1099"/>
      <c r="DM1099"/>
      <c r="DN1099"/>
      <c r="DQ1099"/>
      <c r="DR1099"/>
      <c r="DU1099"/>
      <c r="DV1099"/>
      <c r="DY1099"/>
      <c r="DZ1099"/>
      <c r="EC1099"/>
      <c r="ED1099"/>
      <c r="EG1099"/>
      <c r="EH1099"/>
      <c r="EK1099"/>
      <c r="EL1099"/>
      <c r="EO1099"/>
      <c r="EP1099"/>
      <c r="ES1099"/>
      <c r="ET1099"/>
      <c r="EW1099"/>
      <c r="EX1099"/>
      <c r="FA1099"/>
      <c r="FB1099"/>
      <c r="FE1099"/>
      <c r="FF1099"/>
      <c r="FI1099"/>
      <c r="FJ1099"/>
      <c r="FM1099"/>
      <c r="FN1099"/>
      <c r="FQ1099"/>
      <c r="FR1099"/>
      <c r="FU1099"/>
      <c r="FV1099"/>
      <c r="FY1099"/>
      <c r="FZ1099"/>
      <c r="GC1099"/>
      <c r="GD1099"/>
      <c r="GG1099"/>
      <c r="GH1099"/>
      <c r="GK1099"/>
      <c r="GL1099"/>
      <c r="GO1099"/>
      <c r="GP1099"/>
      <c r="GS1099"/>
      <c r="GT1099"/>
      <c r="GW1099"/>
      <c r="GX1099"/>
      <c r="HA1099"/>
      <c r="HB1099"/>
      <c r="HE1099"/>
      <c r="HF1099"/>
      <c r="HI1099"/>
      <c r="HJ1099"/>
      <c r="HM1099"/>
      <c r="HN1099"/>
      <c r="HQ1099"/>
      <c r="HR1099"/>
      <c r="HU1099"/>
      <c r="HV1099"/>
      <c r="HY1099"/>
      <c r="HZ1099"/>
      <c r="IC1099"/>
      <c r="ID1099"/>
      <c r="IG1099"/>
      <c r="IH1099"/>
      <c r="IK1099"/>
      <c r="IL1099"/>
      <c r="IO1099"/>
      <c r="IP1099"/>
      <c r="IS1099"/>
      <c r="IT1099"/>
      <c r="IW1099"/>
      <c r="IX1099"/>
      <c r="JA1099"/>
      <c r="JB1099"/>
      <c r="JE1099"/>
      <c r="JF1099"/>
      <c r="JI1099"/>
      <c r="JJ1099"/>
      <c r="JM1099"/>
      <c r="JN1099"/>
      <c r="JQ1099"/>
      <c r="JR1099"/>
      <c r="JU1099"/>
      <c r="JV1099"/>
      <c r="JY1099"/>
      <c r="JZ1099"/>
      <c r="KC1099"/>
      <c r="KD1099"/>
      <c r="KG1099"/>
      <c r="KH1099"/>
      <c r="KK1099"/>
      <c r="KL1099"/>
      <c r="KO1099"/>
      <c r="KP1099"/>
      <c r="KS1099"/>
      <c r="KT1099"/>
      <c r="KW1099"/>
      <c r="KX1099"/>
      <c r="LA1099"/>
      <c r="LB1099"/>
      <c r="LE1099"/>
      <c r="LF1099"/>
      <c r="LI1099"/>
      <c r="LJ1099"/>
      <c r="LM1099"/>
      <c r="LN1099"/>
      <c r="LQ1099"/>
      <c r="LR1099"/>
      <c r="LU1099"/>
      <c r="LV1099"/>
      <c r="LY1099"/>
      <c r="LZ1099"/>
      <c r="MC1099"/>
      <c r="MD1099"/>
      <c r="MG1099"/>
      <c r="MH1099"/>
      <c r="MK1099"/>
      <c r="ML1099"/>
      <c r="MO1099"/>
      <c r="MP1099"/>
      <c r="MS1099"/>
      <c r="MT1099"/>
      <c r="MW1099"/>
      <c r="MX1099"/>
      <c r="NA1099"/>
      <c r="NB1099"/>
      <c r="NE1099"/>
      <c r="NF1099"/>
      <c r="NI1099"/>
      <c r="NJ1099"/>
      <c r="NM1099"/>
      <c r="NN1099"/>
      <c r="NQ1099"/>
      <c r="NR1099"/>
      <c r="NU1099"/>
      <c r="NV1099"/>
      <c r="NY1099"/>
      <c r="NZ1099"/>
      <c r="OC1099"/>
      <c r="OD1099"/>
      <c r="OG1099"/>
      <c r="OH1099"/>
      <c r="OK1099"/>
      <c r="OL1099"/>
      <c r="OO1099"/>
      <c r="OP1099"/>
      <c r="OS1099"/>
      <c r="OT1099"/>
      <c r="OW1099"/>
      <c r="OX1099"/>
      <c r="PA1099"/>
      <c r="PB1099"/>
      <c r="PE1099"/>
      <c r="PF1099"/>
      <c r="PI1099"/>
      <c r="PJ1099"/>
      <c r="PM1099"/>
      <c r="PN1099"/>
      <c r="PQ1099"/>
      <c r="PR1099"/>
      <c r="PU1099"/>
      <c r="PV1099"/>
      <c r="PY1099"/>
      <c r="PZ1099"/>
      <c r="QC1099"/>
      <c r="QD1099"/>
      <c r="QG1099"/>
      <c r="QH1099"/>
      <c r="QK1099"/>
      <c r="QL1099"/>
      <c r="QO1099"/>
      <c r="QP1099"/>
      <c r="QS1099"/>
      <c r="QT1099"/>
      <c r="QW1099"/>
      <c r="QX1099"/>
      <c r="RA1099"/>
      <c r="RB1099"/>
      <c r="RE1099"/>
      <c r="RF1099"/>
      <c r="RI1099"/>
      <c r="RJ1099"/>
      <c r="RM1099"/>
      <c r="RN1099"/>
      <c r="RQ1099"/>
      <c r="RR1099"/>
      <c r="RU1099"/>
      <c r="RV1099"/>
      <c r="RY1099"/>
      <c r="RZ1099"/>
      <c r="SC1099"/>
      <c r="SD1099"/>
      <c r="SG1099"/>
      <c r="SH1099"/>
      <c r="SK1099"/>
      <c r="SL1099"/>
      <c r="SO1099"/>
      <c r="SP1099"/>
      <c r="SS1099"/>
      <c r="ST1099"/>
      <c r="SW1099"/>
      <c r="SX1099"/>
      <c r="TA1099"/>
      <c r="TB1099"/>
      <c r="TE1099"/>
      <c r="TF1099"/>
      <c r="TI1099"/>
      <c r="TJ1099"/>
      <c r="TM1099"/>
      <c r="TN1099"/>
      <c r="TQ1099"/>
      <c r="TR1099"/>
      <c r="TU1099"/>
      <c r="TV1099"/>
      <c r="TY1099"/>
      <c r="TZ1099"/>
      <c r="UC1099"/>
      <c r="UD1099"/>
      <c r="UG1099"/>
      <c r="UH1099"/>
      <c r="UK1099"/>
      <c r="UL1099"/>
      <c r="UO1099"/>
      <c r="UP1099"/>
      <c r="US1099"/>
      <c r="UT1099"/>
      <c r="UW1099"/>
      <c r="UX1099"/>
      <c r="VA1099"/>
      <c r="VB1099"/>
      <c r="VE1099"/>
      <c r="VF1099"/>
      <c r="VI1099"/>
      <c r="VJ1099"/>
      <c r="VM1099"/>
      <c r="VN1099"/>
      <c r="VQ1099"/>
      <c r="VR1099"/>
      <c r="VU1099"/>
      <c r="VV1099"/>
      <c r="VY1099"/>
      <c r="VZ1099"/>
      <c r="WC1099"/>
      <c r="WD1099"/>
      <c r="WG1099"/>
      <c r="WH1099"/>
      <c r="WK1099"/>
      <c r="WL1099"/>
      <c r="WO1099"/>
      <c r="WP1099"/>
      <c r="WS1099"/>
      <c r="WT1099"/>
      <c r="WW1099"/>
      <c r="WX1099"/>
      <c r="XA1099"/>
      <c r="XB1099"/>
      <c r="XE1099"/>
      <c r="XF1099"/>
      <c r="XI1099"/>
      <c r="XJ1099"/>
      <c r="XM1099"/>
      <c r="XN1099"/>
      <c r="XQ1099"/>
      <c r="XR1099"/>
      <c r="XU1099"/>
      <c r="XV1099"/>
      <c r="XY1099"/>
      <c r="XZ1099"/>
      <c r="YC1099"/>
      <c r="YD1099"/>
      <c r="YG1099"/>
      <c r="YH1099"/>
      <c r="YK1099"/>
      <c r="YL1099"/>
      <c r="YO1099"/>
      <c r="YP1099"/>
      <c r="YS1099"/>
      <c r="YT1099"/>
      <c r="YW1099"/>
      <c r="YX1099"/>
      <c r="ZA1099"/>
      <c r="ZB1099"/>
      <c r="ZE1099"/>
      <c r="ZF1099"/>
      <c r="ZI1099"/>
      <c r="ZJ1099"/>
      <c r="ZM1099"/>
      <c r="ZN1099"/>
      <c r="ZQ1099"/>
      <c r="ZR1099"/>
      <c r="ZU1099"/>
      <c r="ZV1099"/>
      <c r="ZY1099"/>
      <c r="ZZ1099"/>
      <c r="AAC1099"/>
      <c r="AAD1099"/>
      <c r="AAG1099"/>
      <c r="AAH1099"/>
      <c r="AAK1099"/>
      <c r="AAL1099"/>
      <c r="AAO1099"/>
      <c r="AAP1099"/>
      <c r="AAS1099"/>
      <c r="AAT1099"/>
      <c r="AAW1099"/>
      <c r="AAX1099"/>
      <c r="ABA1099"/>
      <c r="ABB1099"/>
      <c r="ABE1099"/>
      <c r="ABF1099"/>
      <c r="ABI1099"/>
      <c r="ABJ1099"/>
      <c r="ABM1099"/>
      <c r="ABN1099"/>
      <c r="ABQ1099"/>
      <c r="ABR1099"/>
      <c r="ABU1099"/>
      <c r="ABV1099"/>
      <c r="ABY1099"/>
      <c r="ABZ1099"/>
      <c r="ACC1099"/>
      <c r="ACD1099"/>
      <c r="ACG1099"/>
      <c r="ACH1099"/>
      <c r="ACK1099"/>
      <c r="ACL1099"/>
      <c r="ACO1099"/>
      <c r="ACP1099"/>
      <c r="ACS1099"/>
      <c r="ACT1099"/>
      <c r="ACW1099"/>
      <c r="ACX1099"/>
      <c r="ADA1099"/>
      <c r="ADB1099"/>
      <c r="ADE1099"/>
      <c r="ADF1099"/>
      <c r="ADI1099"/>
      <c r="ADJ1099"/>
      <c r="ADM1099"/>
      <c r="ADN1099"/>
      <c r="ADQ1099"/>
      <c r="ADR1099"/>
      <c r="ADU1099"/>
      <c r="ADV1099"/>
      <c r="ADY1099"/>
      <c r="ADZ1099"/>
      <c r="AEC1099"/>
      <c r="AED1099"/>
      <c r="AEG1099"/>
      <c r="AEH1099"/>
      <c r="AEK1099"/>
      <c r="AEL1099"/>
      <c r="AEO1099"/>
      <c r="AEP1099"/>
      <c r="AES1099"/>
      <c r="AET1099"/>
      <c r="AEW1099"/>
      <c r="AEX1099"/>
      <c r="AFA1099"/>
      <c r="AFB1099"/>
      <c r="AFE1099"/>
      <c r="AFF1099"/>
      <c r="AFI1099"/>
      <c r="AFJ1099"/>
      <c r="AFM1099"/>
      <c r="AFN1099"/>
      <c r="AFQ1099"/>
      <c r="AFR1099"/>
      <c r="AFU1099"/>
      <c r="AFV1099"/>
      <c r="AFY1099"/>
      <c r="AFZ1099"/>
      <c r="AGC1099"/>
      <c r="AGD1099"/>
      <c r="AGG1099"/>
      <c r="AGH1099"/>
      <c r="AGK1099"/>
      <c r="AGL1099"/>
      <c r="AGO1099"/>
      <c r="AGP1099"/>
      <c r="AGS1099"/>
      <c r="AGT1099"/>
      <c r="AGW1099"/>
      <c r="AGX1099"/>
      <c r="AHA1099"/>
      <c r="AHB1099"/>
      <c r="AHE1099"/>
      <c r="AHF1099"/>
      <c r="AHI1099"/>
      <c r="AHJ1099"/>
      <c r="AHM1099"/>
      <c r="AHN1099"/>
      <c r="AHQ1099"/>
      <c r="AHR1099"/>
      <c r="AHU1099"/>
      <c r="AHV1099"/>
      <c r="AHY1099"/>
      <c r="AHZ1099"/>
      <c r="AIC1099"/>
      <c r="AID1099"/>
      <c r="AIG1099"/>
      <c r="AIH1099"/>
      <c r="AIK1099"/>
      <c r="AIL1099"/>
      <c r="AIO1099"/>
      <c r="AIP1099"/>
      <c r="AIS1099"/>
      <c r="AIT1099"/>
      <c r="AIW1099"/>
      <c r="AIX1099"/>
      <c r="AJA1099"/>
      <c r="AJB1099"/>
      <c r="AJE1099"/>
      <c r="AJF1099"/>
      <c r="AJI1099"/>
      <c r="AJJ1099"/>
      <c r="AJM1099"/>
      <c r="AJN1099"/>
      <c r="AJQ1099"/>
      <c r="AJR1099"/>
      <c r="AJU1099"/>
      <c r="AJV1099"/>
      <c r="AJY1099"/>
      <c r="AJZ1099"/>
      <c r="AKC1099"/>
      <c r="AKD1099"/>
      <c r="AKG1099"/>
      <c r="AKH1099"/>
      <c r="AKK1099"/>
      <c r="AKL1099"/>
      <c r="AKO1099"/>
      <c r="AKP1099"/>
      <c r="AKS1099"/>
      <c r="AKT1099"/>
      <c r="AKW1099"/>
      <c r="AKX1099"/>
      <c r="ALA1099"/>
      <c r="ALB1099"/>
      <c r="ALE1099"/>
      <c r="ALF1099"/>
      <c r="ALI1099"/>
      <c r="ALJ1099"/>
      <c r="ALM1099"/>
      <c r="ALN1099"/>
      <c r="ALQ1099"/>
      <c r="ALR1099"/>
      <c r="ALU1099"/>
      <c r="ALV1099"/>
      <c r="ALY1099"/>
      <c r="ALZ1099"/>
      <c r="AMC1099"/>
      <c r="AMD1099"/>
      <c r="AMG1099"/>
      <c r="AMH1099"/>
      <c r="AMK1099"/>
      <c r="AML1099"/>
      <c r="AMO1099"/>
      <c r="AMP1099"/>
      <c r="AMS1099"/>
      <c r="AMT1099"/>
      <c r="AMW1099"/>
      <c r="AMX1099"/>
      <c r="ANA1099"/>
      <c r="ANB1099"/>
      <c r="ANE1099"/>
      <c r="ANF1099"/>
      <c r="ANI1099"/>
      <c r="ANJ1099"/>
      <c r="ANM1099"/>
      <c r="ANN1099"/>
      <c r="ANQ1099"/>
      <c r="ANR1099"/>
      <c r="ANU1099"/>
      <c r="ANV1099"/>
      <c r="ANY1099"/>
      <c r="ANZ1099"/>
      <c r="AOC1099"/>
      <c r="AOD1099"/>
      <c r="AOG1099"/>
      <c r="AOH1099"/>
      <c r="AOK1099"/>
      <c r="AOL1099"/>
      <c r="AOO1099"/>
      <c r="AOP1099"/>
      <c r="AOS1099"/>
      <c r="AOT1099"/>
      <c r="AOW1099"/>
      <c r="AOX1099"/>
      <c r="APA1099"/>
      <c r="APB1099"/>
      <c r="APE1099"/>
      <c r="APF1099"/>
      <c r="API1099"/>
      <c r="APJ1099"/>
      <c r="APM1099"/>
      <c r="APN1099"/>
      <c r="APQ1099"/>
      <c r="APR1099"/>
      <c r="APU1099"/>
      <c r="APV1099"/>
      <c r="APY1099"/>
      <c r="APZ1099"/>
      <c r="AQC1099"/>
      <c r="AQD1099"/>
      <c r="AQG1099"/>
      <c r="AQH1099"/>
      <c r="AQK1099"/>
      <c r="AQL1099"/>
      <c r="AQO1099"/>
      <c r="AQP1099"/>
      <c r="AQS1099"/>
      <c r="AQT1099"/>
      <c r="AQW1099"/>
      <c r="AQX1099"/>
      <c r="ARA1099"/>
      <c r="ARB1099"/>
      <c r="ARE1099"/>
      <c r="ARF1099"/>
      <c r="ARI1099"/>
      <c r="ARJ1099"/>
      <c r="ARM1099"/>
      <c r="ARN1099"/>
      <c r="ARQ1099"/>
      <c r="ARR1099"/>
      <c r="ARU1099"/>
      <c r="ARV1099"/>
      <c r="ARY1099"/>
      <c r="ARZ1099"/>
      <c r="ASC1099"/>
      <c r="ASD1099"/>
      <c r="ASG1099"/>
      <c r="ASH1099"/>
      <c r="ASK1099"/>
      <c r="ASL1099"/>
      <c r="ASO1099"/>
      <c r="ASP1099"/>
      <c r="ASS1099"/>
      <c r="AST1099"/>
      <c r="ASW1099"/>
      <c r="ASX1099"/>
      <c r="ATA1099"/>
      <c r="ATB1099"/>
      <c r="ATE1099"/>
      <c r="ATF1099"/>
      <c r="ATI1099"/>
      <c r="ATJ1099"/>
      <c r="ATM1099"/>
      <c r="ATN1099"/>
      <c r="ATQ1099"/>
      <c r="ATR1099"/>
      <c r="ATU1099"/>
      <c r="ATV1099"/>
      <c r="ATY1099"/>
      <c r="ATZ1099"/>
      <c r="AUC1099"/>
      <c r="AUD1099"/>
      <c r="AUG1099"/>
      <c r="AUH1099"/>
      <c r="AUK1099"/>
      <c r="AUL1099"/>
      <c r="AUO1099"/>
      <c r="AUP1099"/>
      <c r="AUS1099"/>
      <c r="AUT1099"/>
      <c r="AUW1099"/>
      <c r="AUX1099"/>
      <c r="AVA1099"/>
      <c r="AVB1099"/>
      <c r="AVE1099"/>
      <c r="AVF1099"/>
      <c r="AVI1099"/>
      <c r="AVJ1099"/>
      <c r="AVM1099"/>
      <c r="AVN1099"/>
      <c r="AVQ1099"/>
      <c r="AVR1099"/>
      <c r="AVU1099"/>
      <c r="AVV1099"/>
      <c r="AVY1099"/>
      <c r="AVZ1099"/>
      <c r="AWC1099"/>
      <c r="AWD1099"/>
      <c r="AWG1099"/>
      <c r="AWH1099"/>
      <c r="AWK1099"/>
      <c r="AWL1099"/>
      <c r="AWO1099"/>
      <c r="AWP1099"/>
      <c r="AWS1099"/>
      <c r="AWT1099"/>
      <c r="AWW1099"/>
      <c r="AWX1099"/>
      <c r="AXA1099"/>
      <c r="AXB1099"/>
      <c r="AXE1099"/>
      <c r="AXF1099"/>
      <c r="AXI1099"/>
      <c r="AXJ1099"/>
      <c r="AXM1099"/>
      <c r="AXN1099"/>
      <c r="AXQ1099"/>
      <c r="AXR1099"/>
      <c r="AXU1099"/>
      <c r="AXV1099"/>
      <c r="AXY1099"/>
      <c r="AXZ1099"/>
      <c r="AYC1099"/>
      <c r="AYD1099"/>
      <c r="AYG1099"/>
      <c r="AYH1099"/>
      <c r="AYK1099"/>
      <c r="AYL1099"/>
      <c r="AYO1099"/>
      <c r="AYP1099"/>
      <c r="AYS1099"/>
      <c r="AYT1099"/>
      <c r="AYW1099"/>
      <c r="AYX1099"/>
      <c r="AZA1099"/>
      <c r="AZB1099"/>
      <c r="AZE1099"/>
      <c r="AZF1099"/>
      <c r="AZI1099"/>
      <c r="AZJ1099"/>
      <c r="AZM1099"/>
      <c r="AZN1099"/>
      <c r="AZQ1099"/>
      <c r="AZR1099"/>
      <c r="AZU1099"/>
      <c r="AZV1099"/>
      <c r="AZY1099"/>
      <c r="AZZ1099"/>
      <c r="BAC1099"/>
      <c r="BAD1099"/>
      <c r="BAG1099"/>
      <c r="BAH1099"/>
      <c r="BAK1099"/>
      <c r="BAL1099"/>
      <c r="BAO1099"/>
      <c r="BAP1099"/>
      <c r="BAS1099"/>
      <c r="BAT1099"/>
      <c r="BAW1099"/>
      <c r="BAX1099"/>
      <c r="BBA1099"/>
      <c r="BBB1099"/>
      <c r="BBE1099"/>
      <c r="BBF1099"/>
      <c r="BBI1099"/>
      <c r="BBJ1099"/>
      <c r="BBM1099"/>
      <c r="BBN1099"/>
      <c r="BBQ1099"/>
      <c r="BBR1099"/>
      <c r="BBU1099"/>
      <c r="BBV1099"/>
      <c r="BBY1099"/>
      <c r="BBZ1099"/>
      <c r="BCC1099"/>
      <c r="BCD1099"/>
      <c r="BCG1099"/>
      <c r="BCH1099"/>
      <c r="BCK1099"/>
      <c r="BCL1099"/>
      <c r="BCO1099"/>
      <c r="BCP1099"/>
      <c r="BCS1099"/>
      <c r="BCT1099"/>
      <c r="BCW1099"/>
      <c r="BCX1099"/>
      <c r="BDA1099"/>
      <c r="BDB1099"/>
      <c r="BDE1099"/>
      <c r="BDF1099"/>
      <c r="BDI1099"/>
      <c r="BDJ1099"/>
      <c r="BDM1099"/>
      <c r="BDN1099"/>
      <c r="BDQ1099"/>
      <c r="BDR1099"/>
      <c r="BDU1099"/>
      <c r="BDV1099"/>
      <c r="BDY1099"/>
      <c r="BDZ1099"/>
      <c r="BEC1099"/>
      <c r="BED1099"/>
      <c r="BEG1099"/>
      <c r="BEH1099"/>
      <c r="BEK1099"/>
      <c r="BEL1099"/>
      <c r="BEO1099"/>
      <c r="BEP1099"/>
      <c r="BES1099"/>
      <c r="BET1099"/>
      <c r="BEW1099"/>
      <c r="BEX1099"/>
      <c r="BFA1099"/>
      <c r="BFB1099"/>
      <c r="BFE1099"/>
      <c r="BFF1099"/>
      <c r="BFI1099"/>
      <c r="BFJ1099"/>
      <c r="BFM1099"/>
      <c r="BFN1099"/>
      <c r="BFQ1099"/>
      <c r="BFR1099"/>
      <c r="BFU1099"/>
      <c r="BFV1099"/>
      <c r="BFY1099"/>
      <c r="BFZ1099"/>
      <c r="BGC1099"/>
      <c r="BGD1099"/>
      <c r="BGG1099"/>
      <c r="BGH1099"/>
      <c r="BGK1099"/>
      <c r="BGL1099"/>
      <c r="BGO1099"/>
      <c r="BGP1099"/>
      <c r="BGS1099"/>
      <c r="BGT1099"/>
      <c r="BGW1099"/>
      <c r="BGX1099"/>
      <c r="BHA1099"/>
      <c r="BHB1099"/>
      <c r="BHE1099"/>
      <c r="BHF1099"/>
      <c r="BHI1099"/>
      <c r="BHJ1099"/>
      <c r="BHM1099"/>
      <c r="BHN1099"/>
      <c r="BHQ1099"/>
      <c r="BHR1099"/>
      <c r="BHU1099"/>
      <c r="BHV1099"/>
      <c r="BHY1099"/>
      <c r="BHZ1099"/>
      <c r="BIC1099"/>
      <c r="BID1099"/>
      <c r="BIG1099"/>
      <c r="BIH1099"/>
      <c r="BIK1099"/>
      <c r="BIL1099"/>
      <c r="BIO1099"/>
      <c r="BIP1099"/>
      <c r="BIS1099"/>
      <c r="BIT1099"/>
      <c r="BIW1099"/>
      <c r="BIX1099"/>
      <c r="BJA1099"/>
      <c r="BJB1099"/>
      <c r="BJE1099"/>
      <c r="BJF1099"/>
      <c r="BJI1099"/>
      <c r="BJJ1099"/>
      <c r="BJM1099"/>
      <c r="BJN1099"/>
      <c r="BJQ1099"/>
      <c r="BJR1099"/>
      <c r="BJU1099"/>
      <c r="BJV1099"/>
      <c r="BJY1099"/>
      <c r="BJZ1099"/>
      <c r="BKC1099"/>
      <c r="BKD1099"/>
      <c r="BKG1099"/>
      <c r="BKH1099"/>
      <c r="BKK1099"/>
      <c r="BKL1099"/>
      <c r="BKO1099"/>
      <c r="BKP1099"/>
      <c r="BKS1099"/>
      <c r="BKT1099"/>
      <c r="BKW1099"/>
      <c r="BKX1099"/>
      <c r="BLA1099"/>
      <c r="BLB1099"/>
      <c r="BLE1099"/>
      <c r="BLF1099"/>
      <c r="BLI1099"/>
      <c r="BLJ1099"/>
      <c r="BLM1099"/>
      <c r="BLN1099"/>
      <c r="BLQ1099"/>
      <c r="BLR1099"/>
      <c r="BLU1099"/>
      <c r="BLV1099"/>
      <c r="BLY1099"/>
      <c r="BLZ1099"/>
      <c r="BMC1099"/>
      <c r="BMD1099"/>
      <c r="BMG1099"/>
      <c r="BMH1099"/>
      <c r="BMK1099"/>
      <c r="BML1099"/>
      <c r="BMO1099"/>
      <c r="BMP1099"/>
      <c r="BMS1099"/>
      <c r="BMT1099"/>
      <c r="BMW1099"/>
      <c r="BMX1099"/>
      <c r="BNA1099"/>
      <c r="BNB1099"/>
      <c r="BNE1099"/>
      <c r="BNF1099"/>
      <c r="BNI1099"/>
      <c r="BNJ1099"/>
      <c r="BNM1099"/>
      <c r="BNN1099"/>
      <c r="BNQ1099"/>
      <c r="BNR1099"/>
      <c r="BNU1099"/>
      <c r="BNV1099"/>
      <c r="BNY1099"/>
      <c r="BNZ1099"/>
      <c r="BOC1099"/>
      <c r="BOD1099"/>
      <c r="BOG1099"/>
      <c r="BOH1099"/>
      <c r="BOK1099"/>
      <c r="BOL1099"/>
      <c r="BOO1099"/>
      <c r="BOP1099"/>
      <c r="BOS1099"/>
      <c r="BOT1099"/>
      <c r="BOW1099"/>
      <c r="BOX1099"/>
      <c r="BPA1099"/>
      <c r="BPB1099"/>
      <c r="BPE1099"/>
      <c r="BPF1099"/>
      <c r="BPI1099"/>
      <c r="BPJ1099"/>
      <c r="BPM1099"/>
      <c r="BPN1099"/>
      <c r="BPQ1099"/>
      <c r="BPR1099"/>
      <c r="BPU1099"/>
      <c r="BPV1099"/>
      <c r="BPY1099"/>
      <c r="BPZ1099"/>
      <c r="BQC1099"/>
      <c r="BQD1099"/>
      <c r="BQG1099"/>
      <c r="BQH1099"/>
      <c r="BQK1099"/>
      <c r="BQL1099"/>
      <c r="BQO1099"/>
      <c r="BQP1099"/>
      <c r="BQS1099"/>
      <c r="BQT1099"/>
      <c r="BQW1099"/>
      <c r="BQX1099"/>
      <c r="BRA1099"/>
      <c r="BRB1099"/>
      <c r="BRE1099"/>
      <c r="BRF1099"/>
      <c r="BRI1099"/>
      <c r="BRJ1099"/>
      <c r="BRM1099"/>
      <c r="BRN1099"/>
      <c r="BRQ1099"/>
      <c r="BRR1099"/>
      <c r="BRU1099"/>
      <c r="BRV1099"/>
      <c r="BRY1099"/>
      <c r="BRZ1099"/>
      <c r="BSC1099"/>
      <c r="BSD1099"/>
      <c r="BSG1099"/>
      <c r="BSH1099"/>
      <c r="BSK1099"/>
      <c r="BSL1099"/>
      <c r="BSO1099"/>
      <c r="BSP1099"/>
      <c r="BSS1099"/>
      <c r="BST1099"/>
      <c r="BSW1099"/>
      <c r="BSX1099"/>
      <c r="BTA1099"/>
      <c r="BTB1099"/>
      <c r="BTE1099"/>
      <c r="BTF1099"/>
      <c r="BTI1099"/>
      <c r="BTJ1099"/>
      <c r="BTM1099"/>
      <c r="BTN1099"/>
      <c r="BTQ1099"/>
      <c r="BTR1099"/>
      <c r="BTU1099"/>
      <c r="BTV1099"/>
      <c r="BTY1099"/>
      <c r="BTZ1099"/>
      <c r="BUC1099"/>
      <c r="BUD1099"/>
      <c r="BUG1099"/>
      <c r="BUH1099"/>
      <c r="BUK1099"/>
      <c r="BUL1099"/>
      <c r="BUO1099"/>
      <c r="BUP1099"/>
      <c r="BUS1099"/>
      <c r="BUT1099"/>
      <c r="BUW1099"/>
      <c r="BUX1099"/>
      <c r="BVA1099"/>
      <c r="BVB1099"/>
      <c r="BVE1099"/>
      <c r="BVF1099"/>
      <c r="BVI1099"/>
      <c r="BVJ1099"/>
      <c r="BVM1099"/>
      <c r="BVN1099"/>
      <c r="BVQ1099"/>
      <c r="BVR1099"/>
      <c r="BVU1099"/>
      <c r="BVV1099"/>
      <c r="BVY1099"/>
      <c r="BVZ1099"/>
      <c r="BWC1099"/>
      <c r="BWD1099"/>
      <c r="BWG1099"/>
      <c r="BWH1099"/>
      <c r="BWK1099"/>
      <c r="BWL1099"/>
      <c r="BWO1099"/>
      <c r="BWP1099"/>
      <c r="BWS1099"/>
      <c r="BWT1099"/>
      <c r="BWW1099"/>
      <c r="BWX1099"/>
      <c r="BXA1099"/>
      <c r="BXB1099"/>
      <c r="BXE1099"/>
      <c r="BXF1099"/>
      <c r="BXI1099"/>
      <c r="BXJ1099"/>
      <c r="BXM1099"/>
      <c r="BXN1099"/>
      <c r="BXQ1099"/>
      <c r="BXR1099"/>
      <c r="BXU1099"/>
      <c r="BXV1099"/>
      <c r="BXY1099"/>
      <c r="BXZ1099"/>
      <c r="BYC1099"/>
      <c r="BYD1099"/>
      <c r="BYG1099"/>
      <c r="BYH1099"/>
      <c r="BYK1099"/>
      <c r="BYL1099"/>
      <c r="BYO1099"/>
      <c r="BYP1099"/>
      <c r="BYS1099"/>
      <c r="BYT1099"/>
      <c r="BYW1099"/>
      <c r="BYX1099"/>
      <c r="BZA1099"/>
      <c r="BZB1099"/>
      <c r="BZE1099"/>
      <c r="BZF1099"/>
      <c r="BZI1099"/>
      <c r="BZJ1099"/>
      <c r="BZM1099"/>
      <c r="BZN1099"/>
      <c r="BZQ1099"/>
      <c r="BZR1099"/>
      <c r="BZU1099"/>
      <c r="BZV1099"/>
      <c r="BZY1099"/>
      <c r="BZZ1099"/>
      <c r="CAC1099"/>
      <c r="CAD1099"/>
      <c r="CAG1099"/>
      <c r="CAH1099"/>
      <c r="CAK1099"/>
      <c r="CAL1099"/>
      <c r="CAO1099"/>
      <c r="CAP1099"/>
      <c r="CAS1099"/>
      <c r="CAT1099"/>
      <c r="CAW1099"/>
      <c r="CAX1099"/>
      <c r="CBA1099"/>
      <c r="CBB1099"/>
      <c r="CBE1099"/>
      <c r="CBF1099"/>
      <c r="CBI1099"/>
      <c r="CBJ1099"/>
      <c r="CBM1099"/>
      <c r="CBN1099"/>
      <c r="CBQ1099"/>
      <c r="CBR1099"/>
      <c r="CBU1099"/>
      <c r="CBV1099"/>
      <c r="CBY1099"/>
      <c r="CBZ1099"/>
      <c r="CCC1099"/>
      <c r="CCD1099"/>
      <c r="CCG1099"/>
      <c r="CCH1099"/>
      <c r="CCK1099"/>
      <c r="CCL1099"/>
      <c r="CCO1099"/>
      <c r="CCP1099"/>
      <c r="CCS1099"/>
      <c r="CCT1099"/>
      <c r="CCW1099"/>
      <c r="CCX1099"/>
      <c r="CDA1099"/>
      <c r="CDB1099"/>
      <c r="CDE1099"/>
      <c r="CDF1099"/>
      <c r="CDI1099"/>
      <c r="CDJ1099"/>
      <c r="CDM1099"/>
      <c r="CDN1099"/>
      <c r="CDQ1099"/>
      <c r="CDR1099"/>
      <c r="CDU1099"/>
      <c r="CDV1099"/>
      <c r="CDY1099"/>
      <c r="CDZ1099"/>
      <c r="CEC1099"/>
      <c r="CED1099"/>
      <c r="CEG1099"/>
      <c r="CEH1099"/>
      <c r="CEK1099"/>
      <c r="CEL1099"/>
      <c r="CEO1099"/>
      <c r="CEP1099"/>
      <c r="CES1099"/>
      <c r="CET1099"/>
      <c r="CEW1099"/>
      <c r="CEX1099"/>
      <c r="CFA1099"/>
      <c r="CFB1099"/>
      <c r="CFE1099"/>
      <c r="CFF1099"/>
      <c r="CFI1099"/>
      <c r="CFJ1099"/>
      <c r="CFM1099"/>
      <c r="CFN1099"/>
      <c r="CFQ1099"/>
      <c r="CFR1099"/>
      <c r="CFU1099"/>
      <c r="CFV1099"/>
      <c r="CFY1099"/>
      <c r="CFZ1099"/>
      <c r="CGC1099"/>
      <c r="CGD1099"/>
      <c r="CGG1099"/>
      <c r="CGH1099"/>
      <c r="CGK1099"/>
      <c r="CGL1099"/>
      <c r="CGO1099"/>
      <c r="CGP1099"/>
      <c r="CGS1099"/>
      <c r="CGT1099"/>
      <c r="CGW1099"/>
      <c r="CGX1099"/>
      <c r="CHA1099"/>
      <c r="CHB1099"/>
      <c r="CHE1099"/>
      <c r="CHF1099"/>
      <c r="CHI1099"/>
      <c r="CHJ1099"/>
      <c r="CHM1099"/>
      <c r="CHN1099"/>
      <c r="CHQ1099"/>
      <c r="CHR1099"/>
      <c r="CHU1099"/>
      <c r="CHV1099"/>
      <c r="CHY1099"/>
      <c r="CHZ1099"/>
      <c r="CIC1099"/>
      <c r="CID1099"/>
      <c r="CIG1099"/>
      <c r="CIH1099"/>
      <c r="CIK1099"/>
      <c r="CIL1099"/>
      <c r="CIO1099"/>
      <c r="CIP1099"/>
      <c r="CIS1099"/>
      <c r="CIT1099"/>
      <c r="CIW1099"/>
      <c r="CIX1099"/>
      <c r="CJA1099"/>
      <c r="CJB1099"/>
      <c r="CJE1099"/>
      <c r="CJF1099"/>
      <c r="CJI1099"/>
      <c r="CJJ1099"/>
      <c r="CJM1099"/>
      <c r="CJN1099"/>
      <c r="CJQ1099"/>
      <c r="CJR1099"/>
      <c r="CJU1099"/>
      <c r="CJV1099"/>
      <c r="CJY1099"/>
      <c r="CJZ1099"/>
      <c r="CKC1099"/>
      <c r="CKD1099"/>
      <c r="CKG1099"/>
      <c r="CKH1099"/>
      <c r="CKK1099"/>
      <c r="CKL1099"/>
      <c r="CKO1099"/>
      <c r="CKP1099"/>
      <c r="CKS1099"/>
      <c r="CKT1099"/>
      <c r="CKW1099"/>
      <c r="CKX1099"/>
      <c r="CLA1099"/>
      <c r="CLB1099"/>
      <c r="CLE1099"/>
      <c r="CLF1099"/>
      <c r="CLI1099"/>
      <c r="CLJ1099"/>
      <c r="CLM1099"/>
      <c r="CLN1099"/>
      <c r="CLQ1099"/>
      <c r="CLR1099"/>
      <c r="CLU1099"/>
      <c r="CLV1099"/>
      <c r="CLY1099"/>
      <c r="CLZ1099"/>
      <c r="CMC1099"/>
      <c r="CMD1099"/>
      <c r="CMG1099"/>
      <c r="CMH1099"/>
      <c r="CMK1099"/>
      <c r="CML1099"/>
      <c r="CMO1099"/>
      <c r="CMP1099"/>
      <c r="CMS1099"/>
      <c r="CMT1099"/>
      <c r="CMW1099"/>
      <c r="CMX1099"/>
      <c r="CNA1099"/>
      <c r="CNB1099"/>
      <c r="CNE1099"/>
      <c r="CNF1099"/>
      <c r="CNI1099"/>
      <c r="CNJ1099"/>
      <c r="CNM1099"/>
      <c r="CNN1099"/>
      <c r="CNQ1099"/>
      <c r="CNR1099"/>
      <c r="CNU1099"/>
      <c r="CNV1099"/>
      <c r="CNY1099"/>
      <c r="CNZ1099"/>
      <c r="COC1099"/>
      <c r="COD1099"/>
      <c r="COG1099"/>
      <c r="COH1099"/>
      <c r="COK1099"/>
      <c r="COL1099"/>
      <c r="COO1099"/>
      <c r="COP1099"/>
      <c r="COS1099"/>
      <c r="COT1099"/>
      <c r="COW1099"/>
      <c r="COX1099"/>
      <c r="CPA1099"/>
      <c r="CPB1099"/>
      <c r="CPE1099"/>
      <c r="CPF1099"/>
      <c r="CPI1099"/>
      <c r="CPJ1099"/>
      <c r="CPM1099"/>
      <c r="CPN1099"/>
      <c r="CPQ1099"/>
      <c r="CPR1099"/>
      <c r="CPU1099"/>
      <c r="CPV1099"/>
      <c r="CPY1099"/>
      <c r="CPZ1099"/>
      <c r="CQC1099"/>
      <c r="CQD1099"/>
      <c r="CQG1099"/>
      <c r="CQH1099"/>
      <c r="CQK1099"/>
      <c r="CQL1099"/>
      <c r="CQO1099"/>
      <c r="CQP1099"/>
      <c r="CQS1099"/>
      <c r="CQT1099"/>
      <c r="CQW1099"/>
      <c r="CQX1099"/>
      <c r="CRA1099"/>
      <c r="CRB1099"/>
      <c r="CRE1099"/>
      <c r="CRF1099"/>
      <c r="CRI1099"/>
      <c r="CRJ1099"/>
      <c r="CRM1099"/>
      <c r="CRN1099"/>
      <c r="CRQ1099"/>
      <c r="CRR1099"/>
      <c r="CRU1099"/>
      <c r="CRV1099"/>
      <c r="CRY1099"/>
      <c r="CRZ1099"/>
      <c r="CSC1099"/>
      <c r="CSD1099"/>
      <c r="CSG1099"/>
      <c r="CSH1099"/>
      <c r="CSK1099"/>
      <c r="CSL1099"/>
      <c r="CSO1099"/>
      <c r="CSP1099"/>
      <c r="CSS1099"/>
      <c r="CST1099"/>
      <c r="CSW1099"/>
      <c r="CSX1099"/>
      <c r="CTA1099"/>
      <c r="CTB1099"/>
      <c r="CTE1099"/>
      <c r="CTF1099"/>
      <c r="CTI1099"/>
      <c r="CTJ1099"/>
      <c r="CTM1099"/>
      <c r="CTN1099"/>
      <c r="CTQ1099"/>
      <c r="CTR1099"/>
      <c r="CTU1099"/>
      <c r="CTV1099"/>
      <c r="CTY1099"/>
      <c r="CTZ1099"/>
      <c r="CUC1099"/>
      <c r="CUD1099"/>
      <c r="CUG1099"/>
      <c r="CUH1099"/>
      <c r="CUK1099"/>
      <c r="CUL1099"/>
      <c r="CUO1099"/>
      <c r="CUP1099"/>
      <c r="CUS1099"/>
      <c r="CUT1099"/>
      <c r="CUW1099"/>
      <c r="CUX1099"/>
      <c r="CVA1099"/>
      <c r="CVB1099"/>
      <c r="CVE1099"/>
      <c r="CVF1099"/>
      <c r="CVI1099"/>
      <c r="CVJ1099"/>
      <c r="CVM1099"/>
      <c r="CVN1099"/>
      <c r="CVQ1099"/>
      <c r="CVR1099"/>
      <c r="CVU1099"/>
      <c r="CVV1099"/>
      <c r="CVY1099"/>
      <c r="CVZ1099"/>
      <c r="CWC1099"/>
      <c r="CWD1099"/>
      <c r="CWG1099"/>
      <c r="CWH1099"/>
      <c r="CWK1099"/>
      <c r="CWL1099"/>
      <c r="CWO1099"/>
      <c r="CWP1099"/>
      <c r="CWS1099"/>
      <c r="CWT1099"/>
      <c r="CWW1099"/>
      <c r="CWX1099"/>
      <c r="CXA1099"/>
      <c r="CXB1099"/>
      <c r="CXE1099"/>
      <c r="CXF1099"/>
      <c r="CXI1099"/>
      <c r="CXJ1099"/>
      <c r="CXM1099"/>
      <c r="CXN1099"/>
      <c r="CXQ1099"/>
      <c r="CXR1099"/>
      <c r="CXU1099"/>
      <c r="CXV1099"/>
      <c r="CXY1099"/>
      <c r="CXZ1099"/>
      <c r="CYC1099"/>
      <c r="CYD1099"/>
      <c r="CYG1099"/>
      <c r="CYH1099"/>
      <c r="CYK1099"/>
      <c r="CYL1099"/>
      <c r="CYO1099"/>
      <c r="CYP1099"/>
      <c r="CYS1099"/>
      <c r="CYT1099"/>
      <c r="CYW1099"/>
      <c r="CYX1099"/>
      <c r="CZA1099"/>
      <c r="CZB1099"/>
      <c r="CZE1099"/>
      <c r="CZF1099"/>
      <c r="CZI1099"/>
      <c r="CZJ1099"/>
      <c r="CZM1099"/>
      <c r="CZN1099"/>
      <c r="CZQ1099"/>
      <c r="CZR1099"/>
      <c r="CZU1099"/>
      <c r="CZV1099"/>
      <c r="CZY1099"/>
      <c r="CZZ1099"/>
      <c r="DAC1099"/>
      <c r="DAD1099"/>
      <c r="DAG1099"/>
      <c r="DAH1099"/>
      <c r="DAK1099"/>
      <c r="DAL1099"/>
      <c r="DAO1099"/>
      <c r="DAP1099"/>
      <c r="DAS1099"/>
      <c r="DAT1099"/>
      <c r="DAW1099"/>
      <c r="DAX1099"/>
      <c r="DBA1099"/>
      <c r="DBB1099"/>
      <c r="DBE1099"/>
      <c r="DBF1099"/>
      <c r="DBI1099"/>
      <c r="DBJ1099"/>
      <c r="DBM1099"/>
      <c r="DBN1099"/>
      <c r="DBQ1099"/>
      <c r="DBR1099"/>
      <c r="DBU1099"/>
      <c r="DBV1099"/>
      <c r="DBY1099"/>
      <c r="DBZ1099"/>
      <c r="DCC1099"/>
      <c r="DCD1099"/>
      <c r="DCG1099"/>
      <c r="DCH1099"/>
      <c r="DCK1099"/>
      <c r="DCL1099"/>
      <c r="DCO1099"/>
      <c r="DCP1099"/>
      <c r="DCS1099"/>
      <c r="DCT1099"/>
      <c r="DCW1099"/>
      <c r="DCX1099"/>
      <c r="DDA1099"/>
      <c r="DDB1099"/>
      <c r="DDE1099"/>
      <c r="DDF1099"/>
      <c r="DDI1099"/>
      <c r="DDJ1099"/>
      <c r="DDM1099"/>
      <c r="DDN1099"/>
      <c r="DDQ1099"/>
      <c r="DDR1099"/>
      <c r="DDU1099"/>
      <c r="DDV1099"/>
      <c r="DDY1099"/>
      <c r="DDZ1099"/>
      <c r="DEC1099"/>
      <c r="DED1099"/>
      <c r="DEG1099"/>
      <c r="DEH1099"/>
      <c r="DEK1099"/>
      <c r="DEL1099"/>
      <c r="DEO1099"/>
      <c r="DEP1099"/>
      <c r="DES1099"/>
      <c r="DET1099"/>
      <c r="DEW1099"/>
      <c r="DEX1099"/>
      <c r="DFA1099"/>
      <c r="DFB1099"/>
      <c r="DFE1099"/>
      <c r="DFF1099"/>
      <c r="DFI1099"/>
      <c r="DFJ1099"/>
      <c r="DFM1099"/>
      <c r="DFN1099"/>
      <c r="DFQ1099"/>
      <c r="DFR1099"/>
      <c r="DFU1099"/>
      <c r="DFV1099"/>
      <c r="DFY1099"/>
      <c r="DFZ1099"/>
      <c r="DGC1099"/>
      <c r="DGD1099"/>
      <c r="DGG1099"/>
      <c r="DGH1099"/>
      <c r="DGK1099"/>
      <c r="DGL1099"/>
      <c r="DGO1099"/>
      <c r="DGP1099"/>
      <c r="DGS1099"/>
      <c r="DGT1099"/>
      <c r="DGW1099"/>
      <c r="DGX1099"/>
      <c r="DHA1099"/>
      <c r="DHB1099"/>
      <c r="DHE1099"/>
      <c r="DHF1099"/>
      <c r="DHI1099"/>
      <c r="DHJ1099"/>
      <c r="DHM1099"/>
      <c r="DHN1099"/>
      <c r="DHQ1099"/>
      <c r="DHR1099"/>
      <c r="DHU1099"/>
      <c r="DHV1099"/>
      <c r="DHY1099"/>
      <c r="DHZ1099"/>
      <c r="DIC1099"/>
      <c r="DID1099"/>
      <c r="DIG1099"/>
      <c r="DIH1099"/>
      <c r="DIK1099"/>
      <c r="DIL1099"/>
      <c r="DIO1099"/>
      <c r="DIP1099"/>
      <c r="DIS1099"/>
      <c r="DIT1099"/>
      <c r="DIW1099"/>
      <c r="DIX1099"/>
      <c r="DJA1099"/>
      <c r="DJB1099"/>
      <c r="DJE1099"/>
      <c r="DJF1099"/>
      <c r="DJI1099"/>
      <c r="DJJ1099"/>
      <c r="DJM1099"/>
      <c r="DJN1099"/>
      <c r="DJQ1099"/>
      <c r="DJR1099"/>
      <c r="DJU1099"/>
      <c r="DJV1099"/>
      <c r="DJY1099"/>
      <c r="DJZ1099"/>
      <c r="DKC1099"/>
      <c r="DKD1099"/>
      <c r="DKG1099"/>
      <c r="DKH1099"/>
      <c r="DKK1099"/>
      <c r="DKL1099"/>
      <c r="DKO1099"/>
      <c r="DKP1099"/>
      <c r="DKS1099"/>
      <c r="DKT1099"/>
      <c r="DKW1099"/>
      <c r="DKX1099"/>
      <c r="DLA1099"/>
      <c r="DLB1099"/>
      <c r="DLE1099"/>
      <c r="DLF1099"/>
      <c r="DLI1099"/>
      <c r="DLJ1099"/>
      <c r="DLM1099"/>
      <c r="DLN1099"/>
      <c r="DLQ1099"/>
      <c r="DLR1099"/>
      <c r="DLU1099"/>
      <c r="DLV1099"/>
      <c r="DLY1099"/>
      <c r="DLZ1099"/>
      <c r="DMC1099"/>
      <c r="DMD1099"/>
      <c r="DMG1099"/>
      <c r="DMH1099"/>
      <c r="DMK1099"/>
      <c r="DML1099"/>
      <c r="DMO1099"/>
      <c r="DMP1099"/>
      <c r="DMS1099"/>
      <c r="DMT1099"/>
      <c r="DMW1099"/>
      <c r="DMX1099"/>
      <c r="DNA1099"/>
      <c r="DNB1099"/>
      <c r="DNE1099"/>
      <c r="DNF1099"/>
      <c r="DNI1099"/>
      <c r="DNJ1099"/>
      <c r="DNM1099"/>
      <c r="DNN1099"/>
      <c r="DNQ1099"/>
      <c r="DNR1099"/>
      <c r="DNU1099"/>
      <c r="DNV1099"/>
      <c r="DNY1099"/>
      <c r="DNZ1099"/>
      <c r="DOC1099"/>
      <c r="DOD1099"/>
      <c r="DOG1099"/>
      <c r="DOH1099"/>
      <c r="DOK1099"/>
      <c r="DOL1099"/>
      <c r="DOO1099"/>
      <c r="DOP1099"/>
      <c r="DOS1099"/>
      <c r="DOT1099"/>
      <c r="DOW1099"/>
      <c r="DOX1099"/>
      <c r="DPA1099"/>
      <c r="DPB1099"/>
      <c r="DPE1099"/>
      <c r="DPF1099"/>
      <c r="DPI1099"/>
      <c r="DPJ1099"/>
      <c r="DPM1099"/>
      <c r="DPN1099"/>
      <c r="DPQ1099"/>
      <c r="DPR1099"/>
      <c r="DPU1099"/>
      <c r="DPV1099"/>
      <c r="DPY1099"/>
      <c r="DPZ1099"/>
      <c r="DQC1099"/>
      <c r="DQD1099"/>
      <c r="DQG1099"/>
      <c r="DQH1099"/>
      <c r="DQK1099"/>
      <c r="DQL1099"/>
      <c r="DQO1099"/>
      <c r="DQP1099"/>
      <c r="DQS1099"/>
      <c r="DQT1099"/>
      <c r="DQW1099"/>
      <c r="DQX1099"/>
      <c r="DRA1099"/>
      <c r="DRB1099"/>
      <c r="DRE1099"/>
      <c r="DRF1099"/>
      <c r="DRI1099"/>
      <c r="DRJ1099"/>
      <c r="DRM1099"/>
      <c r="DRN1099"/>
      <c r="DRQ1099"/>
      <c r="DRR1099"/>
      <c r="DRU1099"/>
      <c r="DRV1099"/>
      <c r="DRY1099"/>
      <c r="DRZ1099"/>
      <c r="DSC1099"/>
      <c r="DSD1099"/>
      <c r="DSG1099"/>
      <c r="DSH1099"/>
      <c r="DSK1099"/>
      <c r="DSL1099"/>
      <c r="DSO1099"/>
      <c r="DSP1099"/>
      <c r="DSS1099"/>
      <c r="DST1099"/>
      <c r="DSW1099"/>
      <c r="DSX1099"/>
      <c r="DTA1099"/>
      <c r="DTB1099"/>
      <c r="DTE1099"/>
      <c r="DTF1099"/>
      <c r="DTI1099"/>
      <c r="DTJ1099"/>
      <c r="DTM1099"/>
      <c r="DTN1099"/>
      <c r="DTQ1099"/>
      <c r="DTR1099"/>
      <c r="DTU1099"/>
      <c r="DTV1099"/>
      <c r="DTY1099"/>
      <c r="DTZ1099"/>
      <c r="DUC1099"/>
      <c r="DUD1099"/>
      <c r="DUG1099"/>
      <c r="DUH1099"/>
      <c r="DUK1099"/>
      <c r="DUL1099"/>
      <c r="DUO1099"/>
      <c r="DUP1099"/>
      <c r="DUS1099"/>
      <c r="DUT1099"/>
      <c r="DUW1099"/>
      <c r="DUX1099"/>
      <c r="DVA1099"/>
      <c r="DVB1099"/>
      <c r="DVE1099"/>
      <c r="DVF1099"/>
      <c r="DVI1099"/>
      <c r="DVJ1099"/>
      <c r="DVM1099"/>
      <c r="DVN1099"/>
      <c r="DVQ1099"/>
      <c r="DVR1099"/>
      <c r="DVU1099"/>
      <c r="DVV1099"/>
      <c r="DVY1099"/>
      <c r="DVZ1099"/>
      <c r="DWC1099"/>
      <c r="DWD1099"/>
      <c r="DWG1099"/>
      <c r="DWH1099"/>
      <c r="DWK1099"/>
      <c r="DWL1099"/>
      <c r="DWO1099"/>
      <c r="DWP1099"/>
      <c r="DWS1099"/>
      <c r="DWT1099"/>
      <c r="DWW1099"/>
      <c r="DWX1099"/>
      <c r="DXA1099"/>
      <c r="DXB1099"/>
      <c r="DXE1099"/>
      <c r="DXF1099"/>
      <c r="DXI1099"/>
      <c r="DXJ1099"/>
      <c r="DXM1099"/>
      <c r="DXN1099"/>
      <c r="DXQ1099"/>
      <c r="DXR1099"/>
      <c r="DXU1099"/>
      <c r="DXV1099"/>
      <c r="DXY1099"/>
      <c r="DXZ1099"/>
      <c r="DYC1099"/>
      <c r="DYD1099"/>
      <c r="DYG1099"/>
      <c r="DYH1099"/>
      <c r="DYK1099"/>
      <c r="DYL1099"/>
      <c r="DYO1099"/>
      <c r="DYP1099"/>
      <c r="DYS1099"/>
      <c r="DYT1099"/>
      <c r="DYW1099"/>
      <c r="DYX1099"/>
      <c r="DZA1099"/>
      <c r="DZB1099"/>
      <c r="DZE1099"/>
      <c r="DZF1099"/>
      <c r="DZI1099"/>
      <c r="DZJ1099"/>
      <c r="DZM1099"/>
      <c r="DZN1099"/>
      <c r="DZQ1099"/>
      <c r="DZR1099"/>
      <c r="DZU1099"/>
      <c r="DZV1099"/>
      <c r="DZY1099"/>
      <c r="DZZ1099"/>
      <c r="EAC1099"/>
      <c r="EAD1099"/>
      <c r="EAG1099"/>
      <c r="EAH1099"/>
      <c r="EAK1099"/>
      <c r="EAL1099"/>
      <c r="EAO1099"/>
      <c r="EAP1099"/>
      <c r="EAS1099"/>
      <c r="EAT1099"/>
      <c r="EAW1099"/>
      <c r="EAX1099"/>
      <c r="EBA1099"/>
      <c r="EBB1099"/>
      <c r="EBE1099"/>
      <c r="EBF1099"/>
      <c r="EBI1099"/>
      <c r="EBJ1099"/>
      <c r="EBM1099"/>
      <c r="EBN1099"/>
      <c r="EBQ1099"/>
      <c r="EBR1099"/>
      <c r="EBU1099"/>
      <c r="EBV1099"/>
      <c r="EBY1099"/>
      <c r="EBZ1099"/>
      <c r="ECC1099"/>
      <c r="ECD1099"/>
      <c r="ECG1099"/>
      <c r="ECH1099"/>
      <c r="ECK1099"/>
      <c r="ECL1099"/>
      <c r="ECO1099"/>
      <c r="ECP1099"/>
      <c r="ECS1099"/>
      <c r="ECT1099"/>
      <c r="ECW1099"/>
      <c r="ECX1099"/>
      <c r="EDA1099"/>
      <c r="EDB1099"/>
      <c r="EDE1099"/>
      <c r="EDF1099"/>
      <c r="EDI1099"/>
      <c r="EDJ1099"/>
      <c r="EDM1099"/>
      <c r="EDN1099"/>
      <c r="EDQ1099"/>
      <c r="EDR1099"/>
      <c r="EDU1099"/>
      <c r="EDV1099"/>
      <c r="EDY1099"/>
      <c r="EDZ1099"/>
      <c r="EEC1099"/>
      <c r="EED1099"/>
      <c r="EEG1099"/>
      <c r="EEH1099"/>
      <c r="EEK1099"/>
      <c r="EEL1099"/>
      <c r="EEO1099"/>
      <c r="EEP1099"/>
      <c r="EES1099"/>
      <c r="EET1099"/>
      <c r="EEW1099"/>
      <c r="EEX1099"/>
      <c r="EFA1099"/>
      <c r="EFB1099"/>
      <c r="EFE1099"/>
      <c r="EFF1099"/>
      <c r="EFI1099"/>
      <c r="EFJ1099"/>
      <c r="EFM1099"/>
      <c r="EFN1099"/>
      <c r="EFQ1099"/>
      <c r="EFR1099"/>
      <c r="EFU1099"/>
      <c r="EFV1099"/>
      <c r="EFY1099"/>
      <c r="EFZ1099"/>
      <c r="EGC1099"/>
      <c r="EGD1099"/>
      <c r="EGG1099"/>
      <c r="EGH1099"/>
      <c r="EGK1099"/>
      <c r="EGL1099"/>
      <c r="EGO1099"/>
      <c r="EGP1099"/>
      <c r="EGS1099"/>
      <c r="EGT1099"/>
      <c r="EGW1099"/>
      <c r="EGX1099"/>
      <c r="EHA1099"/>
      <c r="EHB1099"/>
      <c r="EHE1099"/>
      <c r="EHF1099"/>
      <c r="EHI1099"/>
      <c r="EHJ1099"/>
      <c r="EHM1099"/>
      <c r="EHN1099"/>
      <c r="EHQ1099"/>
      <c r="EHR1099"/>
      <c r="EHU1099"/>
      <c r="EHV1099"/>
      <c r="EHY1099"/>
      <c r="EHZ1099"/>
      <c r="EIC1099"/>
      <c r="EID1099"/>
      <c r="EIG1099"/>
      <c r="EIH1099"/>
      <c r="EIK1099"/>
      <c r="EIL1099"/>
      <c r="EIO1099"/>
      <c r="EIP1099"/>
      <c r="EIS1099"/>
      <c r="EIT1099"/>
      <c r="EIW1099"/>
      <c r="EIX1099"/>
      <c r="EJA1099"/>
      <c r="EJB1099"/>
      <c r="EJE1099"/>
      <c r="EJF1099"/>
      <c r="EJI1099"/>
      <c r="EJJ1099"/>
      <c r="EJM1099"/>
      <c r="EJN1099"/>
      <c r="EJQ1099"/>
      <c r="EJR1099"/>
      <c r="EJU1099"/>
      <c r="EJV1099"/>
      <c r="EJY1099"/>
      <c r="EJZ1099"/>
      <c r="EKC1099"/>
      <c r="EKD1099"/>
      <c r="EKG1099"/>
      <c r="EKH1099"/>
      <c r="EKK1099"/>
      <c r="EKL1099"/>
      <c r="EKO1099"/>
      <c r="EKP1099"/>
      <c r="EKS1099"/>
      <c r="EKT1099"/>
      <c r="EKW1099"/>
      <c r="EKX1099"/>
      <c r="ELA1099"/>
      <c r="ELB1099"/>
      <c r="ELE1099"/>
      <c r="ELF1099"/>
      <c r="ELI1099"/>
      <c r="ELJ1099"/>
      <c r="ELM1099"/>
      <c r="ELN1099"/>
      <c r="ELQ1099"/>
      <c r="ELR1099"/>
      <c r="ELU1099"/>
      <c r="ELV1099"/>
      <c r="ELY1099"/>
      <c r="ELZ1099"/>
      <c r="EMC1099"/>
      <c r="EMD1099"/>
      <c r="EMG1099"/>
      <c r="EMH1099"/>
      <c r="EMK1099"/>
      <c r="EML1099"/>
      <c r="EMO1099"/>
      <c r="EMP1099"/>
      <c r="EMS1099"/>
      <c r="EMT1099"/>
      <c r="EMW1099"/>
      <c r="EMX1099"/>
      <c r="ENA1099"/>
      <c r="ENB1099"/>
      <c r="ENE1099"/>
      <c r="ENF1099"/>
      <c r="ENI1099"/>
      <c r="ENJ1099"/>
      <c r="ENM1099"/>
      <c r="ENN1099"/>
      <c r="ENQ1099"/>
      <c r="ENR1099"/>
      <c r="ENU1099"/>
      <c r="ENV1099"/>
      <c r="ENY1099"/>
      <c r="ENZ1099"/>
      <c r="EOC1099"/>
      <c r="EOD1099"/>
      <c r="EOG1099"/>
      <c r="EOH1099"/>
      <c r="EOK1099"/>
      <c r="EOL1099"/>
      <c r="EOO1099"/>
      <c r="EOP1099"/>
      <c r="EOS1099"/>
      <c r="EOT1099"/>
      <c r="EOW1099"/>
      <c r="EOX1099"/>
      <c r="EPA1099"/>
      <c r="EPB1099"/>
      <c r="EPE1099"/>
      <c r="EPF1099"/>
      <c r="EPI1099"/>
      <c r="EPJ1099"/>
      <c r="EPM1099"/>
      <c r="EPN1099"/>
      <c r="EPQ1099"/>
      <c r="EPR1099"/>
      <c r="EPU1099"/>
      <c r="EPV1099"/>
      <c r="EPY1099"/>
      <c r="EPZ1099"/>
      <c r="EQC1099"/>
      <c r="EQD1099"/>
      <c r="EQG1099"/>
      <c r="EQH1099"/>
      <c r="EQK1099"/>
      <c r="EQL1099"/>
      <c r="EQO1099"/>
      <c r="EQP1099"/>
      <c r="EQS1099"/>
      <c r="EQT1099"/>
      <c r="EQW1099"/>
      <c r="EQX1099"/>
      <c r="ERA1099"/>
      <c r="ERB1099"/>
      <c r="ERE1099"/>
      <c r="ERF1099"/>
      <c r="ERI1099"/>
      <c r="ERJ1099"/>
      <c r="ERM1099"/>
      <c r="ERN1099"/>
      <c r="ERQ1099"/>
      <c r="ERR1099"/>
      <c r="ERU1099"/>
      <c r="ERV1099"/>
      <c r="ERY1099"/>
      <c r="ERZ1099"/>
      <c r="ESC1099"/>
      <c r="ESD1099"/>
      <c r="ESG1099"/>
      <c r="ESH1099"/>
      <c r="ESK1099"/>
      <c r="ESL1099"/>
      <c r="ESO1099"/>
      <c r="ESP1099"/>
      <c r="ESS1099"/>
      <c r="EST1099"/>
      <c r="ESW1099"/>
      <c r="ESX1099"/>
      <c r="ETA1099"/>
      <c r="ETB1099"/>
      <c r="ETE1099"/>
      <c r="ETF1099"/>
      <c r="ETI1099"/>
      <c r="ETJ1099"/>
      <c r="ETM1099"/>
      <c r="ETN1099"/>
      <c r="ETQ1099"/>
      <c r="ETR1099"/>
      <c r="ETU1099"/>
      <c r="ETV1099"/>
      <c r="ETY1099"/>
      <c r="ETZ1099"/>
      <c r="EUC1099"/>
      <c r="EUD1099"/>
      <c r="EUG1099"/>
      <c r="EUH1099"/>
      <c r="EUK1099"/>
      <c r="EUL1099"/>
      <c r="EUO1099"/>
      <c r="EUP1099"/>
      <c r="EUS1099"/>
      <c r="EUT1099"/>
      <c r="EUW1099"/>
      <c r="EUX1099"/>
      <c r="EVA1099"/>
      <c r="EVB1099"/>
      <c r="EVE1099"/>
      <c r="EVF1099"/>
      <c r="EVI1099"/>
      <c r="EVJ1099"/>
      <c r="EVM1099"/>
      <c r="EVN1099"/>
      <c r="EVQ1099"/>
      <c r="EVR1099"/>
      <c r="EVU1099"/>
      <c r="EVV1099"/>
      <c r="EVY1099"/>
      <c r="EVZ1099"/>
      <c r="EWC1099"/>
      <c r="EWD1099"/>
      <c r="EWG1099"/>
      <c r="EWH1099"/>
      <c r="EWK1099"/>
      <c r="EWL1099"/>
      <c r="EWO1099"/>
      <c r="EWP1099"/>
      <c r="EWS1099"/>
      <c r="EWT1099"/>
      <c r="EWW1099"/>
      <c r="EWX1099"/>
      <c r="EXA1099"/>
      <c r="EXB1099"/>
      <c r="EXE1099"/>
      <c r="EXF1099"/>
      <c r="EXI1099"/>
      <c r="EXJ1099"/>
      <c r="EXM1099"/>
      <c r="EXN1099"/>
      <c r="EXQ1099"/>
      <c r="EXR1099"/>
      <c r="EXU1099"/>
      <c r="EXV1099"/>
      <c r="EXY1099"/>
      <c r="EXZ1099"/>
      <c r="EYC1099"/>
      <c r="EYD1099"/>
      <c r="EYG1099"/>
      <c r="EYH1099"/>
      <c r="EYK1099"/>
      <c r="EYL1099"/>
      <c r="EYO1099"/>
      <c r="EYP1099"/>
      <c r="EYS1099"/>
      <c r="EYT1099"/>
      <c r="EYW1099"/>
      <c r="EYX1099"/>
      <c r="EZA1099"/>
      <c r="EZB1099"/>
      <c r="EZE1099"/>
      <c r="EZF1099"/>
      <c r="EZI1099"/>
      <c r="EZJ1099"/>
      <c r="EZM1099"/>
      <c r="EZN1099"/>
      <c r="EZQ1099"/>
      <c r="EZR1099"/>
      <c r="EZU1099"/>
      <c r="EZV1099"/>
      <c r="EZY1099"/>
      <c r="EZZ1099"/>
      <c r="FAC1099"/>
      <c r="FAD1099"/>
      <c r="FAG1099"/>
      <c r="FAH1099"/>
      <c r="FAK1099"/>
      <c r="FAL1099"/>
      <c r="FAO1099"/>
      <c r="FAP1099"/>
      <c r="FAS1099"/>
      <c r="FAT1099"/>
      <c r="FAW1099"/>
      <c r="FAX1099"/>
      <c r="FBA1099"/>
      <c r="FBB1099"/>
      <c r="FBE1099"/>
      <c r="FBF1099"/>
      <c r="FBI1099"/>
      <c r="FBJ1099"/>
      <c r="FBM1099"/>
      <c r="FBN1099"/>
      <c r="FBQ1099"/>
      <c r="FBR1099"/>
      <c r="FBU1099"/>
      <c r="FBV1099"/>
      <c r="FBY1099"/>
      <c r="FBZ1099"/>
      <c r="FCC1099"/>
      <c r="FCD1099"/>
      <c r="FCG1099"/>
      <c r="FCH1099"/>
      <c r="FCK1099"/>
      <c r="FCL1099"/>
      <c r="FCO1099"/>
      <c r="FCP1099"/>
      <c r="FCS1099"/>
      <c r="FCT1099"/>
      <c r="FCW1099"/>
      <c r="FCX1099"/>
      <c r="FDA1099"/>
      <c r="FDB1099"/>
      <c r="FDE1099"/>
      <c r="FDF1099"/>
      <c r="FDI1099"/>
      <c r="FDJ1099"/>
      <c r="FDM1099"/>
      <c r="FDN1099"/>
      <c r="FDQ1099"/>
      <c r="FDR1099"/>
      <c r="FDU1099"/>
      <c r="FDV1099"/>
      <c r="FDY1099"/>
      <c r="FDZ1099"/>
      <c r="FEC1099"/>
      <c r="FED1099"/>
      <c r="FEG1099"/>
      <c r="FEH1099"/>
      <c r="FEK1099"/>
      <c r="FEL1099"/>
      <c r="FEO1099"/>
      <c r="FEP1099"/>
      <c r="FES1099"/>
      <c r="FET1099"/>
      <c r="FEW1099"/>
      <c r="FEX1099"/>
      <c r="FFA1099"/>
      <c r="FFB1099"/>
      <c r="FFE1099"/>
      <c r="FFF1099"/>
      <c r="FFI1099"/>
      <c r="FFJ1099"/>
      <c r="FFM1099"/>
      <c r="FFN1099"/>
      <c r="FFQ1099"/>
      <c r="FFR1099"/>
      <c r="FFU1099"/>
      <c r="FFV1099"/>
      <c r="FFY1099"/>
      <c r="FFZ1099"/>
      <c r="FGC1099"/>
      <c r="FGD1099"/>
      <c r="FGG1099"/>
      <c r="FGH1099"/>
      <c r="FGK1099"/>
      <c r="FGL1099"/>
      <c r="FGO1099"/>
      <c r="FGP1099"/>
      <c r="FGS1099"/>
      <c r="FGT1099"/>
      <c r="FGW1099"/>
      <c r="FGX1099"/>
      <c r="FHA1099"/>
      <c r="FHB1099"/>
      <c r="FHE1099"/>
      <c r="FHF1099"/>
      <c r="FHI1099"/>
      <c r="FHJ1099"/>
      <c r="FHM1099"/>
      <c r="FHN1099"/>
      <c r="FHQ1099"/>
      <c r="FHR1099"/>
      <c r="FHU1099"/>
      <c r="FHV1099"/>
      <c r="FHY1099"/>
      <c r="FHZ1099"/>
      <c r="FIC1099"/>
      <c r="FID1099"/>
      <c r="FIG1099"/>
      <c r="FIH1099"/>
      <c r="FIK1099"/>
      <c r="FIL1099"/>
      <c r="FIO1099"/>
      <c r="FIP1099"/>
      <c r="FIS1099"/>
      <c r="FIT1099"/>
      <c r="FIW1099"/>
      <c r="FIX1099"/>
      <c r="FJA1099"/>
      <c r="FJB1099"/>
      <c r="FJE1099"/>
      <c r="FJF1099"/>
      <c r="FJI1099"/>
      <c r="FJJ1099"/>
      <c r="FJM1099"/>
      <c r="FJN1099"/>
      <c r="FJQ1099"/>
      <c r="FJR1099"/>
      <c r="FJU1099"/>
      <c r="FJV1099"/>
      <c r="FJY1099"/>
      <c r="FJZ1099"/>
      <c r="FKC1099"/>
      <c r="FKD1099"/>
      <c r="FKG1099"/>
      <c r="FKH1099"/>
      <c r="FKK1099"/>
      <c r="FKL1099"/>
      <c r="FKO1099"/>
      <c r="FKP1099"/>
      <c r="FKS1099"/>
      <c r="FKT1099"/>
      <c r="FKW1099"/>
      <c r="FKX1099"/>
      <c r="FLA1099"/>
      <c r="FLB1099"/>
      <c r="FLE1099"/>
      <c r="FLF1099"/>
      <c r="FLI1099"/>
      <c r="FLJ1099"/>
      <c r="FLM1099"/>
      <c r="FLN1099"/>
      <c r="FLQ1099"/>
      <c r="FLR1099"/>
      <c r="FLU1099"/>
      <c r="FLV1099"/>
      <c r="FLY1099"/>
      <c r="FLZ1099"/>
      <c r="FMC1099"/>
      <c r="FMD1099"/>
      <c r="FMG1099"/>
      <c r="FMH1099"/>
      <c r="FMK1099"/>
      <c r="FML1099"/>
      <c r="FMO1099"/>
      <c r="FMP1099"/>
      <c r="FMS1099"/>
      <c r="FMT1099"/>
      <c r="FMW1099"/>
      <c r="FMX1099"/>
      <c r="FNA1099"/>
      <c r="FNB1099"/>
      <c r="FNE1099"/>
      <c r="FNF1099"/>
      <c r="FNI1099"/>
      <c r="FNJ1099"/>
      <c r="FNM1099"/>
      <c r="FNN1099"/>
      <c r="FNQ1099"/>
      <c r="FNR1099"/>
      <c r="FNU1099"/>
      <c r="FNV1099"/>
      <c r="FNY1099"/>
      <c r="FNZ1099"/>
      <c r="FOC1099"/>
      <c r="FOD1099"/>
      <c r="FOG1099"/>
      <c r="FOH1099"/>
      <c r="FOK1099"/>
      <c r="FOL1099"/>
      <c r="FOO1099"/>
      <c r="FOP1099"/>
      <c r="FOS1099"/>
      <c r="FOT1099"/>
      <c r="FOW1099"/>
      <c r="FOX1099"/>
      <c r="FPA1099"/>
      <c r="FPB1099"/>
      <c r="FPE1099"/>
      <c r="FPF1099"/>
      <c r="FPI1099"/>
      <c r="FPJ1099"/>
      <c r="FPM1099"/>
      <c r="FPN1099"/>
      <c r="FPQ1099"/>
      <c r="FPR1099"/>
      <c r="FPU1099"/>
      <c r="FPV1099"/>
      <c r="FPY1099"/>
      <c r="FPZ1099"/>
      <c r="FQC1099"/>
      <c r="FQD1099"/>
      <c r="FQG1099"/>
      <c r="FQH1099"/>
      <c r="FQK1099"/>
      <c r="FQL1099"/>
      <c r="FQO1099"/>
      <c r="FQP1099"/>
      <c r="FQS1099"/>
      <c r="FQT1099"/>
      <c r="FQW1099"/>
      <c r="FQX1099"/>
      <c r="FRA1099"/>
      <c r="FRB1099"/>
      <c r="FRE1099"/>
      <c r="FRF1099"/>
      <c r="FRI1099"/>
      <c r="FRJ1099"/>
      <c r="FRM1099"/>
      <c r="FRN1099"/>
      <c r="FRQ1099"/>
      <c r="FRR1099"/>
      <c r="FRU1099"/>
      <c r="FRV1099"/>
      <c r="FRY1099"/>
      <c r="FRZ1099"/>
      <c r="FSC1099"/>
      <c r="FSD1099"/>
      <c r="FSG1099"/>
      <c r="FSH1099"/>
      <c r="FSK1099"/>
      <c r="FSL1099"/>
      <c r="FSO1099"/>
      <c r="FSP1099"/>
      <c r="FSS1099"/>
      <c r="FST1099"/>
      <c r="FSW1099"/>
      <c r="FSX1099"/>
      <c r="FTA1099"/>
      <c r="FTB1099"/>
      <c r="FTE1099"/>
      <c r="FTF1099"/>
      <c r="FTI1099"/>
      <c r="FTJ1099"/>
      <c r="FTM1099"/>
      <c r="FTN1099"/>
      <c r="FTQ1099"/>
      <c r="FTR1099"/>
      <c r="FTU1099"/>
      <c r="FTV1099"/>
      <c r="FTY1099"/>
      <c r="FTZ1099"/>
      <c r="FUC1099"/>
      <c r="FUD1099"/>
      <c r="FUG1099"/>
      <c r="FUH1099"/>
      <c r="FUK1099"/>
      <c r="FUL1099"/>
      <c r="FUO1099"/>
      <c r="FUP1099"/>
      <c r="FUS1099"/>
      <c r="FUT1099"/>
      <c r="FUW1099"/>
      <c r="FUX1099"/>
      <c r="FVA1099"/>
      <c r="FVB1099"/>
      <c r="FVE1099"/>
      <c r="FVF1099"/>
      <c r="FVI1099"/>
      <c r="FVJ1099"/>
      <c r="FVM1099"/>
      <c r="FVN1099"/>
      <c r="FVQ1099"/>
      <c r="FVR1099"/>
      <c r="FVU1099"/>
      <c r="FVV1099"/>
      <c r="FVY1099"/>
      <c r="FVZ1099"/>
      <c r="FWC1099"/>
      <c r="FWD1099"/>
      <c r="FWG1099"/>
      <c r="FWH1099"/>
      <c r="FWK1099"/>
      <c r="FWL1099"/>
      <c r="FWO1099"/>
      <c r="FWP1099"/>
      <c r="FWS1099"/>
      <c r="FWT1099"/>
      <c r="FWW1099"/>
      <c r="FWX1099"/>
      <c r="FXA1099"/>
      <c r="FXB1099"/>
      <c r="FXE1099"/>
      <c r="FXF1099"/>
      <c r="FXI1099"/>
      <c r="FXJ1099"/>
      <c r="FXM1099"/>
      <c r="FXN1099"/>
      <c r="FXQ1099"/>
      <c r="FXR1099"/>
      <c r="FXU1099"/>
      <c r="FXV1099"/>
      <c r="FXY1099"/>
      <c r="FXZ1099"/>
      <c r="FYC1099"/>
      <c r="FYD1099"/>
      <c r="FYG1099"/>
      <c r="FYH1099"/>
      <c r="FYK1099"/>
      <c r="FYL1099"/>
      <c r="FYO1099"/>
      <c r="FYP1099"/>
      <c r="FYS1099"/>
      <c r="FYT1099"/>
      <c r="FYW1099"/>
      <c r="FYX1099"/>
      <c r="FZA1099"/>
      <c r="FZB1099"/>
      <c r="FZE1099"/>
      <c r="FZF1099"/>
      <c r="FZI1099"/>
      <c r="FZJ1099"/>
      <c r="FZM1099"/>
      <c r="FZN1099"/>
      <c r="FZQ1099"/>
      <c r="FZR1099"/>
      <c r="FZU1099"/>
      <c r="FZV1099"/>
      <c r="FZY1099"/>
      <c r="FZZ1099"/>
      <c r="GAC1099"/>
      <c r="GAD1099"/>
      <c r="GAG1099"/>
      <c r="GAH1099"/>
      <c r="GAK1099"/>
      <c r="GAL1099"/>
      <c r="GAO1099"/>
      <c r="GAP1099"/>
      <c r="GAS1099"/>
      <c r="GAT1099"/>
      <c r="GAW1099"/>
      <c r="GAX1099"/>
      <c r="GBA1099"/>
      <c r="GBB1099"/>
      <c r="GBE1099"/>
      <c r="GBF1099"/>
      <c r="GBI1099"/>
      <c r="GBJ1099"/>
      <c r="GBM1099"/>
      <c r="GBN1099"/>
      <c r="GBQ1099"/>
      <c r="GBR1099"/>
      <c r="GBU1099"/>
      <c r="GBV1099"/>
      <c r="GBY1099"/>
      <c r="GBZ1099"/>
      <c r="GCC1099"/>
      <c r="GCD1099"/>
      <c r="GCG1099"/>
      <c r="GCH1099"/>
      <c r="GCK1099"/>
      <c r="GCL1099"/>
      <c r="GCO1099"/>
      <c r="GCP1099"/>
      <c r="GCS1099"/>
      <c r="GCT1099"/>
      <c r="GCW1099"/>
      <c r="GCX1099"/>
      <c r="GDA1099"/>
      <c r="GDB1099"/>
      <c r="GDE1099"/>
      <c r="GDF1099"/>
      <c r="GDI1099"/>
      <c r="GDJ1099"/>
      <c r="GDM1099"/>
      <c r="GDN1099"/>
      <c r="GDQ1099"/>
      <c r="GDR1099"/>
      <c r="GDU1099"/>
      <c r="GDV1099"/>
      <c r="GDY1099"/>
      <c r="GDZ1099"/>
      <c r="GEC1099"/>
      <c r="GED1099"/>
      <c r="GEG1099"/>
      <c r="GEH1099"/>
      <c r="GEK1099"/>
      <c r="GEL1099"/>
      <c r="GEO1099"/>
      <c r="GEP1099"/>
      <c r="GES1099"/>
      <c r="GET1099"/>
      <c r="GEW1099"/>
      <c r="GEX1099"/>
      <c r="GFA1099"/>
      <c r="GFB1099"/>
      <c r="GFE1099"/>
      <c r="GFF1099"/>
      <c r="GFI1099"/>
      <c r="GFJ1099"/>
      <c r="GFM1099"/>
      <c r="GFN1099"/>
      <c r="GFQ1099"/>
      <c r="GFR1099"/>
      <c r="GFU1099"/>
      <c r="GFV1099"/>
      <c r="GFY1099"/>
      <c r="GFZ1099"/>
      <c r="GGC1099"/>
      <c r="GGD1099"/>
      <c r="GGG1099"/>
      <c r="GGH1099"/>
      <c r="GGK1099"/>
      <c r="GGL1099"/>
      <c r="GGO1099"/>
      <c r="GGP1099"/>
      <c r="GGS1099"/>
      <c r="GGT1099"/>
      <c r="GGW1099"/>
      <c r="GGX1099"/>
      <c r="GHA1099"/>
      <c r="GHB1099"/>
      <c r="GHE1099"/>
      <c r="GHF1099"/>
      <c r="GHI1099"/>
      <c r="GHJ1099"/>
      <c r="GHM1099"/>
      <c r="GHN1099"/>
      <c r="GHQ1099"/>
      <c r="GHR1099"/>
      <c r="GHU1099"/>
      <c r="GHV1099"/>
      <c r="GHY1099"/>
      <c r="GHZ1099"/>
      <c r="GIC1099"/>
      <c r="GID1099"/>
      <c r="GIG1099"/>
      <c r="GIH1099"/>
      <c r="GIK1099"/>
      <c r="GIL1099"/>
      <c r="GIO1099"/>
      <c r="GIP1099"/>
      <c r="GIS1099"/>
      <c r="GIT1099"/>
      <c r="GIW1099"/>
      <c r="GIX1099"/>
      <c r="GJA1099"/>
      <c r="GJB1099"/>
      <c r="GJE1099"/>
      <c r="GJF1099"/>
      <c r="GJI1099"/>
      <c r="GJJ1099"/>
      <c r="GJM1099"/>
      <c r="GJN1099"/>
      <c r="GJQ1099"/>
      <c r="GJR1099"/>
      <c r="GJU1099"/>
      <c r="GJV1099"/>
      <c r="GJY1099"/>
      <c r="GJZ1099"/>
      <c r="GKC1099"/>
      <c r="GKD1099"/>
      <c r="GKG1099"/>
      <c r="GKH1099"/>
      <c r="GKK1099"/>
      <c r="GKL1099"/>
      <c r="GKO1099"/>
      <c r="GKP1099"/>
      <c r="GKS1099"/>
      <c r="GKT1099"/>
      <c r="GKW1099"/>
      <c r="GKX1099"/>
      <c r="GLA1099"/>
      <c r="GLB1099"/>
      <c r="GLE1099"/>
      <c r="GLF1099"/>
      <c r="GLI1099"/>
      <c r="GLJ1099"/>
      <c r="GLM1099"/>
      <c r="GLN1099"/>
      <c r="GLQ1099"/>
      <c r="GLR1099"/>
      <c r="GLU1099"/>
      <c r="GLV1099"/>
      <c r="GLY1099"/>
      <c r="GLZ1099"/>
      <c r="GMC1099"/>
      <c r="GMD1099"/>
      <c r="GMG1099"/>
      <c r="GMH1099"/>
      <c r="GMK1099"/>
      <c r="GML1099"/>
      <c r="GMO1099"/>
      <c r="GMP1099"/>
      <c r="GMS1099"/>
      <c r="GMT1099"/>
      <c r="GMW1099"/>
      <c r="GMX1099"/>
      <c r="GNA1099"/>
      <c r="GNB1099"/>
      <c r="GNE1099"/>
      <c r="GNF1099"/>
      <c r="GNI1099"/>
      <c r="GNJ1099"/>
      <c r="GNM1099"/>
      <c r="GNN1099"/>
      <c r="GNQ1099"/>
      <c r="GNR1099"/>
      <c r="GNU1099"/>
      <c r="GNV1099"/>
      <c r="GNY1099"/>
      <c r="GNZ1099"/>
      <c r="GOC1099"/>
      <c r="GOD1099"/>
      <c r="GOG1099"/>
      <c r="GOH1099"/>
      <c r="GOK1099"/>
      <c r="GOL1099"/>
      <c r="GOO1099"/>
      <c r="GOP1099"/>
      <c r="GOS1099"/>
      <c r="GOT1099"/>
      <c r="GOW1099"/>
      <c r="GOX1099"/>
      <c r="GPA1099"/>
      <c r="GPB1099"/>
      <c r="GPE1099"/>
      <c r="GPF1099"/>
      <c r="GPI1099"/>
      <c r="GPJ1099"/>
      <c r="GPM1099"/>
      <c r="GPN1099"/>
      <c r="GPQ1099"/>
      <c r="GPR1099"/>
      <c r="GPU1099"/>
      <c r="GPV1099"/>
      <c r="GPY1099"/>
      <c r="GPZ1099"/>
      <c r="GQC1099"/>
      <c r="GQD1099"/>
      <c r="GQG1099"/>
      <c r="GQH1099"/>
      <c r="GQK1099"/>
      <c r="GQL1099"/>
      <c r="GQO1099"/>
      <c r="GQP1099"/>
      <c r="GQS1099"/>
      <c r="GQT1099"/>
      <c r="GQW1099"/>
      <c r="GQX1099"/>
      <c r="GRA1099"/>
      <c r="GRB1099"/>
      <c r="GRE1099"/>
      <c r="GRF1099"/>
      <c r="GRI1099"/>
      <c r="GRJ1099"/>
      <c r="GRM1099"/>
      <c r="GRN1099"/>
      <c r="GRQ1099"/>
      <c r="GRR1099"/>
      <c r="GRU1099"/>
      <c r="GRV1099"/>
      <c r="GRY1099"/>
      <c r="GRZ1099"/>
      <c r="GSC1099"/>
      <c r="GSD1099"/>
      <c r="GSG1099"/>
      <c r="GSH1099"/>
      <c r="GSK1099"/>
      <c r="GSL1099"/>
      <c r="GSO1099"/>
      <c r="GSP1099"/>
      <c r="GSS1099"/>
      <c r="GST1099"/>
      <c r="GSW1099"/>
      <c r="GSX1099"/>
      <c r="GTA1099"/>
      <c r="GTB1099"/>
      <c r="GTE1099"/>
      <c r="GTF1099"/>
      <c r="GTI1099"/>
      <c r="GTJ1099"/>
      <c r="GTM1099"/>
      <c r="GTN1099"/>
      <c r="GTQ1099"/>
      <c r="GTR1099"/>
      <c r="GTU1099"/>
      <c r="GTV1099"/>
      <c r="GTY1099"/>
      <c r="GTZ1099"/>
      <c r="GUC1099"/>
      <c r="GUD1099"/>
      <c r="GUG1099"/>
      <c r="GUH1099"/>
      <c r="GUK1099"/>
      <c r="GUL1099"/>
      <c r="GUO1099"/>
      <c r="GUP1099"/>
      <c r="GUS1099"/>
      <c r="GUT1099"/>
      <c r="GUW1099"/>
      <c r="GUX1099"/>
      <c r="GVA1099"/>
      <c r="GVB1099"/>
      <c r="GVE1099"/>
      <c r="GVF1099"/>
      <c r="GVI1099"/>
      <c r="GVJ1099"/>
      <c r="GVM1099"/>
      <c r="GVN1099"/>
      <c r="GVQ1099"/>
      <c r="GVR1099"/>
      <c r="GVU1099"/>
      <c r="GVV1099"/>
      <c r="GVY1099"/>
      <c r="GVZ1099"/>
      <c r="GWC1099"/>
      <c r="GWD1099"/>
      <c r="GWG1099"/>
      <c r="GWH1099"/>
      <c r="GWK1099"/>
      <c r="GWL1099"/>
      <c r="GWO1099"/>
      <c r="GWP1099"/>
      <c r="GWS1099"/>
      <c r="GWT1099"/>
      <c r="GWW1099"/>
      <c r="GWX1099"/>
      <c r="GXA1099"/>
      <c r="GXB1099"/>
      <c r="GXE1099"/>
      <c r="GXF1099"/>
      <c r="GXI1099"/>
      <c r="GXJ1099"/>
      <c r="GXM1099"/>
      <c r="GXN1099"/>
      <c r="GXQ1099"/>
      <c r="GXR1099"/>
      <c r="GXU1099"/>
      <c r="GXV1099"/>
      <c r="GXY1099"/>
      <c r="GXZ1099"/>
      <c r="GYC1099"/>
      <c r="GYD1099"/>
      <c r="GYG1099"/>
      <c r="GYH1099"/>
      <c r="GYK1099"/>
      <c r="GYL1099"/>
      <c r="GYO1099"/>
      <c r="GYP1099"/>
      <c r="GYS1099"/>
      <c r="GYT1099"/>
      <c r="GYW1099"/>
      <c r="GYX1099"/>
      <c r="GZA1099"/>
      <c r="GZB1099"/>
      <c r="GZE1099"/>
      <c r="GZF1099"/>
      <c r="GZI1099"/>
      <c r="GZJ1099"/>
      <c r="GZM1099"/>
      <c r="GZN1099"/>
      <c r="GZQ1099"/>
      <c r="GZR1099"/>
      <c r="GZU1099"/>
      <c r="GZV1099"/>
      <c r="GZY1099"/>
      <c r="GZZ1099"/>
      <c r="HAC1099"/>
      <c r="HAD1099"/>
      <c r="HAG1099"/>
      <c r="HAH1099"/>
      <c r="HAK1099"/>
      <c r="HAL1099"/>
      <c r="HAO1099"/>
      <c r="HAP1099"/>
      <c r="HAS1099"/>
      <c r="HAT1099"/>
      <c r="HAW1099"/>
      <c r="HAX1099"/>
      <c r="HBA1099"/>
      <c r="HBB1099"/>
      <c r="HBE1099"/>
      <c r="HBF1099"/>
      <c r="HBI1099"/>
      <c r="HBJ1099"/>
      <c r="HBM1099"/>
      <c r="HBN1099"/>
      <c r="HBQ1099"/>
      <c r="HBR1099"/>
      <c r="HBU1099"/>
      <c r="HBV1099"/>
      <c r="HBY1099"/>
      <c r="HBZ1099"/>
      <c r="HCC1099"/>
      <c r="HCD1099"/>
      <c r="HCG1099"/>
      <c r="HCH1099"/>
      <c r="HCK1099"/>
      <c r="HCL1099"/>
      <c r="HCO1099"/>
      <c r="HCP1099"/>
      <c r="HCS1099"/>
      <c r="HCT1099"/>
      <c r="HCW1099"/>
      <c r="HCX1099"/>
      <c r="HDA1099"/>
      <c r="HDB1099"/>
      <c r="HDE1099"/>
      <c r="HDF1099"/>
      <c r="HDI1099"/>
      <c r="HDJ1099"/>
      <c r="HDM1099"/>
      <c r="HDN1099"/>
      <c r="HDQ1099"/>
      <c r="HDR1099"/>
      <c r="HDU1099"/>
      <c r="HDV1099"/>
      <c r="HDY1099"/>
      <c r="HDZ1099"/>
      <c r="HEC1099"/>
      <c r="HED1099"/>
      <c r="HEG1099"/>
      <c r="HEH1099"/>
      <c r="HEK1099"/>
      <c r="HEL1099"/>
      <c r="HEO1099"/>
      <c r="HEP1099"/>
      <c r="HES1099"/>
      <c r="HET1099"/>
      <c r="HEW1099"/>
      <c r="HEX1099"/>
      <c r="HFA1099"/>
      <c r="HFB1099"/>
      <c r="HFE1099"/>
      <c r="HFF1099"/>
      <c r="HFI1099"/>
      <c r="HFJ1099"/>
      <c r="HFM1099"/>
      <c r="HFN1099"/>
      <c r="HFQ1099"/>
      <c r="HFR1099"/>
      <c r="HFU1099"/>
      <c r="HFV1099"/>
      <c r="HFY1099"/>
      <c r="HFZ1099"/>
      <c r="HGC1099"/>
      <c r="HGD1099"/>
      <c r="HGG1099"/>
      <c r="HGH1099"/>
      <c r="HGK1099"/>
      <c r="HGL1099"/>
      <c r="HGO1099"/>
      <c r="HGP1099"/>
      <c r="HGS1099"/>
      <c r="HGT1099"/>
      <c r="HGW1099"/>
      <c r="HGX1099"/>
      <c r="HHA1099"/>
      <c r="HHB1099"/>
      <c r="HHE1099"/>
      <c r="HHF1099"/>
      <c r="HHI1099"/>
      <c r="HHJ1099"/>
      <c r="HHM1099"/>
      <c r="HHN1099"/>
      <c r="HHQ1099"/>
      <c r="HHR1099"/>
      <c r="HHU1099"/>
      <c r="HHV1099"/>
      <c r="HHY1099"/>
      <c r="HHZ1099"/>
      <c r="HIC1099"/>
      <c r="HID1099"/>
      <c r="HIG1099"/>
      <c r="HIH1099"/>
      <c r="HIK1099"/>
      <c r="HIL1099"/>
      <c r="HIO1099"/>
      <c r="HIP1099"/>
      <c r="HIS1099"/>
      <c r="HIT1099"/>
      <c r="HIW1099"/>
      <c r="HIX1099"/>
      <c r="HJA1099"/>
      <c r="HJB1099"/>
      <c r="HJE1099"/>
      <c r="HJF1099"/>
      <c r="HJI1099"/>
      <c r="HJJ1099"/>
      <c r="HJM1099"/>
      <c r="HJN1099"/>
      <c r="HJQ1099"/>
      <c r="HJR1099"/>
      <c r="HJU1099"/>
      <c r="HJV1099"/>
      <c r="HJY1099"/>
      <c r="HJZ1099"/>
      <c r="HKC1099"/>
      <c r="HKD1099"/>
      <c r="HKG1099"/>
      <c r="HKH1099"/>
      <c r="HKK1099"/>
      <c r="HKL1099"/>
      <c r="HKO1099"/>
      <c r="HKP1099"/>
      <c r="HKS1099"/>
      <c r="HKT1099"/>
      <c r="HKW1099"/>
      <c r="HKX1099"/>
      <c r="HLA1099"/>
      <c r="HLB1099"/>
      <c r="HLE1099"/>
      <c r="HLF1099"/>
      <c r="HLI1099"/>
      <c r="HLJ1099"/>
      <c r="HLM1099"/>
      <c r="HLN1099"/>
      <c r="HLQ1099"/>
      <c r="HLR1099"/>
      <c r="HLU1099"/>
      <c r="HLV1099"/>
      <c r="HLY1099"/>
      <c r="HLZ1099"/>
      <c r="HMC1099"/>
      <c r="HMD1099"/>
      <c r="HMG1099"/>
      <c r="HMH1099"/>
      <c r="HMK1099"/>
      <c r="HML1099"/>
      <c r="HMO1099"/>
      <c r="HMP1099"/>
      <c r="HMS1099"/>
      <c r="HMT1099"/>
      <c r="HMW1099"/>
      <c r="HMX1099"/>
      <c r="HNA1099"/>
      <c r="HNB1099"/>
      <c r="HNE1099"/>
      <c r="HNF1099"/>
      <c r="HNI1099"/>
      <c r="HNJ1099"/>
      <c r="HNM1099"/>
      <c r="HNN1099"/>
      <c r="HNQ1099"/>
      <c r="HNR1099"/>
      <c r="HNU1099"/>
      <c r="HNV1099"/>
      <c r="HNY1099"/>
      <c r="HNZ1099"/>
      <c r="HOC1099"/>
      <c r="HOD1099"/>
      <c r="HOG1099"/>
      <c r="HOH1099"/>
      <c r="HOK1099"/>
      <c r="HOL1099"/>
      <c r="HOO1099"/>
      <c r="HOP1099"/>
      <c r="HOS1099"/>
      <c r="HOT1099"/>
      <c r="HOW1099"/>
      <c r="HOX1099"/>
      <c r="HPA1099"/>
      <c r="HPB1099"/>
      <c r="HPE1099"/>
      <c r="HPF1099"/>
      <c r="HPI1099"/>
      <c r="HPJ1099"/>
      <c r="HPM1099"/>
      <c r="HPN1099"/>
      <c r="HPQ1099"/>
      <c r="HPR1099"/>
      <c r="HPU1099"/>
      <c r="HPV1099"/>
      <c r="HPY1099"/>
      <c r="HPZ1099"/>
      <c r="HQC1099"/>
      <c r="HQD1099"/>
      <c r="HQG1099"/>
      <c r="HQH1099"/>
      <c r="HQK1099"/>
      <c r="HQL1099"/>
      <c r="HQO1099"/>
      <c r="HQP1099"/>
      <c r="HQS1099"/>
      <c r="HQT1099"/>
      <c r="HQW1099"/>
      <c r="HQX1099"/>
      <c r="HRA1099"/>
      <c r="HRB1099"/>
      <c r="HRE1099"/>
      <c r="HRF1099"/>
      <c r="HRI1099"/>
      <c r="HRJ1099"/>
      <c r="HRM1099"/>
      <c r="HRN1099"/>
      <c r="HRQ1099"/>
      <c r="HRR1099"/>
      <c r="HRU1099"/>
      <c r="HRV1099"/>
      <c r="HRY1099"/>
      <c r="HRZ1099"/>
      <c r="HSC1099"/>
      <c r="HSD1099"/>
      <c r="HSG1099"/>
      <c r="HSH1099"/>
      <c r="HSK1099"/>
      <c r="HSL1099"/>
      <c r="HSO1099"/>
      <c r="HSP1099"/>
      <c r="HSS1099"/>
      <c r="HST1099"/>
      <c r="HSW1099"/>
      <c r="HSX1099"/>
      <c r="HTA1099"/>
      <c r="HTB1099"/>
      <c r="HTE1099"/>
      <c r="HTF1099"/>
      <c r="HTI1099"/>
      <c r="HTJ1099"/>
      <c r="HTM1099"/>
      <c r="HTN1099"/>
      <c r="HTQ1099"/>
      <c r="HTR1099"/>
      <c r="HTU1099"/>
      <c r="HTV1099"/>
      <c r="HTY1099"/>
      <c r="HTZ1099"/>
      <c r="HUC1099"/>
      <c r="HUD1099"/>
      <c r="HUG1099"/>
      <c r="HUH1099"/>
      <c r="HUK1099"/>
      <c r="HUL1099"/>
      <c r="HUO1099"/>
      <c r="HUP1099"/>
      <c r="HUS1099"/>
      <c r="HUT1099"/>
      <c r="HUW1099"/>
      <c r="HUX1099"/>
      <c r="HVA1099"/>
      <c r="HVB1099"/>
      <c r="HVE1099"/>
      <c r="HVF1099"/>
      <c r="HVI1099"/>
      <c r="HVJ1099"/>
      <c r="HVM1099"/>
      <c r="HVN1099"/>
      <c r="HVQ1099"/>
      <c r="HVR1099"/>
      <c r="HVU1099"/>
      <c r="HVV1099"/>
      <c r="HVY1099"/>
      <c r="HVZ1099"/>
      <c r="HWC1099"/>
      <c r="HWD1099"/>
      <c r="HWG1099"/>
      <c r="HWH1099"/>
      <c r="HWK1099"/>
      <c r="HWL1099"/>
      <c r="HWO1099"/>
      <c r="HWP1099"/>
      <c r="HWS1099"/>
      <c r="HWT1099"/>
      <c r="HWW1099"/>
      <c r="HWX1099"/>
      <c r="HXA1099"/>
      <c r="HXB1099"/>
      <c r="HXE1099"/>
      <c r="HXF1099"/>
      <c r="HXI1099"/>
      <c r="HXJ1099"/>
      <c r="HXM1099"/>
      <c r="HXN1099"/>
      <c r="HXQ1099"/>
      <c r="HXR1099"/>
      <c r="HXU1099"/>
      <c r="HXV1099"/>
      <c r="HXY1099"/>
      <c r="HXZ1099"/>
      <c r="HYC1099"/>
      <c r="HYD1099"/>
      <c r="HYG1099"/>
      <c r="HYH1099"/>
      <c r="HYK1099"/>
      <c r="HYL1099"/>
      <c r="HYO1099"/>
      <c r="HYP1099"/>
      <c r="HYS1099"/>
      <c r="HYT1099"/>
      <c r="HYW1099"/>
      <c r="HYX1099"/>
      <c r="HZA1099"/>
      <c r="HZB1099"/>
      <c r="HZE1099"/>
      <c r="HZF1099"/>
      <c r="HZI1099"/>
      <c r="HZJ1099"/>
      <c r="HZM1099"/>
      <c r="HZN1099"/>
      <c r="HZQ1099"/>
      <c r="HZR1099"/>
      <c r="HZU1099"/>
      <c r="HZV1099"/>
      <c r="HZY1099"/>
      <c r="HZZ1099"/>
      <c r="IAC1099"/>
      <c r="IAD1099"/>
      <c r="IAG1099"/>
      <c r="IAH1099"/>
      <c r="IAK1099"/>
      <c r="IAL1099"/>
      <c r="IAO1099"/>
      <c r="IAP1099"/>
      <c r="IAS1099"/>
      <c r="IAT1099"/>
      <c r="IAW1099"/>
      <c r="IAX1099"/>
      <c r="IBA1099"/>
      <c r="IBB1099"/>
      <c r="IBE1099"/>
      <c r="IBF1099"/>
      <c r="IBI1099"/>
      <c r="IBJ1099"/>
      <c r="IBM1099"/>
      <c r="IBN1099"/>
      <c r="IBQ1099"/>
      <c r="IBR1099"/>
      <c r="IBU1099"/>
      <c r="IBV1099"/>
      <c r="IBY1099"/>
      <c r="IBZ1099"/>
      <c r="ICC1099"/>
      <c r="ICD1099"/>
      <c r="ICG1099"/>
      <c r="ICH1099"/>
      <c r="ICK1099"/>
      <c r="ICL1099"/>
      <c r="ICO1099"/>
      <c r="ICP1099"/>
      <c r="ICS1099"/>
      <c r="ICT1099"/>
      <c r="ICW1099"/>
      <c r="ICX1099"/>
      <c r="IDA1099"/>
      <c r="IDB1099"/>
      <c r="IDE1099"/>
      <c r="IDF1099"/>
      <c r="IDI1099"/>
      <c r="IDJ1099"/>
      <c r="IDM1099"/>
      <c r="IDN1099"/>
      <c r="IDQ1099"/>
      <c r="IDR1099"/>
      <c r="IDU1099"/>
      <c r="IDV1099"/>
      <c r="IDY1099"/>
      <c r="IDZ1099"/>
      <c r="IEC1099"/>
      <c r="IED1099"/>
      <c r="IEG1099"/>
      <c r="IEH1099"/>
      <c r="IEK1099"/>
      <c r="IEL1099"/>
      <c r="IEO1099"/>
      <c r="IEP1099"/>
      <c r="IES1099"/>
      <c r="IET1099"/>
      <c r="IEW1099"/>
      <c r="IEX1099"/>
      <c r="IFA1099"/>
      <c r="IFB1099"/>
      <c r="IFE1099"/>
      <c r="IFF1099"/>
      <c r="IFI1099"/>
      <c r="IFJ1099"/>
      <c r="IFM1099"/>
      <c r="IFN1099"/>
      <c r="IFQ1099"/>
      <c r="IFR1099"/>
      <c r="IFU1099"/>
      <c r="IFV1099"/>
      <c r="IFY1099"/>
      <c r="IFZ1099"/>
      <c r="IGC1099"/>
      <c r="IGD1099"/>
      <c r="IGG1099"/>
      <c r="IGH1099"/>
      <c r="IGK1099"/>
      <c r="IGL1099"/>
      <c r="IGO1099"/>
      <c r="IGP1099"/>
      <c r="IGS1099"/>
      <c r="IGT1099"/>
      <c r="IGW1099"/>
      <c r="IGX1099"/>
      <c r="IHA1099"/>
      <c r="IHB1099"/>
      <c r="IHE1099"/>
      <c r="IHF1099"/>
      <c r="IHI1099"/>
      <c r="IHJ1099"/>
      <c r="IHM1099"/>
      <c r="IHN1099"/>
      <c r="IHQ1099"/>
      <c r="IHR1099"/>
      <c r="IHU1099"/>
      <c r="IHV1099"/>
      <c r="IHY1099"/>
      <c r="IHZ1099"/>
      <c r="IIC1099"/>
      <c r="IID1099"/>
      <c r="IIG1099"/>
      <c r="IIH1099"/>
      <c r="IIK1099"/>
      <c r="IIL1099"/>
      <c r="IIO1099"/>
      <c r="IIP1099"/>
      <c r="IIS1099"/>
      <c r="IIT1099"/>
      <c r="IIW1099"/>
      <c r="IIX1099"/>
      <c r="IJA1099"/>
      <c r="IJB1099"/>
      <c r="IJE1099"/>
      <c r="IJF1099"/>
      <c r="IJI1099"/>
      <c r="IJJ1099"/>
      <c r="IJM1099"/>
      <c r="IJN1099"/>
      <c r="IJQ1099"/>
      <c r="IJR1099"/>
      <c r="IJU1099"/>
      <c r="IJV1099"/>
      <c r="IJY1099"/>
      <c r="IJZ1099"/>
      <c r="IKC1099"/>
      <c r="IKD1099"/>
      <c r="IKG1099"/>
      <c r="IKH1099"/>
      <c r="IKK1099"/>
      <c r="IKL1099"/>
      <c r="IKO1099"/>
      <c r="IKP1099"/>
      <c r="IKS1099"/>
      <c r="IKT1099"/>
      <c r="IKW1099"/>
      <c r="IKX1099"/>
      <c r="ILA1099"/>
      <c r="ILB1099"/>
      <c r="ILE1099"/>
      <c r="ILF1099"/>
      <c r="ILI1099"/>
      <c r="ILJ1099"/>
      <c r="ILM1099"/>
      <c r="ILN1099"/>
      <c r="ILQ1099"/>
      <c r="ILR1099"/>
      <c r="ILU1099"/>
      <c r="ILV1099"/>
      <c r="ILY1099"/>
      <c r="ILZ1099"/>
      <c r="IMC1099"/>
      <c r="IMD1099"/>
      <c r="IMG1099"/>
      <c r="IMH1099"/>
      <c r="IMK1099"/>
      <c r="IML1099"/>
      <c r="IMO1099"/>
      <c r="IMP1099"/>
      <c r="IMS1099"/>
      <c r="IMT1099"/>
      <c r="IMW1099"/>
      <c r="IMX1099"/>
      <c r="INA1099"/>
      <c r="INB1099"/>
      <c r="INE1099"/>
      <c r="INF1099"/>
      <c r="INI1099"/>
      <c r="INJ1099"/>
      <c r="INM1099"/>
      <c r="INN1099"/>
      <c r="INQ1099"/>
      <c r="INR1099"/>
      <c r="INU1099"/>
      <c r="INV1099"/>
      <c r="INY1099"/>
      <c r="INZ1099"/>
      <c r="IOC1099"/>
      <c r="IOD1099"/>
      <c r="IOG1099"/>
      <c r="IOH1099"/>
      <c r="IOK1099"/>
      <c r="IOL1099"/>
      <c r="IOO1099"/>
      <c r="IOP1099"/>
      <c r="IOS1099"/>
      <c r="IOT1099"/>
      <c r="IOW1099"/>
      <c r="IOX1099"/>
      <c r="IPA1099"/>
      <c r="IPB1099"/>
      <c r="IPE1099"/>
      <c r="IPF1099"/>
      <c r="IPI1099"/>
      <c r="IPJ1099"/>
      <c r="IPM1099"/>
      <c r="IPN1099"/>
      <c r="IPQ1099"/>
      <c r="IPR1099"/>
      <c r="IPU1099"/>
      <c r="IPV1099"/>
      <c r="IPY1099"/>
      <c r="IPZ1099"/>
      <c r="IQC1099"/>
      <c r="IQD1099"/>
      <c r="IQG1099"/>
      <c r="IQH1099"/>
      <c r="IQK1099"/>
      <c r="IQL1099"/>
      <c r="IQO1099"/>
      <c r="IQP1099"/>
      <c r="IQS1099"/>
      <c r="IQT1099"/>
      <c r="IQW1099"/>
      <c r="IQX1099"/>
      <c r="IRA1099"/>
      <c r="IRB1099"/>
      <c r="IRE1099"/>
      <c r="IRF1099"/>
      <c r="IRI1099"/>
      <c r="IRJ1099"/>
      <c r="IRM1099"/>
      <c r="IRN1099"/>
      <c r="IRQ1099"/>
      <c r="IRR1099"/>
      <c r="IRU1099"/>
      <c r="IRV1099"/>
      <c r="IRY1099"/>
      <c r="IRZ1099"/>
      <c r="ISC1099"/>
      <c r="ISD1099"/>
      <c r="ISG1099"/>
      <c r="ISH1099"/>
      <c r="ISK1099"/>
      <c r="ISL1099"/>
      <c r="ISO1099"/>
      <c r="ISP1099"/>
      <c r="ISS1099"/>
      <c r="IST1099"/>
      <c r="ISW1099"/>
      <c r="ISX1099"/>
      <c r="ITA1099"/>
      <c r="ITB1099"/>
      <c r="ITE1099"/>
      <c r="ITF1099"/>
      <c r="ITI1099"/>
      <c r="ITJ1099"/>
      <c r="ITM1099"/>
      <c r="ITN1099"/>
      <c r="ITQ1099"/>
      <c r="ITR1099"/>
      <c r="ITU1099"/>
      <c r="ITV1099"/>
      <c r="ITY1099"/>
      <c r="ITZ1099"/>
      <c r="IUC1099"/>
      <c r="IUD1099"/>
      <c r="IUG1099"/>
      <c r="IUH1099"/>
      <c r="IUK1099"/>
      <c r="IUL1099"/>
      <c r="IUO1099"/>
      <c r="IUP1099"/>
      <c r="IUS1099"/>
      <c r="IUT1099"/>
      <c r="IUW1099"/>
      <c r="IUX1099"/>
      <c r="IVA1099"/>
      <c r="IVB1099"/>
      <c r="IVE1099"/>
      <c r="IVF1099"/>
      <c r="IVI1099"/>
      <c r="IVJ1099"/>
      <c r="IVM1099"/>
      <c r="IVN1099"/>
      <c r="IVQ1099"/>
      <c r="IVR1099"/>
      <c r="IVU1099"/>
      <c r="IVV1099"/>
      <c r="IVY1099"/>
      <c r="IVZ1099"/>
      <c r="IWC1099"/>
      <c r="IWD1099"/>
      <c r="IWG1099"/>
      <c r="IWH1099"/>
      <c r="IWK1099"/>
      <c r="IWL1099"/>
      <c r="IWO1099"/>
      <c r="IWP1099"/>
      <c r="IWS1099"/>
      <c r="IWT1099"/>
      <c r="IWW1099"/>
      <c r="IWX1099"/>
      <c r="IXA1099"/>
      <c r="IXB1099"/>
      <c r="IXE1099"/>
      <c r="IXF1099"/>
      <c r="IXI1099"/>
      <c r="IXJ1099"/>
      <c r="IXM1099"/>
      <c r="IXN1099"/>
      <c r="IXQ1099"/>
      <c r="IXR1099"/>
      <c r="IXU1099"/>
      <c r="IXV1099"/>
      <c r="IXY1099"/>
      <c r="IXZ1099"/>
      <c r="IYC1099"/>
      <c r="IYD1099"/>
      <c r="IYG1099"/>
      <c r="IYH1099"/>
      <c r="IYK1099"/>
      <c r="IYL1099"/>
      <c r="IYO1099"/>
      <c r="IYP1099"/>
      <c r="IYS1099"/>
      <c r="IYT1099"/>
      <c r="IYW1099"/>
      <c r="IYX1099"/>
      <c r="IZA1099"/>
      <c r="IZB1099"/>
      <c r="IZE1099"/>
      <c r="IZF1099"/>
      <c r="IZI1099"/>
      <c r="IZJ1099"/>
      <c r="IZM1099"/>
      <c r="IZN1099"/>
      <c r="IZQ1099"/>
      <c r="IZR1099"/>
      <c r="IZU1099"/>
      <c r="IZV1099"/>
      <c r="IZY1099"/>
      <c r="IZZ1099"/>
      <c r="JAC1099"/>
      <c r="JAD1099"/>
      <c r="JAG1099"/>
      <c r="JAH1099"/>
      <c r="JAK1099"/>
      <c r="JAL1099"/>
      <c r="JAO1099"/>
      <c r="JAP1099"/>
      <c r="JAS1099"/>
      <c r="JAT1099"/>
      <c r="JAW1099"/>
      <c r="JAX1099"/>
      <c r="JBA1099"/>
      <c r="JBB1099"/>
      <c r="JBE1099"/>
      <c r="JBF1099"/>
      <c r="JBI1099"/>
      <c r="JBJ1099"/>
      <c r="JBM1099"/>
      <c r="JBN1099"/>
      <c r="JBQ1099"/>
      <c r="JBR1099"/>
      <c r="JBU1099"/>
      <c r="JBV1099"/>
      <c r="JBY1099"/>
      <c r="JBZ1099"/>
      <c r="JCC1099"/>
      <c r="JCD1099"/>
      <c r="JCG1099"/>
      <c r="JCH1099"/>
      <c r="JCK1099"/>
      <c r="JCL1099"/>
      <c r="JCO1099"/>
      <c r="JCP1099"/>
      <c r="JCS1099"/>
      <c r="JCT1099"/>
      <c r="JCW1099"/>
      <c r="JCX1099"/>
      <c r="JDA1099"/>
      <c r="JDB1099"/>
      <c r="JDE1099"/>
      <c r="JDF1099"/>
      <c r="JDI1099"/>
      <c r="JDJ1099"/>
      <c r="JDM1099"/>
      <c r="JDN1099"/>
      <c r="JDQ1099"/>
      <c r="JDR1099"/>
      <c r="JDU1099"/>
      <c r="JDV1099"/>
      <c r="JDY1099"/>
      <c r="JDZ1099"/>
      <c r="JEC1099"/>
      <c r="JED1099"/>
      <c r="JEG1099"/>
      <c r="JEH1099"/>
      <c r="JEK1099"/>
      <c r="JEL1099"/>
      <c r="JEO1099"/>
      <c r="JEP1099"/>
      <c r="JES1099"/>
      <c r="JET1099"/>
      <c r="JEW1099"/>
      <c r="JEX1099"/>
      <c r="JFA1099"/>
      <c r="JFB1099"/>
      <c r="JFE1099"/>
      <c r="JFF1099"/>
      <c r="JFI1099"/>
      <c r="JFJ1099"/>
      <c r="JFM1099"/>
      <c r="JFN1099"/>
      <c r="JFQ1099"/>
      <c r="JFR1099"/>
      <c r="JFU1099"/>
      <c r="JFV1099"/>
      <c r="JFY1099"/>
      <c r="JFZ1099"/>
      <c r="JGC1099"/>
      <c r="JGD1099"/>
      <c r="JGG1099"/>
      <c r="JGH1099"/>
      <c r="JGK1099"/>
      <c r="JGL1099"/>
      <c r="JGO1099"/>
      <c r="JGP1099"/>
      <c r="JGS1099"/>
      <c r="JGT1099"/>
      <c r="JGW1099"/>
      <c r="JGX1099"/>
      <c r="JHA1099"/>
      <c r="JHB1099"/>
      <c r="JHE1099"/>
      <c r="JHF1099"/>
      <c r="JHI1099"/>
      <c r="JHJ1099"/>
      <c r="JHM1099"/>
      <c r="JHN1099"/>
      <c r="JHQ1099"/>
      <c r="JHR1099"/>
      <c r="JHU1099"/>
      <c r="JHV1099"/>
      <c r="JHY1099"/>
      <c r="JHZ1099"/>
      <c r="JIC1099"/>
      <c r="JID1099"/>
      <c r="JIG1099"/>
      <c r="JIH1099"/>
      <c r="JIK1099"/>
      <c r="JIL1099"/>
      <c r="JIO1099"/>
      <c r="JIP1099"/>
      <c r="JIS1099"/>
      <c r="JIT1099"/>
      <c r="JIW1099"/>
      <c r="JIX1099"/>
      <c r="JJA1099"/>
      <c r="JJB1099"/>
      <c r="JJE1099"/>
      <c r="JJF1099"/>
      <c r="JJI1099"/>
      <c r="JJJ1099"/>
      <c r="JJM1099"/>
      <c r="JJN1099"/>
      <c r="JJQ1099"/>
      <c r="JJR1099"/>
      <c r="JJU1099"/>
      <c r="JJV1099"/>
      <c r="JJY1099"/>
      <c r="JJZ1099"/>
      <c r="JKC1099"/>
      <c r="JKD1099"/>
      <c r="JKG1099"/>
      <c r="JKH1099"/>
      <c r="JKK1099"/>
      <c r="JKL1099"/>
      <c r="JKO1099"/>
      <c r="JKP1099"/>
      <c r="JKS1099"/>
      <c r="JKT1099"/>
      <c r="JKW1099"/>
      <c r="JKX1099"/>
      <c r="JLA1099"/>
      <c r="JLB1099"/>
      <c r="JLE1099"/>
      <c r="JLF1099"/>
      <c r="JLI1099"/>
      <c r="JLJ1099"/>
      <c r="JLM1099"/>
      <c r="JLN1099"/>
      <c r="JLQ1099"/>
      <c r="JLR1099"/>
      <c r="JLU1099"/>
      <c r="JLV1099"/>
      <c r="JLY1099"/>
      <c r="JLZ1099"/>
      <c r="JMC1099"/>
      <c r="JMD1099"/>
      <c r="JMG1099"/>
      <c r="JMH1099"/>
      <c r="JMK1099"/>
      <c r="JML1099"/>
      <c r="JMO1099"/>
      <c r="JMP1099"/>
      <c r="JMS1099"/>
      <c r="JMT1099"/>
      <c r="JMW1099"/>
      <c r="JMX1099"/>
      <c r="JNA1099"/>
      <c r="JNB1099"/>
      <c r="JNE1099"/>
      <c r="JNF1099"/>
      <c r="JNI1099"/>
      <c r="JNJ1099"/>
      <c r="JNM1099"/>
      <c r="JNN1099"/>
      <c r="JNQ1099"/>
      <c r="JNR1099"/>
      <c r="JNU1099"/>
      <c r="JNV1099"/>
      <c r="JNY1099"/>
      <c r="JNZ1099"/>
      <c r="JOC1099"/>
      <c r="JOD1099"/>
      <c r="JOG1099"/>
      <c r="JOH1099"/>
      <c r="JOK1099"/>
      <c r="JOL1099"/>
      <c r="JOO1099"/>
      <c r="JOP1099"/>
      <c r="JOS1099"/>
      <c r="JOT1099"/>
      <c r="JOW1099"/>
      <c r="JOX1099"/>
      <c r="JPA1099"/>
      <c r="JPB1099"/>
      <c r="JPE1099"/>
      <c r="JPF1099"/>
      <c r="JPI1099"/>
      <c r="JPJ1099"/>
      <c r="JPM1099"/>
      <c r="JPN1099"/>
      <c r="JPQ1099"/>
      <c r="JPR1099"/>
      <c r="JPU1099"/>
      <c r="JPV1099"/>
      <c r="JPY1099"/>
      <c r="JPZ1099"/>
      <c r="JQC1099"/>
      <c r="JQD1099"/>
      <c r="JQG1099"/>
      <c r="JQH1099"/>
      <c r="JQK1099"/>
      <c r="JQL1099"/>
      <c r="JQO1099"/>
      <c r="JQP1099"/>
      <c r="JQS1099"/>
      <c r="JQT1099"/>
      <c r="JQW1099"/>
      <c r="JQX1099"/>
      <c r="JRA1099"/>
      <c r="JRB1099"/>
      <c r="JRE1099"/>
      <c r="JRF1099"/>
      <c r="JRI1099"/>
      <c r="JRJ1099"/>
      <c r="JRM1099"/>
      <c r="JRN1099"/>
      <c r="JRQ1099"/>
      <c r="JRR1099"/>
      <c r="JRU1099"/>
      <c r="JRV1099"/>
      <c r="JRY1099"/>
      <c r="JRZ1099"/>
      <c r="JSC1099"/>
      <c r="JSD1099"/>
      <c r="JSG1099"/>
      <c r="JSH1099"/>
      <c r="JSK1099"/>
      <c r="JSL1099"/>
      <c r="JSO1099"/>
      <c r="JSP1099"/>
      <c r="JSS1099"/>
      <c r="JST1099"/>
      <c r="JSW1099"/>
      <c r="JSX1099"/>
      <c r="JTA1099"/>
      <c r="JTB1099"/>
      <c r="JTE1099"/>
      <c r="JTF1099"/>
      <c r="JTI1099"/>
      <c r="JTJ1099"/>
      <c r="JTM1099"/>
      <c r="JTN1099"/>
      <c r="JTQ1099"/>
      <c r="JTR1099"/>
      <c r="JTU1099"/>
      <c r="JTV1099"/>
      <c r="JTY1099"/>
      <c r="JTZ1099"/>
      <c r="JUC1099"/>
      <c r="JUD1099"/>
      <c r="JUG1099"/>
      <c r="JUH1099"/>
      <c r="JUK1099"/>
      <c r="JUL1099"/>
      <c r="JUO1099"/>
      <c r="JUP1099"/>
      <c r="JUS1099"/>
      <c r="JUT1099"/>
      <c r="JUW1099"/>
      <c r="JUX1099"/>
      <c r="JVA1099"/>
      <c r="JVB1099"/>
      <c r="JVE1099"/>
      <c r="JVF1099"/>
      <c r="JVI1099"/>
      <c r="JVJ1099"/>
      <c r="JVM1099"/>
      <c r="JVN1099"/>
      <c r="JVQ1099"/>
      <c r="JVR1099"/>
      <c r="JVU1099"/>
      <c r="JVV1099"/>
      <c r="JVY1099"/>
      <c r="JVZ1099"/>
      <c r="JWC1099"/>
      <c r="JWD1099"/>
      <c r="JWG1099"/>
      <c r="JWH1099"/>
      <c r="JWK1099"/>
      <c r="JWL1099"/>
      <c r="JWO1099"/>
      <c r="JWP1099"/>
      <c r="JWS1099"/>
      <c r="JWT1099"/>
      <c r="JWW1099"/>
      <c r="JWX1099"/>
      <c r="JXA1099"/>
      <c r="JXB1099"/>
      <c r="JXE1099"/>
      <c r="JXF1099"/>
      <c r="JXI1099"/>
      <c r="JXJ1099"/>
      <c r="JXM1099"/>
      <c r="JXN1099"/>
      <c r="JXQ1099"/>
      <c r="JXR1099"/>
      <c r="JXU1099"/>
      <c r="JXV1099"/>
      <c r="JXY1099"/>
      <c r="JXZ1099"/>
      <c r="JYC1099"/>
      <c r="JYD1099"/>
      <c r="JYG1099"/>
      <c r="JYH1099"/>
      <c r="JYK1099"/>
      <c r="JYL1099"/>
      <c r="JYO1099"/>
      <c r="JYP1099"/>
      <c r="JYS1099"/>
      <c r="JYT1099"/>
      <c r="JYW1099"/>
      <c r="JYX1099"/>
      <c r="JZA1099"/>
      <c r="JZB1099"/>
      <c r="JZE1099"/>
      <c r="JZF1099"/>
      <c r="JZI1099"/>
      <c r="JZJ1099"/>
      <c r="JZM1099"/>
      <c r="JZN1099"/>
      <c r="JZQ1099"/>
      <c r="JZR1099"/>
      <c r="JZU1099"/>
      <c r="JZV1099"/>
      <c r="JZY1099"/>
      <c r="JZZ1099"/>
      <c r="KAC1099"/>
      <c r="KAD1099"/>
      <c r="KAG1099"/>
      <c r="KAH1099"/>
      <c r="KAK1099"/>
      <c r="KAL1099"/>
      <c r="KAO1099"/>
      <c r="KAP1099"/>
      <c r="KAS1099"/>
      <c r="KAT1099"/>
      <c r="KAW1099"/>
      <c r="KAX1099"/>
      <c r="KBA1099"/>
      <c r="KBB1099"/>
      <c r="KBE1099"/>
      <c r="KBF1099"/>
      <c r="KBI1099"/>
      <c r="KBJ1099"/>
      <c r="KBM1099"/>
      <c r="KBN1099"/>
      <c r="KBQ1099"/>
      <c r="KBR1099"/>
      <c r="KBU1099"/>
      <c r="KBV1099"/>
      <c r="KBY1099"/>
      <c r="KBZ1099"/>
      <c r="KCC1099"/>
      <c r="KCD1099"/>
      <c r="KCG1099"/>
      <c r="KCH1099"/>
      <c r="KCK1099"/>
      <c r="KCL1099"/>
      <c r="KCO1099"/>
      <c r="KCP1099"/>
      <c r="KCS1099"/>
      <c r="KCT1099"/>
      <c r="KCW1099"/>
      <c r="KCX1099"/>
      <c r="KDA1099"/>
      <c r="KDB1099"/>
      <c r="KDE1099"/>
      <c r="KDF1099"/>
      <c r="KDI1099"/>
      <c r="KDJ1099"/>
      <c r="KDM1099"/>
      <c r="KDN1099"/>
      <c r="KDQ1099"/>
      <c r="KDR1099"/>
      <c r="KDU1099"/>
      <c r="KDV1099"/>
      <c r="KDY1099"/>
      <c r="KDZ1099"/>
      <c r="KEC1099"/>
      <c r="KED1099"/>
      <c r="KEG1099"/>
      <c r="KEH1099"/>
      <c r="KEK1099"/>
      <c r="KEL1099"/>
      <c r="KEO1099"/>
      <c r="KEP1099"/>
      <c r="KES1099"/>
      <c r="KET1099"/>
      <c r="KEW1099"/>
      <c r="KEX1099"/>
      <c r="KFA1099"/>
      <c r="KFB1099"/>
      <c r="KFE1099"/>
      <c r="KFF1099"/>
      <c r="KFI1099"/>
      <c r="KFJ1099"/>
      <c r="KFM1099"/>
      <c r="KFN1099"/>
      <c r="KFQ1099"/>
      <c r="KFR1099"/>
      <c r="KFU1099"/>
      <c r="KFV1099"/>
      <c r="KFY1099"/>
      <c r="KFZ1099"/>
      <c r="KGC1099"/>
      <c r="KGD1099"/>
      <c r="KGG1099"/>
      <c r="KGH1099"/>
      <c r="KGK1099"/>
      <c r="KGL1099"/>
      <c r="KGO1099"/>
      <c r="KGP1099"/>
      <c r="KGS1099"/>
      <c r="KGT1099"/>
      <c r="KGW1099"/>
      <c r="KGX1099"/>
      <c r="KHA1099"/>
      <c r="KHB1099"/>
      <c r="KHE1099"/>
      <c r="KHF1099"/>
      <c r="KHI1099"/>
      <c r="KHJ1099"/>
      <c r="KHM1099"/>
      <c r="KHN1099"/>
      <c r="KHQ1099"/>
      <c r="KHR1099"/>
      <c r="KHU1099"/>
      <c r="KHV1099"/>
      <c r="KHY1099"/>
      <c r="KHZ1099"/>
      <c r="KIC1099"/>
      <c r="KID1099"/>
      <c r="KIG1099"/>
      <c r="KIH1099"/>
      <c r="KIK1099"/>
      <c r="KIL1099"/>
      <c r="KIO1099"/>
      <c r="KIP1099"/>
      <c r="KIS1099"/>
      <c r="KIT1099"/>
      <c r="KIW1099"/>
      <c r="KIX1099"/>
      <c r="KJA1099"/>
      <c r="KJB1099"/>
      <c r="KJE1099"/>
      <c r="KJF1099"/>
      <c r="KJI1099"/>
      <c r="KJJ1099"/>
      <c r="KJM1099"/>
      <c r="KJN1099"/>
      <c r="KJQ1099"/>
      <c r="KJR1099"/>
      <c r="KJU1099"/>
      <c r="KJV1099"/>
      <c r="KJY1099"/>
      <c r="KJZ1099"/>
      <c r="KKC1099"/>
      <c r="KKD1099"/>
      <c r="KKG1099"/>
      <c r="KKH1099"/>
      <c r="KKK1099"/>
      <c r="KKL1099"/>
      <c r="KKO1099"/>
      <c r="KKP1099"/>
      <c r="KKS1099"/>
      <c r="KKT1099"/>
      <c r="KKW1099"/>
      <c r="KKX1099"/>
      <c r="KLA1099"/>
      <c r="KLB1099"/>
      <c r="KLE1099"/>
      <c r="KLF1099"/>
      <c r="KLI1099"/>
      <c r="KLJ1099"/>
      <c r="KLM1099"/>
      <c r="KLN1099"/>
      <c r="KLQ1099"/>
      <c r="KLR1099"/>
      <c r="KLU1099"/>
      <c r="KLV1099"/>
      <c r="KLY1099"/>
      <c r="KLZ1099"/>
      <c r="KMC1099"/>
      <c r="KMD1099"/>
      <c r="KMG1099"/>
      <c r="KMH1099"/>
      <c r="KMK1099"/>
      <c r="KML1099"/>
      <c r="KMO1099"/>
      <c r="KMP1099"/>
      <c r="KMS1099"/>
      <c r="KMT1099"/>
      <c r="KMW1099"/>
      <c r="KMX1099"/>
      <c r="KNA1099"/>
      <c r="KNB1099"/>
      <c r="KNE1099"/>
      <c r="KNF1099"/>
      <c r="KNI1099"/>
      <c r="KNJ1099"/>
      <c r="KNM1099"/>
      <c r="KNN1099"/>
      <c r="KNQ1099"/>
      <c r="KNR1099"/>
      <c r="KNU1099"/>
      <c r="KNV1099"/>
      <c r="KNY1099"/>
      <c r="KNZ1099"/>
      <c r="KOC1099"/>
      <c r="KOD1099"/>
      <c r="KOG1099"/>
      <c r="KOH1099"/>
      <c r="KOK1099"/>
      <c r="KOL1099"/>
      <c r="KOO1099"/>
      <c r="KOP1099"/>
      <c r="KOS1099"/>
      <c r="KOT1099"/>
      <c r="KOW1099"/>
      <c r="KOX1099"/>
      <c r="KPA1099"/>
      <c r="KPB1099"/>
      <c r="KPE1099"/>
      <c r="KPF1099"/>
      <c r="KPI1099"/>
      <c r="KPJ1099"/>
      <c r="KPM1099"/>
      <c r="KPN1099"/>
      <c r="KPQ1099"/>
      <c r="KPR1099"/>
      <c r="KPU1099"/>
      <c r="KPV1099"/>
      <c r="KPY1099"/>
      <c r="KPZ1099"/>
      <c r="KQC1099"/>
      <c r="KQD1099"/>
      <c r="KQG1099"/>
      <c r="KQH1099"/>
      <c r="KQK1099"/>
      <c r="KQL1099"/>
      <c r="KQO1099"/>
      <c r="KQP1099"/>
      <c r="KQS1099"/>
      <c r="KQT1099"/>
      <c r="KQW1099"/>
      <c r="KQX1099"/>
      <c r="KRA1099"/>
      <c r="KRB1099"/>
      <c r="KRE1099"/>
      <c r="KRF1099"/>
      <c r="KRI1099"/>
      <c r="KRJ1099"/>
      <c r="KRM1099"/>
      <c r="KRN1099"/>
      <c r="KRQ1099"/>
      <c r="KRR1099"/>
      <c r="KRU1099"/>
      <c r="KRV1099"/>
      <c r="KRY1099"/>
      <c r="KRZ1099"/>
      <c r="KSC1099"/>
      <c r="KSD1099"/>
      <c r="KSG1099"/>
      <c r="KSH1099"/>
      <c r="KSK1099"/>
      <c r="KSL1099"/>
      <c r="KSO1099"/>
      <c r="KSP1099"/>
      <c r="KSS1099"/>
      <c r="KST1099"/>
      <c r="KSW1099"/>
      <c r="KSX1099"/>
      <c r="KTA1099"/>
      <c r="KTB1099"/>
      <c r="KTE1099"/>
      <c r="KTF1099"/>
      <c r="KTI1099"/>
      <c r="KTJ1099"/>
      <c r="KTM1099"/>
      <c r="KTN1099"/>
      <c r="KTQ1099"/>
      <c r="KTR1099"/>
      <c r="KTU1099"/>
      <c r="KTV1099"/>
      <c r="KTY1099"/>
      <c r="KTZ1099"/>
      <c r="KUC1099"/>
      <c r="KUD1099"/>
      <c r="KUG1099"/>
      <c r="KUH1099"/>
      <c r="KUK1099"/>
      <c r="KUL1099"/>
      <c r="KUO1099"/>
      <c r="KUP1099"/>
      <c r="KUS1099"/>
      <c r="KUT1099"/>
      <c r="KUW1099"/>
      <c r="KUX1099"/>
      <c r="KVA1099"/>
      <c r="KVB1099"/>
      <c r="KVE1099"/>
      <c r="KVF1099"/>
      <c r="KVI1099"/>
      <c r="KVJ1099"/>
      <c r="KVM1099"/>
      <c r="KVN1099"/>
      <c r="KVQ1099"/>
      <c r="KVR1099"/>
      <c r="KVU1099"/>
      <c r="KVV1099"/>
      <c r="KVY1099"/>
      <c r="KVZ1099"/>
      <c r="KWC1099"/>
      <c r="KWD1099"/>
      <c r="KWG1099"/>
      <c r="KWH1099"/>
      <c r="KWK1099"/>
      <c r="KWL1099"/>
      <c r="KWO1099"/>
      <c r="KWP1099"/>
      <c r="KWS1099"/>
      <c r="KWT1099"/>
      <c r="KWW1099"/>
      <c r="KWX1099"/>
      <c r="KXA1099"/>
      <c r="KXB1099"/>
      <c r="KXE1099"/>
      <c r="KXF1099"/>
      <c r="KXI1099"/>
      <c r="KXJ1099"/>
      <c r="KXM1099"/>
      <c r="KXN1099"/>
      <c r="KXQ1099"/>
      <c r="KXR1099"/>
      <c r="KXU1099"/>
      <c r="KXV1099"/>
      <c r="KXY1099"/>
      <c r="KXZ1099"/>
      <c r="KYC1099"/>
      <c r="KYD1099"/>
      <c r="KYG1099"/>
      <c r="KYH1099"/>
      <c r="KYK1099"/>
      <c r="KYL1099"/>
      <c r="KYO1099"/>
      <c r="KYP1099"/>
      <c r="KYS1099"/>
      <c r="KYT1099"/>
      <c r="KYW1099"/>
      <c r="KYX1099"/>
      <c r="KZA1099"/>
      <c r="KZB1099"/>
      <c r="KZE1099"/>
      <c r="KZF1099"/>
      <c r="KZI1099"/>
      <c r="KZJ1099"/>
      <c r="KZM1099"/>
      <c r="KZN1099"/>
      <c r="KZQ1099"/>
      <c r="KZR1099"/>
      <c r="KZU1099"/>
      <c r="KZV1099"/>
      <c r="KZY1099"/>
      <c r="KZZ1099"/>
      <c r="LAC1099"/>
      <c r="LAD1099"/>
      <c r="LAG1099"/>
      <c r="LAH1099"/>
      <c r="LAK1099"/>
      <c r="LAL1099"/>
      <c r="LAO1099"/>
      <c r="LAP1099"/>
      <c r="LAS1099"/>
      <c r="LAT1099"/>
      <c r="LAW1099"/>
      <c r="LAX1099"/>
      <c r="LBA1099"/>
      <c r="LBB1099"/>
      <c r="LBE1099"/>
      <c r="LBF1099"/>
      <c r="LBI1099"/>
      <c r="LBJ1099"/>
      <c r="LBM1099"/>
      <c r="LBN1099"/>
      <c r="LBQ1099"/>
      <c r="LBR1099"/>
      <c r="LBU1099"/>
      <c r="LBV1099"/>
      <c r="LBY1099"/>
      <c r="LBZ1099"/>
      <c r="LCC1099"/>
      <c r="LCD1099"/>
      <c r="LCG1099"/>
      <c r="LCH1099"/>
      <c r="LCK1099"/>
      <c r="LCL1099"/>
      <c r="LCO1099"/>
      <c r="LCP1099"/>
      <c r="LCS1099"/>
      <c r="LCT1099"/>
      <c r="LCW1099"/>
      <c r="LCX1099"/>
      <c r="LDA1099"/>
      <c r="LDB1099"/>
      <c r="LDE1099"/>
      <c r="LDF1099"/>
      <c r="LDI1099"/>
      <c r="LDJ1099"/>
      <c r="LDM1099"/>
      <c r="LDN1099"/>
      <c r="LDQ1099"/>
      <c r="LDR1099"/>
      <c r="LDU1099"/>
      <c r="LDV1099"/>
      <c r="LDY1099"/>
      <c r="LDZ1099"/>
      <c r="LEC1099"/>
      <c r="LED1099"/>
      <c r="LEG1099"/>
      <c r="LEH1099"/>
      <c r="LEK1099"/>
      <c r="LEL1099"/>
      <c r="LEO1099"/>
      <c r="LEP1099"/>
      <c r="LES1099"/>
      <c r="LET1099"/>
      <c r="LEW1099"/>
      <c r="LEX1099"/>
      <c r="LFA1099"/>
      <c r="LFB1099"/>
      <c r="LFE1099"/>
      <c r="LFF1099"/>
      <c r="LFI1099"/>
      <c r="LFJ1099"/>
      <c r="LFM1099"/>
      <c r="LFN1099"/>
      <c r="LFQ1099"/>
      <c r="LFR1099"/>
      <c r="LFU1099"/>
      <c r="LFV1099"/>
      <c r="LFY1099"/>
      <c r="LFZ1099"/>
      <c r="LGC1099"/>
      <c r="LGD1099"/>
      <c r="LGG1099"/>
      <c r="LGH1099"/>
      <c r="LGK1099"/>
      <c r="LGL1099"/>
      <c r="LGO1099"/>
      <c r="LGP1099"/>
      <c r="LGS1099"/>
      <c r="LGT1099"/>
      <c r="LGW1099"/>
      <c r="LGX1099"/>
      <c r="LHA1099"/>
      <c r="LHB1099"/>
      <c r="LHE1099"/>
      <c r="LHF1099"/>
      <c r="LHI1099"/>
      <c r="LHJ1099"/>
      <c r="LHM1099"/>
      <c r="LHN1099"/>
      <c r="LHQ1099"/>
      <c r="LHR1099"/>
      <c r="LHU1099"/>
      <c r="LHV1099"/>
      <c r="LHY1099"/>
      <c r="LHZ1099"/>
      <c r="LIC1099"/>
      <c r="LID1099"/>
      <c r="LIG1099"/>
      <c r="LIH1099"/>
      <c r="LIK1099"/>
      <c r="LIL1099"/>
      <c r="LIO1099"/>
      <c r="LIP1099"/>
      <c r="LIS1099"/>
      <c r="LIT1099"/>
      <c r="LIW1099"/>
      <c r="LIX1099"/>
      <c r="LJA1099"/>
      <c r="LJB1099"/>
      <c r="LJE1099"/>
      <c r="LJF1099"/>
      <c r="LJI1099"/>
      <c r="LJJ1099"/>
      <c r="LJM1099"/>
      <c r="LJN1099"/>
      <c r="LJQ1099"/>
      <c r="LJR1099"/>
      <c r="LJU1099"/>
      <c r="LJV1099"/>
      <c r="LJY1099"/>
      <c r="LJZ1099"/>
      <c r="LKC1099"/>
      <c r="LKD1099"/>
      <c r="LKG1099"/>
      <c r="LKH1099"/>
      <c r="LKK1099"/>
      <c r="LKL1099"/>
      <c r="LKO1099"/>
      <c r="LKP1099"/>
      <c r="LKS1099"/>
      <c r="LKT1099"/>
      <c r="LKW1099"/>
      <c r="LKX1099"/>
      <c r="LLA1099"/>
      <c r="LLB1099"/>
      <c r="LLE1099"/>
      <c r="LLF1099"/>
      <c r="LLI1099"/>
      <c r="LLJ1099"/>
      <c r="LLM1099"/>
      <c r="LLN1099"/>
      <c r="LLQ1099"/>
      <c r="LLR1099"/>
      <c r="LLU1099"/>
      <c r="LLV1099"/>
      <c r="LLY1099"/>
      <c r="LLZ1099"/>
      <c r="LMC1099"/>
      <c r="LMD1099"/>
      <c r="LMG1099"/>
      <c r="LMH1099"/>
      <c r="LMK1099"/>
      <c r="LML1099"/>
      <c r="LMO1099"/>
      <c r="LMP1099"/>
      <c r="LMS1099"/>
      <c r="LMT1099"/>
      <c r="LMW1099"/>
      <c r="LMX1099"/>
      <c r="LNA1099"/>
      <c r="LNB1099"/>
      <c r="LNE1099"/>
      <c r="LNF1099"/>
      <c r="LNI1099"/>
      <c r="LNJ1099"/>
      <c r="LNM1099"/>
      <c r="LNN1099"/>
      <c r="LNQ1099"/>
      <c r="LNR1099"/>
      <c r="LNU1099"/>
      <c r="LNV1099"/>
      <c r="LNY1099"/>
      <c r="LNZ1099"/>
      <c r="LOC1099"/>
      <c r="LOD1099"/>
      <c r="LOG1099"/>
      <c r="LOH1099"/>
      <c r="LOK1099"/>
      <c r="LOL1099"/>
      <c r="LOO1099"/>
      <c r="LOP1099"/>
      <c r="LOS1099"/>
      <c r="LOT1099"/>
      <c r="LOW1099"/>
      <c r="LOX1099"/>
      <c r="LPA1099"/>
      <c r="LPB1099"/>
      <c r="LPE1099"/>
      <c r="LPF1099"/>
      <c r="LPI1099"/>
      <c r="LPJ1099"/>
      <c r="LPM1099"/>
      <c r="LPN1099"/>
      <c r="LPQ1099"/>
      <c r="LPR1099"/>
      <c r="LPU1099"/>
      <c r="LPV1099"/>
      <c r="LPY1099"/>
      <c r="LPZ1099"/>
      <c r="LQC1099"/>
      <c r="LQD1099"/>
      <c r="LQG1099"/>
      <c r="LQH1099"/>
      <c r="LQK1099"/>
      <c r="LQL1099"/>
      <c r="LQO1099"/>
      <c r="LQP1099"/>
      <c r="LQS1099"/>
      <c r="LQT1099"/>
      <c r="LQW1099"/>
      <c r="LQX1099"/>
      <c r="LRA1099"/>
      <c r="LRB1099"/>
      <c r="LRE1099"/>
      <c r="LRF1099"/>
      <c r="LRI1099"/>
      <c r="LRJ1099"/>
      <c r="LRM1099"/>
      <c r="LRN1099"/>
      <c r="LRQ1099"/>
      <c r="LRR1099"/>
      <c r="LRU1099"/>
      <c r="LRV1099"/>
      <c r="LRY1099"/>
      <c r="LRZ1099"/>
      <c r="LSC1099"/>
      <c r="LSD1099"/>
      <c r="LSG1099"/>
      <c r="LSH1099"/>
      <c r="LSK1099"/>
      <c r="LSL1099"/>
      <c r="LSO1099"/>
      <c r="LSP1099"/>
      <c r="LSS1099"/>
      <c r="LST1099"/>
      <c r="LSW1099"/>
      <c r="LSX1099"/>
      <c r="LTA1099"/>
      <c r="LTB1099"/>
      <c r="LTE1099"/>
      <c r="LTF1099"/>
      <c r="LTI1099"/>
      <c r="LTJ1099"/>
      <c r="LTM1099"/>
      <c r="LTN1099"/>
      <c r="LTQ1099"/>
      <c r="LTR1099"/>
      <c r="LTU1099"/>
      <c r="LTV1099"/>
      <c r="LTY1099"/>
      <c r="LTZ1099"/>
      <c r="LUC1099"/>
      <c r="LUD1099"/>
      <c r="LUG1099"/>
      <c r="LUH1099"/>
      <c r="LUK1099"/>
      <c r="LUL1099"/>
      <c r="LUO1099"/>
      <c r="LUP1099"/>
      <c r="LUS1099"/>
      <c r="LUT1099"/>
      <c r="LUW1099"/>
      <c r="LUX1099"/>
      <c r="LVA1099"/>
      <c r="LVB1099"/>
      <c r="LVE1099"/>
      <c r="LVF1099"/>
      <c r="LVI1099"/>
      <c r="LVJ1099"/>
      <c r="LVM1099"/>
      <c r="LVN1099"/>
      <c r="LVQ1099"/>
      <c r="LVR1099"/>
      <c r="LVU1099"/>
      <c r="LVV1099"/>
      <c r="LVY1099"/>
      <c r="LVZ1099"/>
      <c r="LWC1099"/>
      <c r="LWD1099"/>
      <c r="LWG1099"/>
      <c r="LWH1099"/>
      <c r="LWK1099"/>
      <c r="LWL1099"/>
      <c r="LWO1099"/>
      <c r="LWP1099"/>
      <c r="LWS1099"/>
      <c r="LWT1099"/>
      <c r="LWW1099"/>
      <c r="LWX1099"/>
      <c r="LXA1099"/>
      <c r="LXB1099"/>
      <c r="LXE1099"/>
      <c r="LXF1099"/>
      <c r="LXI1099"/>
      <c r="LXJ1099"/>
      <c r="LXM1099"/>
      <c r="LXN1099"/>
      <c r="LXQ1099"/>
      <c r="LXR1099"/>
      <c r="LXU1099"/>
      <c r="LXV1099"/>
      <c r="LXY1099"/>
      <c r="LXZ1099"/>
      <c r="LYC1099"/>
      <c r="LYD1099"/>
      <c r="LYG1099"/>
      <c r="LYH1099"/>
      <c r="LYK1099"/>
      <c r="LYL1099"/>
      <c r="LYO1099"/>
      <c r="LYP1099"/>
      <c r="LYS1099"/>
      <c r="LYT1099"/>
      <c r="LYW1099"/>
      <c r="LYX1099"/>
      <c r="LZA1099"/>
      <c r="LZB1099"/>
      <c r="LZE1099"/>
      <c r="LZF1099"/>
      <c r="LZI1099"/>
      <c r="LZJ1099"/>
      <c r="LZM1099"/>
      <c r="LZN1099"/>
      <c r="LZQ1099"/>
      <c r="LZR1099"/>
      <c r="LZU1099"/>
      <c r="LZV1099"/>
      <c r="LZY1099"/>
      <c r="LZZ1099"/>
      <c r="MAC1099"/>
      <c r="MAD1099"/>
      <c r="MAG1099"/>
      <c r="MAH1099"/>
      <c r="MAK1099"/>
      <c r="MAL1099"/>
      <c r="MAO1099"/>
      <c r="MAP1099"/>
      <c r="MAS1099"/>
      <c r="MAT1099"/>
      <c r="MAW1099"/>
      <c r="MAX1099"/>
      <c r="MBA1099"/>
      <c r="MBB1099"/>
      <c r="MBE1099"/>
      <c r="MBF1099"/>
      <c r="MBI1099"/>
      <c r="MBJ1099"/>
      <c r="MBM1099"/>
      <c r="MBN1099"/>
      <c r="MBQ1099"/>
      <c r="MBR1099"/>
      <c r="MBU1099"/>
      <c r="MBV1099"/>
      <c r="MBY1099"/>
      <c r="MBZ1099"/>
      <c r="MCC1099"/>
      <c r="MCD1099"/>
      <c r="MCG1099"/>
      <c r="MCH1099"/>
      <c r="MCK1099"/>
      <c r="MCL1099"/>
      <c r="MCO1099"/>
      <c r="MCP1099"/>
      <c r="MCS1099"/>
      <c r="MCT1099"/>
      <c r="MCW1099"/>
      <c r="MCX1099"/>
      <c r="MDA1099"/>
      <c r="MDB1099"/>
      <c r="MDE1099"/>
      <c r="MDF1099"/>
      <c r="MDI1099"/>
      <c r="MDJ1099"/>
      <c r="MDM1099"/>
      <c r="MDN1099"/>
      <c r="MDQ1099"/>
      <c r="MDR1099"/>
      <c r="MDU1099"/>
      <c r="MDV1099"/>
      <c r="MDY1099"/>
      <c r="MDZ1099"/>
      <c r="MEC1099"/>
      <c r="MED1099"/>
      <c r="MEG1099"/>
      <c r="MEH1099"/>
      <c r="MEK1099"/>
      <c r="MEL1099"/>
      <c r="MEO1099"/>
      <c r="MEP1099"/>
      <c r="MES1099"/>
      <c r="MET1099"/>
      <c r="MEW1099"/>
      <c r="MEX1099"/>
      <c r="MFA1099"/>
      <c r="MFB1099"/>
      <c r="MFE1099"/>
      <c r="MFF1099"/>
      <c r="MFI1099"/>
      <c r="MFJ1099"/>
      <c r="MFM1099"/>
      <c r="MFN1099"/>
      <c r="MFQ1099"/>
      <c r="MFR1099"/>
      <c r="MFU1099"/>
      <c r="MFV1099"/>
      <c r="MFY1099"/>
      <c r="MFZ1099"/>
      <c r="MGC1099"/>
      <c r="MGD1099"/>
      <c r="MGG1099"/>
      <c r="MGH1099"/>
      <c r="MGK1099"/>
      <c r="MGL1099"/>
      <c r="MGO1099"/>
      <c r="MGP1099"/>
      <c r="MGS1099"/>
      <c r="MGT1099"/>
      <c r="MGW1099"/>
      <c r="MGX1099"/>
      <c r="MHA1099"/>
      <c r="MHB1099"/>
      <c r="MHE1099"/>
      <c r="MHF1099"/>
      <c r="MHI1099"/>
      <c r="MHJ1099"/>
      <c r="MHM1099"/>
      <c r="MHN1099"/>
      <c r="MHQ1099"/>
      <c r="MHR1099"/>
      <c r="MHU1099"/>
      <c r="MHV1099"/>
      <c r="MHY1099"/>
      <c r="MHZ1099"/>
      <c r="MIC1099"/>
      <c r="MID1099"/>
      <c r="MIG1099"/>
      <c r="MIH1099"/>
      <c r="MIK1099"/>
      <c r="MIL1099"/>
      <c r="MIO1099"/>
      <c r="MIP1099"/>
      <c r="MIS1099"/>
      <c r="MIT1099"/>
      <c r="MIW1099"/>
      <c r="MIX1099"/>
      <c r="MJA1099"/>
      <c r="MJB1099"/>
      <c r="MJE1099"/>
      <c r="MJF1099"/>
      <c r="MJI1099"/>
      <c r="MJJ1099"/>
      <c r="MJM1099"/>
      <c r="MJN1099"/>
      <c r="MJQ1099"/>
      <c r="MJR1099"/>
      <c r="MJU1099"/>
      <c r="MJV1099"/>
      <c r="MJY1099"/>
      <c r="MJZ1099"/>
      <c r="MKC1099"/>
      <c r="MKD1099"/>
      <c r="MKG1099"/>
      <c r="MKH1099"/>
      <c r="MKK1099"/>
      <c r="MKL1099"/>
      <c r="MKO1099"/>
      <c r="MKP1099"/>
      <c r="MKS1099"/>
      <c r="MKT1099"/>
      <c r="MKW1099"/>
      <c r="MKX1099"/>
      <c r="MLA1099"/>
      <c r="MLB1099"/>
      <c r="MLE1099"/>
      <c r="MLF1099"/>
      <c r="MLI1099"/>
      <c r="MLJ1099"/>
      <c r="MLM1099"/>
      <c r="MLN1099"/>
      <c r="MLQ1099"/>
      <c r="MLR1099"/>
      <c r="MLU1099"/>
      <c r="MLV1099"/>
      <c r="MLY1099"/>
      <c r="MLZ1099"/>
      <c r="MMC1099"/>
      <c r="MMD1099"/>
      <c r="MMG1099"/>
      <c r="MMH1099"/>
      <c r="MMK1099"/>
      <c r="MML1099"/>
      <c r="MMO1099"/>
      <c r="MMP1099"/>
      <c r="MMS1099"/>
      <c r="MMT1099"/>
      <c r="MMW1099"/>
      <c r="MMX1099"/>
      <c r="MNA1099"/>
      <c r="MNB1099"/>
      <c r="MNE1099"/>
      <c r="MNF1099"/>
      <c r="MNI1099"/>
      <c r="MNJ1099"/>
      <c r="MNM1099"/>
      <c r="MNN1099"/>
      <c r="MNQ1099"/>
      <c r="MNR1099"/>
      <c r="MNU1099"/>
      <c r="MNV1099"/>
      <c r="MNY1099"/>
      <c r="MNZ1099"/>
      <c r="MOC1099"/>
      <c r="MOD1099"/>
      <c r="MOG1099"/>
      <c r="MOH1099"/>
      <c r="MOK1099"/>
      <c r="MOL1099"/>
      <c r="MOO1099"/>
      <c r="MOP1099"/>
      <c r="MOS1099"/>
      <c r="MOT1099"/>
      <c r="MOW1099"/>
      <c r="MOX1099"/>
      <c r="MPA1099"/>
      <c r="MPB1099"/>
      <c r="MPE1099"/>
      <c r="MPF1099"/>
      <c r="MPI1099"/>
      <c r="MPJ1099"/>
      <c r="MPM1099"/>
      <c r="MPN1099"/>
      <c r="MPQ1099"/>
      <c r="MPR1099"/>
      <c r="MPU1099"/>
      <c r="MPV1099"/>
      <c r="MPY1099"/>
      <c r="MPZ1099"/>
      <c r="MQC1099"/>
      <c r="MQD1099"/>
      <c r="MQG1099"/>
      <c r="MQH1099"/>
      <c r="MQK1099"/>
      <c r="MQL1099"/>
      <c r="MQO1099"/>
      <c r="MQP1099"/>
      <c r="MQS1099"/>
      <c r="MQT1099"/>
      <c r="MQW1099"/>
      <c r="MQX1099"/>
      <c r="MRA1099"/>
      <c r="MRB1099"/>
      <c r="MRE1099"/>
      <c r="MRF1099"/>
      <c r="MRI1099"/>
      <c r="MRJ1099"/>
      <c r="MRM1099"/>
      <c r="MRN1099"/>
      <c r="MRQ1099"/>
      <c r="MRR1099"/>
      <c r="MRU1099"/>
      <c r="MRV1099"/>
      <c r="MRY1099"/>
      <c r="MRZ1099"/>
      <c r="MSC1099"/>
      <c r="MSD1099"/>
      <c r="MSG1099"/>
      <c r="MSH1099"/>
      <c r="MSK1099"/>
      <c r="MSL1099"/>
      <c r="MSO1099"/>
      <c r="MSP1099"/>
      <c r="MSS1099"/>
      <c r="MST1099"/>
      <c r="MSW1099"/>
      <c r="MSX1099"/>
      <c r="MTA1099"/>
      <c r="MTB1099"/>
      <c r="MTE1099"/>
      <c r="MTF1099"/>
      <c r="MTI1099"/>
      <c r="MTJ1099"/>
      <c r="MTM1099"/>
      <c r="MTN1099"/>
      <c r="MTQ1099"/>
      <c r="MTR1099"/>
      <c r="MTU1099"/>
      <c r="MTV1099"/>
      <c r="MTY1099"/>
      <c r="MTZ1099"/>
      <c r="MUC1099"/>
      <c r="MUD1099"/>
      <c r="MUG1099"/>
      <c r="MUH1099"/>
      <c r="MUK1099"/>
      <c r="MUL1099"/>
      <c r="MUO1099"/>
      <c r="MUP1099"/>
      <c r="MUS1099"/>
      <c r="MUT1099"/>
      <c r="MUW1099"/>
      <c r="MUX1099"/>
      <c r="MVA1099"/>
      <c r="MVB1099"/>
      <c r="MVE1099"/>
      <c r="MVF1099"/>
      <c r="MVI1099"/>
      <c r="MVJ1099"/>
      <c r="MVM1099"/>
      <c r="MVN1099"/>
      <c r="MVQ1099"/>
      <c r="MVR1099"/>
      <c r="MVU1099"/>
      <c r="MVV1099"/>
      <c r="MVY1099"/>
      <c r="MVZ1099"/>
      <c r="MWC1099"/>
      <c r="MWD1099"/>
      <c r="MWG1099"/>
      <c r="MWH1099"/>
      <c r="MWK1099"/>
      <c r="MWL1099"/>
      <c r="MWO1099"/>
      <c r="MWP1099"/>
      <c r="MWS1099"/>
      <c r="MWT1099"/>
      <c r="MWW1099"/>
      <c r="MWX1099"/>
      <c r="MXA1099"/>
      <c r="MXB1099"/>
      <c r="MXE1099"/>
      <c r="MXF1099"/>
      <c r="MXI1099"/>
      <c r="MXJ1099"/>
      <c r="MXM1099"/>
      <c r="MXN1099"/>
      <c r="MXQ1099"/>
      <c r="MXR1099"/>
      <c r="MXU1099"/>
      <c r="MXV1099"/>
      <c r="MXY1099"/>
      <c r="MXZ1099"/>
      <c r="MYC1099"/>
      <c r="MYD1099"/>
      <c r="MYG1099"/>
      <c r="MYH1099"/>
      <c r="MYK1099"/>
      <c r="MYL1099"/>
      <c r="MYO1099"/>
      <c r="MYP1099"/>
      <c r="MYS1099"/>
      <c r="MYT1099"/>
      <c r="MYW1099"/>
      <c r="MYX1099"/>
      <c r="MZA1099"/>
      <c r="MZB1099"/>
      <c r="MZE1099"/>
      <c r="MZF1099"/>
      <c r="MZI1099"/>
      <c r="MZJ1099"/>
      <c r="MZM1099"/>
      <c r="MZN1099"/>
      <c r="MZQ1099"/>
      <c r="MZR1099"/>
      <c r="MZU1099"/>
      <c r="MZV1099"/>
      <c r="MZY1099"/>
      <c r="MZZ1099"/>
      <c r="NAC1099"/>
      <c r="NAD1099"/>
      <c r="NAG1099"/>
      <c r="NAH1099"/>
      <c r="NAK1099"/>
      <c r="NAL1099"/>
      <c r="NAO1099"/>
      <c r="NAP1099"/>
      <c r="NAS1099"/>
      <c r="NAT1099"/>
      <c r="NAW1099"/>
      <c r="NAX1099"/>
      <c r="NBA1099"/>
      <c r="NBB1099"/>
      <c r="NBE1099"/>
      <c r="NBF1099"/>
      <c r="NBI1099"/>
      <c r="NBJ1099"/>
      <c r="NBM1099"/>
      <c r="NBN1099"/>
      <c r="NBQ1099"/>
      <c r="NBR1099"/>
      <c r="NBU1099"/>
      <c r="NBV1099"/>
      <c r="NBY1099"/>
      <c r="NBZ1099"/>
      <c r="NCC1099"/>
      <c r="NCD1099"/>
      <c r="NCG1099"/>
      <c r="NCH1099"/>
      <c r="NCK1099"/>
      <c r="NCL1099"/>
      <c r="NCO1099"/>
      <c r="NCP1099"/>
      <c r="NCS1099"/>
      <c r="NCT1099"/>
      <c r="NCW1099"/>
      <c r="NCX1099"/>
      <c r="NDA1099"/>
      <c r="NDB1099"/>
      <c r="NDE1099"/>
      <c r="NDF1099"/>
      <c r="NDI1099"/>
      <c r="NDJ1099"/>
      <c r="NDM1099"/>
      <c r="NDN1099"/>
      <c r="NDQ1099"/>
      <c r="NDR1099"/>
      <c r="NDU1099"/>
      <c r="NDV1099"/>
      <c r="NDY1099"/>
      <c r="NDZ1099"/>
      <c r="NEC1099"/>
      <c r="NED1099"/>
      <c r="NEG1099"/>
      <c r="NEH1099"/>
      <c r="NEK1099"/>
      <c r="NEL1099"/>
      <c r="NEO1099"/>
      <c r="NEP1099"/>
      <c r="NES1099"/>
      <c r="NET1099"/>
      <c r="NEW1099"/>
      <c r="NEX1099"/>
      <c r="NFA1099"/>
      <c r="NFB1099"/>
      <c r="NFE1099"/>
      <c r="NFF1099"/>
      <c r="NFI1099"/>
      <c r="NFJ1099"/>
      <c r="NFM1099"/>
      <c r="NFN1099"/>
      <c r="NFQ1099"/>
      <c r="NFR1099"/>
      <c r="NFU1099"/>
      <c r="NFV1099"/>
      <c r="NFY1099"/>
      <c r="NFZ1099"/>
      <c r="NGC1099"/>
      <c r="NGD1099"/>
      <c r="NGG1099"/>
      <c r="NGH1099"/>
      <c r="NGK1099"/>
      <c r="NGL1099"/>
      <c r="NGO1099"/>
      <c r="NGP1099"/>
      <c r="NGS1099"/>
      <c r="NGT1099"/>
      <c r="NGW1099"/>
      <c r="NGX1099"/>
      <c r="NHA1099"/>
      <c r="NHB1099"/>
      <c r="NHE1099"/>
      <c r="NHF1099"/>
      <c r="NHI1099"/>
      <c r="NHJ1099"/>
      <c r="NHM1099"/>
      <c r="NHN1099"/>
      <c r="NHQ1099"/>
      <c r="NHR1099"/>
      <c r="NHU1099"/>
      <c r="NHV1099"/>
      <c r="NHY1099"/>
      <c r="NHZ1099"/>
      <c r="NIC1099"/>
      <c r="NID1099"/>
      <c r="NIG1099"/>
      <c r="NIH1099"/>
      <c r="NIK1099"/>
      <c r="NIL1099"/>
      <c r="NIO1099"/>
      <c r="NIP1099"/>
      <c r="NIS1099"/>
      <c r="NIT1099"/>
      <c r="NIW1099"/>
      <c r="NIX1099"/>
      <c r="NJA1099"/>
      <c r="NJB1099"/>
      <c r="NJE1099"/>
      <c r="NJF1099"/>
      <c r="NJI1099"/>
      <c r="NJJ1099"/>
      <c r="NJM1099"/>
      <c r="NJN1099"/>
      <c r="NJQ1099"/>
      <c r="NJR1099"/>
      <c r="NJU1099"/>
      <c r="NJV1099"/>
      <c r="NJY1099"/>
      <c r="NJZ1099"/>
      <c r="NKC1099"/>
      <c r="NKD1099"/>
      <c r="NKG1099"/>
      <c r="NKH1099"/>
      <c r="NKK1099"/>
      <c r="NKL1099"/>
      <c r="NKO1099"/>
      <c r="NKP1099"/>
      <c r="NKS1099"/>
      <c r="NKT1099"/>
      <c r="NKW1099"/>
      <c r="NKX1099"/>
      <c r="NLA1099"/>
      <c r="NLB1099"/>
      <c r="NLE1099"/>
      <c r="NLF1099"/>
      <c r="NLI1099"/>
      <c r="NLJ1099"/>
      <c r="NLM1099"/>
      <c r="NLN1099"/>
      <c r="NLQ1099"/>
      <c r="NLR1099"/>
      <c r="NLU1099"/>
      <c r="NLV1099"/>
      <c r="NLY1099"/>
      <c r="NLZ1099"/>
      <c r="NMC1099"/>
      <c r="NMD1099"/>
      <c r="NMG1099"/>
      <c r="NMH1099"/>
      <c r="NMK1099"/>
      <c r="NML1099"/>
      <c r="NMO1099"/>
      <c r="NMP1099"/>
      <c r="NMS1099"/>
      <c r="NMT1099"/>
      <c r="NMW1099"/>
      <c r="NMX1099"/>
      <c r="NNA1099"/>
      <c r="NNB1099"/>
      <c r="NNE1099"/>
      <c r="NNF1099"/>
      <c r="NNI1099"/>
      <c r="NNJ1099"/>
      <c r="NNM1099"/>
      <c r="NNN1099"/>
      <c r="NNQ1099"/>
      <c r="NNR1099"/>
      <c r="NNU1099"/>
      <c r="NNV1099"/>
      <c r="NNY1099"/>
      <c r="NNZ1099"/>
      <c r="NOC1099"/>
      <c r="NOD1099"/>
      <c r="NOG1099"/>
      <c r="NOH1099"/>
      <c r="NOK1099"/>
      <c r="NOL1099"/>
      <c r="NOO1099"/>
      <c r="NOP1099"/>
      <c r="NOS1099"/>
      <c r="NOT1099"/>
      <c r="NOW1099"/>
      <c r="NOX1099"/>
      <c r="NPA1099"/>
      <c r="NPB1099"/>
      <c r="NPE1099"/>
      <c r="NPF1099"/>
      <c r="NPI1099"/>
      <c r="NPJ1099"/>
      <c r="NPM1099"/>
      <c r="NPN1099"/>
      <c r="NPQ1099"/>
      <c r="NPR1099"/>
      <c r="NPU1099"/>
      <c r="NPV1099"/>
      <c r="NPY1099"/>
      <c r="NPZ1099"/>
      <c r="NQC1099"/>
      <c r="NQD1099"/>
      <c r="NQG1099"/>
      <c r="NQH1099"/>
      <c r="NQK1099"/>
      <c r="NQL1099"/>
      <c r="NQO1099"/>
      <c r="NQP1099"/>
      <c r="NQS1099"/>
      <c r="NQT1099"/>
      <c r="NQW1099"/>
      <c r="NQX1099"/>
      <c r="NRA1099"/>
      <c r="NRB1099"/>
      <c r="NRE1099"/>
      <c r="NRF1099"/>
      <c r="NRI1099"/>
      <c r="NRJ1099"/>
      <c r="NRM1099"/>
      <c r="NRN1099"/>
      <c r="NRQ1099"/>
      <c r="NRR1099"/>
      <c r="NRU1099"/>
      <c r="NRV1099"/>
      <c r="NRY1099"/>
      <c r="NRZ1099"/>
      <c r="NSC1099"/>
      <c r="NSD1099"/>
      <c r="NSG1099"/>
      <c r="NSH1099"/>
      <c r="NSK1099"/>
      <c r="NSL1099"/>
      <c r="NSO1099"/>
      <c r="NSP1099"/>
      <c r="NSS1099"/>
      <c r="NST1099"/>
      <c r="NSW1099"/>
      <c r="NSX1099"/>
      <c r="NTA1099"/>
      <c r="NTB1099"/>
      <c r="NTE1099"/>
      <c r="NTF1099"/>
      <c r="NTI1099"/>
      <c r="NTJ1099"/>
      <c r="NTM1099"/>
      <c r="NTN1099"/>
      <c r="NTQ1099"/>
      <c r="NTR1099"/>
      <c r="NTU1099"/>
      <c r="NTV1099"/>
      <c r="NTY1099"/>
      <c r="NTZ1099"/>
      <c r="NUC1099"/>
      <c r="NUD1099"/>
      <c r="NUG1099"/>
      <c r="NUH1099"/>
      <c r="NUK1099"/>
      <c r="NUL1099"/>
      <c r="NUO1099"/>
      <c r="NUP1099"/>
      <c r="NUS1099"/>
      <c r="NUT1099"/>
      <c r="NUW1099"/>
      <c r="NUX1099"/>
      <c r="NVA1099"/>
      <c r="NVB1099"/>
      <c r="NVE1099"/>
      <c r="NVF1099"/>
      <c r="NVI1099"/>
      <c r="NVJ1099"/>
      <c r="NVM1099"/>
      <c r="NVN1099"/>
      <c r="NVQ1099"/>
      <c r="NVR1099"/>
      <c r="NVU1099"/>
      <c r="NVV1099"/>
      <c r="NVY1099"/>
      <c r="NVZ1099"/>
      <c r="NWC1099"/>
      <c r="NWD1099"/>
      <c r="NWG1099"/>
      <c r="NWH1099"/>
      <c r="NWK1099"/>
      <c r="NWL1099"/>
      <c r="NWO1099"/>
      <c r="NWP1099"/>
      <c r="NWS1099"/>
      <c r="NWT1099"/>
      <c r="NWW1099"/>
      <c r="NWX1099"/>
      <c r="NXA1099"/>
      <c r="NXB1099"/>
      <c r="NXE1099"/>
      <c r="NXF1099"/>
      <c r="NXI1099"/>
      <c r="NXJ1099"/>
      <c r="NXM1099"/>
      <c r="NXN1099"/>
      <c r="NXQ1099"/>
      <c r="NXR1099"/>
      <c r="NXU1099"/>
      <c r="NXV1099"/>
      <c r="NXY1099"/>
      <c r="NXZ1099"/>
      <c r="NYC1099"/>
      <c r="NYD1099"/>
      <c r="NYG1099"/>
      <c r="NYH1099"/>
      <c r="NYK1099"/>
      <c r="NYL1099"/>
      <c r="NYO1099"/>
      <c r="NYP1099"/>
      <c r="NYS1099"/>
      <c r="NYT1099"/>
      <c r="NYW1099"/>
      <c r="NYX1099"/>
      <c r="NZA1099"/>
      <c r="NZB1099"/>
      <c r="NZE1099"/>
      <c r="NZF1099"/>
      <c r="NZI1099"/>
      <c r="NZJ1099"/>
      <c r="NZM1099"/>
      <c r="NZN1099"/>
      <c r="NZQ1099"/>
      <c r="NZR1099"/>
      <c r="NZU1099"/>
      <c r="NZV1099"/>
      <c r="NZY1099"/>
      <c r="NZZ1099"/>
      <c r="OAC1099"/>
      <c r="OAD1099"/>
      <c r="OAG1099"/>
      <c r="OAH1099"/>
      <c r="OAK1099"/>
      <c r="OAL1099"/>
      <c r="OAO1099"/>
      <c r="OAP1099"/>
      <c r="OAS1099"/>
      <c r="OAT1099"/>
      <c r="OAW1099"/>
      <c r="OAX1099"/>
      <c r="OBA1099"/>
      <c r="OBB1099"/>
      <c r="OBE1099"/>
      <c r="OBF1099"/>
      <c r="OBI1099"/>
      <c r="OBJ1099"/>
      <c r="OBM1099"/>
      <c r="OBN1099"/>
      <c r="OBQ1099"/>
      <c r="OBR1099"/>
      <c r="OBU1099"/>
      <c r="OBV1099"/>
      <c r="OBY1099"/>
      <c r="OBZ1099"/>
      <c r="OCC1099"/>
      <c r="OCD1099"/>
      <c r="OCG1099"/>
      <c r="OCH1099"/>
      <c r="OCK1099"/>
      <c r="OCL1099"/>
      <c r="OCO1099"/>
      <c r="OCP1099"/>
      <c r="OCS1099"/>
      <c r="OCT1099"/>
      <c r="OCW1099"/>
      <c r="OCX1099"/>
      <c r="ODA1099"/>
      <c r="ODB1099"/>
      <c r="ODE1099"/>
      <c r="ODF1099"/>
      <c r="ODI1099"/>
      <c r="ODJ1099"/>
      <c r="ODM1099"/>
      <c r="ODN1099"/>
      <c r="ODQ1099"/>
      <c r="ODR1099"/>
      <c r="ODU1099"/>
      <c r="ODV1099"/>
      <c r="ODY1099"/>
      <c r="ODZ1099"/>
      <c r="OEC1099"/>
      <c r="OED1099"/>
      <c r="OEG1099"/>
      <c r="OEH1099"/>
      <c r="OEK1099"/>
      <c r="OEL1099"/>
      <c r="OEO1099"/>
      <c r="OEP1099"/>
      <c r="OES1099"/>
      <c r="OET1099"/>
      <c r="OEW1099"/>
      <c r="OEX1099"/>
      <c r="OFA1099"/>
      <c r="OFB1099"/>
      <c r="OFE1099"/>
      <c r="OFF1099"/>
      <c r="OFI1099"/>
      <c r="OFJ1099"/>
      <c r="OFM1099"/>
      <c r="OFN1099"/>
      <c r="OFQ1099"/>
      <c r="OFR1099"/>
      <c r="OFU1099"/>
      <c r="OFV1099"/>
      <c r="OFY1099"/>
      <c r="OFZ1099"/>
      <c r="OGC1099"/>
      <c r="OGD1099"/>
      <c r="OGG1099"/>
      <c r="OGH1099"/>
      <c r="OGK1099"/>
      <c r="OGL1099"/>
      <c r="OGO1099"/>
      <c r="OGP1099"/>
      <c r="OGS1099"/>
      <c r="OGT1099"/>
      <c r="OGW1099"/>
      <c r="OGX1099"/>
      <c r="OHA1099"/>
      <c r="OHB1099"/>
      <c r="OHE1099"/>
      <c r="OHF1099"/>
      <c r="OHI1099"/>
      <c r="OHJ1099"/>
      <c r="OHM1099"/>
      <c r="OHN1099"/>
      <c r="OHQ1099"/>
      <c r="OHR1099"/>
      <c r="OHU1099"/>
      <c r="OHV1099"/>
      <c r="OHY1099"/>
      <c r="OHZ1099"/>
      <c r="OIC1099"/>
      <c r="OID1099"/>
      <c r="OIG1099"/>
      <c r="OIH1099"/>
      <c r="OIK1099"/>
      <c r="OIL1099"/>
      <c r="OIO1099"/>
      <c r="OIP1099"/>
      <c r="OIS1099"/>
      <c r="OIT1099"/>
      <c r="OIW1099"/>
      <c r="OIX1099"/>
      <c r="OJA1099"/>
      <c r="OJB1099"/>
      <c r="OJE1099"/>
      <c r="OJF1099"/>
      <c r="OJI1099"/>
      <c r="OJJ1099"/>
      <c r="OJM1099"/>
      <c r="OJN1099"/>
      <c r="OJQ1099"/>
      <c r="OJR1099"/>
      <c r="OJU1099"/>
      <c r="OJV1099"/>
      <c r="OJY1099"/>
      <c r="OJZ1099"/>
      <c r="OKC1099"/>
      <c r="OKD1099"/>
      <c r="OKG1099"/>
      <c r="OKH1099"/>
      <c r="OKK1099"/>
      <c r="OKL1099"/>
      <c r="OKO1099"/>
      <c r="OKP1099"/>
      <c r="OKS1099"/>
      <c r="OKT1099"/>
      <c r="OKW1099"/>
      <c r="OKX1099"/>
      <c r="OLA1099"/>
      <c r="OLB1099"/>
      <c r="OLE1099"/>
      <c r="OLF1099"/>
      <c r="OLI1099"/>
      <c r="OLJ1099"/>
      <c r="OLM1099"/>
      <c r="OLN1099"/>
      <c r="OLQ1099"/>
      <c r="OLR1099"/>
      <c r="OLU1099"/>
      <c r="OLV1099"/>
      <c r="OLY1099"/>
      <c r="OLZ1099"/>
      <c r="OMC1099"/>
      <c r="OMD1099"/>
      <c r="OMG1099"/>
      <c r="OMH1099"/>
      <c r="OMK1099"/>
      <c r="OML1099"/>
      <c r="OMO1099"/>
      <c r="OMP1099"/>
      <c r="OMS1099"/>
      <c r="OMT1099"/>
      <c r="OMW1099"/>
      <c r="OMX1099"/>
      <c r="ONA1099"/>
      <c r="ONB1099"/>
      <c r="ONE1099"/>
      <c r="ONF1099"/>
      <c r="ONI1099"/>
      <c r="ONJ1099"/>
      <c r="ONM1099"/>
      <c r="ONN1099"/>
      <c r="ONQ1099"/>
      <c r="ONR1099"/>
      <c r="ONU1099"/>
      <c r="ONV1099"/>
      <c r="ONY1099"/>
      <c r="ONZ1099"/>
      <c r="OOC1099"/>
      <c r="OOD1099"/>
      <c r="OOG1099"/>
      <c r="OOH1099"/>
      <c r="OOK1099"/>
      <c r="OOL1099"/>
      <c r="OOO1099"/>
      <c r="OOP1099"/>
      <c r="OOS1099"/>
      <c r="OOT1099"/>
      <c r="OOW1099"/>
      <c r="OOX1099"/>
      <c r="OPA1099"/>
      <c r="OPB1099"/>
      <c r="OPE1099"/>
      <c r="OPF1099"/>
      <c r="OPI1099"/>
      <c r="OPJ1099"/>
      <c r="OPM1099"/>
      <c r="OPN1099"/>
      <c r="OPQ1099"/>
      <c r="OPR1099"/>
      <c r="OPU1099"/>
      <c r="OPV1099"/>
      <c r="OPY1099"/>
      <c r="OPZ1099"/>
      <c r="OQC1099"/>
      <c r="OQD1099"/>
      <c r="OQG1099"/>
      <c r="OQH1099"/>
      <c r="OQK1099"/>
      <c r="OQL1099"/>
      <c r="OQO1099"/>
      <c r="OQP1099"/>
      <c r="OQS1099"/>
      <c r="OQT1099"/>
      <c r="OQW1099"/>
      <c r="OQX1099"/>
      <c r="ORA1099"/>
      <c r="ORB1099"/>
      <c r="ORE1099"/>
      <c r="ORF1099"/>
      <c r="ORI1099"/>
      <c r="ORJ1099"/>
      <c r="ORM1099"/>
      <c r="ORN1099"/>
      <c r="ORQ1099"/>
      <c r="ORR1099"/>
      <c r="ORU1099"/>
      <c r="ORV1099"/>
      <c r="ORY1099"/>
      <c r="ORZ1099"/>
      <c r="OSC1099"/>
      <c r="OSD1099"/>
      <c r="OSG1099"/>
      <c r="OSH1099"/>
      <c r="OSK1099"/>
      <c r="OSL1099"/>
      <c r="OSO1099"/>
      <c r="OSP1099"/>
      <c r="OSS1099"/>
      <c r="OST1099"/>
      <c r="OSW1099"/>
      <c r="OSX1099"/>
      <c r="OTA1099"/>
      <c r="OTB1099"/>
      <c r="OTE1099"/>
      <c r="OTF1099"/>
      <c r="OTI1099"/>
      <c r="OTJ1099"/>
      <c r="OTM1099"/>
      <c r="OTN1099"/>
      <c r="OTQ1099"/>
      <c r="OTR1099"/>
      <c r="OTU1099"/>
      <c r="OTV1099"/>
      <c r="OTY1099"/>
      <c r="OTZ1099"/>
      <c r="OUC1099"/>
      <c r="OUD1099"/>
      <c r="OUG1099"/>
      <c r="OUH1099"/>
      <c r="OUK1099"/>
      <c r="OUL1099"/>
      <c r="OUO1099"/>
      <c r="OUP1099"/>
      <c r="OUS1099"/>
      <c r="OUT1099"/>
      <c r="OUW1099"/>
      <c r="OUX1099"/>
      <c r="OVA1099"/>
      <c r="OVB1099"/>
      <c r="OVE1099"/>
      <c r="OVF1099"/>
      <c r="OVI1099"/>
      <c r="OVJ1099"/>
      <c r="OVM1099"/>
      <c r="OVN1099"/>
      <c r="OVQ1099"/>
      <c r="OVR1099"/>
      <c r="OVU1099"/>
      <c r="OVV1099"/>
      <c r="OVY1099"/>
      <c r="OVZ1099"/>
      <c r="OWC1099"/>
      <c r="OWD1099"/>
      <c r="OWG1099"/>
      <c r="OWH1099"/>
      <c r="OWK1099"/>
      <c r="OWL1099"/>
      <c r="OWO1099"/>
      <c r="OWP1099"/>
      <c r="OWS1099"/>
      <c r="OWT1099"/>
      <c r="OWW1099"/>
      <c r="OWX1099"/>
      <c r="OXA1099"/>
      <c r="OXB1099"/>
      <c r="OXE1099"/>
      <c r="OXF1099"/>
      <c r="OXI1099"/>
      <c r="OXJ1099"/>
      <c r="OXM1099"/>
      <c r="OXN1099"/>
      <c r="OXQ1099"/>
      <c r="OXR1099"/>
      <c r="OXU1099"/>
      <c r="OXV1099"/>
      <c r="OXY1099"/>
      <c r="OXZ1099"/>
      <c r="OYC1099"/>
      <c r="OYD1099"/>
      <c r="OYG1099"/>
      <c r="OYH1099"/>
      <c r="OYK1099"/>
      <c r="OYL1099"/>
      <c r="OYO1099"/>
      <c r="OYP1099"/>
      <c r="OYS1099"/>
      <c r="OYT1099"/>
      <c r="OYW1099"/>
      <c r="OYX1099"/>
      <c r="OZA1099"/>
      <c r="OZB1099"/>
      <c r="OZE1099"/>
      <c r="OZF1099"/>
      <c r="OZI1099"/>
      <c r="OZJ1099"/>
      <c r="OZM1099"/>
      <c r="OZN1099"/>
      <c r="OZQ1099"/>
      <c r="OZR1099"/>
      <c r="OZU1099"/>
      <c r="OZV1099"/>
      <c r="OZY1099"/>
      <c r="OZZ1099"/>
      <c r="PAC1099"/>
      <c r="PAD1099"/>
      <c r="PAG1099"/>
      <c r="PAH1099"/>
      <c r="PAK1099"/>
      <c r="PAL1099"/>
      <c r="PAO1099"/>
      <c r="PAP1099"/>
      <c r="PAS1099"/>
      <c r="PAT1099"/>
      <c r="PAW1099"/>
      <c r="PAX1099"/>
      <c r="PBA1099"/>
      <c r="PBB1099"/>
      <c r="PBE1099"/>
      <c r="PBF1099"/>
      <c r="PBI1099"/>
      <c r="PBJ1099"/>
      <c r="PBM1099"/>
      <c r="PBN1099"/>
      <c r="PBQ1099"/>
      <c r="PBR1099"/>
      <c r="PBU1099"/>
      <c r="PBV1099"/>
      <c r="PBY1099"/>
      <c r="PBZ1099"/>
      <c r="PCC1099"/>
      <c r="PCD1099"/>
      <c r="PCG1099"/>
      <c r="PCH1099"/>
      <c r="PCK1099"/>
      <c r="PCL1099"/>
      <c r="PCO1099"/>
      <c r="PCP1099"/>
      <c r="PCS1099"/>
      <c r="PCT1099"/>
      <c r="PCW1099"/>
      <c r="PCX1099"/>
      <c r="PDA1099"/>
      <c r="PDB1099"/>
      <c r="PDE1099"/>
      <c r="PDF1099"/>
      <c r="PDI1099"/>
      <c r="PDJ1099"/>
      <c r="PDM1099"/>
      <c r="PDN1099"/>
      <c r="PDQ1099"/>
      <c r="PDR1099"/>
      <c r="PDU1099"/>
      <c r="PDV1099"/>
      <c r="PDY1099"/>
      <c r="PDZ1099"/>
      <c r="PEC1099"/>
      <c r="PED1099"/>
      <c r="PEG1099"/>
      <c r="PEH1099"/>
      <c r="PEK1099"/>
      <c r="PEL1099"/>
      <c r="PEO1099"/>
      <c r="PEP1099"/>
      <c r="PES1099"/>
      <c r="PET1099"/>
      <c r="PEW1099"/>
      <c r="PEX1099"/>
      <c r="PFA1099"/>
      <c r="PFB1099"/>
      <c r="PFE1099"/>
      <c r="PFF1099"/>
      <c r="PFI1099"/>
      <c r="PFJ1099"/>
      <c r="PFM1099"/>
      <c r="PFN1099"/>
      <c r="PFQ1099"/>
      <c r="PFR1099"/>
      <c r="PFU1099"/>
      <c r="PFV1099"/>
      <c r="PFY1099"/>
      <c r="PFZ1099"/>
      <c r="PGC1099"/>
      <c r="PGD1099"/>
      <c r="PGG1099"/>
      <c r="PGH1099"/>
      <c r="PGK1099"/>
      <c r="PGL1099"/>
      <c r="PGO1099"/>
      <c r="PGP1099"/>
      <c r="PGS1099"/>
      <c r="PGT1099"/>
      <c r="PGW1099"/>
      <c r="PGX1099"/>
      <c r="PHA1099"/>
      <c r="PHB1099"/>
      <c r="PHE1099"/>
      <c r="PHF1099"/>
      <c r="PHI1099"/>
      <c r="PHJ1099"/>
      <c r="PHM1099"/>
      <c r="PHN1099"/>
      <c r="PHQ1099"/>
      <c r="PHR1099"/>
      <c r="PHU1099"/>
      <c r="PHV1099"/>
      <c r="PHY1099"/>
      <c r="PHZ1099"/>
      <c r="PIC1099"/>
      <c r="PID1099"/>
      <c r="PIG1099"/>
      <c r="PIH1099"/>
      <c r="PIK1099"/>
      <c r="PIL1099"/>
      <c r="PIO1099"/>
      <c r="PIP1099"/>
      <c r="PIS1099"/>
      <c r="PIT1099"/>
      <c r="PIW1099"/>
      <c r="PIX1099"/>
      <c r="PJA1099"/>
      <c r="PJB1099"/>
      <c r="PJE1099"/>
      <c r="PJF1099"/>
      <c r="PJI1099"/>
      <c r="PJJ1099"/>
      <c r="PJM1099"/>
      <c r="PJN1099"/>
      <c r="PJQ1099"/>
      <c r="PJR1099"/>
      <c r="PJU1099"/>
      <c r="PJV1099"/>
      <c r="PJY1099"/>
      <c r="PJZ1099"/>
      <c r="PKC1099"/>
      <c r="PKD1099"/>
      <c r="PKG1099"/>
      <c r="PKH1099"/>
      <c r="PKK1099"/>
      <c r="PKL1099"/>
      <c r="PKO1099"/>
      <c r="PKP1099"/>
      <c r="PKS1099"/>
      <c r="PKT1099"/>
      <c r="PKW1099"/>
      <c r="PKX1099"/>
      <c r="PLA1099"/>
      <c r="PLB1099"/>
      <c r="PLE1099"/>
      <c r="PLF1099"/>
      <c r="PLI1099"/>
      <c r="PLJ1099"/>
      <c r="PLM1099"/>
      <c r="PLN1099"/>
      <c r="PLQ1099"/>
      <c r="PLR1099"/>
      <c r="PLU1099"/>
      <c r="PLV1099"/>
      <c r="PLY1099"/>
      <c r="PLZ1099"/>
      <c r="PMC1099"/>
      <c r="PMD1099"/>
      <c r="PMG1099"/>
      <c r="PMH1099"/>
      <c r="PMK1099"/>
      <c r="PML1099"/>
      <c r="PMO1099"/>
      <c r="PMP1099"/>
      <c r="PMS1099"/>
      <c r="PMT1099"/>
      <c r="PMW1099"/>
      <c r="PMX1099"/>
      <c r="PNA1099"/>
      <c r="PNB1099"/>
      <c r="PNE1099"/>
      <c r="PNF1099"/>
      <c r="PNI1099"/>
      <c r="PNJ1099"/>
      <c r="PNM1099"/>
      <c r="PNN1099"/>
      <c r="PNQ1099"/>
      <c r="PNR1099"/>
      <c r="PNU1099"/>
      <c r="PNV1099"/>
      <c r="PNY1099"/>
      <c r="PNZ1099"/>
      <c r="POC1099"/>
      <c r="POD1099"/>
      <c r="POG1099"/>
      <c r="POH1099"/>
      <c r="POK1099"/>
      <c r="POL1099"/>
      <c r="POO1099"/>
      <c r="POP1099"/>
      <c r="POS1099"/>
      <c r="POT1099"/>
      <c r="POW1099"/>
      <c r="POX1099"/>
      <c r="PPA1099"/>
      <c r="PPB1099"/>
      <c r="PPE1099"/>
      <c r="PPF1099"/>
      <c r="PPI1099"/>
      <c r="PPJ1099"/>
      <c r="PPM1099"/>
      <c r="PPN1099"/>
      <c r="PPQ1099"/>
      <c r="PPR1099"/>
      <c r="PPU1099"/>
      <c r="PPV1099"/>
      <c r="PPY1099"/>
      <c r="PPZ1099"/>
      <c r="PQC1099"/>
      <c r="PQD1099"/>
      <c r="PQG1099"/>
      <c r="PQH1099"/>
      <c r="PQK1099"/>
      <c r="PQL1099"/>
      <c r="PQO1099"/>
      <c r="PQP1099"/>
      <c r="PQS1099"/>
      <c r="PQT1099"/>
      <c r="PQW1099"/>
      <c r="PQX1099"/>
      <c r="PRA1099"/>
      <c r="PRB1099"/>
      <c r="PRE1099"/>
      <c r="PRF1099"/>
      <c r="PRI1099"/>
      <c r="PRJ1099"/>
      <c r="PRM1099"/>
      <c r="PRN1099"/>
      <c r="PRQ1099"/>
      <c r="PRR1099"/>
      <c r="PRU1099"/>
      <c r="PRV1099"/>
      <c r="PRY1099"/>
      <c r="PRZ1099"/>
      <c r="PSC1099"/>
      <c r="PSD1099"/>
      <c r="PSG1099"/>
      <c r="PSH1099"/>
      <c r="PSK1099"/>
      <c r="PSL1099"/>
      <c r="PSO1099"/>
      <c r="PSP1099"/>
      <c r="PSS1099"/>
      <c r="PST1099"/>
      <c r="PSW1099"/>
      <c r="PSX1099"/>
      <c r="PTA1099"/>
      <c r="PTB1099"/>
      <c r="PTE1099"/>
      <c r="PTF1099"/>
      <c r="PTI1099"/>
      <c r="PTJ1099"/>
      <c r="PTM1099"/>
      <c r="PTN1099"/>
      <c r="PTQ1099"/>
      <c r="PTR1099"/>
      <c r="PTU1099"/>
      <c r="PTV1099"/>
      <c r="PTY1099"/>
      <c r="PTZ1099"/>
      <c r="PUC1099"/>
      <c r="PUD1099"/>
      <c r="PUG1099"/>
      <c r="PUH1099"/>
      <c r="PUK1099"/>
      <c r="PUL1099"/>
      <c r="PUO1099"/>
      <c r="PUP1099"/>
      <c r="PUS1099"/>
      <c r="PUT1099"/>
      <c r="PUW1099"/>
      <c r="PUX1099"/>
      <c r="PVA1099"/>
      <c r="PVB1099"/>
      <c r="PVE1099"/>
      <c r="PVF1099"/>
      <c r="PVI1099"/>
      <c r="PVJ1099"/>
      <c r="PVM1099"/>
      <c r="PVN1099"/>
      <c r="PVQ1099"/>
      <c r="PVR1099"/>
      <c r="PVU1099"/>
      <c r="PVV1099"/>
      <c r="PVY1099"/>
      <c r="PVZ1099"/>
      <c r="PWC1099"/>
      <c r="PWD1099"/>
      <c r="PWG1099"/>
      <c r="PWH1099"/>
      <c r="PWK1099"/>
      <c r="PWL1099"/>
      <c r="PWO1099"/>
      <c r="PWP1099"/>
      <c r="PWS1099"/>
      <c r="PWT1099"/>
      <c r="PWW1099"/>
      <c r="PWX1099"/>
      <c r="PXA1099"/>
      <c r="PXB1099"/>
      <c r="PXE1099"/>
      <c r="PXF1099"/>
      <c r="PXI1099"/>
      <c r="PXJ1099"/>
      <c r="PXM1099"/>
      <c r="PXN1099"/>
      <c r="PXQ1099"/>
      <c r="PXR1099"/>
      <c r="PXU1099"/>
      <c r="PXV1099"/>
      <c r="PXY1099"/>
      <c r="PXZ1099"/>
      <c r="PYC1099"/>
      <c r="PYD1099"/>
      <c r="PYG1099"/>
      <c r="PYH1099"/>
      <c r="PYK1099"/>
      <c r="PYL1099"/>
      <c r="PYO1099"/>
      <c r="PYP1099"/>
      <c r="PYS1099"/>
      <c r="PYT1099"/>
      <c r="PYW1099"/>
      <c r="PYX1099"/>
      <c r="PZA1099"/>
      <c r="PZB1099"/>
      <c r="PZE1099"/>
      <c r="PZF1099"/>
      <c r="PZI1099"/>
      <c r="PZJ1099"/>
      <c r="PZM1099"/>
      <c r="PZN1099"/>
      <c r="PZQ1099"/>
      <c r="PZR1099"/>
      <c r="PZU1099"/>
      <c r="PZV1099"/>
      <c r="PZY1099"/>
      <c r="PZZ1099"/>
      <c r="QAC1099"/>
      <c r="QAD1099"/>
      <c r="QAG1099"/>
      <c r="QAH1099"/>
      <c r="QAK1099"/>
      <c r="QAL1099"/>
      <c r="QAO1099"/>
      <c r="QAP1099"/>
      <c r="QAS1099"/>
      <c r="QAT1099"/>
      <c r="QAW1099"/>
      <c r="QAX1099"/>
      <c r="QBA1099"/>
      <c r="QBB1099"/>
      <c r="QBE1099"/>
      <c r="QBF1099"/>
      <c r="QBI1099"/>
      <c r="QBJ1099"/>
      <c r="QBM1099"/>
      <c r="QBN1099"/>
      <c r="QBQ1099"/>
      <c r="QBR1099"/>
      <c r="QBU1099"/>
      <c r="QBV1099"/>
      <c r="QBY1099"/>
      <c r="QBZ1099"/>
      <c r="QCC1099"/>
      <c r="QCD1099"/>
      <c r="QCG1099"/>
      <c r="QCH1099"/>
      <c r="QCK1099"/>
      <c r="QCL1099"/>
      <c r="QCO1099"/>
      <c r="QCP1099"/>
      <c r="QCS1099"/>
      <c r="QCT1099"/>
      <c r="QCW1099"/>
      <c r="QCX1099"/>
      <c r="QDA1099"/>
      <c r="QDB1099"/>
      <c r="QDE1099"/>
      <c r="QDF1099"/>
      <c r="QDI1099"/>
      <c r="QDJ1099"/>
      <c r="QDM1099"/>
      <c r="QDN1099"/>
      <c r="QDQ1099"/>
      <c r="QDR1099"/>
      <c r="QDU1099"/>
      <c r="QDV1099"/>
      <c r="QDY1099"/>
      <c r="QDZ1099"/>
      <c r="QEC1099"/>
      <c r="QED1099"/>
      <c r="QEG1099"/>
      <c r="QEH1099"/>
      <c r="QEK1099"/>
      <c r="QEL1099"/>
      <c r="QEO1099"/>
      <c r="QEP1099"/>
      <c r="QES1099"/>
      <c r="QET1099"/>
      <c r="QEW1099"/>
      <c r="QEX1099"/>
      <c r="QFA1099"/>
      <c r="QFB1099"/>
      <c r="QFE1099"/>
      <c r="QFF1099"/>
      <c r="QFI1099"/>
      <c r="QFJ1099"/>
      <c r="QFM1099"/>
      <c r="QFN1099"/>
      <c r="QFQ1099"/>
      <c r="QFR1099"/>
      <c r="QFU1099"/>
      <c r="QFV1099"/>
      <c r="QFY1099"/>
      <c r="QFZ1099"/>
      <c r="QGC1099"/>
      <c r="QGD1099"/>
      <c r="QGG1099"/>
      <c r="QGH1099"/>
      <c r="QGK1099"/>
      <c r="QGL1099"/>
      <c r="QGO1099"/>
      <c r="QGP1099"/>
      <c r="QGS1099"/>
      <c r="QGT1099"/>
      <c r="QGW1099"/>
      <c r="QGX1099"/>
      <c r="QHA1099"/>
      <c r="QHB1099"/>
      <c r="QHE1099"/>
      <c r="QHF1099"/>
      <c r="QHI1099"/>
      <c r="QHJ1099"/>
      <c r="QHM1099"/>
      <c r="QHN1099"/>
      <c r="QHQ1099"/>
      <c r="QHR1099"/>
      <c r="QHU1099"/>
      <c r="QHV1099"/>
      <c r="QHY1099"/>
      <c r="QHZ1099"/>
      <c r="QIC1099"/>
      <c r="QID1099"/>
      <c r="QIG1099"/>
      <c r="QIH1099"/>
      <c r="QIK1099"/>
      <c r="QIL1099"/>
      <c r="QIO1099"/>
      <c r="QIP1099"/>
      <c r="QIS1099"/>
      <c r="QIT1099"/>
      <c r="QIW1099"/>
      <c r="QIX1099"/>
      <c r="QJA1099"/>
      <c r="QJB1099"/>
      <c r="QJE1099"/>
      <c r="QJF1099"/>
      <c r="QJI1099"/>
      <c r="QJJ1099"/>
      <c r="QJM1099"/>
      <c r="QJN1099"/>
      <c r="QJQ1099"/>
      <c r="QJR1099"/>
      <c r="QJU1099"/>
      <c r="QJV1099"/>
      <c r="QJY1099"/>
      <c r="QJZ1099"/>
      <c r="QKC1099"/>
      <c r="QKD1099"/>
      <c r="QKG1099"/>
      <c r="QKH1099"/>
      <c r="QKK1099"/>
      <c r="QKL1099"/>
      <c r="QKO1099"/>
      <c r="QKP1099"/>
      <c r="QKS1099"/>
      <c r="QKT1099"/>
      <c r="QKW1099"/>
      <c r="QKX1099"/>
      <c r="QLA1099"/>
      <c r="QLB1099"/>
      <c r="QLE1099"/>
      <c r="QLF1099"/>
      <c r="QLI1099"/>
      <c r="QLJ1099"/>
      <c r="QLM1099"/>
      <c r="QLN1099"/>
      <c r="QLQ1099"/>
      <c r="QLR1099"/>
      <c r="QLU1099"/>
      <c r="QLV1099"/>
      <c r="QLY1099"/>
      <c r="QLZ1099"/>
      <c r="QMC1099"/>
      <c r="QMD1099"/>
      <c r="QMG1099"/>
      <c r="QMH1099"/>
      <c r="QMK1099"/>
      <c r="QML1099"/>
      <c r="QMO1099"/>
      <c r="QMP1099"/>
      <c r="QMS1099"/>
      <c r="QMT1099"/>
      <c r="QMW1099"/>
      <c r="QMX1099"/>
      <c r="QNA1099"/>
      <c r="QNB1099"/>
      <c r="QNE1099"/>
      <c r="QNF1099"/>
      <c r="QNI1099"/>
      <c r="QNJ1099"/>
      <c r="QNM1099"/>
      <c r="QNN1099"/>
      <c r="QNQ1099"/>
      <c r="QNR1099"/>
      <c r="QNU1099"/>
      <c r="QNV1099"/>
      <c r="QNY1099"/>
      <c r="QNZ1099"/>
      <c r="QOC1099"/>
      <c r="QOD1099"/>
      <c r="QOG1099"/>
      <c r="QOH1099"/>
      <c r="QOK1099"/>
      <c r="QOL1099"/>
      <c r="QOO1099"/>
      <c r="QOP1099"/>
      <c r="QOS1099"/>
      <c r="QOT1099"/>
      <c r="QOW1099"/>
      <c r="QOX1099"/>
      <c r="QPA1099"/>
      <c r="QPB1099"/>
      <c r="QPE1099"/>
      <c r="QPF1099"/>
      <c r="QPI1099"/>
      <c r="QPJ1099"/>
      <c r="QPM1099"/>
      <c r="QPN1099"/>
      <c r="QPQ1099"/>
      <c r="QPR1099"/>
      <c r="QPU1099"/>
      <c r="QPV1099"/>
      <c r="QPY1099"/>
      <c r="QPZ1099"/>
      <c r="QQC1099"/>
      <c r="QQD1099"/>
      <c r="QQG1099"/>
      <c r="QQH1099"/>
      <c r="QQK1099"/>
      <c r="QQL1099"/>
      <c r="QQO1099"/>
      <c r="QQP1099"/>
      <c r="QQS1099"/>
      <c r="QQT1099"/>
      <c r="QQW1099"/>
      <c r="QQX1099"/>
      <c r="QRA1099"/>
      <c r="QRB1099"/>
      <c r="QRE1099"/>
      <c r="QRF1099"/>
      <c r="QRI1099"/>
      <c r="QRJ1099"/>
      <c r="QRM1099"/>
      <c r="QRN1099"/>
      <c r="QRQ1099"/>
      <c r="QRR1099"/>
      <c r="QRU1099"/>
      <c r="QRV1099"/>
      <c r="QRY1099"/>
      <c r="QRZ1099"/>
      <c r="QSC1099"/>
      <c r="QSD1099"/>
      <c r="QSG1099"/>
      <c r="QSH1099"/>
      <c r="QSK1099"/>
      <c r="QSL1099"/>
      <c r="QSO1099"/>
      <c r="QSP1099"/>
      <c r="QSS1099"/>
      <c r="QST1099"/>
      <c r="QSW1099"/>
      <c r="QSX1099"/>
      <c r="QTA1099"/>
      <c r="QTB1099"/>
      <c r="QTE1099"/>
      <c r="QTF1099"/>
      <c r="QTI1099"/>
      <c r="QTJ1099"/>
      <c r="QTM1099"/>
      <c r="QTN1099"/>
      <c r="QTQ1099"/>
      <c r="QTR1099"/>
      <c r="QTU1099"/>
      <c r="QTV1099"/>
      <c r="QTY1099"/>
      <c r="QTZ1099"/>
      <c r="QUC1099"/>
      <c r="QUD1099"/>
      <c r="QUG1099"/>
      <c r="QUH1099"/>
      <c r="QUK1099"/>
      <c r="QUL1099"/>
      <c r="QUO1099"/>
      <c r="QUP1099"/>
      <c r="QUS1099"/>
      <c r="QUT1099"/>
      <c r="QUW1099"/>
      <c r="QUX1099"/>
      <c r="QVA1099"/>
      <c r="QVB1099"/>
      <c r="QVE1099"/>
      <c r="QVF1099"/>
      <c r="QVI1099"/>
      <c r="QVJ1099"/>
      <c r="QVM1099"/>
      <c r="QVN1099"/>
      <c r="QVQ1099"/>
      <c r="QVR1099"/>
      <c r="QVU1099"/>
      <c r="QVV1099"/>
      <c r="QVY1099"/>
      <c r="QVZ1099"/>
      <c r="QWC1099"/>
      <c r="QWD1099"/>
      <c r="QWG1099"/>
      <c r="QWH1099"/>
      <c r="QWK1099"/>
      <c r="QWL1099"/>
      <c r="QWO1099"/>
      <c r="QWP1099"/>
      <c r="QWS1099"/>
      <c r="QWT1099"/>
      <c r="QWW1099"/>
      <c r="QWX1099"/>
      <c r="QXA1099"/>
      <c r="QXB1099"/>
      <c r="QXE1099"/>
      <c r="QXF1099"/>
      <c r="QXI1099"/>
      <c r="QXJ1099"/>
      <c r="QXM1099"/>
      <c r="QXN1099"/>
      <c r="QXQ1099"/>
      <c r="QXR1099"/>
      <c r="QXU1099"/>
      <c r="QXV1099"/>
      <c r="QXY1099"/>
      <c r="QXZ1099"/>
      <c r="QYC1099"/>
      <c r="QYD1099"/>
      <c r="QYG1099"/>
      <c r="QYH1099"/>
      <c r="QYK1099"/>
      <c r="QYL1099"/>
      <c r="QYO1099"/>
      <c r="QYP1099"/>
      <c r="QYS1099"/>
      <c r="QYT1099"/>
      <c r="QYW1099"/>
      <c r="QYX1099"/>
      <c r="QZA1099"/>
      <c r="QZB1099"/>
      <c r="QZE1099"/>
      <c r="QZF1099"/>
      <c r="QZI1099"/>
      <c r="QZJ1099"/>
      <c r="QZM1099"/>
      <c r="QZN1099"/>
      <c r="QZQ1099"/>
      <c r="QZR1099"/>
      <c r="QZU1099"/>
      <c r="QZV1099"/>
      <c r="QZY1099"/>
      <c r="QZZ1099"/>
      <c r="RAC1099"/>
      <c r="RAD1099"/>
      <c r="RAG1099"/>
      <c r="RAH1099"/>
      <c r="RAK1099"/>
      <c r="RAL1099"/>
      <c r="RAO1099"/>
      <c r="RAP1099"/>
      <c r="RAS1099"/>
      <c r="RAT1099"/>
      <c r="RAW1099"/>
      <c r="RAX1099"/>
      <c r="RBA1099"/>
      <c r="RBB1099"/>
      <c r="RBE1099"/>
      <c r="RBF1099"/>
      <c r="RBI1099"/>
      <c r="RBJ1099"/>
      <c r="RBM1099"/>
      <c r="RBN1099"/>
      <c r="RBQ1099"/>
      <c r="RBR1099"/>
      <c r="RBU1099"/>
      <c r="RBV1099"/>
      <c r="RBY1099"/>
      <c r="RBZ1099"/>
      <c r="RCC1099"/>
      <c r="RCD1099"/>
      <c r="RCG1099"/>
      <c r="RCH1099"/>
      <c r="RCK1099"/>
      <c r="RCL1099"/>
      <c r="RCO1099"/>
      <c r="RCP1099"/>
      <c r="RCS1099"/>
      <c r="RCT1099"/>
      <c r="RCW1099"/>
      <c r="RCX1099"/>
      <c r="RDA1099"/>
      <c r="RDB1099"/>
      <c r="RDE1099"/>
      <c r="RDF1099"/>
      <c r="RDI1099"/>
      <c r="RDJ1099"/>
      <c r="RDM1099"/>
      <c r="RDN1099"/>
      <c r="RDQ1099"/>
      <c r="RDR1099"/>
      <c r="RDU1099"/>
      <c r="RDV1099"/>
      <c r="RDY1099"/>
      <c r="RDZ1099"/>
      <c r="REC1099"/>
      <c r="RED1099"/>
      <c r="REG1099"/>
      <c r="REH1099"/>
      <c r="REK1099"/>
      <c r="REL1099"/>
      <c r="REO1099"/>
      <c r="REP1099"/>
      <c r="RES1099"/>
      <c r="RET1099"/>
      <c r="REW1099"/>
      <c r="REX1099"/>
      <c r="RFA1099"/>
      <c r="RFB1099"/>
      <c r="RFE1099"/>
      <c r="RFF1099"/>
      <c r="RFI1099"/>
      <c r="RFJ1099"/>
      <c r="RFM1099"/>
      <c r="RFN1099"/>
      <c r="RFQ1099"/>
      <c r="RFR1099"/>
      <c r="RFU1099"/>
      <c r="RFV1099"/>
      <c r="RFY1099"/>
      <c r="RFZ1099"/>
      <c r="RGC1099"/>
      <c r="RGD1099"/>
      <c r="RGG1099"/>
      <c r="RGH1099"/>
      <c r="RGK1099"/>
      <c r="RGL1099"/>
      <c r="RGO1099"/>
      <c r="RGP1099"/>
      <c r="RGS1099"/>
      <c r="RGT1099"/>
      <c r="RGW1099"/>
      <c r="RGX1099"/>
      <c r="RHA1099"/>
      <c r="RHB1099"/>
      <c r="RHE1099"/>
      <c r="RHF1099"/>
      <c r="RHI1099"/>
      <c r="RHJ1099"/>
      <c r="RHM1099"/>
      <c r="RHN1099"/>
      <c r="RHQ1099"/>
      <c r="RHR1099"/>
      <c r="RHU1099"/>
      <c r="RHV1099"/>
      <c r="RHY1099"/>
      <c r="RHZ1099"/>
      <c r="RIC1099"/>
      <c r="RID1099"/>
      <c r="RIG1099"/>
      <c r="RIH1099"/>
      <c r="RIK1099"/>
      <c r="RIL1099"/>
      <c r="RIO1099"/>
      <c r="RIP1099"/>
      <c r="RIS1099"/>
      <c r="RIT1099"/>
      <c r="RIW1099"/>
      <c r="RIX1099"/>
      <c r="RJA1099"/>
      <c r="RJB1099"/>
      <c r="RJE1099"/>
      <c r="RJF1099"/>
      <c r="RJI1099"/>
      <c r="RJJ1099"/>
      <c r="RJM1099"/>
      <c r="RJN1099"/>
      <c r="RJQ1099"/>
      <c r="RJR1099"/>
      <c r="RJU1099"/>
      <c r="RJV1099"/>
      <c r="RJY1099"/>
      <c r="RJZ1099"/>
      <c r="RKC1099"/>
      <c r="RKD1099"/>
      <c r="RKG1099"/>
      <c r="RKH1099"/>
      <c r="RKK1099"/>
      <c r="RKL1099"/>
      <c r="RKO1099"/>
      <c r="RKP1099"/>
      <c r="RKS1099"/>
      <c r="RKT1099"/>
      <c r="RKW1099"/>
      <c r="RKX1099"/>
      <c r="RLA1099"/>
      <c r="RLB1099"/>
      <c r="RLE1099"/>
      <c r="RLF1099"/>
      <c r="RLI1099"/>
      <c r="RLJ1099"/>
      <c r="RLM1099"/>
      <c r="RLN1099"/>
      <c r="RLQ1099"/>
      <c r="RLR1099"/>
      <c r="RLU1099"/>
      <c r="RLV1099"/>
      <c r="RLY1099"/>
      <c r="RLZ1099"/>
      <c r="RMC1099"/>
      <c r="RMD1099"/>
      <c r="RMG1099"/>
      <c r="RMH1099"/>
      <c r="RMK1099"/>
      <c r="RML1099"/>
      <c r="RMO1099"/>
      <c r="RMP1099"/>
      <c r="RMS1099"/>
      <c r="RMT1099"/>
      <c r="RMW1099"/>
      <c r="RMX1099"/>
      <c r="RNA1099"/>
      <c r="RNB1099"/>
      <c r="RNE1099"/>
      <c r="RNF1099"/>
      <c r="RNI1099"/>
      <c r="RNJ1099"/>
      <c r="RNM1099"/>
      <c r="RNN1099"/>
      <c r="RNQ1099"/>
      <c r="RNR1099"/>
      <c r="RNU1099"/>
      <c r="RNV1099"/>
      <c r="RNY1099"/>
      <c r="RNZ1099"/>
      <c r="ROC1099"/>
      <c r="ROD1099"/>
      <c r="ROG1099"/>
      <c r="ROH1099"/>
      <c r="ROK1099"/>
      <c r="ROL1099"/>
      <c r="ROO1099"/>
      <c r="ROP1099"/>
      <c r="ROS1099"/>
      <c r="ROT1099"/>
      <c r="ROW1099"/>
      <c r="ROX1099"/>
      <c r="RPA1099"/>
      <c r="RPB1099"/>
      <c r="RPE1099"/>
      <c r="RPF1099"/>
      <c r="RPI1099"/>
      <c r="RPJ1099"/>
      <c r="RPM1099"/>
      <c r="RPN1099"/>
      <c r="RPQ1099"/>
      <c r="RPR1099"/>
      <c r="RPU1099"/>
      <c r="RPV1099"/>
      <c r="RPY1099"/>
      <c r="RPZ1099"/>
      <c r="RQC1099"/>
      <c r="RQD1099"/>
      <c r="RQG1099"/>
      <c r="RQH1099"/>
      <c r="RQK1099"/>
      <c r="RQL1099"/>
      <c r="RQO1099"/>
      <c r="RQP1099"/>
      <c r="RQS1099"/>
      <c r="RQT1099"/>
      <c r="RQW1099"/>
      <c r="RQX1099"/>
      <c r="RRA1099"/>
      <c r="RRB1099"/>
      <c r="RRE1099"/>
      <c r="RRF1099"/>
      <c r="RRI1099"/>
      <c r="RRJ1099"/>
      <c r="RRM1099"/>
      <c r="RRN1099"/>
      <c r="RRQ1099"/>
      <c r="RRR1099"/>
      <c r="RRU1099"/>
      <c r="RRV1099"/>
      <c r="RRY1099"/>
      <c r="RRZ1099"/>
      <c r="RSC1099"/>
      <c r="RSD1099"/>
      <c r="RSG1099"/>
      <c r="RSH1099"/>
      <c r="RSK1099"/>
      <c r="RSL1099"/>
      <c r="RSO1099"/>
      <c r="RSP1099"/>
      <c r="RSS1099"/>
      <c r="RST1099"/>
      <c r="RSW1099"/>
      <c r="RSX1099"/>
      <c r="RTA1099"/>
      <c r="RTB1099"/>
      <c r="RTE1099"/>
      <c r="RTF1099"/>
      <c r="RTI1099"/>
      <c r="RTJ1099"/>
      <c r="RTM1099"/>
      <c r="RTN1099"/>
      <c r="RTQ1099"/>
      <c r="RTR1099"/>
      <c r="RTU1099"/>
      <c r="RTV1099"/>
      <c r="RTY1099"/>
      <c r="RTZ1099"/>
      <c r="RUC1099"/>
      <c r="RUD1099"/>
      <c r="RUG1099"/>
      <c r="RUH1099"/>
      <c r="RUK1099"/>
      <c r="RUL1099"/>
      <c r="RUO1099"/>
      <c r="RUP1099"/>
      <c r="RUS1099"/>
      <c r="RUT1099"/>
      <c r="RUW1099"/>
      <c r="RUX1099"/>
      <c r="RVA1099"/>
      <c r="RVB1099"/>
      <c r="RVE1099"/>
      <c r="RVF1099"/>
      <c r="RVI1099"/>
      <c r="RVJ1099"/>
      <c r="RVM1099"/>
      <c r="RVN1099"/>
      <c r="RVQ1099"/>
      <c r="RVR1099"/>
      <c r="RVU1099"/>
      <c r="RVV1099"/>
      <c r="RVY1099"/>
      <c r="RVZ1099"/>
      <c r="RWC1099"/>
      <c r="RWD1099"/>
      <c r="RWG1099"/>
      <c r="RWH1099"/>
      <c r="RWK1099"/>
      <c r="RWL1099"/>
      <c r="RWO1099"/>
      <c r="RWP1099"/>
      <c r="RWS1099"/>
      <c r="RWT1099"/>
      <c r="RWW1099"/>
      <c r="RWX1099"/>
      <c r="RXA1099"/>
      <c r="RXB1099"/>
      <c r="RXE1099"/>
      <c r="RXF1099"/>
      <c r="RXI1099"/>
      <c r="RXJ1099"/>
      <c r="RXM1099"/>
      <c r="RXN1099"/>
      <c r="RXQ1099"/>
      <c r="RXR1099"/>
      <c r="RXU1099"/>
      <c r="RXV1099"/>
      <c r="RXY1099"/>
      <c r="RXZ1099"/>
      <c r="RYC1099"/>
      <c r="RYD1099"/>
      <c r="RYG1099"/>
      <c r="RYH1099"/>
      <c r="RYK1099"/>
      <c r="RYL1099"/>
      <c r="RYO1099"/>
      <c r="RYP1099"/>
      <c r="RYS1099"/>
      <c r="RYT1099"/>
      <c r="RYW1099"/>
      <c r="RYX1099"/>
      <c r="RZA1099"/>
      <c r="RZB1099"/>
      <c r="RZE1099"/>
      <c r="RZF1099"/>
      <c r="RZI1099"/>
      <c r="RZJ1099"/>
      <c r="RZM1099"/>
      <c r="RZN1099"/>
      <c r="RZQ1099"/>
      <c r="RZR1099"/>
      <c r="RZU1099"/>
      <c r="RZV1099"/>
      <c r="RZY1099"/>
      <c r="RZZ1099"/>
      <c r="SAC1099"/>
      <c r="SAD1099"/>
      <c r="SAG1099"/>
      <c r="SAH1099"/>
      <c r="SAK1099"/>
      <c r="SAL1099"/>
      <c r="SAO1099"/>
      <c r="SAP1099"/>
      <c r="SAS1099"/>
      <c r="SAT1099"/>
      <c r="SAW1099"/>
      <c r="SAX1099"/>
      <c r="SBA1099"/>
      <c r="SBB1099"/>
      <c r="SBE1099"/>
      <c r="SBF1099"/>
      <c r="SBI1099"/>
      <c r="SBJ1099"/>
      <c r="SBM1099"/>
      <c r="SBN1099"/>
      <c r="SBQ1099"/>
      <c r="SBR1099"/>
      <c r="SBU1099"/>
      <c r="SBV1099"/>
      <c r="SBY1099"/>
      <c r="SBZ1099"/>
      <c r="SCC1099"/>
      <c r="SCD1099"/>
      <c r="SCG1099"/>
      <c r="SCH1099"/>
      <c r="SCK1099"/>
      <c r="SCL1099"/>
      <c r="SCO1099"/>
      <c r="SCP1099"/>
      <c r="SCS1099"/>
      <c r="SCT1099"/>
      <c r="SCW1099"/>
      <c r="SCX1099"/>
      <c r="SDA1099"/>
      <c r="SDB1099"/>
      <c r="SDE1099"/>
      <c r="SDF1099"/>
      <c r="SDI1099"/>
      <c r="SDJ1099"/>
      <c r="SDM1099"/>
      <c r="SDN1099"/>
      <c r="SDQ1099"/>
      <c r="SDR1099"/>
      <c r="SDU1099"/>
      <c r="SDV1099"/>
      <c r="SDY1099"/>
      <c r="SDZ1099"/>
      <c r="SEC1099"/>
      <c r="SED1099"/>
      <c r="SEG1099"/>
      <c r="SEH1099"/>
      <c r="SEK1099"/>
      <c r="SEL1099"/>
      <c r="SEO1099"/>
      <c r="SEP1099"/>
      <c r="SES1099"/>
      <c r="SET1099"/>
      <c r="SEW1099"/>
      <c r="SEX1099"/>
      <c r="SFA1099"/>
      <c r="SFB1099"/>
      <c r="SFE1099"/>
      <c r="SFF1099"/>
      <c r="SFI1099"/>
      <c r="SFJ1099"/>
      <c r="SFM1099"/>
      <c r="SFN1099"/>
      <c r="SFQ1099"/>
      <c r="SFR1099"/>
      <c r="SFU1099"/>
      <c r="SFV1099"/>
      <c r="SFY1099"/>
      <c r="SFZ1099"/>
      <c r="SGC1099"/>
      <c r="SGD1099"/>
      <c r="SGG1099"/>
      <c r="SGH1099"/>
      <c r="SGK1099"/>
      <c r="SGL1099"/>
      <c r="SGO1099"/>
      <c r="SGP1099"/>
      <c r="SGS1099"/>
      <c r="SGT1099"/>
      <c r="SGW1099"/>
      <c r="SGX1099"/>
      <c r="SHA1099"/>
      <c r="SHB1099"/>
      <c r="SHE1099"/>
      <c r="SHF1099"/>
      <c r="SHI1099"/>
      <c r="SHJ1099"/>
      <c r="SHM1099"/>
      <c r="SHN1099"/>
      <c r="SHQ1099"/>
      <c r="SHR1099"/>
      <c r="SHU1099"/>
      <c r="SHV1099"/>
      <c r="SHY1099"/>
      <c r="SHZ1099"/>
      <c r="SIC1099"/>
      <c r="SID1099"/>
      <c r="SIG1099"/>
      <c r="SIH1099"/>
      <c r="SIK1099"/>
      <c r="SIL1099"/>
      <c r="SIO1099"/>
      <c r="SIP1099"/>
      <c r="SIS1099"/>
      <c r="SIT1099"/>
      <c r="SIW1099"/>
      <c r="SIX1099"/>
      <c r="SJA1099"/>
      <c r="SJB1099"/>
      <c r="SJE1099"/>
      <c r="SJF1099"/>
      <c r="SJI1099"/>
      <c r="SJJ1099"/>
      <c r="SJM1099"/>
      <c r="SJN1099"/>
      <c r="SJQ1099"/>
      <c r="SJR1099"/>
      <c r="SJU1099"/>
      <c r="SJV1099"/>
      <c r="SJY1099"/>
      <c r="SJZ1099"/>
      <c r="SKC1099"/>
      <c r="SKD1099"/>
      <c r="SKG1099"/>
      <c r="SKH1099"/>
      <c r="SKK1099"/>
      <c r="SKL1099"/>
      <c r="SKO1099"/>
      <c r="SKP1099"/>
      <c r="SKS1099"/>
      <c r="SKT1099"/>
      <c r="SKW1099"/>
      <c r="SKX1099"/>
      <c r="SLA1099"/>
      <c r="SLB1099"/>
      <c r="SLE1099"/>
      <c r="SLF1099"/>
      <c r="SLI1099"/>
      <c r="SLJ1099"/>
      <c r="SLM1099"/>
      <c r="SLN1099"/>
      <c r="SLQ1099"/>
      <c r="SLR1099"/>
      <c r="SLU1099"/>
      <c r="SLV1099"/>
      <c r="SLY1099"/>
      <c r="SLZ1099"/>
      <c r="SMC1099"/>
      <c r="SMD1099"/>
      <c r="SMG1099"/>
      <c r="SMH1099"/>
      <c r="SMK1099"/>
      <c r="SML1099"/>
      <c r="SMO1099"/>
      <c r="SMP1099"/>
      <c r="SMS1099"/>
      <c r="SMT1099"/>
      <c r="SMW1099"/>
      <c r="SMX1099"/>
      <c r="SNA1099"/>
      <c r="SNB1099"/>
      <c r="SNE1099"/>
      <c r="SNF1099"/>
      <c r="SNI1099"/>
      <c r="SNJ1099"/>
      <c r="SNM1099"/>
      <c r="SNN1099"/>
      <c r="SNQ1099"/>
      <c r="SNR1099"/>
      <c r="SNU1099"/>
      <c r="SNV1099"/>
      <c r="SNY1099"/>
      <c r="SNZ1099"/>
      <c r="SOC1099"/>
      <c r="SOD1099"/>
      <c r="SOG1099"/>
      <c r="SOH1099"/>
      <c r="SOK1099"/>
      <c r="SOL1099"/>
      <c r="SOO1099"/>
      <c r="SOP1099"/>
      <c r="SOS1099"/>
      <c r="SOT1099"/>
      <c r="SOW1099"/>
      <c r="SOX1099"/>
      <c r="SPA1099"/>
      <c r="SPB1099"/>
      <c r="SPE1099"/>
      <c r="SPF1099"/>
      <c r="SPI1099"/>
      <c r="SPJ1099"/>
      <c r="SPM1099"/>
      <c r="SPN1099"/>
      <c r="SPQ1099"/>
      <c r="SPR1099"/>
      <c r="SPU1099"/>
      <c r="SPV1099"/>
      <c r="SPY1099"/>
      <c r="SPZ1099"/>
      <c r="SQC1099"/>
      <c r="SQD1099"/>
      <c r="SQG1099"/>
      <c r="SQH1099"/>
      <c r="SQK1099"/>
      <c r="SQL1099"/>
      <c r="SQO1099"/>
      <c r="SQP1099"/>
      <c r="SQS1099"/>
      <c r="SQT1099"/>
      <c r="SQW1099"/>
      <c r="SQX1099"/>
      <c r="SRA1099"/>
      <c r="SRB1099"/>
      <c r="SRE1099"/>
      <c r="SRF1099"/>
      <c r="SRI1099"/>
      <c r="SRJ1099"/>
      <c r="SRM1099"/>
      <c r="SRN1099"/>
      <c r="SRQ1099"/>
      <c r="SRR1099"/>
      <c r="SRU1099"/>
      <c r="SRV1099"/>
      <c r="SRY1099"/>
      <c r="SRZ1099"/>
      <c r="SSC1099"/>
      <c r="SSD1099"/>
      <c r="SSG1099"/>
      <c r="SSH1099"/>
      <c r="SSK1099"/>
      <c r="SSL1099"/>
      <c r="SSO1099"/>
      <c r="SSP1099"/>
      <c r="SSS1099"/>
      <c r="SST1099"/>
      <c r="SSW1099"/>
      <c r="SSX1099"/>
      <c r="STA1099"/>
      <c r="STB1099"/>
      <c r="STE1099"/>
      <c r="STF1099"/>
      <c r="STI1099"/>
      <c r="STJ1099"/>
      <c r="STM1099"/>
      <c r="STN1099"/>
      <c r="STQ1099"/>
      <c r="STR1099"/>
      <c r="STU1099"/>
      <c r="STV1099"/>
      <c r="STY1099"/>
      <c r="STZ1099"/>
      <c r="SUC1099"/>
      <c r="SUD1099"/>
      <c r="SUG1099"/>
      <c r="SUH1099"/>
      <c r="SUK1099"/>
      <c r="SUL1099"/>
      <c r="SUO1099"/>
      <c r="SUP1099"/>
      <c r="SUS1099"/>
      <c r="SUT1099"/>
      <c r="SUW1099"/>
      <c r="SUX1099"/>
      <c r="SVA1099"/>
      <c r="SVB1099"/>
      <c r="SVE1099"/>
      <c r="SVF1099"/>
      <c r="SVI1099"/>
      <c r="SVJ1099"/>
      <c r="SVM1099"/>
      <c r="SVN1099"/>
      <c r="SVQ1099"/>
      <c r="SVR1099"/>
      <c r="SVU1099"/>
      <c r="SVV1099"/>
      <c r="SVY1099"/>
      <c r="SVZ1099"/>
      <c r="SWC1099"/>
      <c r="SWD1099"/>
      <c r="SWG1099"/>
      <c r="SWH1099"/>
      <c r="SWK1099"/>
      <c r="SWL1099"/>
      <c r="SWO1099"/>
      <c r="SWP1099"/>
      <c r="SWS1099"/>
      <c r="SWT1099"/>
      <c r="SWW1099"/>
      <c r="SWX1099"/>
      <c r="SXA1099"/>
      <c r="SXB1099"/>
      <c r="SXE1099"/>
      <c r="SXF1099"/>
      <c r="SXI1099"/>
      <c r="SXJ1099"/>
      <c r="SXM1099"/>
      <c r="SXN1099"/>
      <c r="SXQ1099"/>
      <c r="SXR1099"/>
      <c r="SXU1099"/>
      <c r="SXV1099"/>
      <c r="SXY1099"/>
      <c r="SXZ1099"/>
      <c r="SYC1099"/>
      <c r="SYD1099"/>
      <c r="SYG1099"/>
      <c r="SYH1099"/>
      <c r="SYK1099"/>
      <c r="SYL1099"/>
      <c r="SYO1099"/>
      <c r="SYP1099"/>
      <c r="SYS1099"/>
      <c r="SYT1099"/>
      <c r="SYW1099"/>
      <c r="SYX1099"/>
      <c r="SZA1099"/>
      <c r="SZB1099"/>
      <c r="SZE1099"/>
      <c r="SZF1099"/>
      <c r="SZI1099"/>
      <c r="SZJ1099"/>
      <c r="SZM1099"/>
      <c r="SZN1099"/>
      <c r="SZQ1099"/>
      <c r="SZR1099"/>
      <c r="SZU1099"/>
      <c r="SZV1099"/>
      <c r="SZY1099"/>
      <c r="SZZ1099"/>
      <c r="TAC1099"/>
      <c r="TAD1099"/>
      <c r="TAG1099"/>
      <c r="TAH1099"/>
      <c r="TAK1099"/>
      <c r="TAL1099"/>
      <c r="TAO1099"/>
      <c r="TAP1099"/>
      <c r="TAS1099"/>
      <c r="TAT1099"/>
      <c r="TAW1099"/>
      <c r="TAX1099"/>
      <c r="TBA1099"/>
      <c r="TBB1099"/>
      <c r="TBE1099"/>
      <c r="TBF1099"/>
      <c r="TBI1099"/>
      <c r="TBJ1099"/>
      <c r="TBM1099"/>
      <c r="TBN1099"/>
      <c r="TBQ1099"/>
      <c r="TBR1099"/>
      <c r="TBU1099"/>
      <c r="TBV1099"/>
      <c r="TBY1099"/>
      <c r="TBZ1099"/>
      <c r="TCC1099"/>
      <c r="TCD1099"/>
      <c r="TCG1099"/>
      <c r="TCH1099"/>
      <c r="TCK1099"/>
      <c r="TCL1099"/>
      <c r="TCO1099"/>
      <c r="TCP1099"/>
      <c r="TCS1099"/>
      <c r="TCT1099"/>
      <c r="TCW1099"/>
      <c r="TCX1099"/>
      <c r="TDA1099"/>
      <c r="TDB1099"/>
      <c r="TDE1099"/>
      <c r="TDF1099"/>
      <c r="TDI1099"/>
      <c r="TDJ1099"/>
      <c r="TDM1099"/>
      <c r="TDN1099"/>
      <c r="TDQ1099"/>
      <c r="TDR1099"/>
      <c r="TDU1099"/>
      <c r="TDV1099"/>
      <c r="TDY1099"/>
      <c r="TDZ1099"/>
      <c r="TEC1099"/>
      <c r="TED1099"/>
      <c r="TEG1099"/>
      <c r="TEH1099"/>
      <c r="TEK1099"/>
      <c r="TEL1099"/>
      <c r="TEO1099"/>
      <c r="TEP1099"/>
      <c r="TES1099"/>
      <c r="TET1099"/>
      <c r="TEW1099"/>
      <c r="TEX1099"/>
      <c r="TFA1099"/>
      <c r="TFB1099"/>
      <c r="TFE1099"/>
      <c r="TFF1099"/>
      <c r="TFI1099"/>
      <c r="TFJ1099"/>
      <c r="TFM1099"/>
      <c r="TFN1099"/>
      <c r="TFQ1099"/>
      <c r="TFR1099"/>
      <c r="TFU1099"/>
      <c r="TFV1099"/>
      <c r="TFY1099"/>
      <c r="TFZ1099"/>
      <c r="TGC1099"/>
      <c r="TGD1099"/>
      <c r="TGG1099"/>
      <c r="TGH1099"/>
      <c r="TGK1099"/>
      <c r="TGL1099"/>
      <c r="TGO1099"/>
      <c r="TGP1099"/>
      <c r="TGS1099"/>
      <c r="TGT1099"/>
      <c r="TGW1099"/>
      <c r="TGX1099"/>
      <c r="THA1099"/>
      <c r="THB1099"/>
      <c r="THE1099"/>
      <c r="THF1099"/>
      <c r="THI1099"/>
      <c r="THJ1099"/>
      <c r="THM1099"/>
      <c r="THN1099"/>
      <c r="THQ1099"/>
      <c r="THR1099"/>
      <c r="THU1099"/>
      <c r="THV1099"/>
      <c r="THY1099"/>
      <c r="THZ1099"/>
      <c r="TIC1099"/>
      <c r="TID1099"/>
      <c r="TIG1099"/>
      <c r="TIH1099"/>
      <c r="TIK1099"/>
      <c r="TIL1099"/>
      <c r="TIO1099"/>
      <c r="TIP1099"/>
      <c r="TIS1099"/>
      <c r="TIT1099"/>
      <c r="TIW1099"/>
      <c r="TIX1099"/>
      <c r="TJA1099"/>
      <c r="TJB1099"/>
      <c r="TJE1099"/>
      <c r="TJF1099"/>
      <c r="TJI1099"/>
      <c r="TJJ1099"/>
      <c r="TJM1099"/>
      <c r="TJN1099"/>
      <c r="TJQ1099"/>
      <c r="TJR1099"/>
      <c r="TJU1099"/>
      <c r="TJV1099"/>
      <c r="TJY1099"/>
      <c r="TJZ1099"/>
      <c r="TKC1099"/>
      <c r="TKD1099"/>
      <c r="TKG1099"/>
      <c r="TKH1099"/>
      <c r="TKK1099"/>
      <c r="TKL1099"/>
      <c r="TKO1099"/>
      <c r="TKP1099"/>
      <c r="TKS1099"/>
      <c r="TKT1099"/>
      <c r="TKW1099"/>
      <c r="TKX1099"/>
      <c r="TLA1099"/>
      <c r="TLB1099"/>
      <c r="TLE1099"/>
      <c r="TLF1099"/>
      <c r="TLI1099"/>
      <c r="TLJ1099"/>
      <c r="TLM1099"/>
      <c r="TLN1099"/>
      <c r="TLQ1099"/>
      <c r="TLR1099"/>
      <c r="TLU1099"/>
      <c r="TLV1099"/>
      <c r="TLY1099"/>
      <c r="TLZ1099"/>
      <c r="TMC1099"/>
      <c r="TMD1099"/>
      <c r="TMG1099"/>
      <c r="TMH1099"/>
      <c r="TMK1099"/>
      <c r="TML1099"/>
      <c r="TMO1099"/>
      <c r="TMP1099"/>
      <c r="TMS1099"/>
      <c r="TMT1099"/>
      <c r="TMW1099"/>
      <c r="TMX1099"/>
      <c r="TNA1099"/>
      <c r="TNB1099"/>
      <c r="TNE1099"/>
      <c r="TNF1099"/>
      <c r="TNI1099"/>
      <c r="TNJ1099"/>
      <c r="TNM1099"/>
      <c r="TNN1099"/>
      <c r="TNQ1099"/>
      <c r="TNR1099"/>
      <c r="TNU1099"/>
      <c r="TNV1099"/>
      <c r="TNY1099"/>
      <c r="TNZ1099"/>
      <c r="TOC1099"/>
      <c r="TOD1099"/>
      <c r="TOG1099"/>
      <c r="TOH1099"/>
      <c r="TOK1099"/>
      <c r="TOL1099"/>
      <c r="TOO1099"/>
      <c r="TOP1099"/>
      <c r="TOS1099"/>
      <c r="TOT1099"/>
      <c r="TOW1099"/>
      <c r="TOX1099"/>
      <c r="TPA1099"/>
      <c r="TPB1099"/>
      <c r="TPE1099"/>
      <c r="TPF1099"/>
      <c r="TPI1099"/>
      <c r="TPJ1099"/>
      <c r="TPM1099"/>
      <c r="TPN1099"/>
      <c r="TPQ1099"/>
      <c r="TPR1099"/>
      <c r="TPU1099"/>
      <c r="TPV1099"/>
      <c r="TPY1099"/>
      <c r="TPZ1099"/>
      <c r="TQC1099"/>
      <c r="TQD1099"/>
      <c r="TQG1099"/>
      <c r="TQH1099"/>
      <c r="TQK1099"/>
      <c r="TQL1099"/>
      <c r="TQO1099"/>
      <c r="TQP1099"/>
      <c r="TQS1099"/>
      <c r="TQT1099"/>
      <c r="TQW1099"/>
      <c r="TQX1099"/>
      <c r="TRA1099"/>
      <c r="TRB1099"/>
      <c r="TRE1099"/>
      <c r="TRF1099"/>
      <c r="TRI1099"/>
      <c r="TRJ1099"/>
      <c r="TRM1099"/>
      <c r="TRN1099"/>
      <c r="TRQ1099"/>
      <c r="TRR1099"/>
      <c r="TRU1099"/>
      <c r="TRV1099"/>
      <c r="TRY1099"/>
      <c r="TRZ1099"/>
      <c r="TSC1099"/>
      <c r="TSD1099"/>
      <c r="TSG1099"/>
      <c r="TSH1099"/>
      <c r="TSK1099"/>
      <c r="TSL1099"/>
      <c r="TSO1099"/>
      <c r="TSP1099"/>
      <c r="TSS1099"/>
      <c r="TST1099"/>
      <c r="TSW1099"/>
      <c r="TSX1099"/>
      <c r="TTA1099"/>
      <c r="TTB1099"/>
      <c r="TTE1099"/>
      <c r="TTF1099"/>
      <c r="TTI1099"/>
      <c r="TTJ1099"/>
      <c r="TTM1099"/>
      <c r="TTN1099"/>
      <c r="TTQ1099"/>
      <c r="TTR1099"/>
      <c r="TTU1099"/>
      <c r="TTV1099"/>
      <c r="TTY1099"/>
      <c r="TTZ1099"/>
      <c r="TUC1099"/>
      <c r="TUD1099"/>
      <c r="TUG1099"/>
      <c r="TUH1099"/>
      <c r="TUK1099"/>
      <c r="TUL1099"/>
      <c r="TUO1099"/>
      <c r="TUP1099"/>
      <c r="TUS1099"/>
      <c r="TUT1099"/>
      <c r="TUW1099"/>
      <c r="TUX1099"/>
      <c r="TVA1099"/>
      <c r="TVB1099"/>
      <c r="TVE1099"/>
      <c r="TVF1099"/>
      <c r="TVI1099"/>
      <c r="TVJ1099"/>
      <c r="TVM1099"/>
      <c r="TVN1099"/>
      <c r="TVQ1099"/>
      <c r="TVR1099"/>
      <c r="TVU1099"/>
      <c r="TVV1099"/>
      <c r="TVY1099"/>
      <c r="TVZ1099"/>
      <c r="TWC1099"/>
      <c r="TWD1099"/>
      <c r="TWG1099"/>
      <c r="TWH1099"/>
      <c r="TWK1099"/>
      <c r="TWL1099"/>
      <c r="TWO1099"/>
      <c r="TWP1099"/>
      <c r="TWS1099"/>
      <c r="TWT1099"/>
      <c r="TWW1099"/>
      <c r="TWX1099"/>
      <c r="TXA1099"/>
      <c r="TXB1099"/>
      <c r="TXE1099"/>
      <c r="TXF1099"/>
      <c r="TXI1099"/>
      <c r="TXJ1099"/>
      <c r="TXM1099"/>
      <c r="TXN1099"/>
      <c r="TXQ1099"/>
      <c r="TXR1099"/>
      <c r="TXU1099"/>
      <c r="TXV1099"/>
      <c r="TXY1099"/>
      <c r="TXZ1099"/>
      <c r="TYC1099"/>
      <c r="TYD1099"/>
      <c r="TYG1099"/>
      <c r="TYH1099"/>
      <c r="TYK1099"/>
      <c r="TYL1099"/>
      <c r="TYO1099"/>
      <c r="TYP1099"/>
      <c r="TYS1099"/>
      <c r="TYT1099"/>
      <c r="TYW1099"/>
      <c r="TYX1099"/>
      <c r="TZA1099"/>
      <c r="TZB1099"/>
      <c r="TZE1099"/>
      <c r="TZF1099"/>
      <c r="TZI1099"/>
      <c r="TZJ1099"/>
      <c r="TZM1099"/>
      <c r="TZN1099"/>
      <c r="TZQ1099"/>
      <c r="TZR1099"/>
      <c r="TZU1099"/>
      <c r="TZV1099"/>
      <c r="TZY1099"/>
      <c r="TZZ1099"/>
      <c r="UAC1099"/>
      <c r="UAD1099"/>
      <c r="UAG1099"/>
      <c r="UAH1099"/>
      <c r="UAK1099"/>
      <c r="UAL1099"/>
      <c r="UAO1099"/>
      <c r="UAP1099"/>
      <c r="UAS1099"/>
      <c r="UAT1099"/>
      <c r="UAW1099"/>
      <c r="UAX1099"/>
      <c r="UBA1099"/>
      <c r="UBB1099"/>
      <c r="UBE1099"/>
      <c r="UBF1099"/>
      <c r="UBI1099"/>
      <c r="UBJ1099"/>
      <c r="UBM1099"/>
      <c r="UBN1099"/>
      <c r="UBQ1099"/>
      <c r="UBR1099"/>
      <c r="UBU1099"/>
      <c r="UBV1099"/>
      <c r="UBY1099"/>
      <c r="UBZ1099"/>
      <c r="UCC1099"/>
      <c r="UCD1099"/>
      <c r="UCG1099"/>
      <c r="UCH1099"/>
      <c r="UCK1099"/>
      <c r="UCL1099"/>
      <c r="UCO1099"/>
      <c r="UCP1099"/>
      <c r="UCS1099"/>
      <c r="UCT1099"/>
      <c r="UCW1099"/>
      <c r="UCX1099"/>
      <c r="UDA1099"/>
      <c r="UDB1099"/>
      <c r="UDE1099"/>
      <c r="UDF1099"/>
      <c r="UDI1099"/>
      <c r="UDJ1099"/>
      <c r="UDM1099"/>
      <c r="UDN1099"/>
      <c r="UDQ1099"/>
      <c r="UDR1099"/>
      <c r="UDU1099"/>
      <c r="UDV1099"/>
      <c r="UDY1099"/>
      <c r="UDZ1099"/>
      <c r="UEC1099"/>
      <c r="UED1099"/>
      <c r="UEG1099"/>
      <c r="UEH1099"/>
      <c r="UEK1099"/>
      <c r="UEL1099"/>
      <c r="UEO1099"/>
      <c r="UEP1099"/>
      <c r="UES1099"/>
      <c r="UET1099"/>
      <c r="UEW1099"/>
      <c r="UEX1099"/>
      <c r="UFA1099"/>
      <c r="UFB1099"/>
      <c r="UFE1099"/>
      <c r="UFF1099"/>
      <c r="UFI1099"/>
      <c r="UFJ1099"/>
      <c r="UFM1099"/>
      <c r="UFN1099"/>
      <c r="UFQ1099"/>
      <c r="UFR1099"/>
      <c r="UFU1099"/>
      <c r="UFV1099"/>
      <c r="UFY1099"/>
      <c r="UFZ1099"/>
      <c r="UGC1099"/>
      <c r="UGD1099"/>
      <c r="UGG1099"/>
      <c r="UGH1099"/>
      <c r="UGK1099"/>
      <c r="UGL1099"/>
      <c r="UGO1099"/>
      <c r="UGP1099"/>
      <c r="UGS1099"/>
      <c r="UGT1099"/>
      <c r="UGW1099"/>
      <c r="UGX1099"/>
      <c r="UHA1099"/>
      <c r="UHB1099"/>
      <c r="UHE1099"/>
      <c r="UHF1099"/>
      <c r="UHI1099"/>
      <c r="UHJ1099"/>
      <c r="UHM1099"/>
      <c r="UHN1099"/>
      <c r="UHQ1099"/>
      <c r="UHR1099"/>
      <c r="UHU1099"/>
      <c r="UHV1099"/>
      <c r="UHY1099"/>
      <c r="UHZ1099"/>
      <c r="UIC1099"/>
      <c r="UID1099"/>
      <c r="UIG1099"/>
      <c r="UIH1099"/>
      <c r="UIK1099"/>
      <c r="UIL1099"/>
      <c r="UIO1099"/>
      <c r="UIP1099"/>
      <c r="UIS1099"/>
      <c r="UIT1099"/>
      <c r="UIW1099"/>
      <c r="UIX1099"/>
      <c r="UJA1099"/>
      <c r="UJB1099"/>
      <c r="UJE1099"/>
      <c r="UJF1099"/>
      <c r="UJI1099"/>
      <c r="UJJ1099"/>
      <c r="UJM1099"/>
      <c r="UJN1099"/>
      <c r="UJQ1099"/>
      <c r="UJR1099"/>
      <c r="UJU1099"/>
      <c r="UJV1099"/>
      <c r="UJY1099"/>
      <c r="UJZ1099"/>
      <c r="UKC1099"/>
      <c r="UKD1099"/>
      <c r="UKG1099"/>
      <c r="UKH1099"/>
      <c r="UKK1099"/>
      <c r="UKL1099"/>
      <c r="UKO1099"/>
      <c r="UKP1099"/>
      <c r="UKS1099"/>
      <c r="UKT1099"/>
      <c r="UKW1099"/>
      <c r="UKX1099"/>
      <c r="ULA1099"/>
      <c r="ULB1099"/>
      <c r="ULE1099"/>
      <c r="ULF1099"/>
      <c r="ULI1099"/>
      <c r="ULJ1099"/>
      <c r="ULM1099"/>
      <c r="ULN1099"/>
      <c r="ULQ1099"/>
      <c r="ULR1099"/>
      <c r="ULU1099"/>
      <c r="ULV1099"/>
      <c r="ULY1099"/>
      <c r="ULZ1099"/>
      <c r="UMC1099"/>
      <c r="UMD1099"/>
      <c r="UMG1099"/>
      <c r="UMH1099"/>
      <c r="UMK1099"/>
      <c r="UML1099"/>
      <c r="UMO1099"/>
      <c r="UMP1099"/>
      <c r="UMS1099"/>
      <c r="UMT1099"/>
      <c r="UMW1099"/>
      <c r="UMX1099"/>
      <c r="UNA1099"/>
      <c r="UNB1099"/>
      <c r="UNE1099"/>
      <c r="UNF1099"/>
      <c r="UNI1099"/>
      <c r="UNJ1099"/>
      <c r="UNM1099"/>
      <c r="UNN1099"/>
      <c r="UNQ1099"/>
      <c r="UNR1099"/>
      <c r="UNU1099"/>
      <c r="UNV1099"/>
      <c r="UNY1099"/>
      <c r="UNZ1099"/>
      <c r="UOC1099"/>
      <c r="UOD1099"/>
      <c r="UOG1099"/>
      <c r="UOH1099"/>
      <c r="UOK1099"/>
      <c r="UOL1099"/>
      <c r="UOO1099"/>
      <c r="UOP1099"/>
      <c r="UOS1099"/>
      <c r="UOT1099"/>
      <c r="UOW1099"/>
      <c r="UOX1099"/>
      <c r="UPA1099"/>
      <c r="UPB1099"/>
      <c r="UPE1099"/>
      <c r="UPF1099"/>
      <c r="UPI1099"/>
      <c r="UPJ1099"/>
      <c r="UPM1099"/>
      <c r="UPN1099"/>
      <c r="UPQ1099"/>
      <c r="UPR1099"/>
      <c r="UPU1099"/>
      <c r="UPV1099"/>
      <c r="UPY1099"/>
      <c r="UPZ1099"/>
      <c r="UQC1099"/>
      <c r="UQD1099"/>
      <c r="UQG1099"/>
      <c r="UQH1099"/>
      <c r="UQK1099"/>
      <c r="UQL1099"/>
      <c r="UQO1099"/>
      <c r="UQP1099"/>
      <c r="UQS1099"/>
      <c r="UQT1099"/>
      <c r="UQW1099"/>
      <c r="UQX1099"/>
      <c r="URA1099"/>
      <c r="URB1099"/>
      <c r="URE1099"/>
      <c r="URF1099"/>
      <c r="URI1099"/>
      <c r="URJ1099"/>
      <c r="URM1099"/>
      <c r="URN1099"/>
      <c r="URQ1099"/>
      <c r="URR1099"/>
      <c r="URU1099"/>
      <c r="URV1099"/>
      <c r="URY1099"/>
      <c r="URZ1099"/>
      <c r="USC1099"/>
      <c r="USD1099"/>
      <c r="USG1099"/>
      <c r="USH1099"/>
      <c r="USK1099"/>
      <c r="USL1099"/>
      <c r="USO1099"/>
      <c r="USP1099"/>
      <c r="USS1099"/>
      <c r="UST1099"/>
      <c r="USW1099"/>
      <c r="USX1099"/>
      <c r="UTA1099"/>
      <c r="UTB1099"/>
      <c r="UTE1099"/>
      <c r="UTF1099"/>
      <c r="UTI1099"/>
      <c r="UTJ1099"/>
      <c r="UTM1099"/>
      <c r="UTN1099"/>
      <c r="UTQ1099"/>
      <c r="UTR1099"/>
      <c r="UTU1099"/>
      <c r="UTV1099"/>
      <c r="UTY1099"/>
      <c r="UTZ1099"/>
      <c r="UUC1099"/>
      <c r="UUD1099"/>
      <c r="UUG1099"/>
      <c r="UUH1099"/>
      <c r="UUK1099"/>
      <c r="UUL1099"/>
      <c r="UUO1099"/>
      <c r="UUP1099"/>
      <c r="UUS1099"/>
      <c r="UUT1099"/>
      <c r="UUW1099"/>
      <c r="UUX1099"/>
      <c r="UVA1099"/>
      <c r="UVB1099"/>
      <c r="UVE1099"/>
      <c r="UVF1099"/>
      <c r="UVI1099"/>
      <c r="UVJ1099"/>
      <c r="UVM1099"/>
      <c r="UVN1099"/>
      <c r="UVQ1099"/>
      <c r="UVR1099"/>
      <c r="UVU1099"/>
      <c r="UVV1099"/>
      <c r="UVY1099"/>
      <c r="UVZ1099"/>
      <c r="UWC1099"/>
      <c r="UWD1099"/>
      <c r="UWG1099"/>
      <c r="UWH1099"/>
      <c r="UWK1099"/>
      <c r="UWL1099"/>
      <c r="UWO1099"/>
      <c r="UWP1099"/>
      <c r="UWS1099"/>
      <c r="UWT1099"/>
      <c r="UWW1099"/>
      <c r="UWX1099"/>
      <c r="UXA1099"/>
      <c r="UXB1099"/>
      <c r="UXE1099"/>
      <c r="UXF1099"/>
      <c r="UXI1099"/>
      <c r="UXJ1099"/>
      <c r="UXM1099"/>
      <c r="UXN1099"/>
      <c r="UXQ1099"/>
      <c r="UXR1099"/>
      <c r="UXU1099"/>
      <c r="UXV1099"/>
      <c r="UXY1099"/>
      <c r="UXZ1099"/>
      <c r="UYC1099"/>
      <c r="UYD1099"/>
      <c r="UYG1099"/>
      <c r="UYH1099"/>
      <c r="UYK1099"/>
      <c r="UYL1099"/>
      <c r="UYO1099"/>
      <c r="UYP1099"/>
      <c r="UYS1099"/>
      <c r="UYT1099"/>
      <c r="UYW1099"/>
      <c r="UYX1099"/>
      <c r="UZA1099"/>
      <c r="UZB1099"/>
      <c r="UZE1099"/>
      <c r="UZF1099"/>
      <c r="UZI1099"/>
      <c r="UZJ1099"/>
      <c r="UZM1099"/>
      <c r="UZN1099"/>
      <c r="UZQ1099"/>
      <c r="UZR1099"/>
      <c r="UZU1099"/>
      <c r="UZV1099"/>
      <c r="UZY1099"/>
      <c r="UZZ1099"/>
      <c r="VAC1099"/>
      <c r="VAD1099"/>
      <c r="VAG1099"/>
      <c r="VAH1099"/>
      <c r="VAK1099"/>
      <c r="VAL1099"/>
      <c r="VAO1099"/>
      <c r="VAP1099"/>
      <c r="VAS1099"/>
      <c r="VAT1099"/>
      <c r="VAW1099"/>
      <c r="VAX1099"/>
      <c r="VBA1099"/>
      <c r="VBB1099"/>
      <c r="VBE1099"/>
      <c r="VBF1099"/>
      <c r="VBI1099"/>
      <c r="VBJ1099"/>
      <c r="VBM1099"/>
      <c r="VBN1099"/>
      <c r="VBQ1099"/>
      <c r="VBR1099"/>
      <c r="VBU1099"/>
      <c r="VBV1099"/>
      <c r="VBY1099"/>
      <c r="VBZ1099"/>
      <c r="VCC1099"/>
      <c r="VCD1099"/>
      <c r="VCG1099"/>
      <c r="VCH1099"/>
      <c r="VCK1099"/>
      <c r="VCL1099"/>
      <c r="VCO1099"/>
      <c r="VCP1099"/>
      <c r="VCS1099"/>
      <c r="VCT1099"/>
      <c r="VCW1099"/>
      <c r="VCX1099"/>
      <c r="VDA1099"/>
      <c r="VDB1099"/>
      <c r="VDE1099"/>
      <c r="VDF1099"/>
      <c r="VDI1099"/>
      <c r="VDJ1099"/>
      <c r="VDM1099"/>
      <c r="VDN1099"/>
      <c r="VDQ1099"/>
      <c r="VDR1099"/>
      <c r="VDU1099"/>
      <c r="VDV1099"/>
      <c r="VDY1099"/>
      <c r="VDZ1099"/>
      <c r="VEC1099"/>
      <c r="VED1099"/>
      <c r="VEG1099"/>
      <c r="VEH1099"/>
      <c r="VEK1099"/>
      <c r="VEL1099"/>
      <c r="VEO1099"/>
      <c r="VEP1099"/>
      <c r="VES1099"/>
      <c r="VET1099"/>
      <c r="VEW1099"/>
      <c r="VEX1099"/>
      <c r="VFA1099"/>
      <c r="VFB1099"/>
      <c r="VFE1099"/>
      <c r="VFF1099"/>
      <c r="VFI1099"/>
      <c r="VFJ1099"/>
      <c r="VFM1099"/>
      <c r="VFN1099"/>
      <c r="VFQ1099"/>
      <c r="VFR1099"/>
      <c r="VFU1099"/>
      <c r="VFV1099"/>
      <c r="VFY1099"/>
      <c r="VFZ1099"/>
      <c r="VGC1099"/>
      <c r="VGD1099"/>
      <c r="VGG1099"/>
      <c r="VGH1099"/>
      <c r="VGK1099"/>
      <c r="VGL1099"/>
      <c r="VGO1099"/>
      <c r="VGP1099"/>
      <c r="VGS1099"/>
      <c r="VGT1099"/>
      <c r="VGW1099"/>
      <c r="VGX1099"/>
      <c r="VHA1099"/>
      <c r="VHB1099"/>
      <c r="VHE1099"/>
      <c r="VHF1099"/>
      <c r="VHI1099"/>
      <c r="VHJ1099"/>
      <c r="VHM1099"/>
      <c r="VHN1099"/>
      <c r="VHQ1099"/>
      <c r="VHR1099"/>
      <c r="VHU1099"/>
      <c r="VHV1099"/>
      <c r="VHY1099"/>
      <c r="VHZ1099"/>
      <c r="VIC1099"/>
      <c r="VID1099"/>
      <c r="VIG1099"/>
      <c r="VIH1099"/>
      <c r="VIK1099"/>
      <c r="VIL1099"/>
      <c r="VIO1099"/>
      <c r="VIP1099"/>
      <c r="VIS1099"/>
      <c r="VIT1099"/>
      <c r="VIW1099"/>
      <c r="VIX1099"/>
      <c r="VJA1099"/>
      <c r="VJB1099"/>
      <c r="VJE1099"/>
      <c r="VJF1099"/>
      <c r="VJI1099"/>
      <c r="VJJ1099"/>
      <c r="VJM1099"/>
      <c r="VJN1099"/>
      <c r="VJQ1099"/>
      <c r="VJR1099"/>
      <c r="VJU1099"/>
      <c r="VJV1099"/>
      <c r="VJY1099"/>
      <c r="VJZ1099"/>
      <c r="VKC1099"/>
      <c r="VKD1099"/>
      <c r="VKG1099"/>
      <c r="VKH1099"/>
      <c r="VKK1099"/>
      <c r="VKL1099"/>
      <c r="VKO1099"/>
      <c r="VKP1099"/>
      <c r="VKS1099"/>
      <c r="VKT1099"/>
      <c r="VKW1099"/>
      <c r="VKX1099"/>
      <c r="VLA1099"/>
      <c r="VLB1099"/>
      <c r="VLE1099"/>
      <c r="VLF1099"/>
      <c r="VLI1099"/>
      <c r="VLJ1099"/>
      <c r="VLM1099"/>
      <c r="VLN1099"/>
      <c r="VLQ1099"/>
      <c r="VLR1099"/>
      <c r="VLU1099"/>
      <c r="VLV1099"/>
      <c r="VLY1099"/>
      <c r="VLZ1099"/>
      <c r="VMC1099"/>
      <c r="VMD1099"/>
      <c r="VMG1099"/>
      <c r="VMH1099"/>
      <c r="VMK1099"/>
      <c r="VML1099"/>
      <c r="VMO1099"/>
      <c r="VMP1099"/>
      <c r="VMS1099"/>
      <c r="VMT1099"/>
      <c r="VMW1099"/>
      <c r="VMX1099"/>
      <c r="VNA1099"/>
      <c r="VNB1099"/>
      <c r="VNE1099"/>
      <c r="VNF1099"/>
      <c r="VNI1099"/>
      <c r="VNJ1099"/>
      <c r="VNM1099"/>
      <c r="VNN1099"/>
      <c r="VNQ1099"/>
      <c r="VNR1099"/>
      <c r="VNU1099"/>
      <c r="VNV1099"/>
      <c r="VNY1099"/>
      <c r="VNZ1099"/>
      <c r="VOC1099"/>
      <c r="VOD1099"/>
      <c r="VOG1099"/>
      <c r="VOH1099"/>
      <c r="VOK1099"/>
      <c r="VOL1099"/>
      <c r="VOO1099"/>
      <c r="VOP1099"/>
      <c r="VOS1099"/>
      <c r="VOT1099"/>
      <c r="VOW1099"/>
      <c r="VOX1099"/>
      <c r="VPA1099"/>
      <c r="VPB1099"/>
      <c r="VPE1099"/>
      <c r="VPF1099"/>
      <c r="VPI1099"/>
      <c r="VPJ1099"/>
      <c r="VPM1099"/>
      <c r="VPN1099"/>
      <c r="VPQ1099"/>
      <c r="VPR1099"/>
      <c r="VPU1099"/>
      <c r="VPV1099"/>
      <c r="VPY1099"/>
      <c r="VPZ1099"/>
      <c r="VQC1099"/>
      <c r="VQD1099"/>
      <c r="VQG1099"/>
      <c r="VQH1099"/>
      <c r="VQK1099"/>
      <c r="VQL1099"/>
      <c r="VQO1099"/>
      <c r="VQP1099"/>
      <c r="VQS1099"/>
      <c r="VQT1099"/>
      <c r="VQW1099"/>
      <c r="VQX1099"/>
      <c r="VRA1099"/>
      <c r="VRB1099"/>
      <c r="VRE1099"/>
      <c r="VRF1099"/>
      <c r="VRI1099"/>
      <c r="VRJ1099"/>
      <c r="VRM1099"/>
      <c r="VRN1099"/>
      <c r="VRQ1099"/>
      <c r="VRR1099"/>
      <c r="VRU1099"/>
      <c r="VRV1099"/>
      <c r="VRY1099"/>
      <c r="VRZ1099"/>
      <c r="VSC1099"/>
      <c r="VSD1099"/>
      <c r="VSG1099"/>
      <c r="VSH1099"/>
      <c r="VSK1099"/>
      <c r="VSL1099"/>
      <c r="VSO1099"/>
      <c r="VSP1099"/>
      <c r="VSS1099"/>
      <c r="VST1099"/>
      <c r="VSW1099"/>
      <c r="VSX1099"/>
      <c r="VTA1099"/>
      <c r="VTB1099"/>
      <c r="VTE1099"/>
      <c r="VTF1099"/>
      <c r="VTI1099"/>
      <c r="VTJ1099"/>
      <c r="VTM1099"/>
      <c r="VTN1099"/>
      <c r="VTQ1099"/>
      <c r="VTR1099"/>
      <c r="VTU1099"/>
      <c r="VTV1099"/>
      <c r="VTY1099"/>
      <c r="VTZ1099"/>
      <c r="VUC1099"/>
      <c r="VUD1099"/>
      <c r="VUG1099"/>
      <c r="VUH1099"/>
      <c r="VUK1099"/>
      <c r="VUL1099"/>
      <c r="VUO1099"/>
      <c r="VUP1099"/>
      <c r="VUS1099"/>
      <c r="VUT1099"/>
      <c r="VUW1099"/>
      <c r="VUX1099"/>
      <c r="VVA1099"/>
      <c r="VVB1099"/>
      <c r="VVE1099"/>
      <c r="VVF1099"/>
      <c r="VVI1099"/>
      <c r="VVJ1099"/>
      <c r="VVM1099"/>
      <c r="VVN1099"/>
      <c r="VVQ1099"/>
      <c r="VVR1099"/>
      <c r="VVU1099"/>
      <c r="VVV1099"/>
      <c r="VVY1099"/>
      <c r="VVZ1099"/>
      <c r="VWC1099"/>
      <c r="VWD1099"/>
      <c r="VWG1099"/>
      <c r="VWH1099"/>
      <c r="VWK1099"/>
      <c r="VWL1099"/>
      <c r="VWO1099"/>
      <c r="VWP1099"/>
      <c r="VWS1099"/>
      <c r="VWT1099"/>
      <c r="VWW1099"/>
      <c r="VWX1099"/>
      <c r="VXA1099"/>
      <c r="VXB1099"/>
      <c r="VXE1099"/>
      <c r="VXF1099"/>
      <c r="VXI1099"/>
      <c r="VXJ1099"/>
      <c r="VXM1099"/>
      <c r="VXN1099"/>
      <c r="VXQ1099"/>
      <c r="VXR1099"/>
      <c r="VXU1099"/>
      <c r="VXV1099"/>
      <c r="VXY1099"/>
      <c r="VXZ1099"/>
      <c r="VYC1099"/>
      <c r="VYD1099"/>
      <c r="VYG1099"/>
      <c r="VYH1099"/>
      <c r="VYK1099"/>
      <c r="VYL1099"/>
      <c r="VYO1099"/>
      <c r="VYP1099"/>
      <c r="VYS1099"/>
      <c r="VYT1099"/>
      <c r="VYW1099"/>
      <c r="VYX1099"/>
      <c r="VZA1099"/>
      <c r="VZB1099"/>
      <c r="VZE1099"/>
      <c r="VZF1099"/>
      <c r="VZI1099"/>
      <c r="VZJ1099"/>
      <c r="VZM1099"/>
      <c r="VZN1099"/>
      <c r="VZQ1099"/>
      <c r="VZR1099"/>
      <c r="VZU1099"/>
      <c r="VZV1099"/>
      <c r="VZY1099"/>
      <c r="VZZ1099"/>
      <c r="WAC1099"/>
      <c r="WAD1099"/>
      <c r="WAG1099"/>
      <c r="WAH1099"/>
      <c r="WAK1099"/>
      <c r="WAL1099"/>
      <c r="WAO1099"/>
      <c r="WAP1099"/>
      <c r="WAS1099"/>
      <c r="WAT1099"/>
      <c r="WAW1099"/>
      <c r="WAX1099"/>
      <c r="WBA1099"/>
      <c r="WBB1099"/>
      <c r="WBE1099"/>
      <c r="WBF1099"/>
      <c r="WBI1099"/>
      <c r="WBJ1099"/>
      <c r="WBM1099"/>
      <c r="WBN1099"/>
      <c r="WBQ1099"/>
      <c r="WBR1099"/>
      <c r="WBU1099"/>
      <c r="WBV1099"/>
      <c r="WBY1099"/>
      <c r="WBZ1099"/>
      <c r="WCC1099"/>
      <c r="WCD1099"/>
      <c r="WCG1099"/>
      <c r="WCH1099"/>
      <c r="WCK1099"/>
      <c r="WCL1099"/>
      <c r="WCO1099"/>
      <c r="WCP1099"/>
      <c r="WCS1099"/>
      <c r="WCT1099"/>
      <c r="WCW1099"/>
      <c r="WCX1099"/>
      <c r="WDA1099"/>
      <c r="WDB1099"/>
      <c r="WDE1099"/>
      <c r="WDF1099"/>
      <c r="WDI1099"/>
      <c r="WDJ1099"/>
      <c r="WDM1099"/>
      <c r="WDN1099"/>
      <c r="WDQ1099"/>
      <c r="WDR1099"/>
      <c r="WDU1099"/>
      <c r="WDV1099"/>
      <c r="WDY1099"/>
      <c r="WDZ1099"/>
      <c r="WEC1099"/>
      <c r="WED1099"/>
      <c r="WEG1099"/>
      <c r="WEH1099"/>
      <c r="WEK1099"/>
      <c r="WEL1099"/>
      <c r="WEO1099"/>
      <c r="WEP1099"/>
      <c r="WES1099"/>
      <c r="WET1099"/>
      <c r="WEW1099"/>
      <c r="WEX1099"/>
      <c r="WFA1099"/>
      <c r="WFB1099"/>
      <c r="WFE1099"/>
      <c r="WFF1099"/>
      <c r="WFI1099"/>
      <c r="WFJ1099"/>
      <c r="WFM1099"/>
      <c r="WFN1099"/>
      <c r="WFQ1099"/>
      <c r="WFR1099"/>
      <c r="WFU1099"/>
      <c r="WFV1099"/>
      <c r="WFY1099"/>
      <c r="WFZ1099"/>
      <c r="WGC1099"/>
      <c r="WGD1099"/>
      <c r="WGG1099"/>
      <c r="WGH1099"/>
      <c r="WGK1099"/>
      <c r="WGL1099"/>
      <c r="WGO1099"/>
      <c r="WGP1099"/>
      <c r="WGS1099"/>
      <c r="WGT1099"/>
      <c r="WGW1099"/>
      <c r="WGX1099"/>
      <c r="WHA1099"/>
      <c r="WHB1099"/>
      <c r="WHE1099"/>
      <c r="WHF1099"/>
      <c r="WHI1099"/>
      <c r="WHJ1099"/>
      <c r="WHM1099"/>
      <c r="WHN1099"/>
      <c r="WHQ1099"/>
      <c r="WHR1099"/>
      <c r="WHU1099"/>
      <c r="WHV1099"/>
      <c r="WHY1099"/>
      <c r="WHZ1099"/>
      <c r="WIC1099"/>
      <c r="WID1099"/>
      <c r="WIG1099"/>
      <c r="WIH1099"/>
      <c r="WIK1099"/>
      <c r="WIL1099"/>
      <c r="WIO1099"/>
      <c r="WIP1099"/>
      <c r="WIS1099"/>
      <c r="WIT1099"/>
      <c r="WIW1099"/>
      <c r="WIX1099"/>
      <c r="WJA1099"/>
      <c r="WJB1099"/>
      <c r="WJE1099"/>
      <c r="WJF1099"/>
      <c r="WJI1099"/>
      <c r="WJJ1099"/>
      <c r="WJM1099"/>
      <c r="WJN1099"/>
      <c r="WJQ1099"/>
      <c r="WJR1099"/>
      <c r="WJU1099"/>
      <c r="WJV1099"/>
      <c r="WJY1099"/>
      <c r="WJZ1099"/>
      <c r="WKC1099"/>
      <c r="WKD1099"/>
      <c r="WKG1099"/>
      <c r="WKH1099"/>
      <c r="WKK1099"/>
      <c r="WKL1099"/>
      <c r="WKO1099"/>
      <c r="WKP1099"/>
      <c r="WKS1099"/>
      <c r="WKT1099"/>
      <c r="WKW1099"/>
      <c r="WKX1099"/>
      <c r="WLA1099"/>
      <c r="WLB1099"/>
      <c r="WLE1099"/>
      <c r="WLF1099"/>
      <c r="WLI1099"/>
      <c r="WLJ1099"/>
      <c r="WLM1099"/>
      <c r="WLN1099"/>
      <c r="WLQ1099"/>
      <c r="WLR1099"/>
      <c r="WLU1099"/>
      <c r="WLV1099"/>
      <c r="WLY1099"/>
      <c r="WLZ1099"/>
      <c r="WMC1099"/>
      <c r="WMD1099"/>
      <c r="WMG1099"/>
      <c r="WMH1099"/>
      <c r="WMK1099"/>
      <c r="WML1099"/>
      <c r="WMO1099"/>
      <c r="WMP1099"/>
      <c r="WMS1099"/>
      <c r="WMT1099"/>
      <c r="WMW1099"/>
      <c r="WMX1099"/>
      <c r="WNA1099"/>
      <c r="WNB1099"/>
      <c r="WNE1099"/>
      <c r="WNF1099"/>
      <c r="WNI1099"/>
      <c r="WNJ1099"/>
      <c r="WNM1099"/>
      <c r="WNN1099"/>
      <c r="WNQ1099"/>
      <c r="WNR1099"/>
      <c r="WNU1099"/>
      <c r="WNV1099"/>
      <c r="WNY1099"/>
      <c r="WNZ1099"/>
      <c r="WOC1099"/>
      <c r="WOD1099"/>
      <c r="WOG1099"/>
      <c r="WOH1099"/>
      <c r="WOK1099"/>
      <c r="WOL1099"/>
      <c r="WOO1099"/>
      <c r="WOP1099"/>
      <c r="WOS1099"/>
      <c r="WOT1099"/>
      <c r="WOW1099"/>
      <c r="WOX1099"/>
      <c r="WPA1099"/>
      <c r="WPB1099"/>
      <c r="WPE1099"/>
      <c r="WPF1099"/>
      <c r="WPI1099"/>
      <c r="WPJ1099"/>
      <c r="WPM1099"/>
      <c r="WPN1099"/>
      <c r="WPQ1099"/>
      <c r="WPR1099"/>
      <c r="WPU1099"/>
      <c r="WPV1099"/>
      <c r="WPY1099"/>
      <c r="WPZ1099"/>
      <c r="WQC1099"/>
      <c r="WQD1099"/>
      <c r="WQG1099"/>
      <c r="WQH1099"/>
      <c r="WQK1099"/>
      <c r="WQL1099"/>
      <c r="WQO1099"/>
      <c r="WQP1099"/>
      <c r="WQS1099"/>
      <c r="WQT1099"/>
      <c r="WQW1099"/>
      <c r="WQX1099"/>
      <c r="WRA1099"/>
      <c r="WRB1099"/>
      <c r="WRE1099"/>
      <c r="WRF1099"/>
      <c r="WRI1099"/>
      <c r="WRJ1099"/>
      <c r="WRM1099"/>
      <c r="WRN1099"/>
      <c r="WRQ1099"/>
      <c r="WRR1099"/>
      <c r="WRU1099"/>
      <c r="WRV1099"/>
      <c r="WRY1099"/>
      <c r="WRZ1099"/>
      <c r="WSC1099"/>
      <c r="WSD1099"/>
      <c r="WSG1099"/>
      <c r="WSH1099"/>
      <c r="WSK1099"/>
      <c r="WSL1099"/>
      <c r="WSO1099"/>
      <c r="WSP1099"/>
      <c r="WSS1099"/>
      <c r="WST1099"/>
      <c r="WSW1099"/>
      <c r="WSX1099"/>
      <c r="WTA1099"/>
      <c r="WTB1099"/>
      <c r="WTE1099"/>
      <c r="WTF1099"/>
      <c r="WTI1099"/>
      <c r="WTJ1099"/>
      <c r="WTM1099"/>
      <c r="WTN1099"/>
      <c r="WTQ1099"/>
      <c r="WTR1099"/>
      <c r="WTU1099"/>
      <c r="WTV1099"/>
      <c r="WTY1099"/>
      <c r="WTZ1099"/>
      <c r="WUC1099"/>
      <c r="WUD1099"/>
      <c r="WUG1099"/>
      <c r="WUH1099"/>
      <c r="WUK1099"/>
      <c r="WUL1099"/>
      <c r="WUO1099"/>
      <c r="WUP1099"/>
      <c r="WUS1099"/>
      <c r="WUT1099"/>
      <c r="WUW1099"/>
      <c r="WUX1099"/>
      <c r="WVA1099"/>
      <c r="WVB1099"/>
      <c r="WVE1099"/>
      <c r="WVF1099"/>
      <c r="WVI1099"/>
      <c r="WVJ1099"/>
      <c r="WVM1099"/>
      <c r="WVN1099"/>
      <c r="WVQ1099"/>
      <c r="WVR1099"/>
      <c r="WVU1099"/>
      <c r="WVV1099"/>
      <c r="WVY1099"/>
      <c r="WVZ1099"/>
      <c r="WWC1099"/>
      <c r="WWD1099"/>
      <c r="WWG1099"/>
      <c r="WWH1099"/>
      <c r="WWK1099"/>
      <c r="WWL1099"/>
      <c r="WWO1099"/>
      <c r="WWP1099"/>
      <c r="WWS1099"/>
      <c r="WWT1099"/>
      <c r="WWW1099"/>
      <c r="WWX1099"/>
      <c r="WXA1099"/>
      <c r="WXB1099"/>
      <c r="WXE1099"/>
      <c r="WXF1099"/>
      <c r="WXI1099"/>
      <c r="WXJ1099"/>
      <c r="WXM1099"/>
      <c r="WXN1099"/>
      <c r="WXQ1099"/>
      <c r="WXR1099"/>
      <c r="WXU1099"/>
      <c r="WXV1099"/>
      <c r="WXY1099"/>
      <c r="WXZ1099"/>
      <c r="WYC1099"/>
      <c r="WYD1099"/>
      <c r="WYG1099"/>
      <c r="WYH1099"/>
      <c r="WYK1099"/>
      <c r="WYL1099"/>
      <c r="WYO1099"/>
      <c r="WYP1099"/>
      <c r="WYS1099"/>
      <c r="WYT1099"/>
      <c r="WYW1099"/>
      <c r="WYX1099"/>
      <c r="WZA1099"/>
      <c r="WZB1099"/>
      <c r="WZE1099"/>
      <c r="WZF1099"/>
      <c r="WZI1099"/>
      <c r="WZJ1099"/>
      <c r="WZM1099"/>
      <c r="WZN1099"/>
      <c r="WZQ1099"/>
      <c r="WZR1099"/>
      <c r="WZU1099"/>
      <c r="WZV1099"/>
      <c r="WZY1099"/>
      <c r="WZZ1099"/>
      <c r="XAC1099"/>
      <c r="XAD1099"/>
      <c r="XAG1099"/>
      <c r="XAH1099"/>
      <c r="XAK1099"/>
      <c r="XAL1099"/>
      <c r="XAO1099"/>
      <c r="XAP1099"/>
      <c r="XAS1099"/>
      <c r="XAT1099"/>
      <c r="XAW1099"/>
      <c r="XAX1099"/>
      <c r="XBA1099"/>
      <c r="XBB1099"/>
      <c r="XBE1099"/>
      <c r="XBF1099"/>
      <c r="XBI1099"/>
      <c r="XBJ1099"/>
      <c r="XBM1099"/>
      <c r="XBN1099"/>
      <c r="XBQ1099"/>
      <c r="XBR1099"/>
      <c r="XBU1099"/>
      <c r="XBV1099"/>
      <c r="XBY1099"/>
      <c r="XBZ1099"/>
      <c r="XCC1099"/>
      <c r="XCD1099"/>
      <c r="XCG1099"/>
      <c r="XCH1099"/>
      <c r="XCK1099"/>
      <c r="XCL1099"/>
      <c r="XCO1099"/>
      <c r="XCP1099"/>
      <c r="XCS1099"/>
      <c r="XCT1099"/>
      <c r="XCW1099"/>
      <c r="XCX1099"/>
      <c r="XDA1099"/>
      <c r="XDB1099"/>
      <c r="XDE1099"/>
      <c r="XDF1099"/>
      <c r="XDI1099"/>
      <c r="XDJ1099"/>
      <c r="XDM1099"/>
      <c r="XDN1099"/>
      <c r="XDQ1099"/>
      <c r="XDR1099"/>
      <c r="XDU1099"/>
      <c r="XDV1099"/>
      <c r="XDY1099"/>
      <c r="XDZ1099"/>
      <c r="XEC1099"/>
      <c r="XED1099"/>
      <c r="XEG1099"/>
      <c r="XEH1099"/>
      <c r="XEK1099"/>
      <c r="XEL1099"/>
      <c r="XEO1099"/>
      <c r="XEP1099"/>
      <c r="XES1099"/>
      <c r="XET1099"/>
      <c r="XEW1099"/>
      <c r="XEX1099"/>
      <c r="XFA1099"/>
      <c r="XFB1099"/>
    </row>
    <row r="1100" spans="1:1022 1025:2046 2049:3070 3073:4094 4097:5118 5121:6142 6145:7166 7169:8190 8193:9214 9217:10238 10241:11262 11265:12286 12289:13310 13313:14334 14337:15358 15361:16382" s="15" customFormat="1" outlineLevel="1" x14ac:dyDescent="0.3">
      <c r="A1100" t="s">
        <v>1827</v>
      </c>
      <c r="B1100" t="s">
        <v>266</v>
      </c>
      <c r="C1100" s="15" t="s">
        <v>10</v>
      </c>
      <c r="D1100" s="15" t="s">
        <v>1828</v>
      </c>
      <c r="E1100" t="s">
        <v>8484</v>
      </c>
      <c r="F1100"/>
      <c r="I1100"/>
      <c r="J1100" t="inlineStr">
        <is>
          <t>Budget &amp; Payment</t>
        </is>
      </c>
      <c r="K1100" t="inlineStr">
        <is>
          <t>QNL/BF.jpg</t>
        </is>
      </c>
      <c r="L1100" t="inlineStr">
        <is>
          <t>SAME - screen and column D name the same room</t>
        </is>
      </c>
      <c r="M1100" t="inlineStr">
        <is>
          <t>lower band, west of the partition</t>
        </is>
      </c>
      <c r="N1100"/>
      <c r="Q1100"/>
      <c r="R1100"/>
      <c r="U1100"/>
      <c r="V1100"/>
      <c r="Y1100"/>
      <c r="Z1100"/>
      <c r="AC1100"/>
      <c r="AD1100"/>
      <c r="AG1100"/>
      <c r="AH1100"/>
      <c r="AK1100"/>
      <c r="AL1100"/>
      <c r="AO1100"/>
      <c r="AP1100"/>
      <c r="AS1100"/>
      <c r="AT1100"/>
      <c r="AW1100"/>
      <c r="AX1100"/>
      <c r="BA1100"/>
      <c r="BB1100"/>
      <c r="BE1100"/>
      <c r="BF1100"/>
      <c r="BI1100"/>
      <c r="BJ1100"/>
      <c r="BM1100"/>
      <c r="BN1100"/>
      <c r="BQ1100"/>
      <c r="BR1100"/>
      <c r="BU1100"/>
      <c r="BV1100"/>
      <c r="BY1100"/>
      <c r="BZ1100"/>
      <c r="CC1100"/>
      <c r="CD1100"/>
      <c r="CG1100"/>
      <c r="CH1100"/>
      <c r="CK1100"/>
      <c r="CL1100"/>
      <c r="CO1100"/>
      <c r="CP1100"/>
      <c r="CS1100"/>
      <c r="CT1100"/>
      <c r="CW1100"/>
      <c r="CX1100"/>
      <c r="DA1100"/>
      <c r="DB1100"/>
      <c r="DE1100"/>
      <c r="DF1100"/>
      <c r="DI1100"/>
      <c r="DJ1100"/>
      <c r="DM1100"/>
      <c r="DN1100"/>
      <c r="DQ1100"/>
      <c r="DR1100"/>
      <c r="DU1100"/>
      <c r="DV1100"/>
      <c r="DY1100"/>
      <c r="DZ1100"/>
      <c r="EC1100"/>
      <c r="ED1100"/>
      <c r="EG1100"/>
      <c r="EH1100"/>
      <c r="EK1100"/>
      <c r="EL1100"/>
      <c r="EO1100"/>
      <c r="EP1100"/>
      <c r="ES1100"/>
      <c r="ET1100"/>
      <c r="EW1100"/>
      <c r="EX1100"/>
      <c r="FA1100"/>
      <c r="FB1100"/>
      <c r="FE1100"/>
      <c r="FF1100"/>
      <c r="FI1100"/>
      <c r="FJ1100"/>
      <c r="FM1100"/>
      <c r="FN1100"/>
      <c r="FQ1100"/>
      <c r="FR1100"/>
      <c r="FU1100"/>
      <c r="FV1100"/>
      <c r="FY1100"/>
      <c r="FZ1100"/>
      <c r="GC1100"/>
      <c r="GD1100"/>
      <c r="GG1100"/>
      <c r="GH1100"/>
      <c r="GK1100"/>
      <c r="GL1100"/>
      <c r="GO1100"/>
      <c r="GP1100"/>
      <c r="GS1100"/>
      <c r="GT1100"/>
      <c r="GW1100"/>
      <c r="GX1100"/>
      <c r="HA1100"/>
      <c r="HB1100"/>
      <c r="HE1100"/>
      <c r="HF1100"/>
      <c r="HI1100"/>
      <c r="HJ1100"/>
      <c r="HM1100"/>
      <c r="HN1100"/>
      <c r="HQ1100"/>
      <c r="HR1100"/>
      <c r="HU1100"/>
      <c r="HV1100"/>
      <c r="HY1100"/>
      <c r="HZ1100"/>
      <c r="IC1100"/>
      <c r="ID1100"/>
      <c r="IG1100"/>
      <c r="IH1100"/>
      <c r="IK1100"/>
      <c r="IL1100"/>
      <c r="IO1100"/>
      <c r="IP1100"/>
      <c r="IS1100"/>
      <c r="IT1100"/>
      <c r="IW1100"/>
      <c r="IX1100"/>
      <c r="JA1100"/>
      <c r="JB1100"/>
      <c r="JE1100"/>
      <c r="JF1100"/>
      <c r="JI1100"/>
      <c r="JJ1100"/>
      <c r="JM1100"/>
      <c r="JN1100"/>
      <c r="JQ1100"/>
      <c r="JR1100"/>
      <c r="JU1100"/>
      <c r="JV1100"/>
      <c r="JY1100"/>
      <c r="JZ1100"/>
      <c r="KC1100"/>
      <c r="KD1100"/>
      <c r="KG1100"/>
      <c r="KH1100"/>
      <c r="KK1100"/>
      <c r="KL1100"/>
      <c r="KO1100"/>
      <c r="KP1100"/>
      <c r="KS1100"/>
      <c r="KT1100"/>
      <c r="KW1100"/>
      <c r="KX1100"/>
      <c r="LA1100"/>
      <c r="LB1100"/>
      <c r="LE1100"/>
      <c r="LF1100"/>
      <c r="LI1100"/>
      <c r="LJ1100"/>
      <c r="LM1100"/>
      <c r="LN1100"/>
      <c r="LQ1100"/>
      <c r="LR1100"/>
      <c r="LU1100"/>
      <c r="LV1100"/>
      <c r="LY1100"/>
      <c r="LZ1100"/>
      <c r="MC1100"/>
      <c r="MD1100"/>
      <c r="MG1100"/>
      <c r="MH1100"/>
      <c r="MK1100"/>
      <c r="ML1100"/>
      <c r="MO1100"/>
      <c r="MP1100"/>
      <c r="MS1100"/>
      <c r="MT1100"/>
      <c r="MW1100"/>
      <c r="MX1100"/>
      <c r="NA1100"/>
      <c r="NB1100"/>
      <c r="NE1100"/>
      <c r="NF1100"/>
      <c r="NI1100"/>
      <c r="NJ1100"/>
      <c r="NM1100"/>
      <c r="NN1100"/>
      <c r="NQ1100"/>
      <c r="NR1100"/>
      <c r="NU1100"/>
      <c r="NV1100"/>
      <c r="NY1100"/>
      <c r="NZ1100"/>
      <c r="OC1100"/>
      <c r="OD1100"/>
      <c r="OG1100"/>
      <c r="OH1100"/>
      <c r="OK1100"/>
      <c r="OL1100"/>
      <c r="OO1100"/>
      <c r="OP1100"/>
      <c r="OS1100"/>
      <c r="OT1100"/>
      <c r="OW1100"/>
      <c r="OX1100"/>
      <c r="PA1100"/>
      <c r="PB1100"/>
      <c r="PE1100"/>
      <c r="PF1100"/>
      <c r="PI1100"/>
      <c r="PJ1100"/>
      <c r="PM1100"/>
      <c r="PN1100"/>
      <c r="PQ1100"/>
      <c r="PR1100"/>
      <c r="PU1100"/>
      <c r="PV1100"/>
      <c r="PY1100"/>
      <c r="PZ1100"/>
      <c r="QC1100"/>
      <c r="QD1100"/>
      <c r="QG1100"/>
      <c r="QH1100"/>
      <c r="QK1100"/>
      <c r="QL1100"/>
      <c r="QO1100"/>
      <c r="QP1100"/>
      <c r="QS1100"/>
      <c r="QT1100"/>
      <c r="QW1100"/>
      <c r="QX1100"/>
      <c r="RA1100"/>
      <c r="RB1100"/>
      <c r="RE1100"/>
      <c r="RF1100"/>
      <c r="RI1100"/>
      <c r="RJ1100"/>
      <c r="RM1100"/>
      <c r="RN1100"/>
      <c r="RQ1100"/>
      <c r="RR1100"/>
      <c r="RU1100"/>
      <c r="RV1100"/>
      <c r="RY1100"/>
      <c r="RZ1100"/>
      <c r="SC1100"/>
      <c r="SD1100"/>
      <c r="SG1100"/>
      <c r="SH1100"/>
      <c r="SK1100"/>
      <c r="SL1100"/>
      <c r="SO1100"/>
      <c r="SP1100"/>
      <c r="SS1100"/>
      <c r="ST1100"/>
      <c r="SW1100"/>
      <c r="SX1100"/>
      <c r="TA1100"/>
      <c r="TB1100"/>
      <c r="TE1100"/>
      <c r="TF1100"/>
      <c r="TI1100"/>
      <c r="TJ1100"/>
      <c r="TM1100"/>
      <c r="TN1100"/>
      <c r="TQ1100"/>
      <c r="TR1100"/>
      <c r="TU1100"/>
      <c r="TV1100"/>
      <c r="TY1100"/>
      <c r="TZ1100"/>
      <c r="UC1100"/>
      <c r="UD1100"/>
      <c r="UG1100"/>
      <c r="UH1100"/>
      <c r="UK1100"/>
      <c r="UL1100"/>
      <c r="UO1100"/>
      <c r="UP1100"/>
      <c r="US1100"/>
      <c r="UT1100"/>
      <c r="UW1100"/>
      <c r="UX1100"/>
      <c r="VA1100"/>
      <c r="VB1100"/>
      <c r="VE1100"/>
      <c r="VF1100"/>
      <c r="VI1100"/>
      <c r="VJ1100"/>
      <c r="VM1100"/>
      <c r="VN1100"/>
      <c r="VQ1100"/>
      <c r="VR1100"/>
      <c r="VU1100"/>
      <c r="VV1100"/>
      <c r="VY1100"/>
      <c r="VZ1100"/>
      <c r="WC1100"/>
      <c r="WD1100"/>
      <c r="WG1100"/>
      <c r="WH1100"/>
      <c r="WK1100"/>
      <c r="WL1100"/>
      <c r="WO1100"/>
      <c r="WP1100"/>
      <c r="WS1100"/>
      <c r="WT1100"/>
      <c r="WW1100"/>
      <c r="WX1100"/>
      <c r="XA1100"/>
      <c r="XB1100"/>
      <c r="XE1100"/>
      <c r="XF1100"/>
      <c r="XI1100"/>
      <c r="XJ1100"/>
      <c r="XM1100"/>
      <c r="XN1100"/>
      <c r="XQ1100"/>
      <c r="XR1100"/>
      <c r="XU1100"/>
      <c r="XV1100"/>
      <c r="XY1100"/>
      <c r="XZ1100"/>
      <c r="YC1100"/>
      <c r="YD1100"/>
      <c r="YG1100"/>
      <c r="YH1100"/>
      <c r="YK1100"/>
      <c r="YL1100"/>
      <c r="YO1100"/>
      <c r="YP1100"/>
      <c r="YS1100"/>
      <c r="YT1100"/>
      <c r="YW1100"/>
      <c r="YX1100"/>
      <c r="ZA1100"/>
      <c r="ZB1100"/>
      <c r="ZE1100"/>
      <c r="ZF1100"/>
      <c r="ZI1100"/>
      <c r="ZJ1100"/>
      <c r="ZM1100"/>
      <c r="ZN1100"/>
      <c r="ZQ1100"/>
      <c r="ZR1100"/>
      <c r="ZU1100"/>
      <c r="ZV1100"/>
      <c r="ZY1100"/>
      <c r="ZZ1100"/>
      <c r="AAC1100"/>
      <c r="AAD1100"/>
      <c r="AAG1100"/>
      <c r="AAH1100"/>
      <c r="AAK1100"/>
      <c r="AAL1100"/>
      <c r="AAO1100"/>
      <c r="AAP1100"/>
      <c r="AAS1100"/>
      <c r="AAT1100"/>
      <c r="AAW1100"/>
      <c r="AAX1100"/>
      <c r="ABA1100"/>
      <c r="ABB1100"/>
      <c r="ABE1100"/>
      <c r="ABF1100"/>
      <c r="ABI1100"/>
      <c r="ABJ1100"/>
      <c r="ABM1100"/>
      <c r="ABN1100"/>
      <c r="ABQ1100"/>
      <c r="ABR1100"/>
      <c r="ABU1100"/>
      <c r="ABV1100"/>
      <c r="ABY1100"/>
      <c r="ABZ1100"/>
      <c r="ACC1100"/>
      <c r="ACD1100"/>
      <c r="ACG1100"/>
      <c r="ACH1100"/>
      <c r="ACK1100"/>
      <c r="ACL1100"/>
      <c r="ACO1100"/>
      <c r="ACP1100"/>
      <c r="ACS1100"/>
      <c r="ACT1100"/>
      <c r="ACW1100"/>
      <c r="ACX1100"/>
      <c r="ADA1100"/>
      <c r="ADB1100"/>
      <c r="ADE1100"/>
      <c r="ADF1100"/>
      <c r="ADI1100"/>
      <c r="ADJ1100"/>
      <c r="ADM1100"/>
      <c r="ADN1100"/>
      <c r="ADQ1100"/>
      <c r="ADR1100"/>
      <c r="ADU1100"/>
      <c r="ADV1100"/>
      <c r="ADY1100"/>
      <c r="ADZ1100"/>
      <c r="AEC1100"/>
      <c r="AED1100"/>
      <c r="AEG1100"/>
      <c r="AEH1100"/>
      <c r="AEK1100"/>
      <c r="AEL1100"/>
      <c r="AEO1100"/>
      <c r="AEP1100"/>
      <c r="AES1100"/>
      <c r="AET1100"/>
      <c r="AEW1100"/>
      <c r="AEX1100"/>
      <c r="AFA1100"/>
      <c r="AFB1100"/>
      <c r="AFE1100"/>
      <c r="AFF1100"/>
      <c r="AFI1100"/>
      <c r="AFJ1100"/>
      <c r="AFM1100"/>
      <c r="AFN1100"/>
      <c r="AFQ1100"/>
      <c r="AFR1100"/>
      <c r="AFU1100"/>
      <c r="AFV1100"/>
      <c r="AFY1100"/>
      <c r="AFZ1100"/>
      <c r="AGC1100"/>
      <c r="AGD1100"/>
      <c r="AGG1100"/>
      <c r="AGH1100"/>
      <c r="AGK1100"/>
      <c r="AGL1100"/>
      <c r="AGO1100"/>
      <c r="AGP1100"/>
      <c r="AGS1100"/>
      <c r="AGT1100"/>
      <c r="AGW1100"/>
      <c r="AGX1100"/>
      <c r="AHA1100"/>
      <c r="AHB1100"/>
      <c r="AHE1100"/>
      <c r="AHF1100"/>
      <c r="AHI1100"/>
      <c r="AHJ1100"/>
      <c r="AHM1100"/>
      <c r="AHN1100"/>
      <c r="AHQ1100"/>
      <c r="AHR1100"/>
      <c r="AHU1100"/>
      <c r="AHV1100"/>
      <c r="AHY1100"/>
      <c r="AHZ1100"/>
      <c r="AIC1100"/>
      <c r="AID1100"/>
      <c r="AIG1100"/>
      <c r="AIH1100"/>
      <c r="AIK1100"/>
      <c r="AIL1100"/>
      <c r="AIO1100"/>
      <c r="AIP1100"/>
      <c r="AIS1100"/>
      <c r="AIT1100"/>
      <c r="AIW1100"/>
      <c r="AIX1100"/>
      <c r="AJA1100"/>
      <c r="AJB1100"/>
      <c r="AJE1100"/>
      <c r="AJF1100"/>
      <c r="AJI1100"/>
      <c r="AJJ1100"/>
      <c r="AJM1100"/>
      <c r="AJN1100"/>
      <c r="AJQ1100"/>
      <c r="AJR1100"/>
      <c r="AJU1100"/>
      <c r="AJV1100"/>
      <c r="AJY1100"/>
      <c r="AJZ1100"/>
      <c r="AKC1100"/>
      <c r="AKD1100"/>
      <c r="AKG1100"/>
      <c r="AKH1100"/>
      <c r="AKK1100"/>
      <c r="AKL1100"/>
      <c r="AKO1100"/>
      <c r="AKP1100"/>
      <c r="AKS1100"/>
      <c r="AKT1100"/>
      <c r="AKW1100"/>
      <c r="AKX1100"/>
      <c r="ALA1100"/>
      <c r="ALB1100"/>
      <c r="ALE1100"/>
      <c r="ALF1100"/>
      <c r="ALI1100"/>
      <c r="ALJ1100"/>
      <c r="ALM1100"/>
      <c r="ALN1100"/>
      <c r="ALQ1100"/>
      <c r="ALR1100"/>
      <c r="ALU1100"/>
      <c r="ALV1100"/>
      <c r="ALY1100"/>
      <c r="ALZ1100"/>
      <c r="AMC1100"/>
      <c r="AMD1100"/>
      <c r="AMG1100"/>
      <c r="AMH1100"/>
      <c r="AMK1100"/>
      <c r="AML1100"/>
      <c r="AMO1100"/>
      <c r="AMP1100"/>
      <c r="AMS1100"/>
      <c r="AMT1100"/>
      <c r="AMW1100"/>
      <c r="AMX1100"/>
      <c r="ANA1100"/>
      <c r="ANB1100"/>
      <c r="ANE1100"/>
      <c r="ANF1100"/>
      <c r="ANI1100"/>
      <c r="ANJ1100"/>
      <c r="ANM1100"/>
      <c r="ANN1100"/>
      <c r="ANQ1100"/>
      <c r="ANR1100"/>
      <c r="ANU1100"/>
      <c r="ANV1100"/>
      <c r="ANY1100"/>
      <c r="ANZ1100"/>
      <c r="AOC1100"/>
      <c r="AOD1100"/>
      <c r="AOG1100"/>
      <c r="AOH1100"/>
      <c r="AOK1100"/>
      <c r="AOL1100"/>
      <c r="AOO1100"/>
      <c r="AOP1100"/>
      <c r="AOS1100"/>
      <c r="AOT1100"/>
      <c r="AOW1100"/>
      <c r="AOX1100"/>
      <c r="APA1100"/>
      <c r="APB1100"/>
      <c r="APE1100"/>
      <c r="APF1100"/>
      <c r="API1100"/>
      <c r="APJ1100"/>
      <c r="APM1100"/>
      <c r="APN1100"/>
      <c r="APQ1100"/>
      <c r="APR1100"/>
      <c r="APU1100"/>
      <c r="APV1100"/>
      <c r="APY1100"/>
      <c r="APZ1100"/>
      <c r="AQC1100"/>
      <c r="AQD1100"/>
      <c r="AQG1100"/>
      <c r="AQH1100"/>
      <c r="AQK1100"/>
      <c r="AQL1100"/>
      <c r="AQO1100"/>
      <c r="AQP1100"/>
      <c r="AQS1100"/>
      <c r="AQT1100"/>
      <c r="AQW1100"/>
      <c r="AQX1100"/>
      <c r="ARA1100"/>
      <c r="ARB1100"/>
      <c r="ARE1100"/>
      <c r="ARF1100"/>
      <c r="ARI1100"/>
      <c r="ARJ1100"/>
      <c r="ARM1100"/>
      <c r="ARN1100"/>
      <c r="ARQ1100"/>
      <c r="ARR1100"/>
      <c r="ARU1100"/>
      <c r="ARV1100"/>
      <c r="ARY1100"/>
      <c r="ARZ1100"/>
      <c r="ASC1100"/>
      <c r="ASD1100"/>
      <c r="ASG1100"/>
      <c r="ASH1100"/>
      <c r="ASK1100"/>
      <c r="ASL1100"/>
      <c r="ASO1100"/>
      <c r="ASP1100"/>
      <c r="ASS1100"/>
      <c r="AST1100"/>
      <c r="ASW1100"/>
      <c r="ASX1100"/>
      <c r="ATA1100"/>
      <c r="ATB1100"/>
      <c r="ATE1100"/>
      <c r="ATF1100"/>
      <c r="ATI1100"/>
      <c r="ATJ1100"/>
      <c r="ATM1100"/>
      <c r="ATN1100"/>
      <c r="ATQ1100"/>
      <c r="ATR1100"/>
      <c r="ATU1100"/>
      <c r="ATV1100"/>
      <c r="ATY1100"/>
      <c r="ATZ1100"/>
      <c r="AUC1100"/>
      <c r="AUD1100"/>
      <c r="AUG1100"/>
      <c r="AUH1100"/>
      <c r="AUK1100"/>
      <c r="AUL1100"/>
      <c r="AUO1100"/>
      <c r="AUP1100"/>
      <c r="AUS1100"/>
      <c r="AUT1100"/>
      <c r="AUW1100"/>
      <c r="AUX1100"/>
      <c r="AVA1100"/>
      <c r="AVB1100"/>
      <c r="AVE1100"/>
      <c r="AVF1100"/>
      <c r="AVI1100"/>
      <c r="AVJ1100"/>
      <c r="AVM1100"/>
      <c r="AVN1100"/>
      <c r="AVQ1100"/>
      <c r="AVR1100"/>
      <c r="AVU1100"/>
      <c r="AVV1100"/>
      <c r="AVY1100"/>
      <c r="AVZ1100"/>
      <c r="AWC1100"/>
      <c r="AWD1100"/>
      <c r="AWG1100"/>
      <c r="AWH1100"/>
      <c r="AWK1100"/>
      <c r="AWL1100"/>
      <c r="AWO1100"/>
      <c r="AWP1100"/>
      <c r="AWS1100"/>
      <c r="AWT1100"/>
      <c r="AWW1100"/>
      <c r="AWX1100"/>
      <c r="AXA1100"/>
      <c r="AXB1100"/>
      <c r="AXE1100"/>
      <c r="AXF1100"/>
      <c r="AXI1100"/>
      <c r="AXJ1100"/>
      <c r="AXM1100"/>
      <c r="AXN1100"/>
      <c r="AXQ1100"/>
      <c r="AXR1100"/>
      <c r="AXU1100"/>
      <c r="AXV1100"/>
      <c r="AXY1100"/>
      <c r="AXZ1100"/>
      <c r="AYC1100"/>
      <c r="AYD1100"/>
      <c r="AYG1100"/>
      <c r="AYH1100"/>
      <c r="AYK1100"/>
      <c r="AYL1100"/>
      <c r="AYO1100"/>
      <c r="AYP1100"/>
      <c r="AYS1100"/>
      <c r="AYT1100"/>
      <c r="AYW1100"/>
      <c r="AYX1100"/>
      <c r="AZA1100"/>
      <c r="AZB1100"/>
      <c r="AZE1100"/>
      <c r="AZF1100"/>
      <c r="AZI1100"/>
      <c r="AZJ1100"/>
      <c r="AZM1100"/>
      <c r="AZN1100"/>
      <c r="AZQ1100"/>
      <c r="AZR1100"/>
      <c r="AZU1100"/>
      <c r="AZV1100"/>
      <c r="AZY1100"/>
      <c r="AZZ1100"/>
      <c r="BAC1100"/>
      <c r="BAD1100"/>
      <c r="BAG1100"/>
      <c r="BAH1100"/>
      <c r="BAK1100"/>
      <c r="BAL1100"/>
      <c r="BAO1100"/>
      <c r="BAP1100"/>
      <c r="BAS1100"/>
      <c r="BAT1100"/>
      <c r="BAW1100"/>
      <c r="BAX1100"/>
      <c r="BBA1100"/>
      <c r="BBB1100"/>
      <c r="BBE1100"/>
      <c r="BBF1100"/>
      <c r="BBI1100"/>
      <c r="BBJ1100"/>
      <c r="BBM1100"/>
      <c r="BBN1100"/>
      <c r="BBQ1100"/>
      <c r="BBR1100"/>
      <c r="BBU1100"/>
      <c r="BBV1100"/>
      <c r="BBY1100"/>
      <c r="BBZ1100"/>
      <c r="BCC1100"/>
      <c r="BCD1100"/>
      <c r="BCG1100"/>
      <c r="BCH1100"/>
      <c r="BCK1100"/>
      <c r="BCL1100"/>
      <c r="BCO1100"/>
      <c r="BCP1100"/>
      <c r="BCS1100"/>
      <c r="BCT1100"/>
      <c r="BCW1100"/>
      <c r="BCX1100"/>
      <c r="BDA1100"/>
      <c r="BDB1100"/>
      <c r="BDE1100"/>
      <c r="BDF1100"/>
      <c r="BDI1100"/>
      <c r="BDJ1100"/>
      <c r="BDM1100"/>
      <c r="BDN1100"/>
      <c r="BDQ1100"/>
      <c r="BDR1100"/>
      <c r="BDU1100"/>
      <c r="BDV1100"/>
      <c r="BDY1100"/>
      <c r="BDZ1100"/>
      <c r="BEC1100"/>
      <c r="BED1100"/>
      <c r="BEG1100"/>
      <c r="BEH1100"/>
      <c r="BEK1100"/>
      <c r="BEL1100"/>
      <c r="BEO1100"/>
      <c r="BEP1100"/>
      <c r="BES1100"/>
      <c r="BET1100"/>
      <c r="BEW1100"/>
      <c r="BEX1100"/>
      <c r="BFA1100"/>
      <c r="BFB1100"/>
      <c r="BFE1100"/>
      <c r="BFF1100"/>
      <c r="BFI1100"/>
      <c r="BFJ1100"/>
      <c r="BFM1100"/>
      <c r="BFN1100"/>
      <c r="BFQ1100"/>
      <c r="BFR1100"/>
      <c r="BFU1100"/>
      <c r="BFV1100"/>
      <c r="BFY1100"/>
      <c r="BFZ1100"/>
      <c r="BGC1100"/>
      <c r="BGD1100"/>
      <c r="BGG1100"/>
      <c r="BGH1100"/>
      <c r="BGK1100"/>
      <c r="BGL1100"/>
      <c r="BGO1100"/>
      <c r="BGP1100"/>
      <c r="BGS1100"/>
      <c r="BGT1100"/>
      <c r="BGW1100"/>
      <c r="BGX1100"/>
      <c r="BHA1100"/>
      <c r="BHB1100"/>
      <c r="BHE1100"/>
      <c r="BHF1100"/>
      <c r="BHI1100"/>
      <c r="BHJ1100"/>
      <c r="BHM1100"/>
      <c r="BHN1100"/>
      <c r="BHQ1100"/>
      <c r="BHR1100"/>
      <c r="BHU1100"/>
      <c r="BHV1100"/>
      <c r="BHY1100"/>
      <c r="BHZ1100"/>
      <c r="BIC1100"/>
      <c r="BID1100"/>
      <c r="BIG1100"/>
      <c r="BIH1100"/>
      <c r="BIK1100"/>
      <c r="BIL1100"/>
      <c r="BIO1100"/>
      <c r="BIP1100"/>
      <c r="BIS1100"/>
      <c r="BIT1100"/>
      <c r="BIW1100"/>
      <c r="BIX1100"/>
      <c r="BJA1100"/>
      <c r="BJB1100"/>
      <c r="BJE1100"/>
      <c r="BJF1100"/>
      <c r="BJI1100"/>
      <c r="BJJ1100"/>
      <c r="BJM1100"/>
      <c r="BJN1100"/>
      <c r="BJQ1100"/>
      <c r="BJR1100"/>
      <c r="BJU1100"/>
      <c r="BJV1100"/>
      <c r="BJY1100"/>
      <c r="BJZ1100"/>
      <c r="BKC1100"/>
      <c r="BKD1100"/>
      <c r="BKG1100"/>
      <c r="BKH1100"/>
      <c r="BKK1100"/>
      <c r="BKL1100"/>
      <c r="BKO1100"/>
      <c r="BKP1100"/>
      <c r="BKS1100"/>
      <c r="BKT1100"/>
      <c r="BKW1100"/>
      <c r="BKX1100"/>
      <c r="BLA1100"/>
      <c r="BLB1100"/>
      <c r="BLE1100"/>
      <c r="BLF1100"/>
      <c r="BLI1100"/>
      <c r="BLJ1100"/>
      <c r="BLM1100"/>
      <c r="BLN1100"/>
      <c r="BLQ1100"/>
      <c r="BLR1100"/>
      <c r="BLU1100"/>
      <c r="BLV1100"/>
      <c r="BLY1100"/>
      <c r="BLZ1100"/>
      <c r="BMC1100"/>
      <c r="BMD1100"/>
      <c r="BMG1100"/>
      <c r="BMH1100"/>
      <c r="BMK1100"/>
      <c r="BML1100"/>
      <c r="BMO1100"/>
      <c r="BMP1100"/>
      <c r="BMS1100"/>
      <c r="BMT1100"/>
      <c r="BMW1100"/>
      <c r="BMX1100"/>
      <c r="BNA1100"/>
      <c r="BNB1100"/>
      <c r="BNE1100"/>
      <c r="BNF1100"/>
      <c r="BNI1100"/>
      <c r="BNJ1100"/>
      <c r="BNM1100"/>
      <c r="BNN1100"/>
      <c r="BNQ1100"/>
      <c r="BNR1100"/>
      <c r="BNU1100"/>
      <c r="BNV1100"/>
      <c r="BNY1100"/>
      <c r="BNZ1100"/>
      <c r="BOC1100"/>
      <c r="BOD1100"/>
      <c r="BOG1100"/>
      <c r="BOH1100"/>
      <c r="BOK1100"/>
      <c r="BOL1100"/>
      <c r="BOO1100"/>
      <c r="BOP1100"/>
      <c r="BOS1100"/>
      <c r="BOT1100"/>
      <c r="BOW1100"/>
      <c r="BOX1100"/>
      <c r="BPA1100"/>
      <c r="BPB1100"/>
      <c r="BPE1100"/>
      <c r="BPF1100"/>
      <c r="BPI1100"/>
      <c r="BPJ1100"/>
      <c r="BPM1100"/>
      <c r="BPN1100"/>
      <c r="BPQ1100"/>
      <c r="BPR1100"/>
      <c r="BPU1100"/>
      <c r="BPV1100"/>
      <c r="BPY1100"/>
      <c r="BPZ1100"/>
      <c r="BQC1100"/>
      <c r="BQD1100"/>
      <c r="BQG1100"/>
      <c r="BQH1100"/>
      <c r="BQK1100"/>
      <c r="BQL1100"/>
      <c r="BQO1100"/>
      <c r="BQP1100"/>
      <c r="BQS1100"/>
      <c r="BQT1100"/>
      <c r="BQW1100"/>
      <c r="BQX1100"/>
      <c r="BRA1100"/>
      <c r="BRB1100"/>
      <c r="BRE1100"/>
      <c r="BRF1100"/>
      <c r="BRI1100"/>
      <c r="BRJ1100"/>
      <c r="BRM1100"/>
      <c r="BRN1100"/>
      <c r="BRQ1100"/>
      <c r="BRR1100"/>
      <c r="BRU1100"/>
      <c r="BRV1100"/>
      <c r="BRY1100"/>
      <c r="BRZ1100"/>
      <c r="BSC1100"/>
      <c r="BSD1100"/>
      <c r="BSG1100"/>
      <c r="BSH1100"/>
      <c r="BSK1100"/>
      <c r="BSL1100"/>
      <c r="BSO1100"/>
      <c r="BSP1100"/>
      <c r="BSS1100"/>
      <c r="BST1100"/>
      <c r="BSW1100"/>
      <c r="BSX1100"/>
      <c r="BTA1100"/>
      <c r="BTB1100"/>
      <c r="BTE1100"/>
      <c r="BTF1100"/>
      <c r="BTI1100"/>
      <c r="BTJ1100"/>
      <c r="BTM1100"/>
      <c r="BTN1100"/>
      <c r="BTQ1100"/>
      <c r="BTR1100"/>
      <c r="BTU1100"/>
      <c r="BTV1100"/>
      <c r="BTY1100"/>
      <c r="BTZ1100"/>
      <c r="BUC1100"/>
      <c r="BUD1100"/>
      <c r="BUG1100"/>
      <c r="BUH1100"/>
      <c r="BUK1100"/>
      <c r="BUL1100"/>
      <c r="BUO1100"/>
      <c r="BUP1100"/>
      <c r="BUS1100"/>
      <c r="BUT1100"/>
      <c r="BUW1100"/>
      <c r="BUX1100"/>
      <c r="BVA1100"/>
      <c r="BVB1100"/>
      <c r="BVE1100"/>
      <c r="BVF1100"/>
      <c r="BVI1100"/>
      <c r="BVJ1100"/>
      <c r="BVM1100"/>
      <c r="BVN1100"/>
      <c r="BVQ1100"/>
      <c r="BVR1100"/>
      <c r="BVU1100"/>
      <c r="BVV1100"/>
      <c r="BVY1100"/>
      <c r="BVZ1100"/>
      <c r="BWC1100"/>
      <c r="BWD1100"/>
      <c r="BWG1100"/>
      <c r="BWH1100"/>
      <c r="BWK1100"/>
      <c r="BWL1100"/>
      <c r="BWO1100"/>
      <c r="BWP1100"/>
      <c r="BWS1100"/>
      <c r="BWT1100"/>
      <c r="BWW1100"/>
      <c r="BWX1100"/>
      <c r="BXA1100"/>
      <c r="BXB1100"/>
      <c r="BXE1100"/>
      <c r="BXF1100"/>
      <c r="BXI1100"/>
      <c r="BXJ1100"/>
      <c r="BXM1100"/>
      <c r="BXN1100"/>
      <c r="BXQ1100"/>
      <c r="BXR1100"/>
      <c r="BXU1100"/>
      <c r="BXV1100"/>
      <c r="BXY1100"/>
      <c r="BXZ1100"/>
      <c r="BYC1100"/>
      <c r="BYD1100"/>
      <c r="BYG1100"/>
      <c r="BYH1100"/>
      <c r="BYK1100"/>
      <c r="BYL1100"/>
      <c r="BYO1100"/>
      <c r="BYP1100"/>
      <c r="BYS1100"/>
      <c r="BYT1100"/>
      <c r="BYW1100"/>
      <c r="BYX1100"/>
      <c r="BZA1100"/>
      <c r="BZB1100"/>
      <c r="BZE1100"/>
      <c r="BZF1100"/>
      <c r="BZI1100"/>
      <c r="BZJ1100"/>
      <c r="BZM1100"/>
      <c r="BZN1100"/>
      <c r="BZQ1100"/>
      <c r="BZR1100"/>
      <c r="BZU1100"/>
      <c r="BZV1100"/>
      <c r="BZY1100"/>
      <c r="BZZ1100"/>
      <c r="CAC1100"/>
      <c r="CAD1100"/>
      <c r="CAG1100"/>
      <c r="CAH1100"/>
      <c r="CAK1100"/>
      <c r="CAL1100"/>
      <c r="CAO1100"/>
      <c r="CAP1100"/>
      <c r="CAS1100"/>
      <c r="CAT1100"/>
      <c r="CAW1100"/>
      <c r="CAX1100"/>
      <c r="CBA1100"/>
      <c r="CBB1100"/>
      <c r="CBE1100"/>
      <c r="CBF1100"/>
      <c r="CBI1100"/>
      <c r="CBJ1100"/>
      <c r="CBM1100"/>
      <c r="CBN1100"/>
      <c r="CBQ1100"/>
      <c r="CBR1100"/>
      <c r="CBU1100"/>
      <c r="CBV1100"/>
      <c r="CBY1100"/>
      <c r="CBZ1100"/>
      <c r="CCC1100"/>
      <c r="CCD1100"/>
      <c r="CCG1100"/>
      <c r="CCH1100"/>
      <c r="CCK1100"/>
      <c r="CCL1100"/>
      <c r="CCO1100"/>
      <c r="CCP1100"/>
      <c r="CCS1100"/>
      <c r="CCT1100"/>
      <c r="CCW1100"/>
      <c r="CCX1100"/>
      <c r="CDA1100"/>
      <c r="CDB1100"/>
      <c r="CDE1100"/>
      <c r="CDF1100"/>
      <c r="CDI1100"/>
      <c r="CDJ1100"/>
      <c r="CDM1100"/>
      <c r="CDN1100"/>
      <c r="CDQ1100"/>
      <c r="CDR1100"/>
      <c r="CDU1100"/>
      <c r="CDV1100"/>
      <c r="CDY1100"/>
      <c r="CDZ1100"/>
      <c r="CEC1100"/>
      <c r="CED1100"/>
      <c r="CEG1100"/>
      <c r="CEH1100"/>
      <c r="CEK1100"/>
      <c r="CEL1100"/>
      <c r="CEO1100"/>
      <c r="CEP1100"/>
      <c r="CES1100"/>
      <c r="CET1100"/>
      <c r="CEW1100"/>
      <c r="CEX1100"/>
      <c r="CFA1100"/>
      <c r="CFB1100"/>
      <c r="CFE1100"/>
      <c r="CFF1100"/>
      <c r="CFI1100"/>
      <c r="CFJ1100"/>
      <c r="CFM1100"/>
      <c r="CFN1100"/>
      <c r="CFQ1100"/>
      <c r="CFR1100"/>
      <c r="CFU1100"/>
      <c r="CFV1100"/>
      <c r="CFY1100"/>
      <c r="CFZ1100"/>
      <c r="CGC1100"/>
      <c r="CGD1100"/>
      <c r="CGG1100"/>
      <c r="CGH1100"/>
      <c r="CGK1100"/>
      <c r="CGL1100"/>
      <c r="CGO1100"/>
      <c r="CGP1100"/>
      <c r="CGS1100"/>
      <c r="CGT1100"/>
      <c r="CGW1100"/>
      <c r="CGX1100"/>
      <c r="CHA1100"/>
      <c r="CHB1100"/>
      <c r="CHE1100"/>
      <c r="CHF1100"/>
      <c r="CHI1100"/>
      <c r="CHJ1100"/>
      <c r="CHM1100"/>
      <c r="CHN1100"/>
      <c r="CHQ1100"/>
      <c r="CHR1100"/>
      <c r="CHU1100"/>
      <c r="CHV1100"/>
      <c r="CHY1100"/>
      <c r="CHZ1100"/>
      <c r="CIC1100"/>
      <c r="CID1100"/>
      <c r="CIG1100"/>
      <c r="CIH1100"/>
      <c r="CIK1100"/>
      <c r="CIL1100"/>
      <c r="CIO1100"/>
      <c r="CIP1100"/>
      <c r="CIS1100"/>
      <c r="CIT1100"/>
      <c r="CIW1100"/>
      <c r="CIX1100"/>
      <c r="CJA1100"/>
      <c r="CJB1100"/>
      <c r="CJE1100"/>
      <c r="CJF1100"/>
      <c r="CJI1100"/>
      <c r="CJJ1100"/>
      <c r="CJM1100"/>
      <c r="CJN1100"/>
      <c r="CJQ1100"/>
      <c r="CJR1100"/>
      <c r="CJU1100"/>
      <c r="CJV1100"/>
      <c r="CJY1100"/>
      <c r="CJZ1100"/>
      <c r="CKC1100"/>
      <c r="CKD1100"/>
      <c r="CKG1100"/>
      <c r="CKH1100"/>
      <c r="CKK1100"/>
      <c r="CKL1100"/>
      <c r="CKO1100"/>
      <c r="CKP1100"/>
      <c r="CKS1100"/>
      <c r="CKT1100"/>
      <c r="CKW1100"/>
      <c r="CKX1100"/>
      <c r="CLA1100"/>
      <c r="CLB1100"/>
      <c r="CLE1100"/>
      <c r="CLF1100"/>
      <c r="CLI1100"/>
      <c r="CLJ1100"/>
      <c r="CLM1100"/>
      <c r="CLN1100"/>
      <c r="CLQ1100"/>
      <c r="CLR1100"/>
      <c r="CLU1100"/>
      <c r="CLV1100"/>
      <c r="CLY1100"/>
      <c r="CLZ1100"/>
      <c r="CMC1100"/>
      <c r="CMD1100"/>
      <c r="CMG1100"/>
      <c r="CMH1100"/>
      <c r="CMK1100"/>
      <c r="CML1100"/>
      <c r="CMO1100"/>
      <c r="CMP1100"/>
      <c r="CMS1100"/>
      <c r="CMT1100"/>
      <c r="CMW1100"/>
      <c r="CMX1100"/>
      <c r="CNA1100"/>
      <c r="CNB1100"/>
      <c r="CNE1100"/>
      <c r="CNF1100"/>
      <c r="CNI1100"/>
      <c r="CNJ1100"/>
      <c r="CNM1100"/>
      <c r="CNN1100"/>
      <c r="CNQ1100"/>
      <c r="CNR1100"/>
      <c r="CNU1100"/>
      <c r="CNV1100"/>
      <c r="CNY1100"/>
      <c r="CNZ1100"/>
      <c r="COC1100"/>
      <c r="COD1100"/>
      <c r="COG1100"/>
      <c r="COH1100"/>
      <c r="COK1100"/>
      <c r="COL1100"/>
      <c r="COO1100"/>
      <c r="COP1100"/>
      <c r="COS1100"/>
      <c r="COT1100"/>
      <c r="COW1100"/>
      <c r="COX1100"/>
      <c r="CPA1100"/>
      <c r="CPB1100"/>
      <c r="CPE1100"/>
      <c r="CPF1100"/>
      <c r="CPI1100"/>
      <c r="CPJ1100"/>
      <c r="CPM1100"/>
      <c r="CPN1100"/>
      <c r="CPQ1100"/>
      <c r="CPR1100"/>
      <c r="CPU1100"/>
      <c r="CPV1100"/>
      <c r="CPY1100"/>
      <c r="CPZ1100"/>
      <c r="CQC1100"/>
      <c r="CQD1100"/>
      <c r="CQG1100"/>
      <c r="CQH1100"/>
      <c r="CQK1100"/>
      <c r="CQL1100"/>
      <c r="CQO1100"/>
      <c r="CQP1100"/>
      <c r="CQS1100"/>
      <c r="CQT1100"/>
      <c r="CQW1100"/>
      <c r="CQX1100"/>
      <c r="CRA1100"/>
      <c r="CRB1100"/>
      <c r="CRE1100"/>
      <c r="CRF1100"/>
      <c r="CRI1100"/>
      <c r="CRJ1100"/>
      <c r="CRM1100"/>
      <c r="CRN1100"/>
      <c r="CRQ1100"/>
      <c r="CRR1100"/>
      <c r="CRU1100"/>
      <c r="CRV1100"/>
      <c r="CRY1100"/>
      <c r="CRZ1100"/>
      <c r="CSC1100"/>
      <c r="CSD1100"/>
      <c r="CSG1100"/>
      <c r="CSH1100"/>
      <c r="CSK1100"/>
      <c r="CSL1100"/>
      <c r="CSO1100"/>
      <c r="CSP1100"/>
      <c r="CSS1100"/>
      <c r="CST1100"/>
      <c r="CSW1100"/>
      <c r="CSX1100"/>
      <c r="CTA1100"/>
      <c r="CTB1100"/>
      <c r="CTE1100"/>
      <c r="CTF1100"/>
      <c r="CTI1100"/>
      <c r="CTJ1100"/>
      <c r="CTM1100"/>
      <c r="CTN1100"/>
      <c r="CTQ1100"/>
      <c r="CTR1100"/>
      <c r="CTU1100"/>
      <c r="CTV1100"/>
      <c r="CTY1100"/>
      <c r="CTZ1100"/>
      <c r="CUC1100"/>
      <c r="CUD1100"/>
      <c r="CUG1100"/>
      <c r="CUH1100"/>
      <c r="CUK1100"/>
      <c r="CUL1100"/>
      <c r="CUO1100"/>
      <c r="CUP1100"/>
      <c r="CUS1100"/>
      <c r="CUT1100"/>
      <c r="CUW1100"/>
      <c r="CUX1100"/>
      <c r="CVA1100"/>
      <c r="CVB1100"/>
      <c r="CVE1100"/>
      <c r="CVF1100"/>
      <c r="CVI1100"/>
      <c r="CVJ1100"/>
      <c r="CVM1100"/>
      <c r="CVN1100"/>
      <c r="CVQ1100"/>
      <c r="CVR1100"/>
      <c r="CVU1100"/>
      <c r="CVV1100"/>
      <c r="CVY1100"/>
      <c r="CVZ1100"/>
      <c r="CWC1100"/>
      <c r="CWD1100"/>
      <c r="CWG1100"/>
      <c r="CWH1100"/>
      <c r="CWK1100"/>
      <c r="CWL1100"/>
      <c r="CWO1100"/>
      <c r="CWP1100"/>
      <c r="CWS1100"/>
      <c r="CWT1100"/>
      <c r="CWW1100"/>
      <c r="CWX1100"/>
      <c r="CXA1100"/>
      <c r="CXB1100"/>
      <c r="CXE1100"/>
      <c r="CXF1100"/>
      <c r="CXI1100"/>
      <c r="CXJ1100"/>
      <c r="CXM1100"/>
      <c r="CXN1100"/>
      <c r="CXQ1100"/>
      <c r="CXR1100"/>
      <c r="CXU1100"/>
      <c r="CXV1100"/>
      <c r="CXY1100"/>
      <c r="CXZ1100"/>
      <c r="CYC1100"/>
      <c r="CYD1100"/>
      <c r="CYG1100"/>
      <c r="CYH1100"/>
      <c r="CYK1100"/>
      <c r="CYL1100"/>
      <c r="CYO1100"/>
      <c r="CYP1100"/>
      <c r="CYS1100"/>
      <c r="CYT1100"/>
      <c r="CYW1100"/>
      <c r="CYX1100"/>
      <c r="CZA1100"/>
      <c r="CZB1100"/>
      <c r="CZE1100"/>
      <c r="CZF1100"/>
      <c r="CZI1100"/>
      <c r="CZJ1100"/>
      <c r="CZM1100"/>
      <c r="CZN1100"/>
      <c r="CZQ1100"/>
      <c r="CZR1100"/>
      <c r="CZU1100"/>
      <c r="CZV1100"/>
      <c r="CZY1100"/>
      <c r="CZZ1100"/>
      <c r="DAC1100"/>
      <c r="DAD1100"/>
      <c r="DAG1100"/>
      <c r="DAH1100"/>
      <c r="DAK1100"/>
      <c r="DAL1100"/>
      <c r="DAO1100"/>
      <c r="DAP1100"/>
      <c r="DAS1100"/>
      <c r="DAT1100"/>
      <c r="DAW1100"/>
      <c r="DAX1100"/>
      <c r="DBA1100"/>
      <c r="DBB1100"/>
      <c r="DBE1100"/>
      <c r="DBF1100"/>
      <c r="DBI1100"/>
      <c r="DBJ1100"/>
      <c r="DBM1100"/>
      <c r="DBN1100"/>
      <c r="DBQ1100"/>
      <c r="DBR1100"/>
      <c r="DBU1100"/>
      <c r="DBV1100"/>
      <c r="DBY1100"/>
      <c r="DBZ1100"/>
      <c r="DCC1100"/>
      <c r="DCD1100"/>
      <c r="DCG1100"/>
      <c r="DCH1100"/>
      <c r="DCK1100"/>
      <c r="DCL1100"/>
      <c r="DCO1100"/>
      <c r="DCP1100"/>
      <c r="DCS1100"/>
      <c r="DCT1100"/>
      <c r="DCW1100"/>
      <c r="DCX1100"/>
      <c r="DDA1100"/>
      <c r="DDB1100"/>
      <c r="DDE1100"/>
      <c r="DDF1100"/>
      <c r="DDI1100"/>
      <c r="DDJ1100"/>
      <c r="DDM1100"/>
      <c r="DDN1100"/>
      <c r="DDQ1100"/>
      <c r="DDR1100"/>
      <c r="DDU1100"/>
      <c r="DDV1100"/>
      <c r="DDY1100"/>
      <c r="DDZ1100"/>
      <c r="DEC1100"/>
      <c r="DED1100"/>
      <c r="DEG1100"/>
      <c r="DEH1100"/>
      <c r="DEK1100"/>
      <c r="DEL1100"/>
      <c r="DEO1100"/>
      <c r="DEP1100"/>
      <c r="DES1100"/>
      <c r="DET1100"/>
      <c r="DEW1100"/>
      <c r="DEX1100"/>
      <c r="DFA1100"/>
      <c r="DFB1100"/>
      <c r="DFE1100"/>
      <c r="DFF1100"/>
      <c r="DFI1100"/>
      <c r="DFJ1100"/>
      <c r="DFM1100"/>
      <c r="DFN1100"/>
      <c r="DFQ1100"/>
      <c r="DFR1100"/>
      <c r="DFU1100"/>
      <c r="DFV1100"/>
      <c r="DFY1100"/>
      <c r="DFZ1100"/>
      <c r="DGC1100"/>
      <c r="DGD1100"/>
      <c r="DGG1100"/>
      <c r="DGH1100"/>
      <c r="DGK1100"/>
      <c r="DGL1100"/>
      <c r="DGO1100"/>
      <c r="DGP1100"/>
      <c r="DGS1100"/>
      <c r="DGT1100"/>
      <c r="DGW1100"/>
      <c r="DGX1100"/>
      <c r="DHA1100"/>
      <c r="DHB1100"/>
      <c r="DHE1100"/>
      <c r="DHF1100"/>
      <c r="DHI1100"/>
      <c r="DHJ1100"/>
      <c r="DHM1100"/>
      <c r="DHN1100"/>
      <c r="DHQ1100"/>
      <c r="DHR1100"/>
      <c r="DHU1100"/>
      <c r="DHV1100"/>
      <c r="DHY1100"/>
      <c r="DHZ1100"/>
      <c r="DIC1100"/>
      <c r="DID1100"/>
      <c r="DIG1100"/>
      <c r="DIH1100"/>
      <c r="DIK1100"/>
      <c r="DIL1100"/>
      <c r="DIO1100"/>
      <c r="DIP1100"/>
      <c r="DIS1100"/>
      <c r="DIT1100"/>
      <c r="DIW1100"/>
      <c r="DIX1100"/>
      <c r="DJA1100"/>
      <c r="DJB1100"/>
      <c r="DJE1100"/>
      <c r="DJF1100"/>
      <c r="DJI1100"/>
      <c r="DJJ1100"/>
      <c r="DJM1100"/>
      <c r="DJN1100"/>
      <c r="DJQ1100"/>
      <c r="DJR1100"/>
      <c r="DJU1100"/>
      <c r="DJV1100"/>
      <c r="DJY1100"/>
      <c r="DJZ1100"/>
      <c r="DKC1100"/>
      <c r="DKD1100"/>
      <c r="DKG1100"/>
      <c r="DKH1100"/>
      <c r="DKK1100"/>
      <c r="DKL1100"/>
      <c r="DKO1100"/>
      <c r="DKP1100"/>
      <c r="DKS1100"/>
      <c r="DKT1100"/>
      <c r="DKW1100"/>
      <c r="DKX1100"/>
      <c r="DLA1100"/>
      <c r="DLB1100"/>
      <c r="DLE1100"/>
      <c r="DLF1100"/>
      <c r="DLI1100"/>
      <c r="DLJ1100"/>
      <c r="DLM1100"/>
      <c r="DLN1100"/>
      <c r="DLQ1100"/>
      <c r="DLR1100"/>
      <c r="DLU1100"/>
      <c r="DLV1100"/>
      <c r="DLY1100"/>
      <c r="DLZ1100"/>
      <c r="DMC1100"/>
      <c r="DMD1100"/>
      <c r="DMG1100"/>
      <c r="DMH1100"/>
      <c r="DMK1100"/>
      <c r="DML1100"/>
      <c r="DMO1100"/>
      <c r="DMP1100"/>
      <c r="DMS1100"/>
      <c r="DMT1100"/>
      <c r="DMW1100"/>
      <c r="DMX1100"/>
      <c r="DNA1100"/>
      <c r="DNB1100"/>
      <c r="DNE1100"/>
      <c r="DNF1100"/>
      <c r="DNI1100"/>
      <c r="DNJ1100"/>
      <c r="DNM1100"/>
      <c r="DNN1100"/>
      <c r="DNQ1100"/>
      <c r="DNR1100"/>
      <c r="DNU1100"/>
      <c r="DNV1100"/>
      <c r="DNY1100"/>
      <c r="DNZ1100"/>
      <c r="DOC1100"/>
      <c r="DOD1100"/>
      <c r="DOG1100"/>
      <c r="DOH1100"/>
      <c r="DOK1100"/>
      <c r="DOL1100"/>
      <c r="DOO1100"/>
      <c r="DOP1100"/>
      <c r="DOS1100"/>
      <c r="DOT1100"/>
      <c r="DOW1100"/>
      <c r="DOX1100"/>
      <c r="DPA1100"/>
      <c r="DPB1100"/>
      <c r="DPE1100"/>
      <c r="DPF1100"/>
      <c r="DPI1100"/>
      <c r="DPJ1100"/>
      <c r="DPM1100"/>
      <c r="DPN1100"/>
      <c r="DPQ1100"/>
      <c r="DPR1100"/>
      <c r="DPU1100"/>
      <c r="DPV1100"/>
      <c r="DPY1100"/>
      <c r="DPZ1100"/>
      <c r="DQC1100"/>
      <c r="DQD1100"/>
      <c r="DQG1100"/>
      <c r="DQH1100"/>
      <c r="DQK1100"/>
      <c r="DQL1100"/>
      <c r="DQO1100"/>
      <c r="DQP1100"/>
      <c r="DQS1100"/>
      <c r="DQT1100"/>
      <c r="DQW1100"/>
      <c r="DQX1100"/>
      <c r="DRA1100"/>
      <c r="DRB1100"/>
      <c r="DRE1100"/>
      <c r="DRF1100"/>
      <c r="DRI1100"/>
      <c r="DRJ1100"/>
      <c r="DRM1100"/>
      <c r="DRN1100"/>
      <c r="DRQ1100"/>
      <c r="DRR1100"/>
      <c r="DRU1100"/>
      <c r="DRV1100"/>
      <c r="DRY1100"/>
      <c r="DRZ1100"/>
      <c r="DSC1100"/>
      <c r="DSD1100"/>
      <c r="DSG1100"/>
      <c r="DSH1100"/>
      <c r="DSK1100"/>
      <c r="DSL1100"/>
      <c r="DSO1100"/>
      <c r="DSP1100"/>
      <c r="DSS1100"/>
      <c r="DST1100"/>
      <c r="DSW1100"/>
      <c r="DSX1100"/>
      <c r="DTA1100"/>
      <c r="DTB1100"/>
      <c r="DTE1100"/>
      <c r="DTF1100"/>
      <c r="DTI1100"/>
      <c r="DTJ1100"/>
      <c r="DTM1100"/>
      <c r="DTN1100"/>
      <c r="DTQ1100"/>
      <c r="DTR1100"/>
      <c r="DTU1100"/>
      <c r="DTV1100"/>
      <c r="DTY1100"/>
      <c r="DTZ1100"/>
      <c r="DUC1100"/>
      <c r="DUD1100"/>
      <c r="DUG1100"/>
      <c r="DUH1100"/>
      <c r="DUK1100"/>
      <c r="DUL1100"/>
      <c r="DUO1100"/>
      <c r="DUP1100"/>
      <c r="DUS1100"/>
      <c r="DUT1100"/>
      <c r="DUW1100"/>
      <c r="DUX1100"/>
      <c r="DVA1100"/>
      <c r="DVB1100"/>
      <c r="DVE1100"/>
      <c r="DVF1100"/>
      <c r="DVI1100"/>
      <c r="DVJ1100"/>
      <c r="DVM1100"/>
      <c r="DVN1100"/>
      <c r="DVQ1100"/>
      <c r="DVR1100"/>
      <c r="DVU1100"/>
      <c r="DVV1100"/>
      <c r="DVY1100"/>
      <c r="DVZ1100"/>
      <c r="DWC1100"/>
      <c r="DWD1100"/>
      <c r="DWG1100"/>
      <c r="DWH1100"/>
      <c r="DWK1100"/>
      <c r="DWL1100"/>
      <c r="DWO1100"/>
      <c r="DWP1100"/>
      <c r="DWS1100"/>
      <c r="DWT1100"/>
      <c r="DWW1100"/>
      <c r="DWX1100"/>
      <c r="DXA1100"/>
      <c r="DXB1100"/>
      <c r="DXE1100"/>
      <c r="DXF1100"/>
      <c r="DXI1100"/>
      <c r="DXJ1100"/>
      <c r="DXM1100"/>
      <c r="DXN1100"/>
      <c r="DXQ1100"/>
      <c r="DXR1100"/>
      <c r="DXU1100"/>
      <c r="DXV1100"/>
      <c r="DXY1100"/>
      <c r="DXZ1100"/>
      <c r="DYC1100"/>
      <c r="DYD1100"/>
      <c r="DYG1100"/>
      <c r="DYH1100"/>
      <c r="DYK1100"/>
      <c r="DYL1100"/>
      <c r="DYO1100"/>
      <c r="DYP1100"/>
      <c r="DYS1100"/>
      <c r="DYT1100"/>
      <c r="DYW1100"/>
      <c r="DYX1100"/>
      <c r="DZA1100"/>
      <c r="DZB1100"/>
      <c r="DZE1100"/>
      <c r="DZF1100"/>
      <c r="DZI1100"/>
      <c r="DZJ1100"/>
      <c r="DZM1100"/>
      <c r="DZN1100"/>
      <c r="DZQ1100"/>
      <c r="DZR1100"/>
      <c r="DZU1100"/>
      <c r="DZV1100"/>
      <c r="DZY1100"/>
      <c r="DZZ1100"/>
      <c r="EAC1100"/>
      <c r="EAD1100"/>
      <c r="EAG1100"/>
      <c r="EAH1100"/>
      <c r="EAK1100"/>
      <c r="EAL1100"/>
      <c r="EAO1100"/>
      <c r="EAP1100"/>
      <c r="EAS1100"/>
      <c r="EAT1100"/>
      <c r="EAW1100"/>
      <c r="EAX1100"/>
      <c r="EBA1100"/>
      <c r="EBB1100"/>
      <c r="EBE1100"/>
      <c r="EBF1100"/>
      <c r="EBI1100"/>
      <c r="EBJ1100"/>
      <c r="EBM1100"/>
      <c r="EBN1100"/>
      <c r="EBQ1100"/>
      <c r="EBR1100"/>
      <c r="EBU1100"/>
      <c r="EBV1100"/>
      <c r="EBY1100"/>
      <c r="EBZ1100"/>
      <c r="ECC1100"/>
      <c r="ECD1100"/>
      <c r="ECG1100"/>
      <c r="ECH1100"/>
      <c r="ECK1100"/>
      <c r="ECL1100"/>
      <c r="ECO1100"/>
      <c r="ECP1100"/>
      <c r="ECS1100"/>
      <c r="ECT1100"/>
      <c r="ECW1100"/>
      <c r="ECX1100"/>
      <c r="EDA1100"/>
      <c r="EDB1100"/>
      <c r="EDE1100"/>
      <c r="EDF1100"/>
      <c r="EDI1100"/>
      <c r="EDJ1100"/>
      <c r="EDM1100"/>
      <c r="EDN1100"/>
      <c r="EDQ1100"/>
      <c r="EDR1100"/>
      <c r="EDU1100"/>
      <c r="EDV1100"/>
      <c r="EDY1100"/>
      <c r="EDZ1100"/>
      <c r="EEC1100"/>
      <c r="EED1100"/>
      <c r="EEG1100"/>
      <c r="EEH1100"/>
      <c r="EEK1100"/>
      <c r="EEL1100"/>
      <c r="EEO1100"/>
      <c r="EEP1100"/>
      <c r="EES1100"/>
      <c r="EET1100"/>
      <c r="EEW1100"/>
      <c r="EEX1100"/>
      <c r="EFA1100"/>
      <c r="EFB1100"/>
      <c r="EFE1100"/>
      <c r="EFF1100"/>
      <c r="EFI1100"/>
      <c r="EFJ1100"/>
      <c r="EFM1100"/>
      <c r="EFN1100"/>
      <c r="EFQ1100"/>
      <c r="EFR1100"/>
      <c r="EFU1100"/>
      <c r="EFV1100"/>
      <c r="EFY1100"/>
      <c r="EFZ1100"/>
      <c r="EGC1100"/>
      <c r="EGD1100"/>
      <c r="EGG1100"/>
      <c r="EGH1100"/>
      <c r="EGK1100"/>
      <c r="EGL1100"/>
      <c r="EGO1100"/>
      <c r="EGP1100"/>
      <c r="EGS1100"/>
      <c r="EGT1100"/>
      <c r="EGW1100"/>
      <c r="EGX1100"/>
      <c r="EHA1100"/>
      <c r="EHB1100"/>
      <c r="EHE1100"/>
      <c r="EHF1100"/>
      <c r="EHI1100"/>
      <c r="EHJ1100"/>
      <c r="EHM1100"/>
      <c r="EHN1100"/>
      <c r="EHQ1100"/>
      <c r="EHR1100"/>
      <c r="EHU1100"/>
      <c r="EHV1100"/>
      <c r="EHY1100"/>
      <c r="EHZ1100"/>
      <c r="EIC1100"/>
      <c r="EID1100"/>
      <c r="EIG1100"/>
      <c r="EIH1100"/>
      <c r="EIK1100"/>
      <c r="EIL1100"/>
      <c r="EIO1100"/>
      <c r="EIP1100"/>
      <c r="EIS1100"/>
      <c r="EIT1100"/>
      <c r="EIW1100"/>
      <c r="EIX1100"/>
      <c r="EJA1100"/>
      <c r="EJB1100"/>
      <c r="EJE1100"/>
      <c r="EJF1100"/>
      <c r="EJI1100"/>
      <c r="EJJ1100"/>
      <c r="EJM1100"/>
      <c r="EJN1100"/>
      <c r="EJQ1100"/>
      <c r="EJR1100"/>
      <c r="EJU1100"/>
      <c r="EJV1100"/>
      <c r="EJY1100"/>
      <c r="EJZ1100"/>
      <c r="EKC1100"/>
      <c r="EKD1100"/>
      <c r="EKG1100"/>
      <c r="EKH1100"/>
      <c r="EKK1100"/>
      <c r="EKL1100"/>
      <c r="EKO1100"/>
      <c r="EKP1100"/>
      <c r="EKS1100"/>
      <c r="EKT1100"/>
      <c r="EKW1100"/>
      <c r="EKX1100"/>
      <c r="ELA1100"/>
      <c r="ELB1100"/>
      <c r="ELE1100"/>
      <c r="ELF1100"/>
      <c r="ELI1100"/>
      <c r="ELJ1100"/>
      <c r="ELM1100"/>
      <c r="ELN1100"/>
      <c r="ELQ1100"/>
      <c r="ELR1100"/>
      <c r="ELU1100"/>
      <c r="ELV1100"/>
      <c r="ELY1100"/>
      <c r="ELZ1100"/>
      <c r="EMC1100"/>
      <c r="EMD1100"/>
      <c r="EMG1100"/>
      <c r="EMH1100"/>
      <c r="EMK1100"/>
      <c r="EML1100"/>
      <c r="EMO1100"/>
      <c r="EMP1100"/>
      <c r="EMS1100"/>
      <c r="EMT1100"/>
      <c r="EMW1100"/>
      <c r="EMX1100"/>
      <c r="ENA1100"/>
      <c r="ENB1100"/>
      <c r="ENE1100"/>
      <c r="ENF1100"/>
      <c r="ENI1100"/>
      <c r="ENJ1100"/>
      <c r="ENM1100"/>
      <c r="ENN1100"/>
      <c r="ENQ1100"/>
      <c r="ENR1100"/>
      <c r="ENU1100"/>
      <c r="ENV1100"/>
      <c r="ENY1100"/>
      <c r="ENZ1100"/>
      <c r="EOC1100"/>
      <c r="EOD1100"/>
      <c r="EOG1100"/>
      <c r="EOH1100"/>
      <c r="EOK1100"/>
      <c r="EOL1100"/>
      <c r="EOO1100"/>
      <c r="EOP1100"/>
      <c r="EOS1100"/>
      <c r="EOT1100"/>
      <c r="EOW1100"/>
      <c r="EOX1100"/>
      <c r="EPA1100"/>
      <c r="EPB1100"/>
      <c r="EPE1100"/>
      <c r="EPF1100"/>
      <c r="EPI1100"/>
      <c r="EPJ1100"/>
      <c r="EPM1100"/>
      <c r="EPN1100"/>
      <c r="EPQ1100"/>
      <c r="EPR1100"/>
      <c r="EPU1100"/>
      <c r="EPV1100"/>
      <c r="EPY1100"/>
      <c r="EPZ1100"/>
      <c r="EQC1100"/>
      <c r="EQD1100"/>
      <c r="EQG1100"/>
      <c r="EQH1100"/>
      <c r="EQK1100"/>
      <c r="EQL1100"/>
      <c r="EQO1100"/>
      <c r="EQP1100"/>
      <c r="EQS1100"/>
      <c r="EQT1100"/>
      <c r="EQW1100"/>
      <c r="EQX1100"/>
      <c r="ERA1100"/>
      <c r="ERB1100"/>
      <c r="ERE1100"/>
      <c r="ERF1100"/>
      <c r="ERI1100"/>
      <c r="ERJ1100"/>
      <c r="ERM1100"/>
      <c r="ERN1100"/>
      <c r="ERQ1100"/>
      <c r="ERR1100"/>
      <c r="ERU1100"/>
      <c r="ERV1100"/>
      <c r="ERY1100"/>
      <c r="ERZ1100"/>
      <c r="ESC1100"/>
      <c r="ESD1100"/>
      <c r="ESG1100"/>
      <c r="ESH1100"/>
      <c r="ESK1100"/>
      <c r="ESL1100"/>
      <c r="ESO1100"/>
      <c r="ESP1100"/>
      <c r="ESS1100"/>
      <c r="EST1100"/>
      <c r="ESW1100"/>
      <c r="ESX1100"/>
      <c r="ETA1100"/>
      <c r="ETB1100"/>
      <c r="ETE1100"/>
      <c r="ETF1100"/>
      <c r="ETI1100"/>
      <c r="ETJ1100"/>
      <c r="ETM1100"/>
      <c r="ETN1100"/>
      <c r="ETQ1100"/>
      <c r="ETR1100"/>
      <c r="ETU1100"/>
      <c r="ETV1100"/>
      <c r="ETY1100"/>
      <c r="ETZ1100"/>
      <c r="EUC1100"/>
      <c r="EUD1100"/>
      <c r="EUG1100"/>
      <c r="EUH1100"/>
      <c r="EUK1100"/>
      <c r="EUL1100"/>
      <c r="EUO1100"/>
      <c r="EUP1100"/>
      <c r="EUS1100"/>
      <c r="EUT1100"/>
      <c r="EUW1100"/>
      <c r="EUX1100"/>
      <c r="EVA1100"/>
      <c r="EVB1100"/>
      <c r="EVE1100"/>
      <c r="EVF1100"/>
      <c r="EVI1100"/>
      <c r="EVJ1100"/>
      <c r="EVM1100"/>
      <c r="EVN1100"/>
      <c r="EVQ1100"/>
      <c r="EVR1100"/>
      <c r="EVU1100"/>
      <c r="EVV1100"/>
      <c r="EVY1100"/>
      <c r="EVZ1100"/>
      <c r="EWC1100"/>
      <c r="EWD1100"/>
      <c r="EWG1100"/>
      <c r="EWH1100"/>
      <c r="EWK1100"/>
      <c r="EWL1100"/>
      <c r="EWO1100"/>
      <c r="EWP1100"/>
      <c r="EWS1100"/>
      <c r="EWT1100"/>
      <c r="EWW1100"/>
      <c r="EWX1100"/>
      <c r="EXA1100"/>
      <c r="EXB1100"/>
      <c r="EXE1100"/>
      <c r="EXF1100"/>
      <c r="EXI1100"/>
      <c r="EXJ1100"/>
      <c r="EXM1100"/>
      <c r="EXN1100"/>
      <c r="EXQ1100"/>
      <c r="EXR1100"/>
      <c r="EXU1100"/>
      <c r="EXV1100"/>
      <c r="EXY1100"/>
      <c r="EXZ1100"/>
      <c r="EYC1100"/>
      <c r="EYD1100"/>
      <c r="EYG1100"/>
      <c r="EYH1100"/>
      <c r="EYK1100"/>
      <c r="EYL1100"/>
      <c r="EYO1100"/>
      <c r="EYP1100"/>
      <c r="EYS1100"/>
      <c r="EYT1100"/>
      <c r="EYW1100"/>
      <c r="EYX1100"/>
      <c r="EZA1100"/>
      <c r="EZB1100"/>
      <c r="EZE1100"/>
      <c r="EZF1100"/>
      <c r="EZI1100"/>
      <c r="EZJ1100"/>
      <c r="EZM1100"/>
      <c r="EZN1100"/>
      <c r="EZQ1100"/>
      <c r="EZR1100"/>
      <c r="EZU1100"/>
      <c r="EZV1100"/>
      <c r="EZY1100"/>
      <c r="EZZ1100"/>
      <c r="FAC1100"/>
      <c r="FAD1100"/>
      <c r="FAG1100"/>
      <c r="FAH1100"/>
      <c r="FAK1100"/>
      <c r="FAL1100"/>
      <c r="FAO1100"/>
      <c r="FAP1100"/>
      <c r="FAS1100"/>
      <c r="FAT1100"/>
      <c r="FAW1100"/>
      <c r="FAX1100"/>
      <c r="FBA1100"/>
      <c r="FBB1100"/>
      <c r="FBE1100"/>
      <c r="FBF1100"/>
      <c r="FBI1100"/>
      <c r="FBJ1100"/>
      <c r="FBM1100"/>
      <c r="FBN1100"/>
      <c r="FBQ1100"/>
      <c r="FBR1100"/>
      <c r="FBU1100"/>
      <c r="FBV1100"/>
      <c r="FBY1100"/>
      <c r="FBZ1100"/>
      <c r="FCC1100"/>
      <c r="FCD1100"/>
      <c r="FCG1100"/>
      <c r="FCH1100"/>
      <c r="FCK1100"/>
      <c r="FCL1100"/>
      <c r="FCO1100"/>
      <c r="FCP1100"/>
      <c r="FCS1100"/>
      <c r="FCT1100"/>
      <c r="FCW1100"/>
      <c r="FCX1100"/>
      <c r="FDA1100"/>
      <c r="FDB1100"/>
      <c r="FDE1100"/>
      <c r="FDF1100"/>
      <c r="FDI1100"/>
      <c r="FDJ1100"/>
      <c r="FDM1100"/>
      <c r="FDN1100"/>
      <c r="FDQ1100"/>
      <c r="FDR1100"/>
      <c r="FDU1100"/>
      <c r="FDV1100"/>
      <c r="FDY1100"/>
      <c r="FDZ1100"/>
      <c r="FEC1100"/>
      <c r="FED1100"/>
      <c r="FEG1100"/>
      <c r="FEH1100"/>
      <c r="FEK1100"/>
      <c r="FEL1100"/>
      <c r="FEO1100"/>
      <c r="FEP1100"/>
      <c r="FES1100"/>
      <c r="FET1100"/>
      <c r="FEW1100"/>
      <c r="FEX1100"/>
      <c r="FFA1100"/>
      <c r="FFB1100"/>
      <c r="FFE1100"/>
      <c r="FFF1100"/>
      <c r="FFI1100"/>
      <c r="FFJ1100"/>
      <c r="FFM1100"/>
      <c r="FFN1100"/>
      <c r="FFQ1100"/>
      <c r="FFR1100"/>
      <c r="FFU1100"/>
      <c r="FFV1100"/>
      <c r="FFY1100"/>
      <c r="FFZ1100"/>
      <c r="FGC1100"/>
      <c r="FGD1100"/>
      <c r="FGG1100"/>
      <c r="FGH1100"/>
      <c r="FGK1100"/>
      <c r="FGL1100"/>
      <c r="FGO1100"/>
      <c r="FGP1100"/>
      <c r="FGS1100"/>
      <c r="FGT1100"/>
      <c r="FGW1100"/>
      <c r="FGX1100"/>
      <c r="FHA1100"/>
      <c r="FHB1100"/>
      <c r="FHE1100"/>
      <c r="FHF1100"/>
      <c r="FHI1100"/>
      <c r="FHJ1100"/>
      <c r="FHM1100"/>
      <c r="FHN1100"/>
      <c r="FHQ1100"/>
      <c r="FHR1100"/>
      <c r="FHU1100"/>
      <c r="FHV1100"/>
      <c r="FHY1100"/>
      <c r="FHZ1100"/>
      <c r="FIC1100"/>
      <c r="FID1100"/>
      <c r="FIG1100"/>
      <c r="FIH1100"/>
      <c r="FIK1100"/>
      <c r="FIL1100"/>
      <c r="FIO1100"/>
      <c r="FIP1100"/>
      <c r="FIS1100"/>
      <c r="FIT1100"/>
      <c r="FIW1100"/>
      <c r="FIX1100"/>
      <c r="FJA1100"/>
      <c r="FJB1100"/>
      <c r="FJE1100"/>
      <c r="FJF1100"/>
      <c r="FJI1100"/>
      <c r="FJJ1100"/>
      <c r="FJM1100"/>
      <c r="FJN1100"/>
      <c r="FJQ1100"/>
      <c r="FJR1100"/>
      <c r="FJU1100"/>
      <c r="FJV1100"/>
      <c r="FJY1100"/>
      <c r="FJZ1100"/>
      <c r="FKC1100"/>
      <c r="FKD1100"/>
      <c r="FKG1100"/>
      <c r="FKH1100"/>
      <c r="FKK1100"/>
      <c r="FKL1100"/>
      <c r="FKO1100"/>
      <c r="FKP1100"/>
      <c r="FKS1100"/>
      <c r="FKT1100"/>
      <c r="FKW1100"/>
      <c r="FKX1100"/>
      <c r="FLA1100"/>
      <c r="FLB1100"/>
      <c r="FLE1100"/>
      <c r="FLF1100"/>
      <c r="FLI1100"/>
      <c r="FLJ1100"/>
      <c r="FLM1100"/>
      <c r="FLN1100"/>
      <c r="FLQ1100"/>
      <c r="FLR1100"/>
      <c r="FLU1100"/>
      <c r="FLV1100"/>
      <c r="FLY1100"/>
      <c r="FLZ1100"/>
      <c r="FMC1100"/>
      <c r="FMD1100"/>
      <c r="FMG1100"/>
      <c r="FMH1100"/>
      <c r="FMK1100"/>
      <c r="FML1100"/>
      <c r="FMO1100"/>
      <c r="FMP1100"/>
      <c r="FMS1100"/>
      <c r="FMT1100"/>
      <c r="FMW1100"/>
      <c r="FMX1100"/>
      <c r="FNA1100"/>
      <c r="FNB1100"/>
      <c r="FNE1100"/>
      <c r="FNF1100"/>
      <c r="FNI1100"/>
      <c r="FNJ1100"/>
      <c r="FNM1100"/>
      <c r="FNN1100"/>
      <c r="FNQ1100"/>
      <c r="FNR1100"/>
      <c r="FNU1100"/>
      <c r="FNV1100"/>
      <c r="FNY1100"/>
      <c r="FNZ1100"/>
      <c r="FOC1100"/>
      <c r="FOD1100"/>
      <c r="FOG1100"/>
      <c r="FOH1100"/>
      <c r="FOK1100"/>
      <c r="FOL1100"/>
      <c r="FOO1100"/>
      <c r="FOP1100"/>
      <c r="FOS1100"/>
      <c r="FOT1100"/>
      <c r="FOW1100"/>
      <c r="FOX1100"/>
      <c r="FPA1100"/>
      <c r="FPB1100"/>
      <c r="FPE1100"/>
      <c r="FPF1100"/>
      <c r="FPI1100"/>
      <c r="FPJ1100"/>
      <c r="FPM1100"/>
      <c r="FPN1100"/>
      <c r="FPQ1100"/>
      <c r="FPR1100"/>
      <c r="FPU1100"/>
      <c r="FPV1100"/>
      <c r="FPY1100"/>
      <c r="FPZ1100"/>
      <c r="FQC1100"/>
      <c r="FQD1100"/>
      <c r="FQG1100"/>
      <c r="FQH1100"/>
      <c r="FQK1100"/>
      <c r="FQL1100"/>
      <c r="FQO1100"/>
      <c r="FQP1100"/>
      <c r="FQS1100"/>
      <c r="FQT1100"/>
      <c r="FQW1100"/>
      <c r="FQX1100"/>
      <c r="FRA1100"/>
      <c r="FRB1100"/>
      <c r="FRE1100"/>
      <c r="FRF1100"/>
      <c r="FRI1100"/>
      <c r="FRJ1100"/>
      <c r="FRM1100"/>
      <c r="FRN1100"/>
      <c r="FRQ1100"/>
      <c r="FRR1100"/>
      <c r="FRU1100"/>
      <c r="FRV1100"/>
      <c r="FRY1100"/>
      <c r="FRZ1100"/>
      <c r="FSC1100"/>
      <c r="FSD1100"/>
      <c r="FSG1100"/>
      <c r="FSH1100"/>
      <c r="FSK1100"/>
      <c r="FSL1100"/>
      <c r="FSO1100"/>
      <c r="FSP1100"/>
      <c r="FSS1100"/>
      <c r="FST1100"/>
      <c r="FSW1100"/>
      <c r="FSX1100"/>
      <c r="FTA1100"/>
      <c r="FTB1100"/>
      <c r="FTE1100"/>
      <c r="FTF1100"/>
      <c r="FTI1100"/>
      <c r="FTJ1100"/>
      <c r="FTM1100"/>
      <c r="FTN1100"/>
      <c r="FTQ1100"/>
      <c r="FTR1100"/>
      <c r="FTU1100"/>
      <c r="FTV1100"/>
      <c r="FTY1100"/>
      <c r="FTZ1100"/>
      <c r="FUC1100"/>
      <c r="FUD1100"/>
      <c r="FUG1100"/>
      <c r="FUH1100"/>
      <c r="FUK1100"/>
      <c r="FUL1100"/>
      <c r="FUO1100"/>
      <c r="FUP1100"/>
      <c r="FUS1100"/>
      <c r="FUT1100"/>
      <c r="FUW1100"/>
      <c r="FUX1100"/>
      <c r="FVA1100"/>
      <c r="FVB1100"/>
      <c r="FVE1100"/>
      <c r="FVF1100"/>
      <c r="FVI1100"/>
      <c r="FVJ1100"/>
      <c r="FVM1100"/>
      <c r="FVN1100"/>
      <c r="FVQ1100"/>
      <c r="FVR1100"/>
      <c r="FVU1100"/>
      <c r="FVV1100"/>
      <c r="FVY1100"/>
      <c r="FVZ1100"/>
      <c r="FWC1100"/>
      <c r="FWD1100"/>
      <c r="FWG1100"/>
      <c r="FWH1100"/>
      <c r="FWK1100"/>
      <c r="FWL1100"/>
      <c r="FWO1100"/>
      <c r="FWP1100"/>
      <c r="FWS1100"/>
      <c r="FWT1100"/>
      <c r="FWW1100"/>
      <c r="FWX1100"/>
      <c r="FXA1100"/>
      <c r="FXB1100"/>
      <c r="FXE1100"/>
      <c r="FXF1100"/>
      <c r="FXI1100"/>
      <c r="FXJ1100"/>
      <c r="FXM1100"/>
      <c r="FXN1100"/>
      <c r="FXQ1100"/>
      <c r="FXR1100"/>
      <c r="FXU1100"/>
      <c r="FXV1100"/>
      <c r="FXY1100"/>
      <c r="FXZ1100"/>
      <c r="FYC1100"/>
      <c r="FYD1100"/>
      <c r="FYG1100"/>
      <c r="FYH1100"/>
      <c r="FYK1100"/>
      <c r="FYL1100"/>
      <c r="FYO1100"/>
      <c r="FYP1100"/>
      <c r="FYS1100"/>
      <c r="FYT1100"/>
      <c r="FYW1100"/>
      <c r="FYX1100"/>
      <c r="FZA1100"/>
      <c r="FZB1100"/>
      <c r="FZE1100"/>
      <c r="FZF1100"/>
      <c r="FZI1100"/>
      <c r="FZJ1100"/>
      <c r="FZM1100"/>
      <c r="FZN1100"/>
      <c r="FZQ1100"/>
      <c r="FZR1100"/>
      <c r="FZU1100"/>
      <c r="FZV1100"/>
      <c r="FZY1100"/>
      <c r="FZZ1100"/>
      <c r="GAC1100"/>
      <c r="GAD1100"/>
      <c r="GAG1100"/>
      <c r="GAH1100"/>
      <c r="GAK1100"/>
      <c r="GAL1100"/>
      <c r="GAO1100"/>
      <c r="GAP1100"/>
      <c r="GAS1100"/>
      <c r="GAT1100"/>
      <c r="GAW1100"/>
      <c r="GAX1100"/>
      <c r="GBA1100"/>
      <c r="GBB1100"/>
      <c r="GBE1100"/>
      <c r="GBF1100"/>
      <c r="GBI1100"/>
      <c r="GBJ1100"/>
      <c r="GBM1100"/>
      <c r="GBN1100"/>
      <c r="GBQ1100"/>
      <c r="GBR1100"/>
      <c r="GBU1100"/>
      <c r="GBV1100"/>
      <c r="GBY1100"/>
      <c r="GBZ1100"/>
      <c r="GCC1100"/>
      <c r="GCD1100"/>
      <c r="GCG1100"/>
      <c r="GCH1100"/>
      <c r="GCK1100"/>
      <c r="GCL1100"/>
      <c r="GCO1100"/>
      <c r="GCP1100"/>
      <c r="GCS1100"/>
      <c r="GCT1100"/>
      <c r="GCW1100"/>
      <c r="GCX1100"/>
      <c r="GDA1100"/>
      <c r="GDB1100"/>
      <c r="GDE1100"/>
      <c r="GDF1100"/>
      <c r="GDI1100"/>
      <c r="GDJ1100"/>
      <c r="GDM1100"/>
      <c r="GDN1100"/>
      <c r="GDQ1100"/>
      <c r="GDR1100"/>
      <c r="GDU1100"/>
      <c r="GDV1100"/>
      <c r="GDY1100"/>
      <c r="GDZ1100"/>
      <c r="GEC1100"/>
      <c r="GED1100"/>
      <c r="GEG1100"/>
      <c r="GEH1100"/>
      <c r="GEK1100"/>
      <c r="GEL1100"/>
      <c r="GEO1100"/>
      <c r="GEP1100"/>
      <c r="GES1100"/>
      <c r="GET1100"/>
      <c r="GEW1100"/>
      <c r="GEX1100"/>
      <c r="GFA1100"/>
      <c r="GFB1100"/>
      <c r="GFE1100"/>
      <c r="GFF1100"/>
      <c r="GFI1100"/>
      <c r="GFJ1100"/>
      <c r="GFM1100"/>
      <c r="GFN1100"/>
      <c r="GFQ1100"/>
      <c r="GFR1100"/>
      <c r="GFU1100"/>
      <c r="GFV1100"/>
      <c r="GFY1100"/>
      <c r="GFZ1100"/>
      <c r="GGC1100"/>
      <c r="GGD1100"/>
      <c r="GGG1100"/>
      <c r="GGH1100"/>
      <c r="GGK1100"/>
      <c r="GGL1100"/>
      <c r="GGO1100"/>
      <c r="GGP1100"/>
      <c r="GGS1100"/>
      <c r="GGT1100"/>
      <c r="GGW1100"/>
      <c r="GGX1100"/>
      <c r="GHA1100"/>
      <c r="GHB1100"/>
      <c r="GHE1100"/>
      <c r="GHF1100"/>
      <c r="GHI1100"/>
      <c r="GHJ1100"/>
      <c r="GHM1100"/>
      <c r="GHN1100"/>
      <c r="GHQ1100"/>
      <c r="GHR1100"/>
      <c r="GHU1100"/>
      <c r="GHV1100"/>
      <c r="GHY1100"/>
      <c r="GHZ1100"/>
      <c r="GIC1100"/>
      <c r="GID1100"/>
      <c r="GIG1100"/>
      <c r="GIH1100"/>
      <c r="GIK1100"/>
      <c r="GIL1100"/>
      <c r="GIO1100"/>
      <c r="GIP1100"/>
      <c r="GIS1100"/>
      <c r="GIT1100"/>
      <c r="GIW1100"/>
      <c r="GIX1100"/>
      <c r="GJA1100"/>
      <c r="GJB1100"/>
      <c r="GJE1100"/>
      <c r="GJF1100"/>
      <c r="GJI1100"/>
      <c r="GJJ1100"/>
      <c r="GJM1100"/>
      <c r="GJN1100"/>
      <c r="GJQ1100"/>
      <c r="GJR1100"/>
      <c r="GJU1100"/>
      <c r="GJV1100"/>
      <c r="GJY1100"/>
      <c r="GJZ1100"/>
      <c r="GKC1100"/>
      <c r="GKD1100"/>
      <c r="GKG1100"/>
      <c r="GKH1100"/>
      <c r="GKK1100"/>
      <c r="GKL1100"/>
      <c r="GKO1100"/>
      <c r="GKP1100"/>
      <c r="GKS1100"/>
      <c r="GKT1100"/>
      <c r="GKW1100"/>
      <c r="GKX1100"/>
      <c r="GLA1100"/>
      <c r="GLB1100"/>
      <c r="GLE1100"/>
      <c r="GLF1100"/>
      <c r="GLI1100"/>
      <c r="GLJ1100"/>
      <c r="GLM1100"/>
      <c r="GLN1100"/>
      <c r="GLQ1100"/>
      <c r="GLR1100"/>
      <c r="GLU1100"/>
      <c r="GLV1100"/>
      <c r="GLY1100"/>
      <c r="GLZ1100"/>
      <c r="GMC1100"/>
      <c r="GMD1100"/>
      <c r="GMG1100"/>
      <c r="GMH1100"/>
      <c r="GMK1100"/>
      <c r="GML1100"/>
      <c r="GMO1100"/>
      <c r="GMP1100"/>
      <c r="GMS1100"/>
      <c r="GMT1100"/>
      <c r="GMW1100"/>
      <c r="GMX1100"/>
      <c r="GNA1100"/>
      <c r="GNB1100"/>
      <c r="GNE1100"/>
      <c r="GNF1100"/>
      <c r="GNI1100"/>
      <c r="GNJ1100"/>
      <c r="GNM1100"/>
      <c r="GNN1100"/>
      <c r="GNQ1100"/>
      <c r="GNR1100"/>
      <c r="GNU1100"/>
      <c r="GNV1100"/>
      <c r="GNY1100"/>
      <c r="GNZ1100"/>
      <c r="GOC1100"/>
      <c r="GOD1100"/>
      <c r="GOG1100"/>
      <c r="GOH1100"/>
      <c r="GOK1100"/>
      <c r="GOL1100"/>
      <c r="GOO1100"/>
      <c r="GOP1100"/>
      <c r="GOS1100"/>
      <c r="GOT1100"/>
      <c r="GOW1100"/>
      <c r="GOX1100"/>
      <c r="GPA1100"/>
      <c r="GPB1100"/>
      <c r="GPE1100"/>
      <c r="GPF1100"/>
      <c r="GPI1100"/>
      <c r="GPJ1100"/>
      <c r="GPM1100"/>
      <c r="GPN1100"/>
      <c r="GPQ1100"/>
      <c r="GPR1100"/>
      <c r="GPU1100"/>
      <c r="GPV1100"/>
      <c r="GPY1100"/>
      <c r="GPZ1100"/>
      <c r="GQC1100"/>
      <c r="GQD1100"/>
      <c r="GQG1100"/>
      <c r="GQH1100"/>
      <c r="GQK1100"/>
      <c r="GQL1100"/>
      <c r="GQO1100"/>
      <c r="GQP1100"/>
      <c r="GQS1100"/>
      <c r="GQT1100"/>
      <c r="GQW1100"/>
      <c r="GQX1100"/>
      <c r="GRA1100"/>
      <c r="GRB1100"/>
      <c r="GRE1100"/>
      <c r="GRF1100"/>
      <c r="GRI1100"/>
      <c r="GRJ1100"/>
      <c r="GRM1100"/>
      <c r="GRN1100"/>
      <c r="GRQ1100"/>
      <c r="GRR1100"/>
      <c r="GRU1100"/>
      <c r="GRV1100"/>
      <c r="GRY1100"/>
      <c r="GRZ1100"/>
      <c r="GSC1100"/>
      <c r="GSD1100"/>
      <c r="GSG1100"/>
      <c r="GSH1100"/>
      <c r="GSK1100"/>
      <c r="GSL1100"/>
      <c r="GSO1100"/>
      <c r="GSP1100"/>
      <c r="GSS1100"/>
      <c r="GST1100"/>
      <c r="GSW1100"/>
      <c r="GSX1100"/>
      <c r="GTA1100"/>
      <c r="GTB1100"/>
      <c r="GTE1100"/>
      <c r="GTF1100"/>
      <c r="GTI1100"/>
      <c r="GTJ1100"/>
      <c r="GTM1100"/>
      <c r="GTN1100"/>
      <c r="GTQ1100"/>
      <c r="GTR1100"/>
      <c r="GTU1100"/>
      <c r="GTV1100"/>
      <c r="GTY1100"/>
      <c r="GTZ1100"/>
      <c r="GUC1100"/>
      <c r="GUD1100"/>
      <c r="GUG1100"/>
      <c r="GUH1100"/>
      <c r="GUK1100"/>
      <c r="GUL1100"/>
      <c r="GUO1100"/>
      <c r="GUP1100"/>
      <c r="GUS1100"/>
      <c r="GUT1100"/>
      <c r="GUW1100"/>
      <c r="GUX1100"/>
      <c r="GVA1100"/>
      <c r="GVB1100"/>
      <c r="GVE1100"/>
      <c r="GVF1100"/>
      <c r="GVI1100"/>
      <c r="GVJ1100"/>
      <c r="GVM1100"/>
      <c r="GVN1100"/>
      <c r="GVQ1100"/>
      <c r="GVR1100"/>
      <c r="GVU1100"/>
      <c r="GVV1100"/>
      <c r="GVY1100"/>
      <c r="GVZ1100"/>
      <c r="GWC1100"/>
      <c r="GWD1100"/>
      <c r="GWG1100"/>
      <c r="GWH1100"/>
      <c r="GWK1100"/>
      <c r="GWL1100"/>
      <c r="GWO1100"/>
      <c r="GWP1100"/>
      <c r="GWS1100"/>
      <c r="GWT1100"/>
      <c r="GWW1100"/>
      <c r="GWX1100"/>
      <c r="GXA1100"/>
      <c r="GXB1100"/>
      <c r="GXE1100"/>
      <c r="GXF1100"/>
      <c r="GXI1100"/>
      <c r="GXJ1100"/>
      <c r="GXM1100"/>
      <c r="GXN1100"/>
      <c r="GXQ1100"/>
      <c r="GXR1100"/>
      <c r="GXU1100"/>
      <c r="GXV1100"/>
      <c r="GXY1100"/>
      <c r="GXZ1100"/>
      <c r="GYC1100"/>
      <c r="GYD1100"/>
      <c r="GYG1100"/>
      <c r="GYH1100"/>
      <c r="GYK1100"/>
      <c r="GYL1100"/>
      <c r="GYO1100"/>
      <c r="GYP1100"/>
      <c r="GYS1100"/>
      <c r="GYT1100"/>
      <c r="GYW1100"/>
      <c r="GYX1100"/>
      <c r="GZA1100"/>
      <c r="GZB1100"/>
      <c r="GZE1100"/>
      <c r="GZF1100"/>
      <c r="GZI1100"/>
      <c r="GZJ1100"/>
      <c r="GZM1100"/>
      <c r="GZN1100"/>
      <c r="GZQ1100"/>
      <c r="GZR1100"/>
      <c r="GZU1100"/>
      <c r="GZV1100"/>
      <c r="GZY1100"/>
      <c r="GZZ1100"/>
      <c r="HAC1100"/>
      <c r="HAD1100"/>
      <c r="HAG1100"/>
      <c r="HAH1100"/>
      <c r="HAK1100"/>
      <c r="HAL1100"/>
      <c r="HAO1100"/>
      <c r="HAP1100"/>
      <c r="HAS1100"/>
      <c r="HAT1100"/>
      <c r="HAW1100"/>
      <c r="HAX1100"/>
      <c r="HBA1100"/>
      <c r="HBB1100"/>
      <c r="HBE1100"/>
      <c r="HBF1100"/>
      <c r="HBI1100"/>
      <c r="HBJ1100"/>
      <c r="HBM1100"/>
      <c r="HBN1100"/>
      <c r="HBQ1100"/>
      <c r="HBR1100"/>
      <c r="HBU1100"/>
      <c r="HBV1100"/>
      <c r="HBY1100"/>
      <c r="HBZ1100"/>
      <c r="HCC1100"/>
      <c r="HCD1100"/>
      <c r="HCG1100"/>
      <c r="HCH1100"/>
      <c r="HCK1100"/>
      <c r="HCL1100"/>
      <c r="HCO1100"/>
      <c r="HCP1100"/>
      <c r="HCS1100"/>
      <c r="HCT1100"/>
      <c r="HCW1100"/>
      <c r="HCX1100"/>
      <c r="HDA1100"/>
      <c r="HDB1100"/>
      <c r="HDE1100"/>
      <c r="HDF1100"/>
      <c r="HDI1100"/>
      <c r="HDJ1100"/>
      <c r="HDM1100"/>
      <c r="HDN1100"/>
      <c r="HDQ1100"/>
      <c r="HDR1100"/>
      <c r="HDU1100"/>
      <c r="HDV1100"/>
      <c r="HDY1100"/>
      <c r="HDZ1100"/>
      <c r="HEC1100"/>
      <c r="HED1100"/>
      <c r="HEG1100"/>
      <c r="HEH1100"/>
      <c r="HEK1100"/>
      <c r="HEL1100"/>
      <c r="HEO1100"/>
      <c r="HEP1100"/>
      <c r="HES1100"/>
      <c r="HET1100"/>
      <c r="HEW1100"/>
      <c r="HEX1100"/>
      <c r="HFA1100"/>
      <c r="HFB1100"/>
      <c r="HFE1100"/>
      <c r="HFF1100"/>
      <c r="HFI1100"/>
      <c r="HFJ1100"/>
      <c r="HFM1100"/>
      <c r="HFN1100"/>
      <c r="HFQ1100"/>
      <c r="HFR1100"/>
      <c r="HFU1100"/>
      <c r="HFV1100"/>
      <c r="HFY1100"/>
      <c r="HFZ1100"/>
      <c r="HGC1100"/>
      <c r="HGD1100"/>
      <c r="HGG1100"/>
      <c r="HGH1100"/>
      <c r="HGK1100"/>
      <c r="HGL1100"/>
      <c r="HGO1100"/>
      <c r="HGP1100"/>
      <c r="HGS1100"/>
      <c r="HGT1100"/>
      <c r="HGW1100"/>
      <c r="HGX1100"/>
      <c r="HHA1100"/>
      <c r="HHB1100"/>
      <c r="HHE1100"/>
      <c r="HHF1100"/>
      <c r="HHI1100"/>
      <c r="HHJ1100"/>
      <c r="HHM1100"/>
      <c r="HHN1100"/>
      <c r="HHQ1100"/>
      <c r="HHR1100"/>
      <c r="HHU1100"/>
      <c r="HHV1100"/>
      <c r="HHY1100"/>
      <c r="HHZ1100"/>
      <c r="HIC1100"/>
      <c r="HID1100"/>
      <c r="HIG1100"/>
      <c r="HIH1100"/>
      <c r="HIK1100"/>
      <c r="HIL1100"/>
      <c r="HIO1100"/>
      <c r="HIP1100"/>
      <c r="HIS1100"/>
      <c r="HIT1100"/>
      <c r="HIW1100"/>
      <c r="HIX1100"/>
      <c r="HJA1100"/>
      <c r="HJB1100"/>
      <c r="HJE1100"/>
      <c r="HJF1100"/>
      <c r="HJI1100"/>
      <c r="HJJ1100"/>
      <c r="HJM1100"/>
      <c r="HJN1100"/>
      <c r="HJQ1100"/>
      <c r="HJR1100"/>
      <c r="HJU1100"/>
      <c r="HJV1100"/>
      <c r="HJY1100"/>
      <c r="HJZ1100"/>
      <c r="HKC1100"/>
      <c r="HKD1100"/>
      <c r="HKG1100"/>
      <c r="HKH1100"/>
      <c r="HKK1100"/>
      <c r="HKL1100"/>
      <c r="HKO1100"/>
      <c r="HKP1100"/>
      <c r="HKS1100"/>
      <c r="HKT1100"/>
      <c r="HKW1100"/>
      <c r="HKX1100"/>
      <c r="HLA1100"/>
      <c r="HLB1100"/>
      <c r="HLE1100"/>
      <c r="HLF1100"/>
      <c r="HLI1100"/>
      <c r="HLJ1100"/>
      <c r="HLM1100"/>
      <c r="HLN1100"/>
      <c r="HLQ1100"/>
      <c r="HLR1100"/>
      <c r="HLU1100"/>
      <c r="HLV1100"/>
      <c r="HLY1100"/>
      <c r="HLZ1100"/>
      <c r="HMC1100"/>
      <c r="HMD1100"/>
      <c r="HMG1100"/>
      <c r="HMH1100"/>
      <c r="HMK1100"/>
      <c r="HML1100"/>
      <c r="HMO1100"/>
      <c r="HMP1100"/>
      <c r="HMS1100"/>
      <c r="HMT1100"/>
      <c r="HMW1100"/>
      <c r="HMX1100"/>
      <c r="HNA1100"/>
      <c r="HNB1100"/>
      <c r="HNE1100"/>
      <c r="HNF1100"/>
      <c r="HNI1100"/>
      <c r="HNJ1100"/>
      <c r="HNM1100"/>
      <c r="HNN1100"/>
      <c r="HNQ1100"/>
      <c r="HNR1100"/>
      <c r="HNU1100"/>
      <c r="HNV1100"/>
      <c r="HNY1100"/>
      <c r="HNZ1100"/>
      <c r="HOC1100"/>
      <c r="HOD1100"/>
      <c r="HOG1100"/>
      <c r="HOH1100"/>
      <c r="HOK1100"/>
      <c r="HOL1100"/>
      <c r="HOO1100"/>
      <c r="HOP1100"/>
      <c r="HOS1100"/>
      <c r="HOT1100"/>
      <c r="HOW1100"/>
      <c r="HOX1100"/>
      <c r="HPA1100"/>
      <c r="HPB1100"/>
      <c r="HPE1100"/>
      <c r="HPF1100"/>
      <c r="HPI1100"/>
      <c r="HPJ1100"/>
      <c r="HPM1100"/>
      <c r="HPN1100"/>
      <c r="HPQ1100"/>
      <c r="HPR1100"/>
      <c r="HPU1100"/>
      <c r="HPV1100"/>
      <c r="HPY1100"/>
      <c r="HPZ1100"/>
      <c r="HQC1100"/>
      <c r="HQD1100"/>
      <c r="HQG1100"/>
      <c r="HQH1100"/>
      <c r="HQK1100"/>
      <c r="HQL1100"/>
      <c r="HQO1100"/>
      <c r="HQP1100"/>
      <c r="HQS1100"/>
      <c r="HQT1100"/>
      <c r="HQW1100"/>
      <c r="HQX1100"/>
      <c r="HRA1100"/>
      <c r="HRB1100"/>
      <c r="HRE1100"/>
      <c r="HRF1100"/>
      <c r="HRI1100"/>
      <c r="HRJ1100"/>
      <c r="HRM1100"/>
      <c r="HRN1100"/>
      <c r="HRQ1100"/>
      <c r="HRR1100"/>
      <c r="HRU1100"/>
      <c r="HRV1100"/>
      <c r="HRY1100"/>
      <c r="HRZ1100"/>
      <c r="HSC1100"/>
      <c r="HSD1100"/>
      <c r="HSG1100"/>
      <c r="HSH1100"/>
      <c r="HSK1100"/>
      <c r="HSL1100"/>
      <c r="HSO1100"/>
      <c r="HSP1100"/>
      <c r="HSS1100"/>
      <c r="HST1100"/>
      <c r="HSW1100"/>
      <c r="HSX1100"/>
      <c r="HTA1100"/>
      <c r="HTB1100"/>
      <c r="HTE1100"/>
      <c r="HTF1100"/>
      <c r="HTI1100"/>
      <c r="HTJ1100"/>
      <c r="HTM1100"/>
      <c r="HTN1100"/>
      <c r="HTQ1100"/>
      <c r="HTR1100"/>
      <c r="HTU1100"/>
      <c r="HTV1100"/>
      <c r="HTY1100"/>
      <c r="HTZ1100"/>
      <c r="HUC1100"/>
      <c r="HUD1100"/>
      <c r="HUG1100"/>
      <c r="HUH1100"/>
      <c r="HUK1100"/>
      <c r="HUL1100"/>
      <c r="HUO1100"/>
      <c r="HUP1100"/>
      <c r="HUS1100"/>
      <c r="HUT1100"/>
      <c r="HUW1100"/>
      <c r="HUX1100"/>
      <c r="HVA1100"/>
      <c r="HVB1100"/>
      <c r="HVE1100"/>
      <c r="HVF1100"/>
      <c r="HVI1100"/>
      <c r="HVJ1100"/>
      <c r="HVM1100"/>
      <c r="HVN1100"/>
      <c r="HVQ1100"/>
      <c r="HVR1100"/>
      <c r="HVU1100"/>
      <c r="HVV1100"/>
      <c r="HVY1100"/>
      <c r="HVZ1100"/>
      <c r="HWC1100"/>
      <c r="HWD1100"/>
      <c r="HWG1100"/>
      <c r="HWH1100"/>
      <c r="HWK1100"/>
      <c r="HWL1100"/>
      <c r="HWO1100"/>
      <c r="HWP1100"/>
      <c r="HWS1100"/>
      <c r="HWT1100"/>
      <c r="HWW1100"/>
      <c r="HWX1100"/>
      <c r="HXA1100"/>
      <c r="HXB1100"/>
      <c r="HXE1100"/>
      <c r="HXF1100"/>
      <c r="HXI1100"/>
      <c r="HXJ1100"/>
      <c r="HXM1100"/>
      <c r="HXN1100"/>
      <c r="HXQ1100"/>
      <c r="HXR1100"/>
      <c r="HXU1100"/>
      <c r="HXV1100"/>
      <c r="HXY1100"/>
      <c r="HXZ1100"/>
      <c r="HYC1100"/>
      <c r="HYD1100"/>
      <c r="HYG1100"/>
      <c r="HYH1100"/>
      <c r="HYK1100"/>
      <c r="HYL1100"/>
      <c r="HYO1100"/>
      <c r="HYP1100"/>
      <c r="HYS1100"/>
      <c r="HYT1100"/>
      <c r="HYW1100"/>
      <c r="HYX1100"/>
      <c r="HZA1100"/>
      <c r="HZB1100"/>
      <c r="HZE1100"/>
      <c r="HZF1100"/>
      <c r="HZI1100"/>
      <c r="HZJ1100"/>
      <c r="HZM1100"/>
      <c r="HZN1100"/>
      <c r="HZQ1100"/>
      <c r="HZR1100"/>
      <c r="HZU1100"/>
      <c r="HZV1100"/>
      <c r="HZY1100"/>
      <c r="HZZ1100"/>
      <c r="IAC1100"/>
      <c r="IAD1100"/>
      <c r="IAG1100"/>
      <c r="IAH1100"/>
      <c r="IAK1100"/>
      <c r="IAL1100"/>
      <c r="IAO1100"/>
      <c r="IAP1100"/>
      <c r="IAS1100"/>
      <c r="IAT1100"/>
      <c r="IAW1100"/>
      <c r="IAX1100"/>
      <c r="IBA1100"/>
      <c r="IBB1100"/>
      <c r="IBE1100"/>
      <c r="IBF1100"/>
      <c r="IBI1100"/>
      <c r="IBJ1100"/>
      <c r="IBM1100"/>
      <c r="IBN1100"/>
      <c r="IBQ1100"/>
      <c r="IBR1100"/>
      <c r="IBU1100"/>
      <c r="IBV1100"/>
      <c r="IBY1100"/>
      <c r="IBZ1100"/>
      <c r="ICC1100"/>
      <c r="ICD1100"/>
      <c r="ICG1100"/>
      <c r="ICH1100"/>
      <c r="ICK1100"/>
      <c r="ICL1100"/>
      <c r="ICO1100"/>
      <c r="ICP1100"/>
      <c r="ICS1100"/>
      <c r="ICT1100"/>
      <c r="ICW1100"/>
      <c r="ICX1100"/>
      <c r="IDA1100"/>
      <c r="IDB1100"/>
      <c r="IDE1100"/>
      <c r="IDF1100"/>
      <c r="IDI1100"/>
      <c r="IDJ1100"/>
      <c r="IDM1100"/>
      <c r="IDN1100"/>
      <c r="IDQ1100"/>
      <c r="IDR1100"/>
      <c r="IDU1100"/>
      <c r="IDV1100"/>
      <c r="IDY1100"/>
      <c r="IDZ1100"/>
      <c r="IEC1100"/>
      <c r="IED1100"/>
      <c r="IEG1100"/>
      <c r="IEH1100"/>
      <c r="IEK1100"/>
      <c r="IEL1100"/>
      <c r="IEO1100"/>
      <c r="IEP1100"/>
      <c r="IES1100"/>
      <c r="IET1100"/>
      <c r="IEW1100"/>
      <c r="IEX1100"/>
      <c r="IFA1100"/>
      <c r="IFB1100"/>
      <c r="IFE1100"/>
      <c r="IFF1100"/>
      <c r="IFI1100"/>
      <c r="IFJ1100"/>
      <c r="IFM1100"/>
      <c r="IFN1100"/>
      <c r="IFQ1100"/>
      <c r="IFR1100"/>
      <c r="IFU1100"/>
      <c r="IFV1100"/>
      <c r="IFY1100"/>
      <c r="IFZ1100"/>
      <c r="IGC1100"/>
      <c r="IGD1100"/>
      <c r="IGG1100"/>
      <c r="IGH1100"/>
      <c r="IGK1100"/>
      <c r="IGL1100"/>
      <c r="IGO1100"/>
      <c r="IGP1100"/>
      <c r="IGS1100"/>
      <c r="IGT1100"/>
      <c r="IGW1100"/>
      <c r="IGX1100"/>
      <c r="IHA1100"/>
      <c r="IHB1100"/>
      <c r="IHE1100"/>
      <c r="IHF1100"/>
      <c r="IHI1100"/>
      <c r="IHJ1100"/>
      <c r="IHM1100"/>
      <c r="IHN1100"/>
      <c r="IHQ1100"/>
      <c r="IHR1100"/>
      <c r="IHU1100"/>
      <c r="IHV1100"/>
      <c r="IHY1100"/>
      <c r="IHZ1100"/>
      <c r="IIC1100"/>
      <c r="IID1100"/>
      <c r="IIG1100"/>
      <c r="IIH1100"/>
      <c r="IIK1100"/>
      <c r="IIL1100"/>
      <c r="IIO1100"/>
      <c r="IIP1100"/>
      <c r="IIS1100"/>
      <c r="IIT1100"/>
      <c r="IIW1100"/>
      <c r="IIX1100"/>
      <c r="IJA1100"/>
      <c r="IJB1100"/>
      <c r="IJE1100"/>
      <c r="IJF1100"/>
      <c r="IJI1100"/>
      <c r="IJJ1100"/>
      <c r="IJM1100"/>
      <c r="IJN1100"/>
      <c r="IJQ1100"/>
      <c r="IJR1100"/>
      <c r="IJU1100"/>
      <c r="IJV1100"/>
      <c r="IJY1100"/>
      <c r="IJZ1100"/>
      <c r="IKC1100"/>
      <c r="IKD1100"/>
      <c r="IKG1100"/>
      <c r="IKH1100"/>
      <c r="IKK1100"/>
      <c r="IKL1100"/>
      <c r="IKO1100"/>
      <c r="IKP1100"/>
      <c r="IKS1100"/>
      <c r="IKT1100"/>
      <c r="IKW1100"/>
      <c r="IKX1100"/>
      <c r="ILA1100"/>
      <c r="ILB1100"/>
      <c r="ILE1100"/>
      <c r="ILF1100"/>
      <c r="ILI1100"/>
      <c r="ILJ1100"/>
      <c r="ILM1100"/>
      <c r="ILN1100"/>
      <c r="ILQ1100"/>
      <c r="ILR1100"/>
      <c r="ILU1100"/>
      <c r="ILV1100"/>
      <c r="ILY1100"/>
      <c r="ILZ1100"/>
      <c r="IMC1100"/>
      <c r="IMD1100"/>
      <c r="IMG1100"/>
      <c r="IMH1100"/>
      <c r="IMK1100"/>
      <c r="IML1100"/>
      <c r="IMO1100"/>
      <c r="IMP1100"/>
      <c r="IMS1100"/>
      <c r="IMT1100"/>
      <c r="IMW1100"/>
      <c r="IMX1100"/>
      <c r="INA1100"/>
      <c r="INB1100"/>
      <c r="INE1100"/>
      <c r="INF1100"/>
      <c r="INI1100"/>
      <c r="INJ1100"/>
      <c r="INM1100"/>
      <c r="INN1100"/>
      <c r="INQ1100"/>
      <c r="INR1100"/>
      <c r="INU1100"/>
      <c r="INV1100"/>
      <c r="INY1100"/>
      <c r="INZ1100"/>
      <c r="IOC1100"/>
      <c r="IOD1100"/>
      <c r="IOG1100"/>
      <c r="IOH1100"/>
      <c r="IOK1100"/>
      <c r="IOL1100"/>
      <c r="IOO1100"/>
      <c r="IOP1100"/>
      <c r="IOS1100"/>
      <c r="IOT1100"/>
      <c r="IOW1100"/>
      <c r="IOX1100"/>
      <c r="IPA1100"/>
      <c r="IPB1100"/>
      <c r="IPE1100"/>
      <c r="IPF1100"/>
      <c r="IPI1100"/>
      <c r="IPJ1100"/>
      <c r="IPM1100"/>
      <c r="IPN1100"/>
      <c r="IPQ1100"/>
      <c r="IPR1100"/>
      <c r="IPU1100"/>
      <c r="IPV1100"/>
      <c r="IPY1100"/>
      <c r="IPZ1100"/>
      <c r="IQC1100"/>
      <c r="IQD1100"/>
      <c r="IQG1100"/>
      <c r="IQH1100"/>
      <c r="IQK1100"/>
      <c r="IQL1100"/>
      <c r="IQO1100"/>
      <c r="IQP1100"/>
      <c r="IQS1100"/>
      <c r="IQT1100"/>
      <c r="IQW1100"/>
      <c r="IQX1100"/>
      <c r="IRA1100"/>
      <c r="IRB1100"/>
      <c r="IRE1100"/>
      <c r="IRF1100"/>
      <c r="IRI1100"/>
      <c r="IRJ1100"/>
      <c r="IRM1100"/>
      <c r="IRN1100"/>
      <c r="IRQ1100"/>
      <c r="IRR1100"/>
      <c r="IRU1100"/>
      <c r="IRV1100"/>
      <c r="IRY1100"/>
      <c r="IRZ1100"/>
      <c r="ISC1100"/>
      <c r="ISD1100"/>
      <c r="ISG1100"/>
      <c r="ISH1100"/>
      <c r="ISK1100"/>
      <c r="ISL1100"/>
      <c r="ISO1100"/>
      <c r="ISP1100"/>
      <c r="ISS1100"/>
      <c r="IST1100"/>
      <c r="ISW1100"/>
      <c r="ISX1100"/>
      <c r="ITA1100"/>
      <c r="ITB1100"/>
      <c r="ITE1100"/>
      <c r="ITF1100"/>
      <c r="ITI1100"/>
      <c r="ITJ1100"/>
      <c r="ITM1100"/>
      <c r="ITN1100"/>
      <c r="ITQ1100"/>
      <c r="ITR1100"/>
      <c r="ITU1100"/>
      <c r="ITV1100"/>
      <c r="ITY1100"/>
      <c r="ITZ1100"/>
      <c r="IUC1100"/>
      <c r="IUD1100"/>
      <c r="IUG1100"/>
      <c r="IUH1100"/>
      <c r="IUK1100"/>
      <c r="IUL1100"/>
      <c r="IUO1100"/>
      <c r="IUP1100"/>
      <c r="IUS1100"/>
      <c r="IUT1100"/>
      <c r="IUW1100"/>
      <c r="IUX1100"/>
      <c r="IVA1100"/>
      <c r="IVB1100"/>
      <c r="IVE1100"/>
      <c r="IVF1100"/>
      <c r="IVI1100"/>
      <c r="IVJ1100"/>
      <c r="IVM1100"/>
      <c r="IVN1100"/>
      <c r="IVQ1100"/>
      <c r="IVR1100"/>
      <c r="IVU1100"/>
      <c r="IVV1100"/>
      <c r="IVY1100"/>
      <c r="IVZ1100"/>
      <c r="IWC1100"/>
      <c r="IWD1100"/>
      <c r="IWG1100"/>
      <c r="IWH1100"/>
      <c r="IWK1100"/>
      <c r="IWL1100"/>
      <c r="IWO1100"/>
      <c r="IWP1100"/>
      <c r="IWS1100"/>
      <c r="IWT1100"/>
      <c r="IWW1100"/>
      <c r="IWX1100"/>
      <c r="IXA1100"/>
      <c r="IXB1100"/>
      <c r="IXE1100"/>
      <c r="IXF1100"/>
      <c r="IXI1100"/>
      <c r="IXJ1100"/>
      <c r="IXM1100"/>
      <c r="IXN1100"/>
      <c r="IXQ1100"/>
      <c r="IXR1100"/>
      <c r="IXU1100"/>
      <c r="IXV1100"/>
      <c r="IXY1100"/>
      <c r="IXZ1100"/>
      <c r="IYC1100"/>
      <c r="IYD1100"/>
      <c r="IYG1100"/>
      <c r="IYH1100"/>
      <c r="IYK1100"/>
      <c r="IYL1100"/>
      <c r="IYO1100"/>
      <c r="IYP1100"/>
      <c r="IYS1100"/>
      <c r="IYT1100"/>
      <c r="IYW1100"/>
      <c r="IYX1100"/>
      <c r="IZA1100"/>
      <c r="IZB1100"/>
      <c r="IZE1100"/>
      <c r="IZF1100"/>
      <c r="IZI1100"/>
      <c r="IZJ1100"/>
      <c r="IZM1100"/>
      <c r="IZN1100"/>
      <c r="IZQ1100"/>
      <c r="IZR1100"/>
      <c r="IZU1100"/>
      <c r="IZV1100"/>
      <c r="IZY1100"/>
      <c r="IZZ1100"/>
      <c r="JAC1100"/>
      <c r="JAD1100"/>
      <c r="JAG1100"/>
      <c r="JAH1100"/>
      <c r="JAK1100"/>
      <c r="JAL1100"/>
      <c r="JAO1100"/>
      <c r="JAP1100"/>
      <c r="JAS1100"/>
      <c r="JAT1100"/>
      <c r="JAW1100"/>
      <c r="JAX1100"/>
      <c r="JBA1100"/>
      <c r="JBB1100"/>
      <c r="JBE1100"/>
      <c r="JBF1100"/>
      <c r="JBI1100"/>
      <c r="JBJ1100"/>
      <c r="JBM1100"/>
      <c r="JBN1100"/>
      <c r="JBQ1100"/>
      <c r="JBR1100"/>
      <c r="JBU1100"/>
      <c r="JBV1100"/>
      <c r="JBY1100"/>
      <c r="JBZ1100"/>
      <c r="JCC1100"/>
      <c r="JCD1100"/>
      <c r="JCG1100"/>
      <c r="JCH1100"/>
      <c r="JCK1100"/>
      <c r="JCL1100"/>
      <c r="JCO1100"/>
      <c r="JCP1100"/>
      <c r="JCS1100"/>
      <c r="JCT1100"/>
      <c r="JCW1100"/>
      <c r="JCX1100"/>
      <c r="JDA1100"/>
      <c r="JDB1100"/>
      <c r="JDE1100"/>
      <c r="JDF1100"/>
      <c r="JDI1100"/>
      <c r="JDJ1100"/>
      <c r="JDM1100"/>
      <c r="JDN1100"/>
      <c r="JDQ1100"/>
      <c r="JDR1100"/>
      <c r="JDU1100"/>
      <c r="JDV1100"/>
      <c r="JDY1100"/>
      <c r="JDZ1100"/>
      <c r="JEC1100"/>
      <c r="JED1100"/>
      <c r="JEG1100"/>
      <c r="JEH1100"/>
      <c r="JEK1100"/>
      <c r="JEL1100"/>
      <c r="JEO1100"/>
      <c r="JEP1100"/>
      <c r="JES1100"/>
      <c r="JET1100"/>
      <c r="JEW1100"/>
      <c r="JEX1100"/>
      <c r="JFA1100"/>
      <c r="JFB1100"/>
      <c r="JFE1100"/>
      <c r="JFF1100"/>
      <c r="JFI1100"/>
      <c r="JFJ1100"/>
      <c r="JFM1100"/>
      <c r="JFN1100"/>
      <c r="JFQ1100"/>
      <c r="JFR1100"/>
      <c r="JFU1100"/>
      <c r="JFV1100"/>
      <c r="JFY1100"/>
      <c r="JFZ1100"/>
      <c r="JGC1100"/>
      <c r="JGD1100"/>
      <c r="JGG1100"/>
      <c r="JGH1100"/>
      <c r="JGK1100"/>
      <c r="JGL1100"/>
      <c r="JGO1100"/>
      <c r="JGP1100"/>
      <c r="JGS1100"/>
      <c r="JGT1100"/>
      <c r="JGW1100"/>
      <c r="JGX1100"/>
      <c r="JHA1100"/>
      <c r="JHB1100"/>
      <c r="JHE1100"/>
      <c r="JHF1100"/>
      <c r="JHI1100"/>
      <c r="JHJ1100"/>
      <c r="JHM1100"/>
      <c r="JHN1100"/>
      <c r="JHQ1100"/>
      <c r="JHR1100"/>
      <c r="JHU1100"/>
      <c r="JHV1100"/>
      <c r="JHY1100"/>
      <c r="JHZ1100"/>
      <c r="JIC1100"/>
      <c r="JID1100"/>
      <c r="JIG1100"/>
      <c r="JIH1100"/>
      <c r="JIK1100"/>
      <c r="JIL1100"/>
      <c r="JIO1100"/>
      <c r="JIP1100"/>
      <c r="JIS1100"/>
      <c r="JIT1100"/>
      <c r="JIW1100"/>
      <c r="JIX1100"/>
      <c r="JJA1100"/>
      <c r="JJB1100"/>
      <c r="JJE1100"/>
      <c r="JJF1100"/>
      <c r="JJI1100"/>
      <c r="JJJ1100"/>
      <c r="JJM1100"/>
      <c r="JJN1100"/>
      <c r="JJQ1100"/>
      <c r="JJR1100"/>
      <c r="JJU1100"/>
      <c r="JJV1100"/>
      <c r="JJY1100"/>
      <c r="JJZ1100"/>
      <c r="JKC1100"/>
      <c r="JKD1100"/>
      <c r="JKG1100"/>
      <c r="JKH1100"/>
      <c r="JKK1100"/>
      <c r="JKL1100"/>
      <c r="JKO1100"/>
      <c r="JKP1100"/>
      <c r="JKS1100"/>
      <c r="JKT1100"/>
      <c r="JKW1100"/>
      <c r="JKX1100"/>
      <c r="JLA1100"/>
      <c r="JLB1100"/>
      <c r="JLE1100"/>
      <c r="JLF1100"/>
      <c r="JLI1100"/>
      <c r="JLJ1100"/>
      <c r="JLM1100"/>
      <c r="JLN1100"/>
      <c r="JLQ1100"/>
      <c r="JLR1100"/>
      <c r="JLU1100"/>
      <c r="JLV1100"/>
      <c r="JLY1100"/>
      <c r="JLZ1100"/>
      <c r="JMC1100"/>
      <c r="JMD1100"/>
      <c r="JMG1100"/>
      <c r="JMH1100"/>
      <c r="JMK1100"/>
      <c r="JML1100"/>
      <c r="JMO1100"/>
      <c r="JMP1100"/>
      <c r="JMS1100"/>
      <c r="JMT1100"/>
      <c r="JMW1100"/>
      <c r="JMX1100"/>
      <c r="JNA1100"/>
      <c r="JNB1100"/>
      <c r="JNE1100"/>
      <c r="JNF1100"/>
      <c r="JNI1100"/>
      <c r="JNJ1100"/>
      <c r="JNM1100"/>
      <c r="JNN1100"/>
      <c r="JNQ1100"/>
      <c r="JNR1100"/>
      <c r="JNU1100"/>
      <c r="JNV1100"/>
      <c r="JNY1100"/>
      <c r="JNZ1100"/>
      <c r="JOC1100"/>
      <c r="JOD1100"/>
      <c r="JOG1100"/>
      <c r="JOH1100"/>
      <c r="JOK1100"/>
      <c r="JOL1100"/>
      <c r="JOO1100"/>
      <c r="JOP1100"/>
      <c r="JOS1100"/>
      <c r="JOT1100"/>
      <c r="JOW1100"/>
      <c r="JOX1100"/>
      <c r="JPA1100"/>
      <c r="JPB1100"/>
      <c r="JPE1100"/>
      <c r="JPF1100"/>
      <c r="JPI1100"/>
      <c r="JPJ1100"/>
      <c r="JPM1100"/>
      <c r="JPN1100"/>
      <c r="JPQ1100"/>
      <c r="JPR1100"/>
      <c r="JPU1100"/>
      <c r="JPV1100"/>
      <c r="JPY1100"/>
      <c r="JPZ1100"/>
      <c r="JQC1100"/>
      <c r="JQD1100"/>
      <c r="JQG1100"/>
      <c r="JQH1100"/>
      <c r="JQK1100"/>
      <c r="JQL1100"/>
      <c r="JQO1100"/>
      <c r="JQP1100"/>
      <c r="JQS1100"/>
      <c r="JQT1100"/>
      <c r="JQW1100"/>
      <c r="JQX1100"/>
      <c r="JRA1100"/>
      <c r="JRB1100"/>
      <c r="JRE1100"/>
      <c r="JRF1100"/>
      <c r="JRI1100"/>
      <c r="JRJ1100"/>
      <c r="JRM1100"/>
      <c r="JRN1100"/>
      <c r="JRQ1100"/>
      <c r="JRR1100"/>
      <c r="JRU1100"/>
      <c r="JRV1100"/>
      <c r="JRY1100"/>
      <c r="JRZ1100"/>
      <c r="JSC1100"/>
      <c r="JSD1100"/>
      <c r="JSG1100"/>
      <c r="JSH1100"/>
      <c r="JSK1100"/>
      <c r="JSL1100"/>
      <c r="JSO1100"/>
      <c r="JSP1100"/>
      <c r="JSS1100"/>
      <c r="JST1100"/>
      <c r="JSW1100"/>
      <c r="JSX1100"/>
      <c r="JTA1100"/>
      <c r="JTB1100"/>
      <c r="JTE1100"/>
      <c r="JTF1100"/>
      <c r="JTI1100"/>
      <c r="JTJ1100"/>
      <c r="JTM1100"/>
      <c r="JTN1100"/>
      <c r="JTQ1100"/>
      <c r="JTR1100"/>
      <c r="JTU1100"/>
      <c r="JTV1100"/>
      <c r="JTY1100"/>
      <c r="JTZ1100"/>
      <c r="JUC1100"/>
      <c r="JUD1100"/>
      <c r="JUG1100"/>
      <c r="JUH1100"/>
      <c r="JUK1100"/>
      <c r="JUL1100"/>
      <c r="JUO1100"/>
      <c r="JUP1100"/>
      <c r="JUS1100"/>
      <c r="JUT1100"/>
      <c r="JUW1100"/>
      <c r="JUX1100"/>
      <c r="JVA1100"/>
      <c r="JVB1100"/>
      <c r="JVE1100"/>
      <c r="JVF1100"/>
      <c r="JVI1100"/>
      <c r="JVJ1100"/>
      <c r="JVM1100"/>
      <c r="JVN1100"/>
      <c r="JVQ1100"/>
      <c r="JVR1100"/>
      <c r="JVU1100"/>
      <c r="JVV1100"/>
      <c r="JVY1100"/>
      <c r="JVZ1100"/>
      <c r="JWC1100"/>
      <c r="JWD1100"/>
      <c r="JWG1100"/>
      <c r="JWH1100"/>
      <c r="JWK1100"/>
      <c r="JWL1100"/>
      <c r="JWO1100"/>
      <c r="JWP1100"/>
      <c r="JWS1100"/>
      <c r="JWT1100"/>
      <c r="JWW1100"/>
      <c r="JWX1100"/>
      <c r="JXA1100"/>
      <c r="JXB1100"/>
      <c r="JXE1100"/>
      <c r="JXF1100"/>
      <c r="JXI1100"/>
      <c r="JXJ1100"/>
      <c r="JXM1100"/>
      <c r="JXN1100"/>
      <c r="JXQ1100"/>
      <c r="JXR1100"/>
      <c r="JXU1100"/>
      <c r="JXV1100"/>
      <c r="JXY1100"/>
      <c r="JXZ1100"/>
      <c r="JYC1100"/>
      <c r="JYD1100"/>
      <c r="JYG1100"/>
      <c r="JYH1100"/>
      <c r="JYK1100"/>
      <c r="JYL1100"/>
      <c r="JYO1100"/>
      <c r="JYP1100"/>
      <c r="JYS1100"/>
      <c r="JYT1100"/>
      <c r="JYW1100"/>
      <c r="JYX1100"/>
      <c r="JZA1100"/>
      <c r="JZB1100"/>
      <c r="JZE1100"/>
      <c r="JZF1100"/>
      <c r="JZI1100"/>
      <c r="JZJ1100"/>
      <c r="JZM1100"/>
      <c r="JZN1100"/>
      <c r="JZQ1100"/>
      <c r="JZR1100"/>
      <c r="JZU1100"/>
      <c r="JZV1100"/>
      <c r="JZY1100"/>
      <c r="JZZ1100"/>
      <c r="KAC1100"/>
      <c r="KAD1100"/>
      <c r="KAG1100"/>
      <c r="KAH1100"/>
      <c r="KAK1100"/>
      <c r="KAL1100"/>
      <c r="KAO1100"/>
      <c r="KAP1100"/>
      <c r="KAS1100"/>
      <c r="KAT1100"/>
      <c r="KAW1100"/>
      <c r="KAX1100"/>
      <c r="KBA1100"/>
      <c r="KBB1100"/>
      <c r="KBE1100"/>
      <c r="KBF1100"/>
      <c r="KBI1100"/>
      <c r="KBJ1100"/>
      <c r="KBM1100"/>
      <c r="KBN1100"/>
      <c r="KBQ1100"/>
      <c r="KBR1100"/>
      <c r="KBU1100"/>
      <c r="KBV1100"/>
      <c r="KBY1100"/>
      <c r="KBZ1100"/>
      <c r="KCC1100"/>
      <c r="KCD1100"/>
      <c r="KCG1100"/>
      <c r="KCH1100"/>
      <c r="KCK1100"/>
      <c r="KCL1100"/>
      <c r="KCO1100"/>
      <c r="KCP1100"/>
      <c r="KCS1100"/>
      <c r="KCT1100"/>
      <c r="KCW1100"/>
      <c r="KCX1100"/>
      <c r="KDA1100"/>
      <c r="KDB1100"/>
      <c r="KDE1100"/>
      <c r="KDF1100"/>
      <c r="KDI1100"/>
      <c r="KDJ1100"/>
      <c r="KDM1100"/>
      <c r="KDN1100"/>
      <c r="KDQ1100"/>
      <c r="KDR1100"/>
      <c r="KDU1100"/>
      <c r="KDV1100"/>
      <c r="KDY1100"/>
      <c r="KDZ1100"/>
      <c r="KEC1100"/>
      <c r="KED1100"/>
      <c r="KEG1100"/>
      <c r="KEH1100"/>
      <c r="KEK1100"/>
      <c r="KEL1100"/>
      <c r="KEO1100"/>
      <c r="KEP1100"/>
      <c r="KES1100"/>
      <c r="KET1100"/>
      <c r="KEW1100"/>
      <c r="KEX1100"/>
      <c r="KFA1100"/>
      <c r="KFB1100"/>
      <c r="KFE1100"/>
      <c r="KFF1100"/>
      <c r="KFI1100"/>
      <c r="KFJ1100"/>
      <c r="KFM1100"/>
      <c r="KFN1100"/>
      <c r="KFQ1100"/>
      <c r="KFR1100"/>
      <c r="KFU1100"/>
      <c r="KFV1100"/>
      <c r="KFY1100"/>
      <c r="KFZ1100"/>
      <c r="KGC1100"/>
      <c r="KGD1100"/>
      <c r="KGG1100"/>
      <c r="KGH1100"/>
      <c r="KGK1100"/>
      <c r="KGL1100"/>
      <c r="KGO1100"/>
      <c r="KGP1100"/>
      <c r="KGS1100"/>
      <c r="KGT1100"/>
      <c r="KGW1100"/>
      <c r="KGX1100"/>
      <c r="KHA1100"/>
      <c r="KHB1100"/>
      <c r="KHE1100"/>
      <c r="KHF1100"/>
      <c r="KHI1100"/>
      <c r="KHJ1100"/>
      <c r="KHM1100"/>
      <c r="KHN1100"/>
      <c r="KHQ1100"/>
      <c r="KHR1100"/>
      <c r="KHU1100"/>
      <c r="KHV1100"/>
      <c r="KHY1100"/>
      <c r="KHZ1100"/>
      <c r="KIC1100"/>
      <c r="KID1100"/>
      <c r="KIG1100"/>
      <c r="KIH1100"/>
      <c r="KIK1100"/>
      <c r="KIL1100"/>
      <c r="KIO1100"/>
      <c r="KIP1100"/>
      <c r="KIS1100"/>
      <c r="KIT1100"/>
      <c r="KIW1100"/>
      <c r="KIX1100"/>
      <c r="KJA1100"/>
      <c r="KJB1100"/>
      <c r="KJE1100"/>
      <c r="KJF1100"/>
      <c r="KJI1100"/>
      <c r="KJJ1100"/>
      <c r="KJM1100"/>
      <c r="KJN1100"/>
      <c r="KJQ1100"/>
      <c r="KJR1100"/>
      <c r="KJU1100"/>
      <c r="KJV1100"/>
      <c r="KJY1100"/>
      <c r="KJZ1100"/>
      <c r="KKC1100"/>
      <c r="KKD1100"/>
      <c r="KKG1100"/>
      <c r="KKH1100"/>
      <c r="KKK1100"/>
      <c r="KKL1100"/>
      <c r="KKO1100"/>
      <c r="KKP1100"/>
      <c r="KKS1100"/>
      <c r="KKT1100"/>
      <c r="KKW1100"/>
      <c r="KKX1100"/>
      <c r="KLA1100"/>
      <c r="KLB1100"/>
      <c r="KLE1100"/>
      <c r="KLF1100"/>
      <c r="KLI1100"/>
      <c r="KLJ1100"/>
      <c r="KLM1100"/>
      <c r="KLN1100"/>
      <c r="KLQ1100"/>
      <c r="KLR1100"/>
      <c r="KLU1100"/>
      <c r="KLV1100"/>
      <c r="KLY1100"/>
      <c r="KLZ1100"/>
      <c r="KMC1100"/>
      <c r="KMD1100"/>
      <c r="KMG1100"/>
      <c r="KMH1100"/>
      <c r="KMK1100"/>
      <c r="KML1100"/>
      <c r="KMO1100"/>
      <c r="KMP1100"/>
      <c r="KMS1100"/>
      <c r="KMT1100"/>
      <c r="KMW1100"/>
      <c r="KMX1100"/>
      <c r="KNA1100"/>
      <c r="KNB1100"/>
      <c r="KNE1100"/>
      <c r="KNF1100"/>
      <c r="KNI1100"/>
      <c r="KNJ1100"/>
      <c r="KNM1100"/>
      <c r="KNN1100"/>
      <c r="KNQ1100"/>
      <c r="KNR1100"/>
      <c r="KNU1100"/>
      <c r="KNV1100"/>
      <c r="KNY1100"/>
      <c r="KNZ1100"/>
      <c r="KOC1100"/>
      <c r="KOD1100"/>
      <c r="KOG1100"/>
      <c r="KOH1100"/>
      <c r="KOK1100"/>
      <c r="KOL1100"/>
      <c r="KOO1100"/>
      <c r="KOP1100"/>
      <c r="KOS1100"/>
      <c r="KOT1100"/>
      <c r="KOW1100"/>
      <c r="KOX1100"/>
      <c r="KPA1100"/>
      <c r="KPB1100"/>
      <c r="KPE1100"/>
      <c r="KPF1100"/>
      <c r="KPI1100"/>
      <c r="KPJ1100"/>
      <c r="KPM1100"/>
      <c r="KPN1100"/>
      <c r="KPQ1100"/>
      <c r="KPR1100"/>
      <c r="KPU1100"/>
      <c r="KPV1100"/>
      <c r="KPY1100"/>
      <c r="KPZ1100"/>
      <c r="KQC1100"/>
      <c r="KQD1100"/>
      <c r="KQG1100"/>
      <c r="KQH1100"/>
      <c r="KQK1100"/>
      <c r="KQL1100"/>
      <c r="KQO1100"/>
      <c r="KQP1100"/>
      <c r="KQS1100"/>
      <c r="KQT1100"/>
      <c r="KQW1100"/>
      <c r="KQX1100"/>
      <c r="KRA1100"/>
      <c r="KRB1100"/>
      <c r="KRE1100"/>
      <c r="KRF1100"/>
      <c r="KRI1100"/>
      <c r="KRJ1100"/>
      <c r="KRM1100"/>
      <c r="KRN1100"/>
      <c r="KRQ1100"/>
      <c r="KRR1100"/>
      <c r="KRU1100"/>
      <c r="KRV1100"/>
      <c r="KRY1100"/>
      <c r="KRZ1100"/>
      <c r="KSC1100"/>
      <c r="KSD1100"/>
      <c r="KSG1100"/>
      <c r="KSH1100"/>
      <c r="KSK1100"/>
      <c r="KSL1100"/>
      <c r="KSO1100"/>
      <c r="KSP1100"/>
      <c r="KSS1100"/>
      <c r="KST1100"/>
      <c r="KSW1100"/>
      <c r="KSX1100"/>
      <c r="KTA1100"/>
      <c r="KTB1100"/>
      <c r="KTE1100"/>
      <c r="KTF1100"/>
      <c r="KTI1100"/>
      <c r="KTJ1100"/>
      <c r="KTM1100"/>
      <c r="KTN1100"/>
      <c r="KTQ1100"/>
      <c r="KTR1100"/>
      <c r="KTU1100"/>
      <c r="KTV1100"/>
      <c r="KTY1100"/>
      <c r="KTZ1100"/>
      <c r="KUC1100"/>
      <c r="KUD1100"/>
      <c r="KUG1100"/>
      <c r="KUH1100"/>
      <c r="KUK1100"/>
      <c r="KUL1100"/>
      <c r="KUO1100"/>
      <c r="KUP1100"/>
      <c r="KUS1100"/>
      <c r="KUT1100"/>
      <c r="KUW1100"/>
      <c r="KUX1100"/>
      <c r="KVA1100"/>
      <c r="KVB1100"/>
      <c r="KVE1100"/>
      <c r="KVF1100"/>
      <c r="KVI1100"/>
      <c r="KVJ1100"/>
      <c r="KVM1100"/>
      <c r="KVN1100"/>
      <c r="KVQ1100"/>
      <c r="KVR1100"/>
      <c r="KVU1100"/>
      <c r="KVV1100"/>
      <c r="KVY1100"/>
      <c r="KVZ1100"/>
      <c r="KWC1100"/>
      <c r="KWD1100"/>
      <c r="KWG1100"/>
      <c r="KWH1100"/>
      <c r="KWK1100"/>
      <c r="KWL1100"/>
      <c r="KWO1100"/>
      <c r="KWP1100"/>
      <c r="KWS1100"/>
      <c r="KWT1100"/>
      <c r="KWW1100"/>
      <c r="KWX1100"/>
      <c r="KXA1100"/>
      <c r="KXB1100"/>
      <c r="KXE1100"/>
      <c r="KXF1100"/>
      <c r="KXI1100"/>
      <c r="KXJ1100"/>
      <c r="KXM1100"/>
      <c r="KXN1100"/>
      <c r="KXQ1100"/>
      <c r="KXR1100"/>
      <c r="KXU1100"/>
      <c r="KXV1100"/>
      <c r="KXY1100"/>
      <c r="KXZ1100"/>
      <c r="KYC1100"/>
      <c r="KYD1100"/>
      <c r="KYG1100"/>
      <c r="KYH1100"/>
      <c r="KYK1100"/>
      <c r="KYL1100"/>
      <c r="KYO1100"/>
      <c r="KYP1100"/>
      <c r="KYS1100"/>
      <c r="KYT1100"/>
      <c r="KYW1100"/>
      <c r="KYX1100"/>
      <c r="KZA1100"/>
      <c r="KZB1100"/>
      <c r="KZE1100"/>
      <c r="KZF1100"/>
      <c r="KZI1100"/>
      <c r="KZJ1100"/>
      <c r="KZM1100"/>
      <c r="KZN1100"/>
      <c r="KZQ1100"/>
      <c r="KZR1100"/>
      <c r="KZU1100"/>
      <c r="KZV1100"/>
      <c r="KZY1100"/>
      <c r="KZZ1100"/>
      <c r="LAC1100"/>
      <c r="LAD1100"/>
      <c r="LAG1100"/>
      <c r="LAH1100"/>
      <c r="LAK1100"/>
      <c r="LAL1100"/>
      <c r="LAO1100"/>
      <c r="LAP1100"/>
      <c r="LAS1100"/>
      <c r="LAT1100"/>
      <c r="LAW1100"/>
      <c r="LAX1100"/>
      <c r="LBA1100"/>
      <c r="LBB1100"/>
      <c r="LBE1100"/>
      <c r="LBF1100"/>
      <c r="LBI1100"/>
      <c r="LBJ1100"/>
      <c r="LBM1100"/>
      <c r="LBN1100"/>
      <c r="LBQ1100"/>
      <c r="LBR1100"/>
      <c r="LBU1100"/>
      <c r="LBV1100"/>
      <c r="LBY1100"/>
      <c r="LBZ1100"/>
      <c r="LCC1100"/>
      <c r="LCD1100"/>
      <c r="LCG1100"/>
      <c r="LCH1100"/>
      <c r="LCK1100"/>
      <c r="LCL1100"/>
      <c r="LCO1100"/>
      <c r="LCP1100"/>
      <c r="LCS1100"/>
      <c r="LCT1100"/>
      <c r="LCW1100"/>
      <c r="LCX1100"/>
      <c r="LDA1100"/>
      <c r="LDB1100"/>
      <c r="LDE1100"/>
      <c r="LDF1100"/>
      <c r="LDI1100"/>
      <c r="LDJ1100"/>
      <c r="LDM1100"/>
      <c r="LDN1100"/>
      <c r="LDQ1100"/>
      <c r="LDR1100"/>
      <c r="LDU1100"/>
      <c r="LDV1100"/>
      <c r="LDY1100"/>
      <c r="LDZ1100"/>
      <c r="LEC1100"/>
      <c r="LED1100"/>
      <c r="LEG1100"/>
      <c r="LEH1100"/>
      <c r="LEK1100"/>
      <c r="LEL1100"/>
      <c r="LEO1100"/>
      <c r="LEP1100"/>
      <c r="LES1100"/>
      <c r="LET1100"/>
      <c r="LEW1100"/>
      <c r="LEX1100"/>
      <c r="LFA1100"/>
      <c r="LFB1100"/>
      <c r="LFE1100"/>
      <c r="LFF1100"/>
      <c r="LFI1100"/>
      <c r="LFJ1100"/>
      <c r="LFM1100"/>
      <c r="LFN1100"/>
      <c r="LFQ1100"/>
      <c r="LFR1100"/>
      <c r="LFU1100"/>
      <c r="LFV1100"/>
      <c r="LFY1100"/>
      <c r="LFZ1100"/>
      <c r="LGC1100"/>
      <c r="LGD1100"/>
      <c r="LGG1100"/>
      <c r="LGH1100"/>
      <c r="LGK1100"/>
      <c r="LGL1100"/>
      <c r="LGO1100"/>
      <c r="LGP1100"/>
      <c r="LGS1100"/>
      <c r="LGT1100"/>
      <c r="LGW1100"/>
      <c r="LGX1100"/>
      <c r="LHA1100"/>
      <c r="LHB1100"/>
      <c r="LHE1100"/>
      <c r="LHF1100"/>
      <c r="LHI1100"/>
      <c r="LHJ1100"/>
      <c r="LHM1100"/>
      <c r="LHN1100"/>
      <c r="LHQ1100"/>
      <c r="LHR1100"/>
      <c r="LHU1100"/>
      <c r="LHV1100"/>
      <c r="LHY1100"/>
      <c r="LHZ1100"/>
      <c r="LIC1100"/>
      <c r="LID1100"/>
      <c r="LIG1100"/>
      <c r="LIH1100"/>
      <c r="LIK1100"/>
      <c r="LIL1100"/>
      <c r="LIO1100"/>
      <c r="LIP1100"/>
      <c r="LIS1100"/>
      <c r="LIT1100"/>
      <c r="LIW1100"/>
      <c r="LIX1100"/>
      <c r="LJA1100"/>
      <c r="LJB1100"/>
      <c r="LJE1100"/>
      <c r="LJF1100"/>
      <c r="LJI1100"/>
      <c r="LJJ1100"/>
      <c r="LJM1100"/>
      <c r="LJN1100"/>
      <c r="LJQ1100"/>
      <c r="LJR1100"/>
      <c r="LJU1100"/>
      <c r="LJV1100"/>
      <c r="LJY1100"/>
      <c r="LJZ1100"/>
      <c r="LKC1100"/>
      <c r="LKD1100"/>
      <c r="LKG1100"/>
      <c r="LKH1100"/>
      <c r="LKK1100"/>
      <c r="LKL1100"/>
      <c r="LKO1100"/>
      <c r="LKP1100"/>
      <c r="LKS1100"/>
      <c r="LKT1100"/>
      <c r="LKW1100"/>
      <c r="LKX1100"/>
      <c r="LLA1100"/>
      <c r="LLB1100"/>
      <c r="LLE1100"/>
      <c r="LLF1100"/>
      <c r="LLI1100"/>
      <c r="LLJ1100"/>
      <c r="LLM1100"/>
      <c r="LLN1100"/>
      <c r="LLQ1100"/>
      <c r="LLR1100"/>
      <c r="LLU1100"/>
      <c r="LLV1100"/>
      <c r="LLY1100"/>
      <c r="LLZ1100"/>
      <c r="LMC1100"/>
      <c r="LMD1100"/>
      <c r="LMG1100"/>
      <c r="LMH1100"/>
      <c r="LMK1100"/>
      <c r="LML1100"/>
      <c r="LMO1100"/>
      <c r="LMP1100"/>
      <c r="LMS1100"/>
      <c r="LMT1100"/>
      <c r="LMW1100"/>
      <c r="LMX1100"/>
      <c r="LNA1100"/>
      <c r="LNB1100"/>
      <c r="LNE1100"/>
      <c r="LNF1100"/>
      <c r="LNI1100"/>
      <c r="LNJ1100"/>
      <c r="LNM1100"/>
      <c r="LNN1100"/>
      <c r="LNQ1100"/>
      <c r="LNR1100"/>
      <c r="LNU1100"/>
      <c r="LNV1100"/>
      <c r="LNY1100"/>
      <c r="LNZ1100"/>
      <c r="LOC1100"/>
      <c r="LOD1100"/>
      <c r="LOG1100"/>
      <c r="LOH1100"/>
      <c r="LOK1100"/>
      <c r="LOL1100"/>
      <c r="LOO1100"/>
      <c r="LOP1100"/>
      <c r="LOS1100"/>
      <c r="LOT1100"/>
      <c r="LOW1100"/>
      <c r="LOX1100"/>
      <c r="LPA1100"/>
      <c r="LPB1100"/>
      <c r="LPE1100"/>
      <c r="LPF1100"/>
      <c r="LPI1100"/>
      <c r="LPJ1100"/>
      <c r="LPM1100"/>
      <c r="LPN1100"/>
      <c r="LPQ1100"/>
      <c r="LPR1100"/>
      <c r="LPU1100"/>
      <c r="LPV1100"/>
      <c r="LPY1100"/>
      <c r="LPZ1100"/>
      <c r="LQC1100"/>
      <c r="LQD1100"/>
      <c r="LQG1100"/>
      <c r="LQH1100"/>
      <c r="LQK1100"/>
      <c r="LQL1100"/>
      <c r="LQO1100"/>
      <c r="LQP1100"/>
      <c r="LQS1100"/>
      <c r="LQT1100"/>
      <c r="LQW1100"/>
      <c r="LQX1100"/>
      <c r="LRA1100"/>
      <c r="LRB1100"/>
      <c r="LRE1100"/>
      <c r="LRF1100"/>
      <c r="LRI1100"/>
      <c r="LRJ1100"/>
      <c r="LRM1100"/>
      <c r="LRN1100"/>
      <c r="LRQ1100"/>
      <c r="LRR1100"/>
      <c r="LRU1100"/>
      <c r="LRV1100"/>
      <c r="LRY1100"/>
      <c r="LRZ1100"/>
      <c r="LSC1100"/>
      <c r="LSD1100"/>
      <c r="LSG1100"/>
      <c r="LSH1100"/>
      <c r="LSK1100"/>
      <c r="LSL1100"/>
      <c r="LSO1100"/>
      <c r="LSP1100"/>
      <c r="LSS1100"/>
      <c r="LST1100"/>
      <c r="LSW1100"/>
      <c r="LSX1100"/>
      <c r="LTA1100"/>
      <c r="LTB1100"/>
      <c r="LTE1100"/>
      <c r="LTF1100"/>
      <c r="LTI1100"/>
      <c r="LTJ1100"/>
      <c r="LTM1100"/>
      <c r="LTN1100"/>
      <c r="LTQ1100"/>
      <c r="LTR1100"/>
      <c r="LTU1100"/>
      <c r="LTV1100"/>
      <c r="LTY1100"/>
      <c r="LTZ1100"/>
      <c r="LUC1100"/>
      <c r="LUD1100"/>
      <c r="LUG1100"/>
      <c r="LUH1100"/>
      <c r="LUK1100"/>
      <c r="LUL1100"/>
      <c r="LUO1100"/>
      <c r="LUP1100"/>
      <c r="LUS1100"/>
      <c r="LUT1100"/>
      <c r="LUW1100"/>
      <c r="LUX1100"/>
      <c r="LVA1100"/>
      <c r="LVB1100"/>
      <c r="LVE1100"/>
      <c r="LVF1100"/>
      <c r="LVI1100"/>
      <c r="LVJ1100"/>
      <c r="LVM1100"/>
      <c r="LVN1100"/>
      <c r="LVQ1100"/>
      <c r="LVR1100"/>
      <c r="LVU1100"/>
      <c r="LVV1100"/>
      <c r="LVY1100"/>
      <c r="LVZ1100"/>
      <c r="LWC1100"/>
      <c r="LWD1100"/>
      <c r="LWG1100"/>
      <c r="LWH1100"/>
      <c r="LWK1100"/>
      <c r="LWL1100"/>
      <c r="LWO1100"/>
      <c r="LWP1100"/>
      <c r="LWS1100"/>
      <c r="LWT1100"/>
      <c r="LWW1100"/>
      <c r="LWX1100"/>
      <c r="LXA1100"/>
      <c r="LXB1100"/>
      <c r="LXE1100"/>
      <c r="LXF1100"/>
      <c r="LXI1100"/>
      <c r="LXJ1100"/>
      <c r="LXM1100"/>
      <c r="LXN1100"/>
      <c r="LXQ1100"/>
      <c r="LXR1100"/>
      <c r="LXU1100"/>
      <c r="LXV1100"/>
      <c r="LXY1100"/>
      <c r="LXZ1100"/>
      <c r="LYC1100"/>
      <c r="LYD1100"/>
      <c r="LYG1100"/>
      <c r="LYH1100"/>
      <c r="LYK1100"/>
      <c r="LYL1100"/>
      <c r="LYO1100"/>
      <c r="LYP1100"/>
      <c r="LYS1100"/>
      <c r="LYT1100"/>
      <c r="LYW1100"/>
      <c r="LYX1100"/>
      <c r="LZA1100"/>
      <c r="LZB1100"/>
      <c r="LZE1100"/>
      <c r="LZF1100"/>
      <c r="LZI1100"/>
      <c r="LZJ1100"/>
      <c r="LZM1100"/>
      <c r="LZN1100"/>
      <c r="LZQ1100"/>
      <c r="LZR1100"/>
      <c r="LZU1100"/>
      <c r="LZV1100"/>
      <c r="LZY1100"/>
      <c r="LZZ1100"/>
      <c r="MAC1100"/>
      <c r="MAD1100"/>
      <c r="MAG1100"/>
      <c r="MAH1100"/>
      <c r="MAK1100"/>
      <c r="MAL1100"/>
      <c r="MAO1100"/>
      <c r="MAP1100"/>
      <c r="MAS1100"/>
      <c r="MAT1100"/>
      <c r="MAW1100"/>
      <c r="MAX1100"/>
      <c r="MBA1100"/>
      <c r="MBB1100"/>
      <c r="MBE1100"/>
      <c r="MBF1100"/>
      <c r="MBI1100"/>
      <c r="MBJ1100"/>
      <c r="MBM1100"/>
      <c r="MBN1100"/>
      <c r="MBQ1100"/>
      <c r="MBR1100"/>
      <c r="MBU1100"/>
      <c r="MBV1100"/>
      <c r="MBY1100"/>
      <c r="MBZ1100"/>
      <c r="MCC1100"/>
      <c r="MCD1100"/>
      <c r="MCG1100"/>
      <c r="MCH1100"/>
      <c r="MCK1100"/>
      <c r="MCL1100"/>
      <c r="MCO1100"/>
      <c r="MCP1100"/>
      <c r="MCS1100"/>
      <c r="MCT1100"/>
      <c r="MCW1100"/>
      <c r="MCX1100"/>
      <c r="MDA1100"/>
      <c r="MDB1100"/>
      <c r="MDE1100"/>
      <c r="MDF1100"/>
      <c r="MDI1100"/>
      <c r="MDJ1100"/>
      <c r="MDM1100"/>
      <c r="MDN1100"/>
      <c r="MDQ1100"/>
      <c r="MDR1100"/>
      <c r="MDU1100"/>
      <c r="MDV1100"/>
      <c r="MDY1100"/>
      <c r="MDZ1100"/>
      <c r="MEC1100"/>
      <c r="MED1100"/>
      <c r="MEG1100"/>
      <c r="MEH1100"/>
      <c r="MEK1100"/>
      <c r="MEL1100"/>
      <c r="MEO1100"/>
      <c r="MEP1100"/>
      <c r="MES1100"/>
      <c r="MET1100"/>
      <c r="MEW1100"/>
      <c r="MEX1100"/>
      <c r="MFA1100"/>
      <c r="MFB1100"/>
      <c r="MFE1100"/>
      <c r="MFF1100"/>
      <c r="MFI1100"/>
      <c r="MFJ1100"/>
      <c r="MFM1100"/>
      <c r="MFN1100"/>
      <c r="MFQ1100"/>
      <c r="MFR1100"/>
      <c r="MFU1100"/>
      <c r="MFV1100"/>
      <c r="MFY1100"/>
      <c r="MFZ1100"/>
      <c r="MGC1100"/>
      <c r="MGD1100"/>
      <c r="MGG1100"/>
      <c r="MGH1100"/>
      <c r="MGK1100"/>
      <c r="MGL1100"/>
      <c r="MGO1100"/>
      <c r="MGP1100"/>
      <c r="MGS1100"/>
      <c r="MGT1100"/>
      <c r="MGW1100"/>
      <c r="MGX1100"/>
      <c r="MHA1100"/>
      <c r="MHB1100"/>
      <c r="MHE1100"/>
      <c r="MHF1100"/>
      <c r="MHI1100"/>
      <c r="MHJ1100"/>
      <c r="MHM1100"/>
      <c r="MHN1100"/>
      <c r="MHQ1100"/>
      <c r="MHR1100"/>
      <c r="MHU1100"/>
      <c r="MHV1100"/>
      <c r="MHY1100"/>
      <c r="MHZ1100"/>
      <c r="MIC1100"/>
      <c r="MID1100"/>
      <c r="MIG1100"/>
      <c r="MIH1100"/>
      <c r="MIK1100"/>
      <c r="MIL1100"/>
      <c r="MIO1100"/>
      <c r="MIP1100"/>
      <c r="MIS1100"/>
      <c r="MIT1100"/>
      <c r="MIW1100"/>
      <c r="MIX1100"/>
      <c r="MJA1100"/>
      <c r="MJB1100"/>
      <c r="MJE1100"/>
      <c r="MJF1100"/>
      <c r="MJI1100"/>
      <c r="MJJ1100"/>
      <c r="MJM1100"/>
      <c r="MJN1100"/>
      <c r="MJQ1100"/>
      <c r="MJR1100"/>
      <c r="MJU1100"/>
      <c r="MJV1100"/>
      <c r="MJY1100"/>
      <c r="MJZ1100"/>
      <c r="MKC1100"/>
      <c r="MKD1100"/>
      <c r="MKG1100"/>
      <c r="MKH1100"/>
      <c r="MKK1100"/>
      <c r="MKL1100"/>
      <c r="MKO1100"/>
      <c r="MKP1100"/>
      <c r="MKS1100"/>
      <c r="MKT1100"/>
      <c r="MKW1100"/>
      <c r="MKX1100"/>
      <c r="MLA1100"/>
      <c r="MLB1100"/>
      <c r="MLE1100"/>
      <c r="MLF1100"/>
      <c r="MLI1100"/>
      <c r="MLJ1100"/>
      <c r="MLM1100"/>
      <c r="MLN1100"/>
      <c r="MLQ1100"/>
      <c r="MLR1100"/>
      <c r="MLU1100"/>
      <c r="MLV1100"/>
      <c r="MLY1100"/>
      <c r="MLZ1100"/>
      <c r="MMC1100"/>
      <c r="MMD1100"/>
      <c r="MMG1100"/>
      <c r="MMH1100"/>
      <c r="MMK1100"/>
      <c r="MML1100"/>
      <c r="MMO1100"/>
      <c r="MMP1100"/>
      <c r="MMS1100"/>
      <c r="MMT1100"/>
      <c r="MMW1100"/>
      <c r="MMX1100"/>
      <c r="MNA1100"/>
      <c r="MNB1100"/>
      <c r="MNE1100"/>
      <c r="MNF1100"/>
      <c r="MNI1100"/>
      <c r="MNJ1100"/>
      <c r="MNM1100"/>
      <c r="MNN1100"/>
      <c r="MNQ1100"/>
      <c r="MNR1100"/>
      <c r="MNU1100"/>
      <c r="MNV1100"/>
      <c r="MNY1100"/>
      <c r="MNZ1100"/>
      <c r="MOC1100"/>
      <c r="MOD1100"/>
      <c r="MOG1100"/>
      <c r="MOH1100"/>
      <c r="MOK1100"/>
      <c r="MOL1100"/>
      <c r="MOO1100"/>
      <c r="MOP1100"/>
      <c r="MOS1100"/>
      <c r="MOT1100"/>
      <c r="MOW1100"/>
      <c r="MOX1100"/>
      <c r="MPA1100"/>
      <c r="MPB1100"/>
      <c r="MPE1100"/>
      <c r="MPF1100"/>
      <c r="MPI1100"/>
      <c r="MPJ1100"/>
      <c r="MPM1100"/>
      <c r="MPN1100"/>
      <c r="MPQ1100"/>
      <c r="MPR1100"/>
      <c r="MPU1100"/>
      <c r="MPV1100"/>
      <c r="MPY1100"/>
      <c r="MPZ1100"/>
      <c r="MQC1100"/>
      <c r="MQD1100"/>
      <c r="MQG1100"/>
      <c r="MQH1100"/>
      <c r="MQK1100"/>
      <c r="MQL1100"/>
      <c r="MQO1100"/>
      <c r="MQP1100"/>
      <c r="MQS1100"/>
      <c r="MQT1100"/>
      <c r="MQW1100"/>
      <c r="MQX1100"/>
      <c r="MRA1100"/>
      <c r="MRB1100"/>
      <c r="MRE1100"/>
      <c r="MRF1100"/>
      <c r="MRI1100"/>
      <c r="MRJ1100"/>
      <c r="MRM1100"/>
      <c r="MRN1100"/>
      <c r="MRQ1100"/>
      <c r="MRR1100"/>
      <c r="MRU1100"/>
      <c r="MRV1100"/>
      <c r="MRY1100"/>
      <c r="MRZ1100"/>
      <c r="MSC1100"/>
      <c r="MSD1100"/>
      <c r="MSG1100"/>
      <c r="MSH1100"/>
      <c r="MSK1100"/>
      <c r="MSL1100"/>
      <c r="MSO1100"/>
      <c r="MSP1100"/>
      <c r="MSS1100"/>
      <c r="MST1100"/>
      <c r="MSW1100"/>
      <c r="MSX1100"/>
      <c r="MTA1100"/>
      <c r="MTB1100"/>
      <c r="MTE1100"/>
      <c r="MTF1100"/>
      <c r="MTI1100"/>
      <c r="MTJ1100"/>
      <c r="MTM1100"/>
      <c r="MTN1100"/>
      <c r="MTQ1100"/>
      <c r="MTR1100"/>
      <c r="MTU1100"/>
      <c r="MTV1100"/>
      <c r="MTY1100"/>
      <c r="MTZ1100"/>
      <c r="MUC1100"/>
      <c r="MUD1100"/>
      <c r="MUG1100"/>
      <c r="MUH1100"/>
      <c r="MUK1100"/>
      <c r="MUL1100"/>
      <c r="MUO1100"/>
      <c r="MUP1100"/>
      <c r="MUS1100"/>
      <c r="MUT1100"/>
      <c r="MUW1100"/>
      <c r="MUX1100"/>
      <c r="MVA1100"/>
      <c r="MVB1100"/>
      <c r="MVE1100"/>
      <c r="MVF1100"/>
      <c r="MVI1100"/>
      <c r="MVJ1100"/>
      <c r="MVM1100"/>
      <c r="MVN1100"/>
      <c r="MVQ1100"/>
      <c r="MVR1100"/>
      <c r="MVU1100"/>
      <c r="MVV1100"/>
      <c r="MVY1100"/>
      <c r="MVZ1100"/>
      <c r="MWC1100"/>
      <c r="MWD1100"/>
      <c r="MWG1100"/>
      <c r="MWH1100"/>
      <c r="MWK1100"/>
      <c r="MWL1100"/>
      <c r="MWO1100"/>
      <c r="MWP1100"/>
      <c r="MWS1100"/>
      <c r="MWT1100"/>
      <c r="MWW1100"/>
      <c r="MWX1100"/>
      <c r="MXA1100"/>
      <c r="MXB1100"/>
      <c r="MXE1100"/>
      <c r="MXF1100"/>
      <c r="MXI1100"/>
      <c r="MXJ1100"/>
      <c r="MXM1100"/>
      <c r="MXN1100"/>
      <c r="MXQ1100"/>
      <c r="MXR1100"/>
      <c r="MXU1100"/>
      <c r="MXV1100"/>
      <c r="MXY1100"/>
      <c r="MXZ1100"/>
      <c r="MYC1100"/>
      <c r="MYD1100"/>
      <c r="MYG1100"/>
      <c r="MYH1100"/>
      <c r="MYK1100"/>
      <c r="MYL1100"/>
      <c r="MYO1100"/>
      <c r="MYP1100"/>
      <c r="MYS1100"/>
      <c r="MYT1100"/>
      <c r="MYW1100"/>
      <c r="MYX1100"/>
      <c r="MZA1100"/>
      <c r="MZB1100"/>
      <c r="MZE1100"/>
      <c r="MZF1100"/>
      <c r="MZI1100"/>
      <c r="MZJ1100"/>
      <c r="MZM1100"/>
      <c r="MZN1100"/>
      <c r="MZQ1100"/>
      <c r="MZR1100"/>
      <c r="MZU1100"/>
      <c r="MZV1100"/>
      <c r="MZY1100"/>
      <c r="MZZ1100"/>
      <c r="NAC1100"/>
      <c r="NAD1100"/>
      <c r="NAG1100"/>
      <c r="NAH1100"/>
      <c r="NAK1100"/>
      <c r="NAL1100"/>
      <c r="NAO1100"/>
      <c r="NAP1100"/>
      <c r="NAS1100"/>
      <c r="NAT1100"/>
      <c r="NAW1100"/>
      <c r="NAX1100"/>
      <c r="NBA1100"/>
      <c r="NBB1100"/>
      <c r="NBE1100"/>
      <c r="NBF1100"/>
      <c r="NBI1100"/>
      <c r="NBJ1100"/>
      <c r="NBM1100"/>
      <c r="NBN1100"/>
      <c r="NBQ1100"/>
      <c r="NBR1100"/>
      <c r="NBU1100"/>
      <c r="NBV1100"/>
      <c r="NBY1100"/>
      <c r="NBZ1100"/>
      <c r="NCC1100"/>
      <c r="NCD1100"/>
      <c r="NCG1100"/>
      <c r="NCH1100"/>
      <c r="NCK1100"/>
      <c r="NCL1100"/>
      <c r="NCO1100"/>
      <c r="NCP1100"/>
      <c r="NCS1100"/>
      <c r="NCT1100"/>
      <c r="NCW1100"/>
      <c r="NCX1100"/>
      <c r="NDA1100"/>
      <c r="NDB1100"/>
      <c r="NDE1100"/>
      <c r="NDF1100"/>
      <c r="NDI1100"/>
      <c r="NDJ1100"/>
      <c r="NDM1100"/>
      <c r="NDN1100"/>
      <c r="NDQ1100"/>
      <c r="NDR1100"/>
      <c r="NDU1100"/>
      <c r="NDV1100"/>
      <c r="NDY1100"/>
      <c r="NDZ1100"/>
      <c r="NEC1100"/>
      <c r="NED1100"/>
      <c r="NEG1100"/>
      <c r="NEH1100"/>
      <c r="NEK1100"/>
      <c r="NEL1100"/>
      <c r="NEO1100"/>
      <c r="NEP1100"/>
      <c r="NES1100"/>
      <c r="NET1100"/>
      <c r="NEW1100"/>
      <c r="NEX1100"/>
      <c r="NFA1100"/>
      <c r="NFB1100"/>
      <c r="NFE1100"/>
      <c r="NFF1100"/>
      <c r="NFI1100"/>
      <c r="NFJ1100"/>
      <c r="NFM1100"/>
      <c r="NFN1100"/>
      <c r="NFQ1100"/>
      <c r="NFR1100"/>
      <c r="NFU1100"/>
      <c r="NFV1100"/>
      <c r="NFY1100"/>
      <c r="NFZ1100"/>
      <c r="NGC1100"/>
      <c r="NGD1100"/>
      <c r="NGG1100"/>
      <c r="NGH1100"/>
      <c r="NGK1100"/>
      <c r="NGL1100"/>
      <c r="NGO1100"/>
      <c r="NGP1100"/>
      <c r="NGS1100"/>
      <c r="NGT1100"/>
      <c r="NGW1100"/>
      <c r="NGX1100"/>
      <c r="NHA1100"/>
      <c r="NHB1100"/>
      <c r="NHE1100"/>
      <c r="NHF1100"/>
      <c r="NHI1100"/>
      <c r="NHJ1100"/>
      <c r="NHM1100"/>
      <c r="NHN1100"/>
      <c r="NHQ1100"/>
      <c r="NHR1100"/>
      <c r="NHU1100"/>
      <c r="NHV1100"/>
      <c r="NHY1100"/>
      <c r="NHZ1100"/>
      <c r="NIC1100"/>
      <c r="NID1100"/>
      <c r="NIG1100"/>
      <c r="NIH1100"/>
      <c r="NIK1100"/>
      <c r="NIL1100"/>
      <c r="NIO1100"/>
      <c r="NIP1100"/>
      <c r="NIS1100"/>
      <c r="NIT1100"/>
      <c r="NIW1100"/>
      <c r="NIX1100"/>
      <c r="NJA1100"/>
      <c r="NJB1100"/>
      <c r="NJE1100"/>
      <c r="NJF1100"/>
      <c r="NJI1100"/>
      <c r="NJJ1100"/>
      <c r="NJM1100"/>
      <c r="NJN1100"/>
      <c r="NJQ1100"/>
      <c r="NJR1100"/>
      <c r="NJU1100"/>
      <c r="NJV1100"/>
      <c r="NJY1100"/>
      <c r="NJZ1100"/>
      <c r="NKC1100"/>
      <c r="NKD1100"/>
      <c r="NKG1100"/>
      <c r="NKH1100"/>
      <c r="NKK1100"/>
      <c r="NKL1100"/>
      <c r="NKO1100"/>
      <c r="NKP1100"/>
      <c r="NKS1100"/>
      <c r="NKT1100"/>
      <c r="NKW1100"/>
      <c r="NKX1100"/>
      <c r="NLA1100"/>
      <c r="NLB1100"/>
      <c r="NLE1100"/>
      <c r="NLF1100"/>
      <c r="NLI1100"/>
      <c r="NLJ1100"/>
      <c r="NLM1100"/>
      <c r="NLN1100"/>
      <c r="NLQ1100"/>
      <c r="NLR1100"/>
      <c r="NLU1100"/>
      <c r="NLV1100"/>
      <c r="NLY1100"/>
      <c r="NLZ1100"/>
      <c r="NMC1100"/>
      <c r="NMD1100"/>
      <c r="NMG1100"/>
      <c r="NMH1100"/>
      <c r="NMK1100"/>
      <c r="NML1100"/>
      <c r="NMO1100"/>
      <c r="NMP1100"/>
      <c r="NMS1100"/>
      <c r="NMT1100"/>
      <c r="NMW1100"/>
      <c r="NMX1100"/>
      <c r="NNA1100"/>
      <c r="NNB1100"/>
      <c r="NNE1100"/>
      <c r="NNF1100"/>
      <c r="NNI1100"/>
      <c r="NNJ1100"/>
      <c r="NNM1100"/>
      <c r="NNN1100"/>
      <c r="NNQ1100"/>
      <c r="NNR1100"/>
      <c r="NNU1100"/>
      <c r="NNV1100"/>
      <c r="NNY1100"/>
      <c r="NNZ1100"/>
      <c r="NOC1100"/>
      <c r="NOD1100"/>
      <c r="NOG1100"/>
      <c r="NOH1100"/>
      <c r="NOK1100"/>
      <c r="NOL1100"/>
      <c r="NOO1100"/>
      <c r="NOP1100"/>
      <c r="NOS1100"/>
      <c r="NOT1100"/>
      <c r="NOW1100"/>
      <c r="NOX1100"/>
      <c r="NPA1100"/>
      <c r="NPB1100"/>
      <c r="NPE1100"/>
      <c r="NPF1100"/>
      <c r="NPI1100"/>
      <c r="NPJ1100"/>
      <c r="NPM1100"/>
      <c r="NPN1100"/>
      <c r="NPQ1100"/>
      <c r="NPR1100"/>
      <c r="NPU1100"/>
      <c r="NPV1100"/>
      <c r="NPY1100"/>
      <c r="NPZ1100"/>
      <c r="NQC1100"/>
      <c r="NQD1100"/>
      <c r="NQG1100"/>
      <c r="NQH1100"/>
      <c r="NQK1100"/>
      <c r="NQL1100"/>
      <c r="NQO1100"/>
      <c r="NQP1100"/>
      <c r="NQS1100"/>
      <c r="NQT1100"/>
      <c r="NQW1100"/>
      <c r="NQX1100"/>
      <c r="NRA1100"/>
      <c r="NRB1100"/>
      <c r="NRE1100"/>
      <c r="NRF1100"/>
      <c r="NRI1100"/>
      <c r="NRJ1100"/>
      <c r="NRM1100"/>
      <c r="NRN1100"/>
      <c r="NRQ1100"/>
      <c r="NRR1100"/>
      <c r="NRU1100"/>
      <c r="NRV1100"/>
      <c r="NRY1100"/>
      <c r="NRZ1100"/>
      <c r="NSC1100"/>
      <c r="NSD1100"/>
      <c r="NSG1100"/>
      <c r="NSH1100"/>
      <c r="NSK1100"/>
      <c r="NSL1100"/>
      <c r="NSO1100"/>
      <c r="NSP1100"/>
      <c r="NSS1100"/>
      <c r="NST1100"/>
      <c r="NSW1100"/>
      <c r="NSX1100"/>
      <c r="NTA1100"/>
      <c r="NTB1100"/>
      <c r="NTE1100"/>
      <c r="NTF1100"/>
      <c r="NTI1100"/>
      <c r="NTJ1100"/>
      <c r="NTM1100"/>
      <c r="NTN1100"/>
      <c r="NTQ1100"/>
      <c r="NTR1100"/>
      <c r="NTU1100"/>
      <c r="NTV1100"/>
      <c r="NTY1100"/>
      <c r="NTZ1100"/>
      <c r="NUC1100"/>
      <c r="NUD1100"/>
      <c r="NUG1100"/>
      <c r="NUH1100"/>
      <c r="NUK1100"/>
      <c r="NUL1100"/>
      <c r="NUO1100"/>
      <c r="NUP1100"/>
      <c r="NUS1100"/>
      <c r="NUT1100"/>
      <c r="NUW1100"/>
      <c r="NUX1100"/>
      <c r="NVA1100"/>
      <c r="NVB1100"/>
      <c r="NVE1100"/>
      <c r="NVF1100"/>
      <c r="NVI1100"/>
      <c r="NVJ1100"/>
      <c r="NVM1100"/>
      <c r="NVN1100"/>
      <c r="NVQ1100"/>
      <c r="NVR1100"/>
      <c r="NVU1100"/>
      <c r="NVV1100"/>
      <c r="NVY1100"/>
      <c r="NVZ1100"/>
      <c r="NWC1100"/>
      <c r="NWD1100"/>
      <c r="NWG1100"/>
      <c r="NWH1100"/>
      <c r="NWK1100"/>
      <c r="NWL1100"/>
      <c r="NWO1100"/>
      <c r="NWP1100"/>
      <c r="NWS1100"/>
      <c r="NWT1100"/>
      <c r="NWW1100"/>
      <c r="NWX1100"/>
      <c r="NXA1100"/>
      <c r="NXB1100"/>
      <c r="NXE1100"/>
      <c r="NXF1100"/>
      <c r="NXI1100"/>
      <c r="NXJ1100"/>
      <c r="NXM1100"/>
      <c r="NXN1100"/>
      <c r="NXQ1100"/>
      <c r="NXR1100"/>
      <c r="NXU1100"/>
      <c r="NXV1100"/>
      <c r="NXY1100"/>
      <c r="NXZ1100"/>
      <c r="NYC1100"/>
      <c r="NYD1100"/>
      <c r="NYG1100"/>
      <c r="NYH1100"/>
      <c r="NYK1100"/>
      <c r="NYL1100"/>
      <c r="NYO1100"/>
      <c r="NYP1100"/>
      <c r="NYS1100"/>
      <c r="NYT1100"/>
      <c r="NYW1100"/>
      <c r="NYX1100"/>
      <c r="NZA1100"/>
      <c r="NZB1100"/>
      <c r="NZE1100"/>
      <c r="NZF1100"/>
      <c r="NZI1100"/>
      <c r="NZJ1100"/>
      <c r="NZM1100"/>
      <c r="NZN1100"/>
      <c r="NZQ1100"/>
      <c r="NZR1100"/>
      <c r="NZU1100"/>
      <c r="NZV1100"/>
      <c r="NZY1100"/>
      <c r="NZZ1100"/>
      <c r="OAC1100"/>
      <c r="OAD1100"/>
      <c r="OAG1100"/>
      <c r="OAH1100"/>
      <c r="OAK1100"/>
      <c r="OAL1100"/>
      <c r="OAO1100"/>
      <c r="OAP1100"/>
      <c r="OAS1100"/>
      <c r="OAT1100"/>
      <c r="OAW1100"/>
      <c r="OAX1100"/>
      <c r="OBA1100"/>
      <c r="OBB1100"/>
      <c r="OBE1100"/>
      <c r="OBF1100"/>
      <c r="OBI1100"/>
      <c r="OBJ1100"/>
      <c r="OBM1100"/>
      <c r="OBN1100"/>
      <c r="OBQ1100"/>
      <c r="OBR1100"/>
      <c r="OBU1100"/>
      <c r="OBV1100"/>
      <c r="OBY1100"/>
      <c r="OBZ1100"/>
      <c r="OCC1100"/>
      <c r="OCD1100"/>
      <c r="OCG1100"/>
      <c r="OCH1100"/>
      <c r="OCK1100"/>
      <c r="OCL1100"/>
      <c r="OCO1100"/>
      <c r="OCP1100"/>
      <c r="OCS1100"/>
      <c r="OCT1100"/>
      <c r="OCW1100"/>
      <c r="OCX1100"/>
      <c r="ODA1100"/>
      <c r="ODB1100"/>
      <c r="ODE1100"/>
      <c r="ODF1100"/>
      <c r="ODI1100"/>
      <c r="ODJ1100"/>
      <c r="ODM1100"/>
      <c r="ODN1100"/>
      <c r="ODQ1100"/>
      <c r="ODR1100"/>
      <c r="ODU1100"/>
      <c r="ODV1100"/>
      <c r="ODY1100"/>
      <c r="ODZ1100"/>
      <c r="OEC1100"/>
      <c r="OED1100"/>
      <c r="OEG1100"/>
      <c r="OEH1100"/>
      <c r="OEK1100"/>
      <c r="OEL1100"/>
      <c r="OEO1100"/>
      <c r="OEP1100"/>
      <c r="OES1100"/>
      <c r="OET1100"/>
      <c r="OEW1100"/>
      <c r="OEX1100"/>
      <c r="OFA1100"/>
      <c r="OFB1100"/>
      <c r="OFE1100"/>
      <c r="OFF1100"/>
      <c r="OFI1100"/>
      <c r="OFJ1100"/>
      <c r="OFM1100"/>
      <c r="OFN1100"/>
      <c r="OFQ1100"/>
      <c r="OFR1100"/>
      <c r="OFU1100"/>
      <c r="OFV1100"/>
      <c r="OFY1100"/>
      <c r="OFZ1100"/>
      <c r="OGC1100"/>
      <c r="OGD1100"/>
      <c r="OGG1100"/>
      <c r="OGH1100"/>
      <c r="OGK1100"/>
      <c r="OGL1100"/>
      <c r="OGO1100"/>
      <c r="OGP1100"/>
      <c r="OGS1100"/>
      <c r="OGT1100"/>
      <c r="OGW1100"/>
      <c r="OGX1100"/>
      <c r="OHA1100"/>
      <c r="OHB1100"/>
      <c r="OHE1100"/>
      <c r="OHF1100"/>
      <c r="OHI1100"/>
      <c r="OHJ1100"/>
      <c r="OHM1100"/>
      <c r="OHN1100"/>
      <c r="OHQ1100"/>
      <c r="OHR1100"/>
      <c r="OHU1100"/>
      <c r="OHV1100"/>
      <c r="OHY1100"/>
      <c r="OHZ1100"/>
      <c r="OIC1100"/>
      <c r="OID1100"/>
      <c r="OIG1100"/>
      <c r="OIH1100"/>
      <c r="OIK1100"/>
      <c r="OIL1100"/>
      <c r="OIO1100"/>
      <c r="OIP1100"/>
      <c r="OIS1100"/>
      <c r="OIT1100"/>
      <c r="OIW1100"/>
      <c r="OIX1100"/>
      <c r="OJA1100"/>
      <c r="OJB1100"/>
      <c r="OJE1100"/>
      <c r="OJF1100"/>
      <c r="OJI1100"/>
      <c r="OJJ1100"/>
      <c r="OJM1100"/>
      <c r="OJN1100"/>
      <c r="OJQ1100"/>
      <c r="OJR1100"/>
      <c r="OJU1100"/>
      <c r="OJV1100"/>
      <c r="OJY1100"/>
      <c r="OJZ1100"/>
      <c r="OKC1100"/>
      <c r="OKD1100"/>
      <c r="OKG1100"/>
      <c r="OKH1100"/>
      <c r="OKK1100"/>
      <c r="OKL1100"/>
      <c r="OKO1100"/>
      <c r="OKP1100"/>
      <c r="OKS1100"/>
      <c r="OKT1100"/>
      <c r="OKW1100"/>
      <c r="OKX1100"/>
      <c r="OLA1100"/>
      <c r="OLB1100"/>
      <c r="OLE1100"/>
      <c r="OLF1100"/>
      <c r="OLI1100"/>
      <c r="OLJ1100"/>
      <c r="OLM1100"/>
      <c r="OLN1100"/>
      <c r="OLQ1100"/>
      <c r="OLR1100"/>
      <c r="OLU1100"/>
      <c r="OLV1100"/>
      <c r="OLY1100"/>
      <c r="OLZ1100"/>
      <c r="OMC1100"/>
      <c r="OMD1100"/>
      <c r="OMG1100"/>
      <c r="OMH1100"/>
      <c r="OMK1100"/>
      <c r="OML1100"/>
      <c r="OMO1100"/>
      <c r="OMP1100"/>
      <c r="OMS1100"/>
      <c r="OMT1100"/>
      <c r="OMW1100"/>
      <c r="OMX1100"/>
      <c r="ONA1100"/>
      <c r="ONB1100"/>
      <c r="ONE1100"/>
      <c r="ONF1100"/>
      <c r="ONI1100"/>
      <c r="ONJ1100"/>
      <c r="ONM1100"/>
      <c r="ONN1100"/>
      <c r="ONQ1100"/>
      <c r="ONR1100"/>
      <c r="ONU1100"/>
      <c r="ONV1100"/>
      <c r="ONY1100"/>
      <c r="ONZ1100"/>
      <c r="OOC1100"/>
      <c r="OOD1100"/>
      <c r="OOG1100"/>
      <c r="OOH1100"/>
      <c r="OOK1100"/>
      <c r="OOL1100"/>
      <c r="OOO1100"/>
      <c r="OOP1100"/>
      <c r="OOS1100"/>
      <c r="OOT1100"/>
      <c r="OOW1100"/>
      <c r="OOX1100"/>
      <c r="OPA1100"/>
      <c r="OPB1100"/>
      <c r="OPE1100"/>
      <c r="OPF1100"/>
      <c r="OPI1100"/>
      <c r="OPJ1100"/>
      <c r="OPM1100"/>
      <c r="OPN1100"/>
      <c r="OPQ1100"/>
      <c r="OPR1100"/>
      <c r="OPU1100"/>
      <c r="OPV1100"/>
      <c r="OPY1100"/>
      <c r="OPZ1100"/>
      <c r="OQC1100"/>
      <c r="OQD1100"/>
      <c r="OQG1100"/>
      <c r="OQH1100"/>
      <c r="OQK1100"/>
      <c r="OQL1100"/>
      <c r="OQO1100"/>
      <c r="OQP1100"/>
      <c r="OQS1100"/>
      <c r="OQT1100"/>
      <c r="OQW1100"/>
      <c r="OQX1100"/>
      <c r="ORA1100"/>
      <c r="ORB1100"/>
      <c r="ORE1100"/>
      <c r="ORF1100"/>
      <c r="ORI1100"/>
      <c r="ORJ1100"/>
      <c r="ORM1100"/>
      <c r="ORN1100"/>
      <c r="ORQ1100"/>
      <c r="ORR1100"/>
      <c r="ORU1100"/>
      <c r="ORV1100"/>
      <c r="ORY1100"/>
      <c r="ORZ1100"/>
      <c r="OSC1100"/>
      <c r="OSD1100"/>
      <c r="OSG1100"/>
      <c r="OSH1100"/>
      <c r="OSK1100"/>
      <c r="OSL1100"/>
      <c r="OSO1100"/>
      <c r="OSP1100"/>
      <c r="OSS1100"/>
      <c r="OST1100"/>
      <c r="OSW1100"/>
      <c r="OSX1100"/>
      <c r="OTA1100"/>
      <c r="OTB1100"/>
      <c r="OTE1100"/>
      <c r="OTF1100"/>
      <c r="OTI1100"/>
      <c r="OTJ1100"/>
      <c r="OTM1100"/>
      <c r="OTN1100"/>
      <c r="OTQ1100"/>
      <c r="OTR1100"/>
      <c r="OTU1100"/>
      <c r="OTV1100"/>
      <c r="OTY1100"/>
      <c r="OTZ1100"/>
      <c r="OUC1100"/>
      <c r="OUD1100"/>
      <c r="OUG1100"/>
      <c r="OUH1100"/>
      <c r="OUK1100"/>
      <c r="OUL1100"/>
      <c r="OUO1100"/>
      <c r="OUP1100"/>
      <c r="OUS1100"/>
      <c r="OUT1100"/>
      <c r="OUW1100"/>
      <c r="OUX1100"/>
      <c r="OVA1100"/>
      <c r="OVB1100"/>
      <c r="OVE1100"/>
      <c r="OVF1100"/>
      <c r="OVI1100"/>
      <c r="OVJ1100"/>
      <c r="OVM1100"/>
      <c r="OVN1100"/>
      <c r="OVQ1100"/>
      <c r="OVR1100"/>
      <c r="OVU1100"/>
      <c r="OVV1100"/>
      <c r="OVY1100"/>
      <c r="OVZ1100"/>
      <c r="OWC1100"/>
      <c r="OWD1100"/>
      <c r="OWG1100"/>
      <c r="OWH1100"/>
      <c r="OWK1100"/>
      <c r="OWL1100"/>
      <c r="OWO1100"/>
      <c r="OWP1100"/>
      <c r="OWS1100"/>
      <c r="OWT1100"/>
      <c r="OWW1100"/>
      <c r="OWX1100"/>
      <c r="OXA1100"/>
      <c r="OXB1100"/>
      <c r="OXE1100"/>
      <c r="OXF1100"/>
      <c r="OXI1100"/>
      <c r="OXJ1100"/>
      <c r="OXM1100"/>
      <c r="OXN1100"/>
      <c r="OXQ1100"/>
      <c r="OXR1100"/>
      <c r="OXU1100"/>
      <c r="OXV1100"/>
      <c r="OXY1100"/>
      <c r="OXZ1100"/>
      <c r="OYC1100"/>
      <c r="OYD1100"/>
      <c r="OYG1100"/>
      <c r="OYH1100"/>
      <c r="OYK1100"/>
      <c r="OYL1100"/>
      <c r="OYO1100"/>
      <c r="OYP1100"/>
      <c r="OYS1100"/>
      <c r="OYT1100"/>
      <c r="OYW1100"/>
      <c r="OYX1100"/>
      <c r="OZA1100"/>
      <c r="OZB1100"/>
      <c r="OZE1100"/>
      <c r="OZF1100"/>
      <c r="OZI1100"/>
      <c r="OZJ1100"/>
      <c r="OZM1100"/>
      <c r="OZN1100"/>
      <c r="OZQ1100"/>
      <c r="OZR1100"/>
      <c r="OZU1100"/>
      <c r="OZV1100"/>
      <c r="OZY1100"/>
      <c r="OZZ1100"/>
      <c r="PAC1100"/>
      <c r="PAD1100"/>
      <c r="PAG1100"/>
      <c r="PAH1100"/>
      <c r="PAK1100"/>
      <c r="PAL1100"/>
      <c r="PAO1100"/>
      <c r="PAP1100"/>
      <c r="PAS1100"/>
      <c r="PAT1100"/>
      <c r="PAW1100"/>
      <c r="PAX1100"/>
      <c r="PBA1100"/>
      <c r="PBB1100"/>
      <c r="PBE1100"/>
      <c r="PBF1100"/>
      <c r="PBI1100"/>
      <c r="PBJ1100"/>
      <c r="PBM1100"/>
      <c r="PBN1100"/>
      <c r="PBQ1100"/>
      <c r="PBR1100"/>
      <c r="PBU1100"/>
      <c r="PBV1100"/>
      <c r="PBY1100"/>
      <c r="PBZ1100"/>
      <c r="PCC1100"/>
      <c r="PCD1100"/>
      <c r="PCG1100"/>
      <c r="PCH1100"/>
      <c r="PCK1100"/>
      <c r="PCL1100"/>
      <c r="PCO1100"/>
      <c r="PCP1100"/>
      <c r="PCS1100"/>
      <c r="PCT1100"/>
      <c r="PCW1100"/>
      <c r="PCX1100"/>
      <c r="PDA1100"/>
      <c r="PDB1100"/>
      <c r="PDE1100"/>
      <c r="PDF1100"/>
      <c r="PDI1100"/>
      <c r="PDJ1100"/>
      <c r="PDM1100"/>
      <c r="PDN1100"/>
      <c r="PDQ1100"/>
      <c r="PDR1100"/>
      <c r="PDU1100"/>
      <c r="PDV1100"/>
      <c r="PDY1100"/>
      <c r="PDZ1100"/>
      <c r="PEC1100"/>
      <c r="PED1100"/>
      <c r="PEG1100"/>
      <c r="PEH1100"/>
      <c r="PEK1100"/>
      <c r="PEL1100"/>
      <c r="PEO1100"/>
      <c r="PEP1100"/>
      <c r="PES1100"/>
      <c r="PET1100"/>
      <c r="PEW1100"/>
      <c r="PEX1100"/>
      <c r="PFA1100"/>
      <c r="PFB1100"/>
      <c r="PFE1100"/>
      <c r="PFF1100"/>
      <c r="PFI1100"/>
      <c r="PFJ1100"/>
      <c r="PFM1100"/>
      <c r="PFN1100"/>
      <c r="PFQ1100"/>
      <c r="PFR1100"/>
      <c r="PFU1100"/>
      <c r="PFV1100"/>
      <c r="PFY1100"/>
      <c r="PFZ1100"/>
      <c r="PGC1100"/>
      <c r="PGD1100"/>
      <c r="PGG1100"/>
      <c r="PGH1100"/>
      <c r="PGK1100"/>
      <c r="PGL1100"/>
      <c r="PGO1100"/>
      <c r="PGP1100"/>
      <c r="PGS1100"/>
      <c r="PGT1100"/>
      <c r="PGW1100"/>
      <c r="PGX1100"/>
      <c r="PHA1100"/>
      <c r="PHB1100"/>
      <c r="PHE1100"/>
      <c r="PHF1100"/>
      <c r="PHI1100"/>
      <c r="PHJ1100"/>
      <c r="PHM1100"/>
      <c r="PHN1100"/>
      <c r="PHQ1100"/>
      <c r="PHR1100"/>
      <c r="PHU1100"/>
      <c r="PHV1100"/>
      <c r="PHY1100"/>
      <c r="PHZ1100"/>
      <c r="PIC1100"/>
      <c r="PID1100"/>
      <c r="PIG1100"/>
      <c r="PIH1100"/>
      <c r="PIK1100"/>
      <c r="PIL1100"/>
      <c r="PIO1100"/>
      <c r="PIP1100"/>
      <c r="PIS1100"/>
      <c r="PIT1100"/>
      <c r="PIW1100"/>
      <c r="PIX1100"/>
      <c r="PJA1100"/>
      <c r="PJB1100"/>
      <c r="PJE1100"/>
      <c r="PJF1100"/>
      <c r="PJI1100"/>
      <c r="PJJ1100"/>
      <c r="PJM1100"/>
      <c r="PJN1100"/>
      <c r="PJQ1100"/>
      <c r="PJR1100"/>
      <c r="PJU1100"/>
      <c r="PJV1100"/>
      <c r="PJY1100"/>
      <c r="PJZ1100"/>
      <c r="PKC1100"/>
      <c r="PKD1100"/>
      <c r="PKG1100"/>
      <c r="PKH1100"/>
      <c r="PKK1100"/>
      <c r="PKL1100"/>
      <c r="PKO1100"/>
      <c r="PKP1100"/>
      <c r="PKS1100"/>
      <c r="PKT1100"/>
      <c r="PKW1100"/>
      <c r="PKX1100"/>
      <c r="PLA1100"/>
      <c r="PLB1100"/>
      <c r="PLE1100"/>
      <c r="PLF1100"/>
      <c r="PLI1100"/>
      <c r="PLJ1100"/>
      <c r="PLM1100"/>
      <c r="PLN1100"/>
      <c r="PLQ1100"/>
      <c r="PLR1100"/>
      <c r="PLU1100"/>
      <c r="PLV1100"/>
      <c r="PLY1100"/>
      <c r="PLZ1100"/>
      <c r="PMC1100"/>
      <c r="PMD1100"/>
      <c r="PMG1100"/>
      <c r="PMH1100"/>
      <c r="PMK1100"/>
      <c r="PML1100"/>
      <c r="PMO1100"/>
      <c r="PMP1100"/>
      <c r="PMS1100"/>
      <c r="PMT1100"/>
      <c r="PMW1100"/>
      <c r="PMX1100"/>
      <c r="PNA1100"/>
      <c r="PNB1100"/>
      <c r="PNE1100"/>
      <c r="PNF1100"/>
      <c r="PNI1100"/>
      <c r="PNJ1100"/>
      <c r="PNM1100"/>
      <c r="PNN1100"/>
      <c r="PNQ1100"/>
      <c r="PNR1100"/>
      <c r="PNU1100"/>
      <c r="PNV1100"/>
      <c r="PNY1100"/>
      <c r="PNZ1100"/>
      <c r="POC1100"/>
      <c r="POD1100"/>
      <c r="POG1100"/>
      <c r="POH1100"/>
      <c r="POK1100"/>
      <c r="POL1100"/>
      <c r="POO1100"/>
      <c r="POP1100"/>
      <c r="POS1100"/>
      <c r="POT1100"/>
      <c r="POW1100"/>
      <c r="POX1100"/>
      <c r="PPA1100"/>
      <c r="PPB1100"/>
      <c r="PPE1100"/>
      <c r="PPF1100"/>
      <c r="PPI1100"/>
      <c r="PPJ1100"/>
      <c r="PPM1100"/>
      <c r="PPN1100"/>
      <c r="PPQ1100"/>
      <c r="PPR1100"/>
      <c r="PPU1100"/>
      <c r="PPV1100"/>
      <c r="PPY1100"/>
      <c r="PPZ1100"/>
      <c r="PQC1100"/>
      <c r="PQD1100"/>
      <c r="PQG1100"/>
      <c r="PQH1100"/>
      <c r="PQK1100"/>
      <c r="PQL1100"/>
      <c r="PQO1100"/>
      <c r="PQP1100"/>
      <c r="PQS1100"/>
      <c r="PQT1100"/>
      <c r="PQW1100"/>
      <c r="PQX1100"/>
      <c r="PRA1100"/>
      <c r="PRB1100"/>
      <c r="PRE1100"/>
      <c r="PRF1100"/>
      <c r="PRI1100"/>
      <c r="PRJ1100"/>
      <c r="PRM1100"/>
      <c r="PRN1100"/>
      <c r="PRQ1100"/>
      <c r="PRR1100"/>
      <c r="PRU1100"/>
      <c r="PRV1100"/>
      <c r="PRY1100"/>
      <c r="PRZ1100"/>
      <c r="PSC1100"/>
      <c r="PSD1100"/>
      <c r="PSG1100"/>
      <c r="PSH1100"/>
      <c r="PSK1100"/>
      <c r="PSL1100"/>
      <c r="PSO1100"/>
      <c r="PSP1100"/>
      <c r="PSS1100"/>
      <c r="PST1100"/>
      <c r="PSW1100"/>
      <c r="PSX1100"/>
      <c r="PTA1100"/>
      <c r="PTB1100"/>
      <c r="PTE1100"/>
      <c r="PTF1100"/>
      <c r="PTI1100"/>
      <c r="PTJ1100"/>
      <c r="PTM1100"/>
      <c r="PTN1100"/>
      <c r="PTQ1100"/>
      <c r="PTR1100"/>
      <c r="PTU1100"/>
      <c r="PTV1100"/>
      <c r="PTY1100"/>
      <c r="PTZ1100"/>
      <c r="PUC1100"/>
      <c r="PUD1100"/>
      <c r="PUG1100"/>
      <c r="PUH1100"/>
      <c r="PUK1100"/>
      <c r="PUL1100"/>
      <c r="PUO1100"/>
      <c r="PUP1100"/>
      <c r="PUS1100"/>
      <c r="PUT1100"/>
      <c r="PUW1100"/>
      <c r="PUX1100"/>
      <c r="PVA1100"/>
      <c r="PVB1100"/>
      <c r="PVE1100"/>
      <c r="PVF1100"/>
      <c r="PVI1100"/>
      <c r="PVJ1100"/>
      <c r="PVM1100"/>
      <c r="PVN1100"/>
      <c r="PVQ1100"/>
      <c r="PVR1100"/>
      <c r="PVU1100"/>
      <c r="PVV1100"/>
      <c r="PVY1100"/>
      <c r="PVZ1100"/>
      <c r="PWC1100"/>
      <c r="PWD1100"/>
      <c r="PWG1100"/>
      <c r="PWH1100"/>
      <c r="PWK1100"/>
      <c r="PWL1100"/>
      <c r="PWO1100"/>
      <c r="PWP1100"/>
      <c r="PWS1100"/>
      <c r="PWT1100"/>
      <c r="PWW1100"/>
      <c r="PWX1100"/>
      <c r="PXA1100"/>
      <c r="PXB1100"/>
      <c r="PXE1100"/>
      <c r="PXF1100"/>
      <c r="PXI1100"/>
      <c r="PXJ1100"/>
      <c r="PXM1100"/>
      <c r="PXN1100"/>
      <c r="PXQ1100"/>
      <c r="PXR1100"/>
      <c r="PXU1100"/>
      <c r="PXV1100"/>
      <c r="PXY1100"/>
      <c r="PXZ1100"/>
      <c r="PYC1100"/>
      <c r="PYD1100"/>
      <c r="PYG1100"/>
      <c r="PYH1100"/>
      <c r="PYK1100"/>
      <c r="PYL1100"/>
      <c r="PYO1100"/>
      <c r="PYP1100"/>
      <c r="PYS1100"/>
      <c r="PYT1100"/>
      <c r="PYW1100"/>
      <c r="PYX1100"/>
      <c r="PZA1100"/>
      <c r="PZB1100"/>
      <c r="PZE1100"/>
      <c r="PZF1100"/>
      <c r="PZI1100"/>
      <c r="PZJ1100"/>
      <c r="PZM1100"/>
      <c r="PZN1100"/>
      <c r="PZQ1100"/>
      <c r="PZR1100"/>
      <c r="PZU1100"/>
      <c r="PZV1100"/>
      <c r="PZY1100"/>
      <c r="PZZ1100"/>
      <c r="QAC1100"/>
      <c r="QAD1100"/>
      <c r="QAG1100"/>
      <c r="QAH1100"/>
      <c r="QAK1100"/>
      <c r="QAL1100"/>
      <c r="QAO1100"/>
      <c r="QAP1100"/>
      <c r="QAS1100"/>
      <c r="QAT1100"/>
      <c r="QAW1100"/>
      <c r="QAX1100"/>
      <c r="QBA1100"/>
      <c r="QBB1100"/>
      <c r="QBE1100"/>
      <c r="QBF1100"/>
      <c r="QBI1100"/>
      <c r="QBJ1100"/>
      <c r="QBM1100"/>
      <c r="QBN1100"/>
      <c r="QBQ1100"/>
      <c r="QBR1100"/>
      <c r="QBU1100"/>
      <c r="QBV1100"/>
      <c r="QBY1100"/>
      <c r="QBZ1100"/>
      <c r="QCC1100"/>
      <c r="QCD1100"/>
      <c r="QCG1100"/>
      <c r="QCH1100"/>
      <c r="QCK1100"/>
      <c r="QCL1100"/>
      <c r="QCO1100"/>
      <c r="QCP1100"/>
      <c r="QCS1100"/>
      <c r="QCT1100"/>
      <c r="QCW1100"/>
      <c r="QCX1100"/>
      <c r="QDA1100"/>
      <c r="QDB1100"/>
      <c r="QDE1100"/>
      <c r="QDF1100"/>
      <c r="QDI1100"/>
      <c r="QDJ1100"/>
      <c r="QDM1100"/>
      <c r="QDN1100"/>
      <c r="QDQ1100"/>
      <c r="QDR1100"/>
      <c r="QDU1100"/>
      <c r="QDV1100"/>
      <c r="QDY1100"/>
      <c r="QDZ1100"/>
      <c r="QEC1100"/>
      <c r="QED1100"/>
      <c r="QEG1100"/>
      <c r="QEH1100"/>
      <c r="QEK1100"/>
      <c r="QEL1100"/>
      <c r="QEO1100"/>
      <c r="QEP1100"/>
      <c r="QES1100"/>
      <c r="QET1100"/>
      <c r="QEW1100"/>
      <c r="QEX1100"/>
      <c r="QFA1100"/>
      <c r="QFB1100"/>
      <c r="QFE1100"/>
      <c r="QFF1100"/>
      <c r="QFI1100"/>
      <c r="QFJ1100"/>
      <c r="QFM1100"/>
      <c r="QFN1100"/>
      <c r="QFQ1100"/>
      <c r="QFR1100"/>
      <c r="QFU1100"/>
      <c r="QFV1100"/>
      <c r="QFY1100"/>
      <c r="QFZ1100"/>
      <c r="QGC1100"/>
      <c r="QGD1100"/>
      <c r="QGG1100"/>
      <c r="QGH1100"/>
      <c r="QGK1100"/>
      <c r="QGL1100"/>
      <c r="QGO1100"/>
      <c r="QGP1100"/>
      <c r="QGS1100"/>
      <c r="QGT1100"/>
      <c r="QGW1100"/>
      <c r="QGX1100"/>
      <c r="QHA1100"/>
      <c r="QHB1100"/>
      <c r="QHE1100"/>
      <c r="QHF1100"/>
      <c r="QHI1100"/>
      <c r="QHJ1100"/>
      <c r="QHM1100"/>
      <c r="QHN1100"/>
      <c r="QHQ1100"/>
      <c r="QHR1100"/>
      <c r="QHU1100"/>
      <c r="QHV1100"/>
      <c r="QHY1100"/>
      <c r="QHZ1100"/>
      <c r="QIC1100"/>
      <c r="QID1100"/>
      <c r="QIG1100"/>
      <c r="QIH1100"/>
      <c r="QIK1100"/>
      <c r="QIL1100"/>
      <c r="QIO1100"/>
      <c r="QIP1100"/>
      <c r="QIS1100"/>
      <c r="QIT1100"/>
      <c r="QIW1100"/>
      <c r="QIX1100"/>
      <c r="QJA1100"/>
      <c r="QJB1100"/>
      <c r="QJE1100"/>
      <c r="QJF1100"/>
      <c r="QJI1100"/>
      <c r="QJJ1100"/>
      <c r="QJM1100"/>
      <c r="QJN1100"/>
      <c r="QJQ1100"/>
      <c r="QJR1100"/>
      <c r="QJU1100"/>
      <c r="QJV1100"/>
      <c r="QJY1100"/>
      <c r="QJZ1100"/>
      <c r="QKC1100"/>
      <c r="QKD1100"/>
      <c r="QKG1100"/>
      <c r="QKH1100"/>
      <c r="QKK1100"/>
      <c r="QKL1100"/>
      <c r="QKO1100"/>
      <c r="QKP1100"/>
      <c r="QKS1100"/>
      <c r="QKT1100"/>
      <c r="QKW1100"/>
      <c r="QKX1100"/>
      <c r="QLA1100"/>
      <c r="QLB1100"/>
      <c r="QLE1100"/>
      <c r="QLF1100"/>
      <c r="QLI1100"/>
      <c r="QLJ1100"/>
      <c r="QLM1100"/>
      <c r="QLN1100"/>
      <c r="QLQ1100"/>
      <c r="QLR1100"/>
      <c r="QLU1100"/>
      <c r="QLV1100"/>
      <c r="QLY1100"/>
      <c r="QLZ1100"/>
      <c r="QMC1100"/>
      <c r="QMD1100"/>
      <c r="QMG1100"/>
      <c r="QMH1100"/>
      <c r="QMK1100"/>
      <c r="QML1100"/>
      <c r="QMO1100"/>
      <c r="QMP1100"/>
      <c r="QMS1100"/>
      <c r="QMT1100"/>
      <c r="QMW1100"/>
      <c r="QMX1100"/>
      <c r="QNA1100"/>
      <c r="QNB1100"/>
      <c r="QNE1100"/>
      <c r="QNF1100"/>
      <c r="QNI1100"/>
      <c r="QNJ1100"/>
      <c r="QNM1100"/>
      <c r="QNN1100"/>
      <c r="QNQ1100"/>
      <c r="QNR1100"/>
      <c r="QNU1100"/>
      <c r="QNV1100"/>
      <c r="QNY1100"/>
      <c r="QNZ1100"/>
      <c r="QOC1100"/>
      <c r="QOD1100"/>
      <c r="QOG1100"/>
      <c r="QOH1100"/>
      <c r="QOK1100"/>
      <c r="QOL1100"/>
      <c r="QOO1100"/>
      <c r="QOP1100"/>
      <c r="QOS1100"/>
      <c r="QOT1100"/>
      <c r="QOW1100"/>
      <c r="QOX1100"/>
      <c r="QPA1100"/>
      <c r="QPB1100"/>
      <c r="QPE1100"/>
      <c r="QPF1100"/>
      <c r="QPI1100"/>
      <c r="QPJ1100"/>
      <c r="QPM1100"/>
      <c r="QPN1100"/>
      <c r="QPQ1100"/>
      <c r="QPR1100"/>
      <c r="QPU1100"/>
      <c r="QPV1100"/>
      <c r="QPY1100"/>
      <c r="QPZ1100"/>
      <c r="QQC1100"/>
      <c r="QQD1100"/>
      <c r="QQG1100"/>
      <c r="QQH1100"/>
      <c r="QQK1100"/>
      <c r="QQL1100"/>
      <c r="QQO1100"/>
      <c r="QQP1100"/>
      <c r="QQS1100"/>
      <c r="QQT1100"/>
      <c r="QQW1100"/>
      <c r="QQX1100"/>
      <c r="QRA1100"/>
      <c r="QRB1100"/>
      <c r="QRE1100"/>
      <c r="QRF1100"/>
      <c r="QRI1100"/>
      <c r="QRJ1100"/>
      <c r="QRM1100"/>
      <c r="QRN1100"/>
      <c r="QRQ1100"/>
      <c r="QRR1100"/>
      <c r="QRU1100"/>
      <c r="QRV1100"/>
      <c r="QRY1100"/>
      <c r="QRZ1100"/>
      <c r="QSC1100"/>
      <c r="QSD1100"/>
      <c r="QSG1100"/>
      <c r="QSH1100"/>
      <c r="QSK1100"/>
      <c r="QSL1100"/>
      <c r="QSO1100"/>
      <c r="QSP1100"/>
      <c r="QSS1100"/>
      <c r="QST1100"/>
      <c r="QSW1100"/>
      <c r="QSX1100"/>
      <c r="QTA1100"/>
      <c r="QTB1100"/>
      <c r="QTE1100"/>
      <c r="QTF1100"/>
      <c r="QTI1100"/>
      <c r="QTJ1100"/>
      <c r="QTM1100"/>
      <c r="QTN1100"/>
      <c r="QTQ1100"/>
      <c r="QTR1100"/>
      <c r="QTU1100"/>
      <c r="QTV1100"/>
      <c r="QTY1100"/>
      <c r="QTZ1100"/>
      <c r="QUC1100"/>
      <c r="QUD1100"/>
      <c r="QUG1100"/>
      <c r="QUH1100"/>
      <c r="QUK1100"/>
      <c r="QUL1100"/>
      <c r="QUO1100"/>
      <c r="QUP1100"/>
      <c r="QUS1100"/>
      <c r="QUT1100"/>
      <c r="QUW1100"/>
      <c r="QUX1100"/>
      <c r="QVA1100"/>
      <c r="QVB1100"/>
      <c r="QVE1100"/>
      <c r="QVF1100"/>
      <c r="QVI1100"/>
      <c r="QVJ1100"/>
      <c r="QVM1100"/>
      <c r="QVN1100"/>
      <c r="QVQ1100"/>
      <c r="QVR1100"/>
      <c r="QVU1100"/>
      <c r="QVV1100"/>
      <c r="QVY1100"/>
      <c r="QVZ1100"/>
      <c r="QWC1100"/>
      <c r="QWD1100"/>
      <c r="QWG1100"/>
      <c r="QWH1100"/>
      <c r="QWK1100"/>
      <c r="QWL1100"/>
      <c r="QWO1100"/>
      <c r="QWP1100"/>
      <c r="QWS1100"/>
      <c r="QWT1100"/>
      <c r="QWW1100"/>
      <c r="QWX1100"/>
      <c r="QXA1100"/>
      <c r="QXB1100"/>
      <c r="QXE1100"/>
      <c r="QXF1100"/>
      <c r="QXI1100"/>
      <c r="QXJ1100"/>
      <c r="QXM1100"/>
      <c r="QXN1100"/>
      <c r="QXQ1100"/>
      <c r="QXR1100"/>
      <c r="QXU1100"/>
      <c r="QXV1100"/>
      <c r="QXY1100"/>
      <c r="QXZ1100"/>
      <c r="QYC1100"/>
      <c r="QYD1100"/>
      <c r="QYG1100"/>
      <c r="QYH1100"/>
      <c r="QYK1100"/>
      <c r="QYL1100"/>
      <c r="QYO1100"/>
      <c r="QYP1100"/>
      <c r="QYS1100"/>
      <c r="QYT1100"/>
      <c r="QYW1100"/>
      <c r="QYX1100"/>
      <c r="QZA1100"/>
      <c r="QZB1100"/>
      <c r="QZE1100"/>
      <c r="QZF1100"/>
      <c r="QZI1100"/>
      <c r="QZJ1100"/>
      <c r="QZM1100"/>
      <c r="QZN1100"/>
      <c r="QZQ1100"/>
      <c r="QZR1100"/>
      <c r="QZU1100"/>
      <c r="QZV1100"/>
      <c r="QZY1100"/>
      <c r="QZZ1100"/>
      <c r="RAC1100"/>
      <c r="RAD1100"/>
      <c r="RAG1100"/>
      <c r="RAH1100"/>
      <c r="RAK1100"/>
      <c r="RAL1100"/>
      <c r="RAO1100"/>
      <c r="RAP1100"/>
      <c r="RAS1100"/>
      <c r="RAT1100"/>
      <c r="RAW1100"/>
      <c r="RAX1100"/>
      <c r="RBA1100"/>
      <c r="RBB1100"/>
      <c r="RBE1100"/>
      <c r="RBF1100"/>
      <c r="RBI1100"/>
      <c r="RBJ1100"/>
      <c r="RBM1100"/>
      <c r="RBN1100"/>
      <c r="RBQ1100"/>
      <c r="RBR1100"/>
      <c r="RBU1100"/>
      <c r="RBV1100"/>
      <c r="RBY1100"/>
      <c r="RBZ1100"/>
      <c r="RCC1100"/>
      <c r="RCD1100"/>
      <c r="RCG1100"/>
      <c r="RCH1100"/>
      <c r="RCK1100"/>
      <c r="RCL1100"/>
      <c r="RCO1100"/>
      <c r="RCP1100"/>
      <c r="RCS1100"/>
      <c r="RCT1100"/>
      <c r="RCW1100"/>
      <c r="RCX1100"/>
      <c r="RDA1100"/>
      <c r="RDB1100"/>
      <c r="RDE1100"/>
      <c r="RDF1100"/>
      <c r="RDI1100"/>
      <c r="RDJ1100"/>
      <c r="RDM1100"/>
      <c r="RDN1100"/>
      <c r="RDQ1100"/>
      <c r="RDR1100"/>
      <c r="RDU1100"/>
      <c r="RDV1100"/>
      <c r="RDY1100"/>
      <c r="RDZ1100"/>
      <c r="REC1100"/>
      <c r="RED1100"/>
      <c r="REG1100"/>
      <c r="REH1100"/>
      <c r="REK1100"/>
      <c r="REL1100"/>
      <c r="REO1100"/>
      <c r="REP1100"/>
      <c r="RES1100"/>
      <c r="RET1100"/>
      <c r="REW1100"/>
      <c r="REX1100"/>
      <c r="RFA1100"/>
      <c r="RFB1100"/>
      <c r="RFE1100"/>
      <c r="RFF1100"/>
      <c r="RFI1100"/>
      <c r="RFJ1100"/>
      <c r="RFM1100"/>
      <c r="RFN1100"/>
      <c r="RFQ1100"/>
      <c r="RFR1100"/>
      <c r="RFU1100"/>
      <c r="RFV1100"/>
      <c r="RFY1100"/>
      <c r="RFZ1100"/>
      <c r="RGC1100"/>
      <c r="RGD1100"/>
      <c r="RGG1100"/>
      <c r="RGH1100"/>
      <c r="RGK1100"/>
      <c r="RGL1100"/>
      <c r="RGO1100"/>
      <c r="RGP1100"/>
      <c r="RGS1100"/>
      <c r="RGT1100"/>
      <c r="RGW1100"/>
      <c r="RGX1100"/>
      <c r="RHA1100"/>
      <c r="RHB1100"/>
      <c r="RHE1100"/>
      <c r="RHF1100"/>
      <c r="RHI1100"/>
      <c r="RHJ1100"/>
      <c r="RHM1100"/>
      <c r="RHN1100"/>
      <c r="RHQ1100"/>
      <c r="RHR1100"/>
      <c r="RHU1100"/>
      <c r="RHV1100"/>
      <c r="RHY1100"/>
      <c r="RHZ1100"/>
      <c r="RIC1100"/>
      <c r="RID1100"/>
      <c r="RIG1100"/>
      <c r="RIH1100"/>
      <c r="RIK1100"/>
      <c r="RIL1100"/>
      <c r="RIO1100"/>
      <c r="RIP1100"/>
      <c r="RIS1100"/>
      <c r="RIT1100"/>
      <c r="RIW1100"/>
      <c r="RIX1100"/>
      <c r="RJA1100"/>
      <c r="RJB1100"/>
      <c r="RJE1100"/>
      <c r="RJF1100"/>
      <c r="RJI1100"/>
      <c r="RJJ1100"/>
      <c r="RJM1100"/>
      <c r="RJN1100"/>
      <c r="RJQ1100"/>
      <c r="RJR1100"/>
      <c r="RJU1100"/>
      <c r="RJV1100"/>
      <c r="RJY1100"/>
      <c r="RJZ1100"/>
      <c r="RKC1100"/>
      <c r="RKD1100"/>
      <c r="RKG1100"/>
      <c r="RKH1100"/>
      <c r="RKK1100"/>
      <c r="RKL1100"/>
      <c r="RKO1100"/>
      <c r="RKP1100"/>
      <c r="RKS1100"/>
      <c r="RKT1100"/>
      <c r="RKW1100"/>
      <c r="RKX1100"/>
      <c r="RLA1100"/>
      <c r="RLB1100"/>
      <c r="RLE1100"/>
      <c r="RLF1100"/>
      <c r="RLI1100"/>
      <c r="RLJ1100"/>
      <c r="RLM1100"/>
      <c r="RLN1100"/>
      <c r="RLQ1100"/>
      <c r="RLR1100"/>
      <c r="RLU1100"/>
      <c r="RLV1100"/>
      <c r="RLY1100"/>
      <c r="RLZ1100"/>
      <c r="RMC1100"/>
      <c r="RMD1100"/>
      <c r="RMG1100"/>
      <c r="RMH1100"/>
      <c r="RMK1100"/>
      <c r="RML1100"/>
      <c r="RMO1100"/>
      <c r="RMP1100"/>
      <c r="RMS1100"/>
      <c r="RMT1100"/>
      <c r="RMW1100"/>
      <c r="RMX1100"/>
      <c r="RNA1100"/>
      <c r="RNB1100"/>
      <c r="RNE1100"/>
      <c r="RNF1100"/>
      <c r="RNI1100"/>
      <c r="RNJ1100"/>
      <c r="RNM1100"/>
      <c r="RNN1100"/>
      <c r="RNQ1100"/>
      <c r="RNR1100"/>
      <c r="RNU1100"/>
      <c r="RNV1100"/>
      <c r="RNY1100"/>
      <c r="RNZ1100"/>
      <c r="ROC1100"/>
      <c r="ROD1100"/>
      <c r="ROG1100"/>
      <c r="ROH1100"/>
      <c r="ROK1100"/>
      <c r="ROL1100"/>
      <c r="ROO1100"/>
      <c r="ROP1100"/>
      <c r="ROS1100"/>
      <c r="ROT1100"/>
      <c r="ROW1100"/>
      <c r="ROX1100"/>
      <c r="RPA1100"/>
      <c r="RPB1100"/>
      <c r="RPE1100"/>
      <c r="RPF1100"/>
      <c r="RPI1100"/>
      <c r="RPJ1100"/>
      <c r="RPM1100"/>
      <c r="RPN1100"/>
      <c r="RPQ1100"/>
      <c r="RPR1100"/>
      <c r="RPU1100"/>
      <c r="RPV1100"/>
      <c r="RPY1100"/>
      <c r="RPZ1100"/>
      <c r="RQC1100"/>
      <c r="RQD1100"/>
      <c r="RQG1100"/>
      <c r="RQH1100"/>
      <c r="RQK1100"/>
      <c r="RQL1100"/>
      <c r="RQO1100"/>
      <c r="RQP1100"/>
      <c r="RQS1100"/>
      <c r="RQT1100"/>
      <c r="RQW1100"/>
      <c r="RQX1100"/>
      <c r="RRA1100"/>
      <c r="RRB1100"/>
      <c r="RRE1100"/>
      <c r="RRF1100"/>
      <c r="RRI1100"/>
      <c r="RRJ1100"/>
      <c r="RRM1100"/>
      <c r="RRN1100"/>
      <c r="RRQ1100"/>
      <c r="RRR1100"/>
      <c r="RRU1100"/>
      <c r="RRV1100"/>
      <c r="RRY1100"/>
      <c r="RRZ1100"/>
      <c r="RSC1100"/>
      <c r="RSD1100"/>
      <c r="RSG1100"/>
      <c r="RSH1100"/>
      <c r="RSK1100"/>
      <c r="RSL1100"/>
      <c r="RSO1100"/>
      <c r="RSP1100"/>
      <c r="RSS1100"/>
      <c r="RST1100"/>
      <c r="RSW1100"/>
      <c r="RSX1100"/>
      <c r="RTA1100"/>
      <c r="RTB1100"/>
      <c r="RTE1100"/>
      <c r="RTF1100"/>
      <c r="RTI1100"/>
      <c r="RTJ1100"/>
      <c r="RTM1100"/>
      <c r="RTN1100"/>
      <c r="RTQ1100"/>
      <c r="RTR1100"/>
      <c r="RTU1100"/>
      <c r="RTV1100"/>
      <c r="RTY1100"/>
      <c r="RTZ1100"/>
      <c r="RUC1100"/>
      <c r="RUD1100"/>
      <c r="RUG1100"/>
      <c r="RUH1100"/>
      <c r="RUK1100"/>
      <c r="RUL1100"/>
      <c r="RUO1100"/>
      <c r="RUP1100"/>
      <c r="RUS1100"/>
      <c r="RUT1100"/>
      <c r="RUW1100"/>
      <c r="RUX1100"/>
      <c r="RVA1100"/>
      <c r="RVB1100"/>
      <c r="RVE1100"/>
      <c r="RVF1100"/>
      <c r="RVI1100"/>
      <c r="RVJ1100"/>
      <c r="RVM1100"/>
      <c r="RVN1100"/>
      <c r="RVQ1100"/>
      <c r="RVR1100"/>
      <c r="RVU1100"/>
      <c r="RVV1100"/>
      <c r="RVY1100"/>
      <c r="RVZ1100"/>
      <c r="RWC1100"/>
      <c r="RWD1100"/>
      <c r="RWG1100"/>
      <c r="RWH1100"/>
      <c r="RWK1100"/>
      <c r="RWL1100"/>
      <c r="RWO1100"/>
      <c r="RWP1100"/>
      <c r="RWS1100"/>
      <c r="RWT1100"/>
      <c r="RWW1100"/>
      <c r="RWX1100"/>
      <c r="RXA1100"/>
      <c r="RXB1100"/>
      <c r="RXE1100"/>
      <c r="RXF1100"/>
      <c r="RXI1100"/>
      <c r="RXJ1100"/>
      <c r="RXM1100"/>
      <c r="RXN1100"/>
      <c r="RXQ1100"/>
      <c r="RXR1100"/>
      <c r="RXU1100"/>
      <c r="RXV1100"/>
      <c r="RXY1100"/>
      <c r="RXZ1100"/>
      <c r="RYC1100"/>
      <c r="RYD1100"/>
      <c r="RYG1100"/>
      <c r="RYH1100"/>
      <c r="RYK1100"/>
      <c r="RYL1100"/>
      <c r="RYO1100"/>
      <c r="RYP1100"/>
      <c r="RYS1100"/>
      <c r="RYT1100"/>
      <c r="RYW1100"/>
      <c r="RYX1100"/>
      <c r="RZA1100"/>
      <c r="RZB1100"/>
      <c r="RZE1100"/>
      <c r="RZF1100"/>
      <c r="RZI1100"/>
      <c r="RZJ1100"/>
      <c r="RZM1100"/>
      <c r="RZN1100"/>
      <c r="RZQ1100"/>
      <c r="RZR1100"/>
      <c r="RZU1100"/>
      <c r="RZV1100"/>
      <c r="RZY1100"/>
      <c r="RZZ1100"/>
      <c r="SAC1100"/>
      <c r="SAD1100"/>
      <c r="SAG1100"/>
      <c r="SAH1100"/>
      <c r="SAK1100"/>
      <c r="SAL1100"/>
      <c r="SAO1100"/>
      <c r="SAP1100"/>
      <c r="SAS1100"/>
      <c r="SAT1100"/>
      <c r="SAW1100"/>
      <c r="SAX1100"/>
      <c r="SBA1100"/>
      <c r="SBB1100"/>
      <c r="SBE1100"/>
      <c r="SBF1100"/>
      <c r="SBI1100"/>
      <c r="SBJ1100"/>
      <c r="SBM1100"/>
      <c r="SBN1100"/>
      <c r="SBQ1100"/>
      <c r="SBR1100"/>
      <c r="SBU1100"/>
      <c r="SBV1100"/>
      <c r="SBY1100"/>
      <c r="SBZ1100"/>
      <c r="SCC1100"/>
      <c r="SCD1100"/>
      <c r="SCG1100"/>
      <c r="SCH1100"/>
      <c r="SCK1100"/>
      <c r="SCL1100"/>
      <c r="SCO1100"/>
      <c r="SCP1100"/>
      <c r="SCS1100"/>
      <c r="SCT1100"/>
      <c r="SCW1100"/>
      <c r="SCX1100"/>
      <c r="SDA1100"/>
      <c r="SDB1100"/>
      <c r="SDE1100"/>
      <c r="SDF1100"/>
      <c r="SDI1100"/>
      <c r="SDJ1100"/>
      <c r="SDM1100"/>
      <c r="SDN1100"/>
      <c r="SDQ1100"/>
      <c r="SDR1100"/>
      <c r="SDU1100"/>
      <c r="SDV1100"/>
      <c r="SDY1100"/>
      <c r="SDZ1100"/>
      <c r="SEC1100"/>
      <c r="SED1100"/>
      <c r="SEG1100"/>
      <c r="SEH1100"/>
      <c r="SEK1100"/>
      <c r="SEL1100"/>
      <c r="SEO1100"/>
      <c r="SEP1100"/>
      <c r="SES1100"/>
      <c r="SET1100"/>
      <c r="SEW1100"/>
      <c r="SEX1100"/>
      <c r="SFA1100"/>
      <c r="SFB1100"/>
      <c r="SFE1100"/>
      <c r="SFF1100"/>
      <c r="SFI1100"/>
      <c r="SFJ1100"/>
      <c r="SFM1100"/>
      <c r="SFN1100"/>
      <c r="SFQ1100"/>
      <c r="SFR1100"/>
      <c r="SFU1100"/>
      <c r="SFV1100"/>
      <c r="SFY1100"/>
      <c r="SFZ1100"/>
      <c r="SGC1100"/>
      <c r="SGD1100"/>
      <c r="SGG1100"/>
      <c r="SGH1100"/>
      <c r="SGK1100"/>
      <c r="SGL1100"/>
      <c r="SGO1100"/>
      <c r="SGP1100"/>
      <c r="SGS1100"/>
      <c r="SGT1100"/>
      <c r="SGW1100"/>
      <c r="SGX1100"/>
      <c r="SHA1100"/>
      <c r="SHB1100"/>
      <c r="SHE1100"/>
      <c r="SHF1100"/>
      <c r="SHI1100"/>
      <c r="SHJ1100"/>
      <c r="SHM1100"/>
      <c r="SHN1100"/>
      <c r="SHQ1100"/>
      <c r="SHR1100"/>
      <c r="SHU1100"/>
      <c r="SHV1100"/>
      <c r="SHY1100"/>
      <c r="SHZ1100"/>
      <c r="SIC1100"/>
      <c r="SID1100"/>
      <c r="SIG1100"/>
      <c r="SIH1100"/>
      <c r="SIK1100"/>
      <c r="SIL1100"/>
      <c r="SIO1100"/>
      <c r="SIP1100"/>
      <c r="SIS1100"/>
      <c r="SIT1100"/>
      <c r="SIW1100"/>
      <c r="SIX1100"/>
      <c r="SJA1100"/>
      <c r="SJB1100"/>
      <c r="SJE1100"/>
      <c r="SJF1100"/>
      <c r="SJI1100"/>
      <c r="SJJ1100"/>
      <c r="SJM1100"/>
      <c r="SJN1100"/>
      <c r="SJQ1100"/>
      <c r="SJR1100"/>
      <c r="SJU1100"/>
      <c r="SJV1100"/>
      <c r="SJY1100"/>
      <c r="SJZ1100"/>
      <c r="SKC1100"/>
      <c r="SKD1100"/>
      <c r="SKG1100"/>
      <c r="SKH1100"/>
      <c r="SKK1100"/>
      <c r="SKL1100"/>
      <c r="SKO1100"/>
      <c r="SKP1100"/>
      <c r="SKS1100"/>
      <c r="SKT1100"/>
      <c r="SKW1100"/>
      <c r="SKX1100"/>
      <c r="SLA1100"/>
      <c r="SLB1100"/>
      <c r="SLE1100"/>
      <c r="SLF1100"/>
      <c r="SLI1100"/>
      <c r="SLJ1100"/>
      <c r="SLM1100"/>
      <c r="SLN1100"/>
      <c r="SLQ1100"/>
      <c r="SLR1100"/>
      <c r="SLU1100"/>
      <c r="SLV1100"/>
      <c r="SLY1100"/>
      <c r="SLZ1100"/>
      <c r="SMC1100"/>
      <c r="SMD1100"/>
      <c r="SMG1100"/>
      <c r="SMH1100"/>
      <c r="SMK1100"/>
      <c r="SML1100"/>
      <c r="SMO1100"/>
      <c r="SMP1100"/>
      <c r="SMS1100"/>
      <c r="SMT1100"/>
      <c r="SMW1100"/>
      <c r="SMX1100"/>
      <c r="SNA1100"/>
      <c r="SNB1100"/>
      <c r="SNE1100"/>
      <c r="SNF1100"/>
      <c r="SNI1100"/>
      <c r="SNJ1100"/>
      <c r="SNM1100"/>
      <c r="SNN1100"/>
      <c r="SNQ1100"/>
      <c r="SNR1100"/>
      <c r="SNU1100"/>
      <c r="SNV1100"/>
      <c r="SNY1100"/>
      <c r="SNZ1100"/>
      <c r="SOC1100"/>
      <c r="SOD1100"/>
      <c r="SOG1100"/>
      <c r="SOH1100"/>
      <c r="SOK1100"/>
      <c r="SOL1100"/>
      <c r="SOO1100"/>
      <c r="SOP1100"/>
      <c r="SOS1100"/>
      <c r="SOT1100"/>
      <c r="SOW1100"/>
      <c r="SOX1100"/>
      <c r="SPA1100"/>
      <c r="SPB1100"/>
      <c r="SPE1100"/>
      <c r="SPF1100"/>
      <c r="SPI1100"/>
      <c r="SPJ1100"/>
      <c r="SPM1100"/>
      <c r="SPN1100"/>
      <c r="SPQ1100"/>
      <c r="SPR1100"/>
      <c r="SPU1100"/>
      <c r="SPV1100"/>
      <c r="SPY1100"/>
      <c r="SPZ1100"/>
      <c r="SQC1100"/>
      <c r="SQD1100"/>
      <c r="SQG1100"/>
      <c r="SQH1100"/>
      <c r="SQK1100"/>
      <c r="SQL1100"/>
      <c r="SQO1100"/>
      <c r="SQP1100"/>
      <c r="SQS1100"/>
      <c r="SQT1100"/>
      <c r="SQW1100"/>
      <c r="SQX1100"/>
      <c r="SRA1100"/>
      <c r="SRB1100"/>
      <c r="SRE1100"/>
      <c r="SRF1100"/>
      <c r="SRI1100"/>
      <c r="SRJ1100"/>
      <c r="SRM1100"/>
      <c r="SRN1100"/>
      <c r="SRQ1100"/>
      <c r="SRR1100"/>
      <c r="SRU1100"/>
      <c r="SRV1100"/>
      <c r="SRY1100"/>
      <c r="SRZ1100"/>
      <c r="SSC1100"/>
      <c r="SSD1100"/>
      <c r="SSG1100"/>
      <c r="SSH1100"/>
      <c r="SSK1100"/>
      <c r="SSL1100"/>
      <c r="SSO1100"/>
      <c r="SSP1100"/>
      <c r="SSS1100"/>
      <c r="SST1100"/>
      <c r="SSW1100"/>
      <c r="SSX1100"/>
      <c r="STA1100"/>
      <c r="STB1100"/>
      <c r="STE1100"/>
      <c r="STF1100"/>
      <c r="STI1100"/>
      <c r="STJ1100"/>
      <c r="STM1100"/>
      <c r="STN1100"/>
      <c r="STQ1100"/>
      <c r="STR1100"/>
      <c r="STU1100"/>
      <c r="STV1100"/>
      <c r="STY1100"/>
      <c r="STZ1100"/>
      <c r="SUC1100"/>
      <c r="SUD1100"/>
      <c r="SUG1100"/>
      <c r="SUH1100"/>
      <c r="SUK1100"/>
      <c r="SUL1100"/>
      <c r="SUO1100"/>
      <c r="SUP1100"/>
      <c r="SUS1100"/>
      <c r="SUT1100"/>
      <c r="SUW1100"/>
      <c r="SUX1100"/>
      <c r="SVA1100"/>
      <c r="SVB1100"/>
      <c r="SVE1100"/>
      <c r="SVF1100"/>
      <c r="SVI1100"/>
      <c r="SVJ1100"/>
      <c r="SVM1100"/>
      <c r="SVN1100"/>
      <c r="SVQ1100"/>
      <c r="SVR1100"/>
      <c r="SVU1100"/>
      <c r="SVV1100"/>
      <c r="SVY1100"/>
      <c r="SVZ1100"/>
      <c r="SWC1100"/>
      <c r="SWD1100"/>
      <c r="SWG1100"/>
      <c r="SWH1100"/>
      <c r="SWK1100"/>
      <c r="SWL1100"/>
      <c r="SWO1100"/>
      <c r="SWP1100"/>
      <c r="SWS1100"/>
      <c r="SWT1100"/>
      <c r="SWW1100"/>
      <c r="SWX1100"/>
      <c r="SXA1100"/>
      <c r="SXB1100"/>
      <c r="SXE1100"/>
      <c r="SXF1100"/>
      <c r="SXI1100"/>
      <c r="SXJ1100"/>
      <c r="SXM1100"/>
      <c r="SXN1100"/>
      <c r="SXQ1100"/>
      <c r="SXR1100"/>
      <c r="SXU1100"/>
      <c r="SXV1100"/>
      <c r="SXY1100"/>
      <c r="SXZ1100"/>
      <c r="SYC1100"/>
      <c r="SYD1100"/>
      <c r="SYG1100"/>
      <c r="SYH1100"/>
      <c r="SYK1100"/>
      <c r="SYL1100"/>
      <c r="SYO1100"/>
      <c r="SYP1100"/>
      <c r="SYS1100"/>
      <c r="SYT1100"/>
      <c r="SYW1100"/>
      <c r="SYX1100"/>
      <c r="SZA1100"/>
      <c r="SZB1100"/>
      <c r="SZE1100"/>
      <c r="SZF1100"/>
      <c r="SZI1100"/>
      <c r="SZJ1100"/>
      <c r="SZM1100"/>
      <c r="SZN1100"/>
      <c r="SZQ1100"/>
      <c r="SZR1100"/>
      <c r="SZU1100"/>
      <c r="SZV1100"/>
      <c r="SZY1100"/>
      <c r="SZZ1100"/>
      <c r="TAC1100"/>
      <c r="TAD1100"/>
      <c r="TAG1100"/>
      <c r="TAH1100"/>
      <c r="TAK1100"/>
      <c r="TAL1100"/>
      <c r="TAO1100"/>
      <c r="TAP1100"/>
      <c r="TAS1100"/>
      <c r="TAT1100"/>
      <c r="TAW1100"/>
      <c r="TAX1100"/>
      <c r="TBA1100"/>
      <c r="TBB1100"/>
      <c r="TBE1100"/>
      <c r="TBF1100"/>
      <c r="TBI1100"/>
      <c r="TBJ1100"/>
      <c r="TBM1100"/>
      <c r="TBN1100"/>
      <c r="TBQ1100"/>
      <c r="TBR1100"/>
      <c r="TBU1100"/>
      <c r="TBV1100"/>
      <c r="TBY1100"/>
      <c r="TBZ1100"/>
      <c r="TCC1100"/>
      <c r="TCD1100"/>
      <c r="TCG1100"/>
      <c r="TCH1100"/>
      <c r="TCK1100"/>
      <c r="TCL1100"/>
      <c r="TCO1100"/>
      <c r="TCP1100"/>
      <c r="TCS1100"/>
      <c r="TCT1100"/>
      <c r="TCW1100"/>
      <c r="TCX1100"/>
      <c r="TDA1100"/>
      <c r="TDB1100"/>
      <c r="TDE1100"/>
      <c r="TDF1100"/>
      <c r="TDI1100"/>
      <c r="TDJ1100"/>
      <c r="TDM1100"/>
      <c r="TDN1100"/>
      <c r="TDQ1100"/>
      <c r="TDR1100"/>
      <c r="TDU1100"/>
      <c r="TDV1100"/>
      <c r="TDY1100"/>
      <c r="TDZ1100"/>
      <c r="TEC1100"/>
      <c r="TED1100"/>
      <c r="TEG1100"/>
      <c r="TEH1100"/>
      <c r="TEK1100"/>
      <c r="TEL1100"/>
      <c r="TEO1100"/>
      <c r="TEP1100"/>
      <c r="TES1100"/>
      <c r="TET1100"/>
      <c r="TEW1100"/>
      <c r="TEX1100"/>
      <c r="TFA1100"/>
      <c r="TFB1100"/>
      <c r="TFE1100"/>
      <c r="TFF1100"/>
      <c r="TFI1100"/>
      <c r="TFJ1100"/>
      <c r="TFM1100"/>
      <c r="TFN1100"/>
      <c r="TFQ1100"/>
      <c r="TFR1100"/>
      <c r="TFU1100"/>
      <c r="TFV1100"/>
      <c r="TFY1100"/>
      <c r="TFZ1100"/>
      <c r="TGC1100"/>
      <c r="TGD1100"/>
      <c r="TGG1100"/>
      <c r="TGH1100"/>
      <c r="TGK1100"/>
      <c r="TGL1100"/>
      <c r="TGO1100"/>
      <c r="TGP1100"/>
      <c r="TGS1100"/>
      <c r="TGT1100"/>
      <c r="TGW1100"/>
      <c r="TGX1100"/>
      <c r="THA1100"/>
      <c r="THB1100"/>
      <c r="THE1100"/>
      <c r="THF1100"/>
      <c r="THI1100"/>
      <c r="THJ1100"/>
      <c r="THM1100"/>
      <c r="THN1100"/>
      <c r="THQ1100"/>
      <c r="THR1100"/>
      <c r="THU1100"/>
      <c r="THV1100"/>
      <c r="THY1100"/>
      <c r="THZ1100"/>
      <c r="TIC1100"/>
      <c r="TID1100"/>
      <c r="TIG1100"/>
      <c r="TIH1100"/>
      <c r="TIK1100"/>
      <c r="TIL1100"/>
      <c r="TIO1100"/>
      <c r="TIP1100"/>
      <c r="TIS1100"/>
      <c r="TIT1100"/>
      <c r="TIW1100"/>
      <c r="TIX1100"/>
      <c r="TJA1100"/>
      <c r="TJB1100"/>
      <c r="TJE1100"/>
      <c r="TJF1100"/>
      <c r="TJI1100"/>
      <c r="TJJ1100"/>
      <c r="TJM1100"/>
      <c r="TJN1100"/>
      <c r="TJQ1100"/>
      <c r="TJR1100"/>
      <c r="TJU1100"/>
      <c r="TJV1100"/>
      <c r="TJY1100"/>
      <c r="TJZ1100"/>
      <c r="TKC1100"/>
      <c r="TKD1100"/>
      <c r="TKG1100"/>
      <c r="TKH1100"/>
      <c r="TKK1100"/>
      <c r="TKL1100"/>
      <c r="TKO1100"/>
      <c r="TKP1100"/>
      <c r="TKS1100"/>
      <c r="TKT1100"/>
      <c r="TKW1100"/>
      <c r="TKX1100"/>
      <c r="TLA1100"/>
      <c r="TLB1100"/>
      <c r="TLE1100"/>
      <c r="TLF1100"/>
      <c r="TLI1100"/>
      <c r="TLJ1100"/>
      <c r="TLM1100"/>
      <c r="TLN1100"/>
      <c r="TLQ1100"/>
      <c r="TLR1100"/>
      <c r="TLU1100"/>
      <c r="TLV1100"/>
      <c r="TLY1100"/>
      <c r="TLZ1100"/>
      <c r="TMC1100"/>
      <c r="TMD1100"/>
      <c r="TMG1100"/>
      <c r="TMH1100"/>
      <c r="TMK1100"/>
      <c r="TML1100"/>
      <c r="TMO1100"/>
      <c r="TMP1100"/>
      <c r="TMS1100"/>
      <c r="TMT1100"/>
      <c r="TMW1100"/>
      <c r="TMX1100"/>
      <c r="TNA1100"/>
      <c r="TNB1100"/>
      <c r="TNE1100"/>
      <c r="TNF1100"/>
      <c r="TNI1100"/>
      <c r="TNJ1100"/>
      <c r="TNM1100"/>
      <c r="TNN1100"/>
      <c r="TNQ1100"/>
      <c r="TNR1100"/>
      <c r="TNU1100"/>
      <c r="TNV1100"/>
      <c r="TNY1100"/>
      <c r="TNZ1100"/>
      <c r="TOC1100"/>
      <c r="TOD1100"/>
      <c r="TOG1100"/>
      <c r="TOH1100"/>
      <c r="TOK1100"/>
      <c r="TOL1100"/>
      <c r="TOO1100"/>
      <c r="TOP1100"/>
      <c r="TOS1100"/>
      <c r="TOT1100"/>
      <c r="TOW1100"/>
      <c r="TOX1100"/>
      <c r="TPA1100"/>
      <c r="TPB1100"/>
      <c r="TPE1100"/>
      <c r="TPF1100"/>
      <c r="TPI1100"/>
      <c r="TPJ1100"/>
      <c r="TPM1100"/>
      <c r="TPN1100"/>
      <c r="TPQ1100"/>
      <c r="TPR1100"/>
      <c r="TPU1100"/>
      <c r="TPV1100"/>
      <c r="TPY1100"/>
      <c r="TPZ1100"/>
      <c r="TQC1100"/>
      <c r="TQD1100"/>
      <c r="TQG1100"/>
      <c r="TQH1100"/>
      <c r="TQK1100"/>
      <c r="TQL1100"/>
      <c r="TQO1100"/>
      <c r="TQP1100"/>
      <c r="TQS1100"/>
      <c r="TQT1100"/>
      <c r="TQW1100"/>
      <c r="TQX1100"/>
      <c r="TRA1100"/>
      <c r="TRB1100"/>
      <c r="TRE1100"/>
      <c r="TRF1100"/>
      <c r="TRI1100"/>
      <c r="TRJ1100"/>
      <c r="TRM1100"/>
      <c r="TRN1100"/>
      <c r="TRQ1100"/>
      <c r="TRR1100"/>
      <c r="TRU1100"/>
      <c r="TRV1100"/>
      <c r="TRY1100"/>
      <c r="TRZ1100"/>
      <c r="TSC1100"/>
      <c r="TSD1100"/>
      <c r="TSG1100"/>
      <c r="TSH1100"/>
      <c r="TSK1100"/>
      <c r="TSL1100"/>
      <c r="TSO1100"/>
      <c r="TSP1100"/>
      <c r="TSS1100"/>
      <c r="TST1100"/>
      <c r="TSW1100"/>
      <c r="TSX1100"/>
      <c r="TTA1100"/>
      <c r="TTB1100"/>
      <c r="TTE1100"/>
      <c r="TTF1100"/>
      <c r="TTI1100"/>
      <c r="TTJ1100"/>
      <c r="TTM1100"/>
      <c r="TTN1100"/>
      <c r="TTQ1100"/>
      <c r="TTR1100"/>
      <c r="TTU1100"/>
      <c r="TTV1100"/>
      <c r="TTY1100"/>
      <c r="TTZ1100"/>
      <c r="TUC1100"/>
      <c r="TUD1100"/>
      <c r="TUG1100"/>
      <c r="TUH1100"/>
      <c r="TUK1100"/>
      <c r="TUL1100"/>
      <c r="TUO1100"/>
      <c r="TUP1100"/>
      <c r="TUS1100"/>
      <c r="TUT1100"/>
      <c r="TUW1100"/>
      <c r="TUX1100"/>
      <c r="TVA1100"/>
      <c r="TVB1100"/>
      <c r="TVE1100"/>
      <c r="TVF1100"/>
      <c r="TVI1100"/>
      <c r="TVJ1100"/>
      <c r="TVM1100"/>
      <c r="TVN1100"/>
      <c r="TVQ1100"/>
      <c r="TVR1100"/>
      <c r="TVU1100"/>
      <c r="TVV1100"/>
      <c r="TVY1100"/>
      <c r="TVZ1100"/>
      <c r="TWC1100"/>
      <c r="TWD1100"/>
      <c r="TWG1100"/>
      <c r="TWH1100"/>
      <c r="TWK1100"/>
      <c r="TWL1100"/>
      <c r="TWO1100"/>
      <c r="TWP1100"/>
      <c r="TWS1100"/>
      <c r="TWT1100"/>
      <c r="TWW1100"/>
      <c r="TWX1100"/>
      <c r="TXA1100"/>
      <c r="TXB1100"/>
      <c r="TXE1100"/>
      <c r="TXF1100"/>
      <c r="TXI1100"/>
      <c r="TXJ1100"/>
      <c r="TXM1100"/>
      <c r="TXN1100"/>
      <c r="TXQ1100"/>
      <c r="TXR1100"/>
      <c r="TXU1100"/>
      <c r="TXV1100"/>
      <c r="TXY1100"/>
      <c r="TXZ1100"/>
      <c r="TYC1100"/>
      <c r="TYD1100"/>
      <c r="TYG1100"/>
      <c r="TYH1100"/>
      <c r="TYK1100"/>
      <c r="TYL1100"/>
      <c r="TYO1100"/>
      <c r="TYP1100"/>
      <c r="TYS1100"/>
      <c r="TYT1100"/>
      <c r="TYW1100"/>
      <c r="TYX1100"/>
      <c r="TZA1100"/>
      <c r="TZB1100"/>
      <c r="TZE1100"/>
      <c r="TZF1100"/>
      <c r="TZI1100"/>
      <c r="TZJ1100"/>
      <c r="TZM1100"/>
      <c r="TZN1100"/>
      <c r="TZQ1100"/>
      <c r="TZR1100"/>
      <c r="TZU1100"/>
      <c r="TZV1100"/>
      <c r="TZY1100"/>
      <c r="TZZ1100"/>
      <c r="UAC1100"/>
      <c r="UAD1100"/>
      <c r="UAG1100"/>
      <c r="UAH1100"/>
      <c r="UAK1100"/>
      <c r="UAL1100"/>
      <c r="UAO1100"/>
      <c r="UAP1100"/>
      <c r="UAS1100"/>
      <c r="UAT1100"/>
      <c r="UAW1100"/>
      <c r="UAX1100"/>
      <c r="UBA1100"/>
      <c r="UBB1100"/>
      <c r="UBE1100"/>
      <c r="UBF1100"/>
      <c r="UBI1100"/>
      <c r="UBJ1100"/>
      <c r="UBM1100"/>
      <c r="UBN1100"/>
      <c r="UBQ1100"/>
      <c r="UBR1100"/>
      <c r="UBU1100"/>
      <c r="UBV1100"/>
      <c r="UBY1100"/>
      <c r="UBZ1100"/>
      <c r="UCC1100"/>
      <c r="UCD1100"/>
      <c r="UCG1100"/>
      <c r="UCH1100"/>
      <c r="UCK1100"/>
      <c r="UCL1100"/>
      <c r="UCO1100"/>
      <c r="UCP1100"/>
      <c r="UCS1100"/>
      <c r="UCT1100"/>
      <c r="UCW1100"/>
      <c r="UCX1100"/>
      <c r="UDA1100"/>
      <c r="UDB1100"/>
      <c r="UDE1100"/>
      <c r="UDF1100"/>
      <c r="UDI1100"/>
      <c r="UDJ1100"/>
      <c r="UDM1100"/>
      <c r="UDN1100"/>
      <c r="UDQ1100"/>
      <c r="UDR1100"/>
      <c r="UDU1100"/>
      <c r="UDV1100"/>
      <c r="UDY1100"/>
      <c r="UDZ1100"/>
      <c r="UEC1100"/>
      <c r="UED1100"/>
      <c r="UEG1100"/>
      <c r="UEH1100"/>
      <c r="UEK1100"/>
      <c r="UEL1100"/>
      <c r="UEO1100"/>
      <c r="UEP1100"/>
      <c r="UES1100"/>
      <c r="UET1100"/>
      <c r="UEW1100"/>
      <c r="UEX1100"/>
      <c r="UFA1100"/>
      <c r="UFB1100"/>
      <c r="UFE1100"/>
      <c r="UFF1100"/>
      <c r="UFI1100"/>
      <c r="UFJ1100"/>
      <c r="UFM1100"/>
      <c r="UFN1100"/>
      <c r="UFQ1100"/>
      <c r="UFR1100"/>
      <c r="UFU1100"/>
      <c r="UFV1100"/>
      <c r="UFY1100"/>
      <c r="UFZ1100"/>
      <c r="UGC1100"/>
      <c r="UGD1100"/>
      <c r="UGG1100"/>
      <c r="UGH1100"/>
      <c r="UGK1100"/>
      <c r="UGL1100"/>
      <c r="UGO1100"/>
      <c r="UGP1100"/>
      <c r="UGS1100"/>
      <c r="UGT1100"/>
      <c r="UGW1100"/>
      <c r="UGX1100"/>
      <c r="UHA1100"/>
      <c r="UHB1100"/>
      <c r="UHE1100"/>
      <c r="UHF1100"/>
      <c r="UHI1100"/>
      <c r="UHJ1100"/>
      <c r="UHM1100"/>
      <c r="UHN1100"/>
      <c r="UHQ1100"/>
      <c r="UHR1100"/>
      <c r="UHU1100"/>
      <c r="UHV1100"/>
      <c r="UHY1100"/>
      <c r="UHZ1100"/>
      <c r="UIC1100"/>
      <c r="UID1100"/>
      <c r="UIG1100"/>
      <c r="UIH1100"/>
      <c r="UIK1100"/>
      <c r="UIL1100"/>
      <c r="UIO1100"/>
      <c r="UIP1100"/>
      <c r="UIS1100"/>
      <c r="UIT1100"/>
      <c r="UIW1100"/>
      <c r="UIX1100"/>
      <c r="UJA1100"/>
      <c r="UJB1100"/>
      <c r="UJE1100"/>
      <c r="UJF1100"/>
      <c r="UJI1100"/>
      <c r="UJJ1100"/>
      <c r="UJM1100"/>
      <c r="UJN1100"/>
      <c r="UJQ1100"/>
      <c r="UJR1100"/>
      <c r="UJU1100"/>
      <c r="UJV1100"/>
      <c r="UJY1100"/>
      <c r="UJZ1100"/>
      <c r="UKC1100"/>
      <c r="UKD1100"/>
      <c r="UKG1100"/>
      <c r="UKH1100"/>
      <c r="UKK1100"/>
      <c r="UKL1100"/>
      <c r="UKO1100"/>
      <c r="UKP1100"/>
      <c r="UKS1100"/>
      <c r="UKT1100"/>
      <c r="UKW1100"/>
      <c r="UKX1100"/>
      <c r="ULA1100"/>
      <c r="ULB1100"/>
      <c r="ULE1100"/>
      <c r="ULF1100"/>
      <c r="ULI1100"/>
      <c r="ULJ1100"/>
      <c r="ULM1100"/>
      <c r="ULN1100"/>
      <c r="ULQ1100"/>
      <c r="ULR1100"/>
      <c r="ULU1100"/>
      <c r="ULV1100"/>
      <c r="ULY1100"/>
      <c r="ULZ1100"/>
      <c r="UMC1100"/>
      <c r="UMD1100"/>
      <c r="UMG1100"/>
      <c r="UMH1100"/>
      <c r="UMK1100"/>
      <c r="UML1100"/>
      <c r="UMO1100"/>
      <c r="UMP1100"/>
      <c r="UMS1100"/>
      <c r="UMT1100"/>
      <c r="UMW1100"/>
      <c r="UMX1100"/>
      <c r="UNA1100"/>
      <c r="UNB1100"/>
      <c r="UNE1100"/>
      <c r="UNF1100"/>
      <c r="UNI1100"/>
      <c r="UNJ1100"/>
      <c r="UNM1100"/>
      <c r="UNN1100"/>
      <c r="UNQ1100"/>
      <c r="UNR1100"/>
      <c r="UNU1100"/>
      <c r="UNV1100"/>
      <c r="UNY1100"/>
      <c r="UNZ1100"/>
      <c r="UOC1100"/>
      <c r="UOD1100"/>
      <c r="UOG1100"/>
      <c r="UOH1100"/>
      <c r="UOK1100"/>
      <c r="UOL1100"/>
      <c r="UOO1100"/>
      <c r="UOP1100"/>
      <c r="UOS1100"/>
      <c r="UOT1100"/>
      <c r="UOW1100"/>
      <c r="UOX1100"/>
      <c r="UPA1100"/>
      <c r="UPB1100"/>
      <c r="UPE1100"/>
      <c r="UPF1100"/>
      <c r="UPI1100"/>
      <c r="UPJ1100"/>
      <c r="UPM1100"/>
      <c r="UPN1100"/>
      <c r="UPQ1100"/>
      <c r="UPR1100"/>
      <c r="UPU1100"/>
      <c r="UPV1100"/>
      <c r="UPY1100"/>
      <c r="UPZ1100"/>
      <c r="UQC1100"/>
      <c r="UQD1100"/>
      <c r="UQG1100"/>
      <c r="UQH1100"/>
      <c r="UQK1100"/>
      <c r="UQL1100"/>
      <c r="UQO1100"/>
      <c r="UQP1100"/>
      <c r="UQS1100"/>
      <c r="UQT1100"/>
      <c r="UQW1100"/>
      <c r="UQX1100"/>
      <c r="URA1100"/>
      <c r="URB1100"/>
      <c r="URE1100"/>
      <c r="URF1100"/>
      <c r="URI1100"/>
      <c r="URJ1100"/>
      <c r="URM1100"/>
      <c r="URN1100"/>
      <c r="URQ1100"/>
      <c r="URR1100"/>
      <c r="URU1100"/>
      <c r="URV1100"/>
      <c r="URY1100"/>
      <c r="URZ1100"/>
      <c r="USC1100"/>
      <c r="USD1100"/>
      <c r="USG1100"/>
      <c r="USH1100"/>
      <c r="USK1100"/>
      <c r="USL1100"/>
      <c r="USO1100"/>
      <c r="USP1100"/>
      <c r="USS1100"/>
      <c r="UST1100"/>
      <c r="USW1100"/>
      <c r="USX1100"/>
      <c r="UTA1100"/>
      <c r="UTB1100"/>
      <c r="UTE1100"/>
      <c r="UTF1100"/>
      <c r="UTI1100"/>
      <c r="UTJ1100"/>
      <c r="UTM1100"/>
      <c r="UTN1100"/>
      <c r="UTQ1100"/>
      <c r="UTR1100"/>
      <c r="UTU1100"/>
      <c r="UTV1100"/>
      <c r="UTY1100"/>
      <c r="UTZ1100"/>
      <c r="UUC1100"/>
      <c r="UUD1100"/>
      <c r="UUG1100"/>
      <c r="UUH1100"/>
      <c r="UUK1100"/>
      <c r="UUL1100"/>
      <c r="UUO1100"/>
      <c r="UUP1100"/>
      <c r="UUS1100"/>
      <c r="UUT1100"/>
      <c r="UUW1100"/>
      <c r="UUX1100"/>
      <c r="UVA1100"/>
      <c r="UVB1100"/>
      <c r="UVE1100"/>
      <c r="UVF1100"/>
      <c r="UVI1100"/>
      <c r="UVJ1100"/>
      <c r="UVM1100"/>
      <c r="UVN1100"/>
      <c r="UVQ1100"/>
      <c r="UVR1100"/>
      <c r="UVU1100"/>
      <c r="UVV1100"/>
      <c r="UVY1100"/>
      <c r="UVZ1100"/>
      <c r="UWC1100"/>
      <c r="UWD1100"/>
      <c r="UWG1100"/>
      <c r="UWH1100"/>
      <c r="UWK1100"/>
      <c r="UWL1100"/>
      <c r="UWO1100"/>
      <c r="UWP1100"/>
      <c r="UWS1100"/>
      <c r="UWT1100"/>
      <c r="UWW1100"/>
      <c r="UWX1100"/>
      <c r="UXA1100"/>
      <c r="UXB1100"/>
      <c r="UXE1100"/>
      <c r="UXF1100"/>
      <c r="UXI1100"/>
      <c r="UXJ1100"/>
      <c r="UXM1100"/>
      <c r="UXN1100"/>
      <c r="UXQ1100"/>
      <c r="UXR1100"/>
      <c r="UXU1100"/>
      <c r="UXV1100"/>
      <c r="UXY1100"/>
      <c r="UXZ1100"/>
      <c r="UYC1100"/>
      <c r="UYD1100"/>
      <c r="UYG1100"/>
      <c r="UYH1100"/>
      <c r="UYK1100"/>
      <c r="UYL1100"/>
      <c r="UYO1100"/>
      <c r="UYP1100"/>
      <c r="UYS1100"/>
      <c r="UYT1100"/>
      <c r="UYW1100"/>
      <c r="UYX1100"/>
      <c r="UZA1100"/>
      <c r="UZB1100"/>
      <c r="UZE1100"/>
      <c r="UZF1100"/>
      <c r="UZI1100"/>
      <c r="UZJ1100"/>
      <c r="UZM1100"/>
      <c r="UZN1100"/>
      <c r="UZQ1100"/>
      <c r="UZR1100"/>
      <c r="UZU1100"/>
      <c r="UZV1100"/>
      <c r="UZY1100"/>
      <c r="UZZ1100"/>
      <c r="VAC1100"/>
      <c r="VAD1100"/>
      <c r="VAG1100"/>
      <c r="VAH1100"/>
      <c r="VAK1100"/>
      <c r="VAL1100"/>
      <c r="VAO1100"/>
      <c r="VAP1100"/>
      <c r="VAS1100"/>
      <c r="VAT1100"/>
      <c r="VAW1100"/>
      <c r="VAX1100"/>
      <c r="VBA1100"/>
      <c r="VBB1100"/>
      <c r="VBE1100"/>
      <c r="VBF1100"/>
      <c r="VBI1100"/>
      <c r="VBJ1100"/>
      <c r="VBM1100"/>
      <c r="VBN1100"/>
      <c r="VBQ1100"/>
      <c r="VBR1100"/>
      <c r="VBU1100"/>
      <c r="VBV1100"/>
      <c r="VBY1100"/>
      <c r="VBZ1100"/>
      <c r="VCC1100"/>
      <c r="VCD1100"/>
      <c r="VCG1100"/>
      <c r="VCH1100"/>
      <c r="VCK1100"/>
      <c r="VCL1100"/>
      <c r="VCO1100"/>
      <c r="VCP1100"/>
      <c r="VCS1100"/>
      <c r="VCT1100"/>
      <c r="VCW1100"/>
      <c r="VCX1100"/>
      <c r="VDA1100"/>
      <c r="VDB1100"/>
      <c r="VDE1100"/>
      <c r="VDF1100"/>
      <c r="VDI1100"/>
      <c r="VDJ1100"/>
      <c r="VDM1100"/>
      <c r="VDN1100"/>
      <c r="VDQ1100"/>
      <c r="VDR1100"/>
      <c r="VDU1100"/>
      <c r="VDV1100"/>
      <c r="VDY1100"/>
      <c r="VDZ1100"/>
      <c r="VEC1100"/>
      <c r="VED1100"/>
      <c r="VEG1100"/>
      <c r="VEH1100"/>
      <c r="VEK1100"/>
      <c r="VEL1100"/>
      <c r="VEO1100"/>
      <c r="VEP1100"/>
      <c r="VES1100"/>
      <c r="VET1100"/>
      <c r="VEW1100"/>
      <c r="VEX1100"/>
      <c r="VFA1100"/>
      <c r="VFB1100"/>
      <c r="VFE1100"/>
      <c r="VFF1100"/>
      <c r="VFI1100"/>
      <c r="VFJ1100"/>
      <c r="VFM1100"/>
      <c r="VFN1100"/>
      <c r="VFQ1100"/>
      <c r="VFR1100"/>
      <c r="VFU1100"/>
      <c r="VFV1100"/>
      <c r="VFY1100"/>
      <c r="VFZ1100"/>
      <c r="VGC1100"/>
      <c r="VGD1100"/>
      <c r="VGG1100"/>
      <c r="VGH1100"/>
      <c r="VGK1100"/>
      <c r="VGL1100"/>
      <c r="VGO1100"/>
      <c r="VGP1100"/>
      <c r="VGS1100"/>
      <c r="VGT1100"/>
      <c r="VGW1100"/>
      <c r="VGX1100"/>
      <c r="VHA1100"/>
      <c r="VHB1100"/>
      <c r="VHE1100"/>
      <c r="VHF1100"/>
      <c r="VHI1100"/>
      <c r="VHJ1100"/>
      <c r="VHM1100"/>
      <c r="VHN1100"/>
      <c r="VHQ1100"/>
      <c r="VHR1100"/>
      <c r="VHU1100"/>
      <c r="VHV1100"/>
      <c r="VHY1100"/>
      <c r="VHZ1100"/>
      <c r="VIC1100"/>
      <c r="VID1100"/>
      <c r="VIG1100"/>
      <c r="VIH1100"/>
      <c r="VIK1100"/>
      <c r="VIL1100"/>
      <c r="VIO1100"/>
      <c r="VIP1100"/>
      <c r="VIS1100"/>
      <c r="VIT1100"/>
      <c r="VIW1100"/>
      <c r="VIX1100"/>
      <c r="VJA1100"/>
      <c r="VJB1100"/>
      <c r="VJE1100"/>
      <c r="VJF1100"/>
      <c r="VJI1100"/>
      <c r="VJJ1100"/>
      <c r="VJM1100"/>
      <c r="VJN1100"/>
      <c r="VJQ1100"/>
      <c r="VJR1100"/>
      <c r="VJU1100"/>
      <c r="VJV1100"/>
      <c r="VJY1100"/>
      <c r="VJZ1100"/>
      <c r="VKC1100"/>
      <c r="VKD1100"/>
      <c r="VKG1100"/>
      <c r="VKH1100"/>
      <c r="VKK1100"/>
      <c r="VKL1100"/>
      <c r="VKO1100"/>
      <c r="VKP1100"/>
      <c r="VKS1100"/>
      <c r="VKT1100"/>
      <c r="VKW1100"/>
      <c r="VKX1100"/>
      <c r="VLA1100"/>
      <c r="VLB1100"/>
      <c r="VLE1100"/>
      <c r="VLF1100"/>
      <c r="VLI1100"/>
      <c r="VLJ1100"/>
      <c r="VLM1100"/>
      <c r="VLN1100"/>
      <c r="VLQ1100"/>
      <c r="VLR1100"/>
      <c r="VLU1100"/>
      <c r="VLV1100"/>
      <c r="VLY1100"/>
      <c r="VLZ1100"/>
      <c r="VMC1100"/>
      <c r="VMD1100"/>
      <c r="VMG1100"/>
      <c r="VMH1100"/>
      <c r="VMK1100"/>
      <c r="VML1100"/>
      <c r="VMO1100"/>
      <c r="VMP1100"/>
      <c r="VMS1100"/>
      <c r="VMT1100"/>
      <c r="VMW1100"/>
      <c r="VMX1100"/>
      <c r="VNA1100"/>
      <c r="VNB1100"/>
      <c r="VNE1100"/>
      <c r="VNF1100"/>
      <c r="VNI1100"/>
      <c r="VNJ1100"/>
      <c r="VNM1100"/>
      <c r="VNN1100"/>
      <c r="VNQ1100"/>
      <c r="VNR1100"/>
      <c r="VNU1100"/>
      <c r="VNV1100"/>
      <c r="VNY1100"/>
      <c r="VNZ1100"/>
      <c r="VOC1100"/>
      <c r="VOD1100"/>
      <c r="VOG1100"/>
      <c r="VOH1100"/>
      <c r="VOK1100"/>
      <c r="VOL1100"/>
      <c r="VOO1100"/>
      <c r="VOP1100"/>
      <c r="VOS1100"/>
      <c r="VOT1100"/>
      <c r="VOW1100"/>
      <c r="VOX1100"/>
      <c r="VPA1100"/>
      <c r="VPB1100"/>
      <c r="VPE1100"/>
      <c r="VPF1100"/>
      <c r="VPI1100"/>
      <c r="VPJ1100"/>
      <c r="VPM1100"/>
      <c r="VPN1100"/>
      <c r="VPQ1100"/>
      <c r="VPR1100"/>
      <c r="VPU1100"/>
      <c r="VPV1100"/>
      <c r="VPY1100"/>
      <c r="VPZ1100"/>
      <c r="VQC1100"/>
      <c r="VQD1100"/>
      <c r="VQG1100"/>
      <c r="VQH1100"/>
      <c r="VQK1100"/>
      <c r="VQL1100"/>
      <c r="VQO1100"/>
      <c r="VQP1100"/>
      <c r="VQS1100"/>
      <c r="VQT1100"/>
      <c r="VQW1100"/>
      <c r="VQX1100"/>
      <c r="VRA1100"/>
      <c r="VRB1100"/>
      <c r="VRE1100"/>
      <c r="VRF1100"/>
      <c r="VRI1100"/>
      <c r="VRJ1100"/>
      <c r="VRM1100"/>
      <c r="VRN1100"/>
      <c r="VRQ1100"/>
      <c r="VRR1100"/>
      <c r="VRU1100"/>
      <c r="VRV1100"/>
      <c r="VRY1100"/>
      <c r="VRZ1100"/>
      <c r="VSC1100"/>
      <c r="VSD1100"/>
      <c r="VSG1100"/>
      <c r="VSH1100"/>
      <c r="VSK1100"/>
      <c r="VSL1100"/>
      <c r="VSO1100"/>
      <c r="VSP1100"/>
      <c r="VSS1100"/>
      <c r="VST1100"/>
      <c r="VSW1100"/>
      <c r="VSX1100"/>
      <c r="VTA1100"/>
      <c r="VTB1100"/>
      <c r="VTE1100"/>
      <c r="VTF1100"/>
      <c r="VTI1100"/>
      <c r="VTJ1100"/>
      <c r="VTM1100"/>
      <c r="VTN1100"/>
      <c r="VTQ1100"/>
      <c r="VTR1100"/>
      <c r="VTU1100"/>
      <c r="VTV1100"/>
      <c r="VTY1100"/>
      <c r="VTZ1100"/>
      <c r="VUC1100"/>
      <c r="VUD1100"/>
      <c r="VUG1100"/>
      <c r="VUH1100"/>
      <c r="VUK1100"/>
      <c r="VUL1100"/>
      <c r="VUO1100"/>
      <c r="VUP1100"/>
      <c r="VUS1100"/>
      <c r="VUT1100"/>
      <c r="VUW1100"/>
      <c r="VUX1100"/>
      <c r="VVA1100"/>
      <c r="VVB1100"/>
      <c r="VVE1100"/>
      <c r="VVF1100"/>
      <c r="VVI1100"/>
      <c r="VVJ1100"/>
      <c r="VVM1100"/>
      <c r="VVN1100"/>
      <c r="VVQ1100"/>
      <c r="VVR1100"/>
      <c r="VVU1100"/>
      <c r="VVV1100"/>
      <c r="VVY1100"/>
      <c r="VVZ1100"/>
      <c r="VWC1100"/>
      <c r="VWD1100"/>
      <c r="VWG1100"/>
      <c r="VWH1100"/>
      <c r="VWK1100"/>
      <c r="VWL1100"/>
      <c r="VWO1100"/>
      <c r="VWP1100"/>
      <c r="VWS1100"/>
      <c r="VWT1100"/>
      <c r="VWW1100"/>
      <c r="VWX1100"/>
      <c r="VXA1100"/>
      <c r="VXB1100"/>
      <c r="VXE1100"/>
      <c r="VXF1100"/>
      <c r="VXI1100"/>
      <c r="VXJ1100"/>
      <c r="VXM1100"/>
      <c r="VXN1100"/>
      <c r="VXQ1100"/>
      <c r="VXR1100"/>
      <c r="VXU1100"/>
      <c r="VXV1100"/>
      <c r="VXY1100"/>
      <c r="VXZ1100"/>
      <c r="VYC1100"/>
      <c r="VYD1100"/>
      <c r="VYG1100"/>
      <c r="VYH1100"/>
      <c r="VYK1100"/>
      <c r="VYL1100"/>
      <c r="VYO1100"/>
      <c r="VYP1100"/>
      <c r="VYS1100"/>
      <c r="VYT1100"/>
      <c r="VYW1100"/>
      <c r="VYX1100"/>
      <c r="VZA1100"/>
      <c r="VZB1100"/>
      <c r="VZE1100"/>
      <c r="VZF1100"/>
      <c r="VZI1100"/>
      <c r="VZJ1100"/>
      <c r="VZM1100"/>
      <c r="VZN1100"/>
      <c r="VZQ1100"/>
      <c r="VZR1100"/>
      <c r="VZU1100"/>
      <c r="VZV1100"/>
      <c r="VZY1100"/>
      <c r="VZZ1100"/>
      <c r="WAC1100"/>
      <c r="WAD1100"/>
      <c r="WAG1100"/>
      <c r="WAH1100"/>
      <c r="WAK1100"/>
      <c r="WAL1100"/>
      <c r="WAO1100"/>
      <c r="WAP1100"/>
      <c r="WAS1100"/>
      <c r="WAT1100"/>
      <c r="WAW1100"/>
      <c r="WAX1100"/>
      <c r="WBA1100"/>
      <c r="WBB1100"/>
      <c r="WBE1100"/>
      <c r="WBF1100"/>
      <c r="WBI1100"/>
      <c r="WBJ1100"/>
      <c r="WBM1100"/>
      <c r="WBN1100"/>
      <c r="WBQ1100"/>
      <c r="WBR1100"/>
      <c r="WBU1100"/>
      <c r="WBV1100"/>
      <c r="WBY1100"/>
      <c r="WBZ1100"/>
      <c r="WCC1100"/>
      <c r="WCD1100"/>
      <c r="WCG1100"/>
      <c r="WCH1100"/>
      <c r="WCK1100"/>
      <c r="WCL1100"/>
      <c r="WCO1100"/>
      <c r="WCP1100"/>
      <c r="WCS1100"/>
      <c r="WCT1100"/>
      <c r="WCW1100"/>
      <c r="WCX1100"/>
      <c r="WDA1100"/>
      <c r="WDB1100"/>
      <c r="WDE1100"/>
      <c r="WDF1100"/>
      <c r="WDI1100"/>
      <c r="WDJ1100"/>
      <c r="WDM1100"/>
      <c r="WDN1100"/>
      <c r="WDQ1100"/>
      <c r="WDR1100"/>
      <c r="WDU1100"/>
      <c r="WDV1100"/>
      <c r="WDY1100"/>
      <c r="WDZ1100"/>
      <c r="WEC1100"/>
      <c r="WED1100"/>
      <c r="WEG1100"/>
      <c r="WEH1100"/>
      <c r="WEK1100"/>
      <c r="WEL1100"/>
      <c r="WEO1100"/>
      <c r="WEP1100"/>
      <c r="WES1100"/>
      <c r="WET1100"/>
      <c r="WEW1100"/>
      <c r="WEX1100"/>
      <c r="WFA1100"/>
      <c r="WFB1100"/>
      <c r="WFE1100"/>
      <c r="WFF1100"/>
      <c r="WFI1100"/>
      <c r="WFJ1100"/>
      <c r="WFM1100"/>
      <c r="WFN1100"/>
      <c r="WFQ1100"/>
      <c r="WFR1100"/>
      <c r="WFU1100"/>
      <c r="WFV1100"/>
      <c r="WFY1100"/>
      <c r="WFZ1100"/>
      <c r="WGC1100"/>
      <c r="WGD1100"/>
      <c r="WGG1100"/>
      <c r="WGH1100"/>
      <c r="WGK1100"/>
      <c r="WGL1100"/>
      <c r="WGO1100"/>
      <c r="WGP1100"/>
      <c r="WGS1100"/>
      <c r="WGT1100"/>
      <c r="WGW1100"/>
      <c r="WGX1100"/>
      <c r="WHA1100"/>
      <c r="WHB1100"/>
      <c r="WHE1100"/>
      <c r="WHF1100"/>
      <c r="WHI1100"/>
      <c r="WHJ1100"/>
      <c r="WHM1100"/>
      <c r="WHN1100"/>
      <c r="WHQ1100"/>
      <c r="WHR1100"/>
      <c r="WHU1100"/>
      <c r="WHV1100"/>
      <c r="WHY1100"/>
      <c r="WHZ1100"/>
      <c r="WIC1100"/>
      <c r="WID1100"/>
      <c r="WIG1100"/>
      <c r="WIH1100"/>
      <c r="WIK1100"/>
      <c r="WIL1100"/>
      <c r="WIO1100"/>
      <c r="WIP1100"/>
      <c r="WIS1100"/>
      <c r="WIT1100"/>
      <c r="WIW1100"/>
      <c r="WIX1100"/>
      <c r="WJA1100"/>
      <c r="WJB1100"/>
      <c r="WJE1100"/>
      <c r="WJF1100"/>
      <c r="WJI1100"/>
      <c r="WJJ1100"/>
      <c r="WJM1100"/>
      <c r="WJN1100"/>
      <c r="WJQ1100"/>
      <c r="WJR1100"/>
      <c r="WJU1100"/>
      <c r="WJV1100"/>
      <c r="WJY1100"/>
      <c r="WJZ1100"/>
      <c r="WKC1100"/>
      <c r="WKD1100"/>
      <c r="WKG1100"/>
      <c r="WKH1100"/>
      <c r="WKK1100"/>
      <c r="WKL1100"/>
      <c r="WKO1100"/>
      <c r="WKP1100"/>
      <c r="WKS1100"/>
      <c r="WKT1100"/>
      <c r="WKW1100"/>
      <c r="WKX1100"/>
      <c r="WLA1100"/>
      <c r="WLB1100"/>
      <c r="WLE1100"/>
      <c r="WLF1100"/>
      <c r="WLI1100"/>
      <c r="WLJ1100"/>
      <c r="WLM1100"/>
      <c r="WLN1100"/>
      <c r="WLQ1100"/>
      <c r="WLR1100"/>
      <c r="WLU1100"/>
      <c r="WLV1100"/>
      <c r="WLY1100"/>
      <c r="WLZ1100"/>
      <c r="WMC1100"/>
      <c r="WMD1100"/>
      <c r="WMG1100"/>
      <c r="WMH1100"/>
      <c r="WMK1100"/>
      <c r="WML1100"/>
      <c r="WMO1100"/>
      <c r="WMP1100"/>
      <c r="WMS1100"/>
      <c r="WMT1100"/>
      <c r="WMW1100"/>
      <c r="WMX1100"/>
      <c r="WNA1100"/>
      <c r="WNB1100"/>
      <c r="WNE1100"/>
      <c r="WNF1100"/>
      <c r="WNI1100"/>
      <c r="WNJ1100"/>
      <c r="WNM1100"/>
      <c r="WNN1100"/>
      <c r="WNQ1100"/>
      <c r="WNR1100"/>
      <c r="WNU1100"/>
      <c r="WNV1100"/>
      <c r="WNY1100"/>
      <c r="WNZ1100"/>
      <c r="WOC1100"/>
      <c r="WOD1100"/>
      <c r="WOG1100"/>
      <c r="WOH1100"/>
      <c r="WOK1100"/>
      <c r="WOL1100"/>
      <c r="WOO1100"/>
      <c r="WOP1100"/>
      <c r="WOS1100"/>
      <c r="WOT1100"/>
      <c r="WOW1100"/>
      <c r="WOX1100"/>
      <c r="WPA1100"/>
      <c r="WPB1100"/>
      <c r="WPE1100"/>
      <c r="WPF1100"/>
      <c r="WPI1100"/>
      <c r="WPJ1100"/>
      <c r="WPM1100"/>
      <c r="WPN1100"/>
      <c r="WPQ1100"/>
      <c r="WPR1100"/>
      <c r="WPU1100"/>
      <c r="WPV1100"/>
      <c r="WPY1100"/>
      <c r="WPZ1100"/>
      <c r="WQC1100"/>
      <c r="WQD1100"/>
      <c r="WQG1100"/>
      <c r="WQH1100"/>
      <c r="WQK1100"/>
      <c r="WQL1100"/>
      <c r="WQO1100"/>
      <c r="WQP1100"/>
      <c r="WQS1100"/>
      <c r="WQT1100"/>
      <c r="WQW1100"/>
      <c r="WQX1100"/>
      <c r="WRA1100"/>
      <c r="WRB1100"/>
      <c r="WRE1100"/>
      <c r="WRF1100"/>
      <c r="WRI1100"/>
      <c r="WRJ1100"/>
      <c r="WRM1100"/>
      <c r="WRN1100"/>
      <c r="WRQ1100"/>
      <c r="WRR1100"/>
      <c r="WRU1100"/>
      <c r="WRV1100"/>
      <c r="WRY1100"/>
      <c r="WRZ1100"/>
      <c r="WSC1100"/>
      <c r="WSD1100"/>
      <c r="WSG1100"/>
      <c r="WSH1100"/>
      <c r="WSK1100"/>
      <c r="WSL1100"/>
      <c r="WSO1100"/>
      <c r="WSP1100"/>
      <c r="WSS1100"/>
      <c r="WST1100"/>
      <c r="WSW1100"/>
      <c r="WSX1100"/>
      <c r="WTA1100"/>
      <c r="WTB1100"/>
      <c r="WTE1100"/>
      <c r="WTF1100"/>
      <c r="WTI1100"/>
      <c r="WTJ1100"/>
      <c r="WTM1100"/>
      <c r="WTN1100"/>
      <c r="WTQ1100"/>
      <c r="WTR1100"/>
      <c r="WTU1100"/>
      <c r="WTV1100"/>
      <c r="WTY1100"/>
      <c r="WTZ1100"/>
      <c r="WUC1100"/>
      <c r="WUD1100"/>
      <c r="WUG1100"/>
      <c r="WUH1100"/>
      <c r="WUK1100"/>
      <c r="WUL1100"/>
      <c r="WUO1100"/>
      <c r="WUP1100"/>
      <c r="WUS1100"/>
      <c r="WUT1100"/>
      <c r="WUW1100"/>
      <c r="WUX1100"/>
      <c r="WVA1100"/>
      <c r="WVB1100"/>
      <c r="WVE1100"/>
      <c r="WVF1100"/>
      <c r="WVI1100"/>
      <c r="WVJ1100"/>
      <c r="WVM1100"/>
      <c r="WVN1100"/>
      <c r="WVQ1100"/>
      <c r="WVR1100"/>
      <c r="WVU1100"/>
      <c r="WVV1100"/>
      <c r="WVY1100"/>
      <c r="WVZ1100"/>
      <c r="WWC1100"/>
      <c r="WWD1100"/>
      <c r="WWG1100"/>
      <c r="WWH1100"/>
      <c r="WWK1100"/>
      <c r="WWL1100"/>
      <c r="WWO1100"/>
      <c r="WWP1100"/>
      <c r="WWS1100"/>
      <c r="WWT1100"/>
      <c r="WWW1100"/>
      <c r="WWX1100"/>
      <c r="WXA1100"/>
      <c r="WXB1100"/>
      <c r="WXE1100"/>
      <c r="WXF1100"/>
      <c r="WXI1100"/>
      <c r="WXJ1100"/>
      <c r="WXM1100"/>
      <c r="WXN1100"/>
      <c r="WXQ1100"/>
      <c r="WXR1100"/>
      <c r="WXU1100"/>
      <c r="WXV1100"/>
      <c r="WXY1100"/>
      <c r="WXZ1100"/>
      <c r="WYC1100"/>
      <c r="WYD1100"/>
      <c r="WYG1100"/>
      <c r="WYH1100"/>
      <c r="WYK1100"/>
      <c r="WYL1100"/>
      <c r="WYO1100"/>
      <c r="WYP1100"/>
      <c r="WYS1100"/>
      <c r="WYT1100"/>
      <c r="WYW1100"/>
      <c r="WYX1100"/>
      <c r="WZA1100"/>
      <c r="WZB1100"/>
      <c r="WZE1100"/>
      <c r="WZF1100"/>
      <c r="WZI1100"/>
      <c r="WZJ1100"/>
      <c r="WZM1100"/>
      <c r="WZN1100"/>
      <c r="WZQ1100"/>
      <c r="WZR1100"/>
      <c r="WZU1100"/>
      <c r="WZV1100"/>
      <c r="WZY1100"/>
      <c r="WZZ1100"/>
      <c r="XAC1100"/>
      <c r="XAD1100"/>
      <c r="XAG1100"/>
      <c r="XAH1100"/>
      <c r="XAK1100"/>
      <c r="XAL1100"/>
      <c r="XAO1100"/>
      <c r="XAP1100"/>
      <c r="XAS1100"/>
      <c r="XAT1100"/>
      <c r="XAW1100"/>
      <c r="XAX1100"/>
      <c r="XBA1100"/>
      <c r="XBB1100"/>
      <c r="XBE1100"/>
      <c r="XBF1100"/>
      <c r="XBI1100"/>
      <c r="XBJ1100"/>
      <c r="XBM1100"/>
      <c r="XBN1100"/>
      <c r="XBQ1100"/>
      <c r="XBR1100"/>
      <c r="XBU1100"/>
      <c r="XBV1100"/>
      <c r="XBY1100"/>
      <c r="XBZ1100"/>
      <c r="XCC1100"/>
      <c r="XCD1100"/>
      <c r="XCG1100"/>
      <c r="XCH1100"/>
      <c r="XCK1100"/>
      <c r="XCL1100"/>
      <c r="XCO1100"/>
      <c r="XCP1100"/>
      <c r="XCS1100"/>
      <c r="XCT1100"/>
      <c r="XCW1100"/>
      <c r="XCX1100"/>
      <c r="XDA1100"/>
      <c r="XDB1100"/>
      <c r="XDE1100"/>
      <c r="XDF1100"/>
      <c r="XDI1100"/>
      <c r="XDJ1100"/>
      <c r="XDM1100"/>
      <c r="XDN1100"/>
      <c r="XDQ1100"/>
      <c r="XDR1100"/>
      <c r="XDU1100"/>
      <c r="XDV1100"/>
      <c r="XDY1100"/>
      <c r="XDZ1100"/>
      <c r="XEC1100"/>
      <c r="XED1100"/>
      <c r="XEG1100"/>
      <c r="XEH1100"/>
      <c r="XEK1100"/>
      <c r="XEL1100"/>
      <c r="XEO1100"/>
      <c r="XEP1100"/>
      <c r="XES1100"/>
      <c r="XET1100"/>
      <c r="XEW1100"/>
      <c r="XEX1100"/>
      <c r="XFA1100"/>
      <c r="XFB1100"/>
    </row>
    <row r="1101" spans="1:1022 1025:2046 2049:3070 3073:4094 4097:5118 5121:6142 6145:7166 7169:8190 8193:9214 9217:10238 10241:11262 11265:12286 12289:13310 13313:14334 14337:15358 15361:16382" s="15" customFormat="1" outlineLevel="1" x14ac:dyDescent="0.3">
      <c r="A1101" t="s">
        <v>1829</v>
      </c>
      <c r="B1101" t="s">
        <v>266</v>
      </c>
      <c r="C1101" s="15" t="s">
        <v>10</v>
      </c>
      <c r="D1101" s="15" t="s">
        <v>1830</v>
      </c>
      <c r="E1101" t="s">
        <v>8487</v>
      </c>
      <c r="F1101"/>
      <c r="I1101"/>
      <c r="J1101" t="inlineStr">
        <is>
          <t>Budget &amp; Payment</t>
        </is>
      </c>
      <c r="K1101" t="inlineStr">
        <is>
          <t>QNL/BF.jpg</t>
        </is>
      </c>
      <c r="L1101" t="inlineStr">
        <is>
          <t>SAME - screen and column D name the same room</t>
        </is>
      </c>
      <c r="M1101" t="inlineStr">
        <is>
          <t>lower band, west of the partition</t>
        </is>
      </c>
      <c r="N1101"/>
      <c r="Q1101"/>
      <c r="R1101"/>
      <c r="U1101"/>
      <c r="V1101"/>
      <c r="Y1101"/>
      <c r="Z1101"/>
      <c r="AC1101"/>
      <c r="AD1101"/>
      <c r="AG1101"/>
      <c r="AH1101"/>
      <c r="AK1101"/>
      <c r="AL1101"/>
      <c r="AO1101"/>
      <c r="AP1101"/>
      <c r="AS1101"/>
      <c r="AT1101"/>
      <c r="AW1101"/>
      <c r="AX1101"/>
      <c r="BA1101"/>
      <c r="BB1101"/>
      <c r="BE1101"/>
      <c r="BF1101"/>
      <c r="BI1101"/>
      <c r="BJ1101"/>
      <c r="BM1101"/>
      <c r="BN1101"/>
      <c r="BQ1101"/>
      <c r="BR1101"/>
      <c r="BU1101"/>
      <c r="BV1101"/>
      <c r="BY1101"/>
      <c r="BZ1101"/>
      <c r="CC1101"/>
      <c r="CD1101"/>
      <c r="CG1101"/>
      <c r="CH1101"/>
      <c r="CK1101"/>
      <c r="CL1101"/>
      <c r="CO1101"/>
      <c r="CP1101"/>
      <c r="CS1101"/>
      <c r="CT1101"/>
      <c r="CW1101"/>
      <c r="CX1101"/>
      <c r="DA1101"/>
      <c r="DB1101"/>
      <c r="DE1101"/>
      <c r="DF1101"/>
      <c r="DI1101"/>
      <c r="DJ1101"/>
      <c r="DM1101"/>
      <c r="DN1101"/>
      <c r="DQ1101"/>
      <c r="DR1101"/>
      <c r="DU1101"/>
      <c r="DV1101"/>
      <c r="DY1101"/>
      <c r="DZ1101"/>
      <c r="EC1101"/>
      <c r="ED1101"/>
      <c r="EG1101"/>
      <c r="EH1101"/>
      <c r="EK1101"/>
      <c r="EL1101"/>
      <c r="EO1101"/>
      <c r="EP1101"/>
      <c r="ES1101"/>
      <c r="ET1101"/>
      <c r="EW1101"/>
      <c r="EX1101"/>
      <c r="FA1101"/>
      <c r="FB1101"/>
      <c r="FE1101"/>
      <c r="FF1101"/>
      <c r="FI1101"/>
      <c r="FJ1101"/>
      <c r="FM1101"/>
      <c r="FN1101"/>
      <c r="FQ1101"/>
      <c r="FR1101"/>
      <c r="FU1101"/>
      <c r="FV1101"/>
      <c r="FY1101"/>
      <c r="FZ1101"/>
      <c r="GC1101"/>
      <c r="GD1101"/>
      <c r="GG1101"/>
      <c r="GH1101"/>
      <c r="GK1101"/>
      <c r="GL1101"/>
      <c r="GO1101"/>
      <c r="GP1101"/>
      <c r="GS1101"/>
      <c r="GT1101"/>
      <c r="GW1101"/>
      <c r="GX1101"/>
      <c r="HA1101"/>
      <c r="HB1101"/>
      <c r="HE1101"/>
      <c r="HF1101"/>
      <c r="HI1101"/>
      <c r="HJ1101"/>
      <c r="HM1101"/>
      <c r="HN1101"/>
      <c r="HQ1101"/>
      <c r="HR1101"/>
      <c r="HU1101"/>
      <c r="HV1101"/>
      <c r="HY1101"/>
      <c r="HZ1101"/>
      <c r="IC1101"/>
      <c r="ID1101"/>
      <c r="IG1101"/>
      <c r="IH1101"/>
      <c r="IK1101"/>
      <c r="IL1101"/>
      <c r="IO1101"/>
      <c r="IP1101"/>
      <c r="IS1101"/>
      <c r="IT1101"/>
      <c r="IW1101"/>
      <c r="IX1101"/>
      <c r="JA1101"/>
      <c r="JB1101"/>
      <c r="JE1101"/>
      <c r="JF1101"/>
      <c r="JI1101"/>
      <c r="JJ1101"/>
      <c r="JM1101"/>
      <c r="JN1101"/>
      <c r="JQ1101"/>
      <c r="JR1101"/>
      <c r="JU1101"/>
      <c r="JV1101"/>
      <c r="JY1101"/>
      <c r="JZ1101"/>
      <c r="KC1101"/>
      <c r="KD1101"/>
      <c r="KG1101"/>
      <c r="KH1101"/>
      <c r="KK1101"/>
      <c r="KL1101"/>
      <c r="KO1101"/>
      <c r="KP1101"/>
      <c r="KS1101"/>
      <c r="KT1101"/>
      <c r="KW1101"/>
      <c r="KX1101"/>
      <c r="LA1101"/>
      <c r="LB1101"/>
      <c r="LE1101"/>
      <c r="LF1101"/>
      <c r="LI1101"/>
      <c r="LJ1101"/>
      <c r="LM1101"/>
      <c r="LN1101"/>
      <c r="LQ1101"/>
      <c r="LR1101"/>
      <c r="LU1101"/>
      <c r="LV1101"/>
      <c r="LY1101"/>
      <c r="LZ1101"/>
      <c r="MC1101"/>
      <c r="MD1101"/>
      <c r="MG1101"/>
      <c r="MH1101"/>
      <c r="MK1101"/>
      <c r="ML1101"/>
      <c r="MO1101"/>
      <c r="MP1101"/>
      <c r="MS1101"/>
      <c r="MT1101"/>
      <c r="MW1101"/>
      <c r="MX1101"/>
      <c r="NA1101"/>
      <c r="NB1101"/>
      <c r="NE1101"/>
      <c r="NF1101"/>
      <c r="NI1101"/>
      <c r="NJ1101"/>
      <c r="NM1101"/>
      <c r="NN1101"/>
      <c r="NQ1101"/>
      <c r="NR1101"/>
      <c r="NU1101"/>
      <c r="NV1101"/>
      <c r="NY1101"/>
      <c r="NZ1101"/>
      <c r="OC1101"/>
      <c r="OD1101"/>
      <c r="OG1101"/>
      <c r="OH1101"/>
      <c r="OK1101"/>
      <c r="OL1101"/>
      <c r="OO1101"/>
      <c r="OP1101"/>
      <c r="OS1101"/>
      <c r="OT1101"/>
      <c r="OW1101"/>
      <c r="OX1101"/>
      <c r="PA1101"/>
      <c r="PB1101"/>
      <c r="PE1101"/>
      <c r="PF1101"/>
      <c r="PI1101"/>
      <c r="PJ1101"/>
      <c r="PM1101"/>
      <c r="PN1101"/>
      <c r="PQ1101"/>
      <c r="PR1101"/>
      <c r="PU1101"/>
      <c r="PV1101"/>
      <c r="PY1101"/>
      <c r="PZ1101"/>
      <c r="QC1101"/>
      <c r="QD1101"/>
      <c r="QG1101"/>
      <c r="QH1101"/>
      <c r="QK1101"/>
      <c r="QL1101"/>
      <c r="QO1101"/>
      <c r="QP1101"/>
      <c r="QS1101"/>
      <c r="QT1101"/>
      <c r="QW1101"/>
      <c r="QX1101"/>
      <c r="RA1101"/>
      <c r="RB1101"/>
      <c r="RE1101"/>
      <c r="RF1101"/>
      <c r="RI1101"/>
      <c r="RJ1101"/>
      <c r="RM1101"/>
      <c r="RN1101"/>
      <c r="RQ1101"/>
      <c r="RR1101"/>
      <c r="RU1101"/>
      <c r="RV1101"/>
      <c r="RY1101"/>
      <c r="RZ1101"/>
      <c r="SC1101"/>
      <c r="SD1101"/>
      <c r="SG1101"/>
      <c r="SH1101"/>
      <c r="SK1101"/>
      <c r="SL1101"/>
      <c r="SO1101"/>
      <c r="SP1101"/>
      <c r="SS1101"/>
      <c r="ST1101"/>
      <c r="SW1101"/>
      <c r="SX1101"/>
      <c r="TA1101"/>
      <c r="TB1101"/>
      <c r="TE1101"/>
      <c r="TF1101"/>
      <c r="TI1101"/>
      <c r="TJ1101"/>
      <c r="TM1101"/>
      <c r="TN1101"/>
      <c r="TQ1101"/>
      <c r="TR1101"/>
      <c r="TU1101"/>
      <c r="TV1101"/>
      <c r="TY1101"/>
      <c r="TZ1101"/>
      <c r="UC1101"/>
      <c r="UD1101"/>
      <c r="UG1101"/>
      <c r="UH1101"/>
      <c r="UK1101"/>
      <c r="UL1101"/>
      <c r="UO1101"/>
      <c r="UP1101"/>
      <c r="US1101"/>
      <c r="UT1101"/>
      <c r="UW1101"/>
      <c r="UX1101"/>
      <c r="VA1101"/>
      <c r="VB1101"/>
      <c r="VE1101"/>
      <c r="VF1101"/>
      <c r="VI1101"/>
      <c r="VJ1101"/>
      <c r="VM1101"/>
      <c r="VN1101"/>
      <c r="VQ1101"/>
      <c r="VR1101"/>
      <c r="VU1101"/>
      <c r="VV1101"/>
      <c r="VY1101"/>
      <c r="VZ1101"/>
      <c r="WC1101"/>
      <c r="WD1101"/>
      <c r="WG1101"/>
      <c r="WH1101"/>
      <c r="WK1101"/>
      <c r="WL1101"/>
      <c r="WO1101"/>
      <c r="WP1101"/>
      <c r="WS1101"/>
      <c r="WT1101"/>
      <c r="WW1101"/>
      <c r="WX1101"/>
      <c r="XA1101"/>
      <c r="XB1101"/>
      <c r="XE1101"/>
      <c r="XF1101"/>
      <c r="XI1101"/>
      <c r="XJ1101"/>
      <c r="XM1101"/>
      <c r="XN1101"/>
      <c r="XQ1101"/>
      <c r="XR1101"/>
      <c r="XU1101"/>
      <c r="XV1101"/>
      <c r="XY1101"/>
      <c r="XZ1101"/>
      <c r="YC1101"/>
      <c r="YD1101"/>
      <c r="YG1101"/>
      <c r="YH1101"/>
      <c r="YK1101"/>
      <c r="YL1101"/>
      <c r="YO1101"/>
      <c r="YP1101"/>
      <c r="YS1101"/>
      <c r="YT1101"/>
      <c r="YW1101"/>
      <c r="YX1101"/>
      <c r="ZA1101"/>
      <c r="ZB1101"/>
      <c r="ZE1101"/>
      <c r="ZF1101"/>
      <c r="ZI1101"/>
      <c r="ZJ1101"/>
      <c r="ZM1101"/>
      <c r="ZN1101"/>
      <c r="ZQ1101"/>
      <c r="ZR1101"/>
      <c r="ZU1101"/>
      <c r="ZV1101"/>
      <c r="ZY1101"/>
      <c r="ZZ1101"/>
      <c r="AAC1101"/>
      <c r="AAD1101"/>
      <c r="AAG1101"/>
      <c r="AAH1101"/>
      <c r="AAK1101"/>
      <c r="AAL1101"/>
      <c r="AAO1101"/>
      <c r="AAP1101"/>
      <c r="AAS1101"/>
      <c r="AAT1101"/>
      <c r="AAW1101"/>
      <c r="AAX1101"/>
      <c r="ABA1101"/>
      <c r="ABB1101"/>
      <c r="ABE1101"/>
      <c r="ABF1101"/>
      <c r="ABI1101"/>
      <c r="ABJ1101"/>
      <c r="ABM1101"/>
      <c r="ABN1101"/>
      <c r="ABQ1101"/>
      <c r="ABR1101"/>
      <c r="ABU1101"/>
      <c r="ABV1101"/>
      <c r="ABY1101"/>
      <c r="ABZ1101"/>
      <c r="ACC1101"/>
      <c r="ACD1101"/>
      <c r="ACG1101"/>
      <c r="ACH1101"/>
      <c r="ACK1101"/>
      <c r="ACL1101"/>
      <c r="ACO1101"/>
      <c r="ACP1101"/>
      <c r="ACS1101"/>
      <c r="ACT1101"/>
      <c r="ACW1101"/>
      <c r="ACX1101"/>
      <c r="ADA1101"/>
      <c r="ADB1101"/>
      <c r="ADE1101"/>
      <c r="ADF1101"/>
      <c r="ADI1101"/>
      <c r="ADJ1101"/>
      <c r="ADM1101"/>
      <c r="ADN1101"/>
      <c r="ADQ1101"/>
      <c r="ADR1101"/>
      <c r="ADU1101"/>
      <c r="ADV1101"/>
      <c r="ADY1101"/>
      <c r="ADZ1101"/>
      <c r="AEC1101"/>
      <c r="AED1101"/>
      <c r="AEG1101"/>
      <c r="AEH1101"/>
      <c r="AEK1101"/>
      <c r="AEL1101"/>
      <c r="AEO1101"/>
      <c r="AEP1101"/>
      <c r="AES1101"/>
      <c r="AET1101"/>
      <c r="AEW1101"/>
      <c r="AEX1101"/>
      <c r="AFA1101"/>
      <c r="AFB1101"/>
      <c r="AFE1101"/>
      <c r="AFF1101"/>
      <c r="AFI1101"/>
      <c r="AFJ1101"/>
      <c r="AFM1101"/>
      <c r="AFN1101"/>
      <c r="AFQ1101"/>
      <c r="AFR1101"/>
      <c r="AFU1101"/>
      <c r="AFV1101"/>
      <c r="AFY1101"/>
      <c r="AFZ1101"/>
      <c r="AGC1101"/>
      <c r="AGD1101"/>
      <c r="AGG1101"/>
      <c r="AGH1101"/>
      <c r="AGK1101"/>
      <c r="AGL1101"/>
      <c r="AGO1101"/>
      <c r="AGP1101"/>
      <c r="AGS1101"/>
      <c r="AGT1101"/>
      <c r="AGW1101"/>
      <c r="AGX1101"/>
      <c r="AHA1101"/>
      <c r="AHB1101"/>
      <c r="AHE1101"/>
      <c r="AHF1101"/>
      <c r="AHI1101"/>
      <c r="AHJ1101"/>
      <c r="AHM1101"/>
      <c r="AHN1101"/>
      <c r="AHQ1101"/>
      <c r="AHR1101"/>
      <c r="AHU1101"/>
      <c r="AHV1101"/>
      <c r="AHY1101"/>
      <c r="AHZ1101"/>
      <c r="AIC1101"/>
      <c r="AID1101"/>
      <c r="AIG1101"/>
      <c r="AIH1101"/>
      <c r="AIK1101"/>
      <c r="AIL1101"/>
      <c r="AIO1101"/>
      <c r="AIP1101"/>
      <c r="AIS1101"/>
      <c r="AIT1101"/>
      <c r="AIW1101"/>
      <c r="AIX1101"/>
      <c r="AJA1101"/>
      <c r="AJB1101"/>
      <c r="AJE1101"/>
      <c r="AJF1101"/>
      <c r="AJI1101"/>
      <c r="AJJ1101"/>
      <c r="AJM1101"/>
      <c r="AJN1101"/>
      <c r="AJQ1101"/>
      <c r="AJR1101"/>
      <c r="AJU1101"/>
      <c r="AJV1101"/>
      <c r="AJY1101"/>
      <c r="AJZ1101"/>
      <c r="AKC1101"/>
      <c r="AKD1101"/>
      <c r="AKG1101"/>
      <c r="AKH1101"/>
      <c r="AKK1101"/>
      <c r="AKL1101"/>
      <c r="AKO1101"/>
      <c r="AKP1101"/>
      <c r="AKS1101"/>
      <c r="AKT1101"/>
      <c r="AKW1101"/>
      <c r="AKX1101"/>
      <c r="ALA1101"/>
      <c r="ALB1101"/>
      <c r="ALE1101"/>
      <c r="ALF1101"/>
      <c r="ALI1101"/>
      <c r="ALJ1101"/>
      <c r="ALM1101"/>
      <c r="ALN1101"/>
      <c r="ALQ1101"/>
      <c r="ALR1101"/>
      <c r="ALU1101"/>
      <c r="ALV1101"/>
      <c r="ALY1101"/>
      <c r="ALZ1101"/>
      <c r="AMC1101"/>
      <c r="AMD1101"/>
      <c r="AMG1101"/>
      <c r="AMH1101"/>
      <c r="AMK1101"/>
      <c r="AML1101"/>
      <c r="AMO1101"/>
      <c r="AMP1101"/>
      <c r="AMS1101"/>
      <c r="AMT1101"/>
      <c r="AMW1101"/>
      <c r="AMX1101"/>
      <c r="ANA1101"/>
      <c r="ANB1101"/>
      <c r="ANE1101"/>
      <c r="ANF1101"/>
      <c r="ANI1101"/>
      <c r="ANJ1101"/>
      <c r="ANM1101"/>
      <c r="ANN1101"/>
      <c r="ANQ1101"/>
      <c r="ANR1101"/>
      <c r="ANU1101"/>
      <c r="ANV1101"/>
      <c r="ANY1101"/>
      <c r="ANZ1101"/>
      <c r="AOC1101"/>
      <c r="AOD1101"/>
      <c r="AOG1101"/>
      <c r="AOH1101"/>
      <c r="AOK1101"/>
      <c r="AOL1101"/>
      <c r="AOO1101"/>
      <c r="AOP1101"/>
      <c r="AOS1101"/>
      <c r="AOT1101"/>
      <c r="AOW1101"/>
      <c r="AOX1101"/>
      <c r="APA1101"/>
      <c r="APB1101"/>
      <c r="APE1101"/>
      <c r="APF1101"/>
      <c r="API1101"/>
      <c r="APJ1101"/>
      <c r="APM1101"/>
      <c r="APN1101"/>
      <c r="APQ1101"/>
      <c r="APR1101"/>
      <c r="APU1101"/>
      <c r="APV1101"/>
      <c r="APY1101"/>
      <c r="APZ1101"/>
      <c r="AQC1101"/>
      <c r="AQD1101"/>
      <c r="AQG1101"/>
      <c r="AQH1101"/>
      <c r="AQK1101"/>
      <c r="AQL1101"/>
      <c r="AQO1101"/>
      <c r="AQP1101"/>
      <c r="AQS1101"/>
      <c r="AQT1101"/>
      <c r="AQW1101"/>
      <c r="AQX1101"/>
      <c r="ARA1101"/>
      <c r="ARB1101"/>
      <c r="ARE1101"/>
      <c r="ARF1101"/>
      <c r="ARI1101"/>
      <c r="ARJ1101"/>
      <c r="ARM1101"/>
      <c r="ARN1101"/>
      <c r="ARQ1101"/>
      <c r="ARR1101"/>
      <c r="ARU1101"/>
      <c r="ARV1101"/>
      <c r="ARY1101"/>
      <c r="ARZ1101"/>
      <c r="ASC1101"/>
      <c r="ASD1101"/>
      <c r="ASG1101"/>
      <c r="ASH1101"/>
      <c r="ASK1101"/>
      <c r="ASL1101"/>
      <c r="ASO1101"/>
      <c r="ASP1101"/>
      <c r="ASS1101"/>
      <c r="AST1101"/>
      <c r="ASW1101"/>
      <c r="ASX1101"/>
      <c r="ATA1101"/>
      <c r="ATB1101"/>
      <c r="ATE1101"/>
      <c r="ATF1101"/>
      <c r="ATI1101"/>
      <c r="ATJ1101"/>
      <c r="ATM1101"/>
      <c r="ATN1101"/>
      <c r="ATQ1101"/>
      <c r="ATR1101"/>
      <c r="ATU1101"/>
      <c r="ATV1101"/>
      <c r="ATY1101"/>
      <c r="ATZ1101"/>
      <c r="AUC1101"/>
      <c r="AUD1101"/>
      <c r="AUG1101"/>
      <c r="AUH1101"/>
      <c r="AUK1101"/>
      <c r="AUL1101"/>
      <c r="AUO1101"/>
      <c r="AUP1101"/>
      <c r="AUS1101"/>
      <c r="AUT1101"/>
      <c r="AUW1101"/>
      <c r="AUX1101"/>
      <c r="AVA1101"/>
      <c r="AVB1101"/>
      <c r="AVE1101"/>
      <c r="AVF1101"/>
      <c r="AVI1101"/>
      <c r="AVJ1101"/>
      <c r="AVM1101"/>
      <c r="AVN1101"/>
      <c r="AVQ1101"/>
      <c r="AVR1101"/>
      <c r="AVU1101"/>
      <c r="AVV1101"/>
      <c r="AVY1101"/>
      <c r="AVZ1101"/>
      <c r="AWC1101"/>
      <c r="AWD1101"/>
      <c r="AWG1101"/>
      <c r="AWH1101"/>
      <c r="AWK1101"/>
      <c r="AWL1101"/>
      <c r="AWO1101"/>
      <c r="AWP1101"/>
      <c r="AWS1101"/>
      <c r="AWT1101"/>
      <c r="AWW1101"/>
      <c r="AWX1101"/>
      <c r="AXA1101"/>
      <c r="AXB1101"/>
      <c r="AXE1101"/>
      <c r="AXF1101"/>
      <c r="AXI1101"/>
      <c r="AXJ1101"/>
      <c r="AXM1101"/>
      <c r="AXN1101"/>
      <c r="AXQ1101"/>
      <c r="AXR1101"/>
      <c r="AXU1101"/>
      <c r="AXV1101"/>
      <c r="AXY1101"/>
      <c r="AXZ1101"/>
      <c r="AYC1101"/>
      <c r="AYD1101"/>
      <c r="AYG1101"/>
      <c r="AYH1101"/>
      <c r="AYK1101"/>
      <c r="AYL1101"/>
      <c r="AYO1101"/>
      <c r="AYP1101"/>
      <c r="AYS1101"/>
      <c r="AYT1101"/>
      <c r="AYW1101"/>
      <c r="AYX1101"/>
      <c r="AZA1101"/>
      <c r="AZB1101"/>
      <c r="AZE1101"/>
      <c r="AZF1101"/>
      <c r="AZI1101"/>
      <c r="AZJ1101"/>
      <c r="AZM1101"/>
      <c r="AZN1101"/>
      <c r="AZQ1101"/>
      <c r="AZR1101"/>
      <c r="AZU1101"/>
      <c r="AZV1101"/>
      <c r="AZY1101"/>
      <c r="AZZ1101"/>
      <c r="BAC1101"/>
      <c r="BAD1101"/>
      <c r="BAG1101"/>
      <c r="BAH1101"/>
      <c r="BAK1101"/>
      <c r="BAL1101"/>
      <c r="BAO1101"/>
      <c r="BAP1101"/>
      <c r="BAS1101"/>
      <c r="BAT1101"/>
      <c r="BAW1101"/>
      <c r="BAX1101"/>
      <c r="BBA1101"/>
      <c r="BBB1101"/>
      <c r="BBE1101"/>
      <c r="BBF1101"/>
      <c r="BBI1101"/>
      <c r="BBJ1101"/>
      <c r="BBM1101"/>
      <c r="BBN1101"/>
      <c r="BBQ1101"/>
      <c r="BBR1101"/>
      <c r="BBU1101"/>
      <c r="BBV1101"/>
      <c r="BBY1101"/>
      <c r="BBZ1101"/>
      <c r="BCC1101"/>
      <c r="BCD1101"/>
      <c r="BCG1101"/>
      <c r="BCH1101"/>
      <c r="BCK1101"/>
      <c r="BCL1101"/>
      <c r="BCO1101"/>
      <c r="BCP1101"/>
      <c r="BCS1101"/>
      <c r="BCT1101"/>
      <c r="BCW1101"/>
      <c r="BCX1101"/>
      <c r="BDA1101"/>
      <c r="BDB1101"/>
      <c r="BDE1101"/>
      <c r="BDF1101"/>
      <c r="BDI1101"/>
      <c r="BDJ1101"/>
      <c r="BDM1101"/>
      <c r="BDN1101"/>
      <c r="BDQ1101"/>
      <c r="BDR1101"/>
      <c r="BDU1101"/>
      <c r="BDV1101"/>
      <c r="BDY1101"/>
      <c r="BDZ1101"/>
      <c r="BEC1101"/>
      <c r="BED1101"/>
      <c r="BEG1101"/>
      <c r="BEH1101"/>
      <c r="BEK1101"/>
      <c r="BEL1101"/>
      <c r="BEO1101"/>
      <c r="BEP1101"/>
      <c r="BES1101"/>
      <c r="BET1101"/>
      <c r="BEW1101"/>
      <c r="BEX1101"/>
      <c r="BFA1101"/>
      <c r="BFB1101"/>
      <c r="BFE1101"/>
      <c r="BFF1101"/>
      <c r="BFI1101"/>
      <c r="BFJ1101"/>
      <c r="BFM1101"/>
      <c r="BFN1101"/>
      <c r="BFQ1101"/>
      <c r="BFR1101"/>
      <c r="BFU1101"/>
      <c r="BFV1101"/>
      <c r="BFY1101"/>
      <c r="BFZ1101"/>
      <c r="BGC1101"/>
      <c r="BGD1101"/>
      <c r="BGG1101"/>
      <c r="BGH1101"/>
      <c r="BGK1101"/>
      <c r="BGL1101"/>
      <c r="BGO1101"/>
      <c r="BGP1101"/>
      <c r="BGS1101"/>
      <c r="BGT1101"/>
      <c r="BGW1101"/>
      <c r="BGX1101"/>
      <c r="BHA1101"/>
      <c r="BHB1101"/>
      <c r="BHE1101"/>
      <c r="BHF1101"/>
      <c r="BHI1101"/>
      <c r="BHJ1101"/>
      <c r="BHM1101"/>
      <c r="BHN1101"/>
      <c r="BHQ1101"/>
      <c r="BHR1101"/>
      <c r="BHU1101"/>
      <c r="BHV1101"/>
      <c r="BHY1101"/>
      <c r="BHZ1101"/>
      <c r="BIC1101"/>
      <c r="BID1101"/>
      <c r="BIG1101"/>
      <c r="BIH1101"/>
      <c r="BIK1101"/>
      <c r="BIL1101"/>
      <c r="BIO1101"/>
      <c r="BIP1101"/>
      <c r="BIS1101"/>
      <c r="BIT1101"/>
      <c r="BIW1101"/>
      <c r="BIX1101"/>
      <c r="BJA1101"/>
      <c r="BJB1101"/>
      <c r="BJE1101"/>
      <c r="BJF1101"/>
      <c r="BJI1101"/>
      <c r="BJJ1101"/>
      <c r="BJM1101"/>
      <c r="BJN1101"/>
      <c r="BJQ1101"/>
      <c r="BJR1101"/>
      <c r="BJU1101"/>
      <c r="BJV1101"/>
      <c r="BJY1101"/>
      <c r="BJZ1101"/>
      <c r="BKC1101"/>
      <c r="BKD1101"/>
      <c r="BKG1101"/>
      <c r="BKH1101"/>
      <c r="BKK1101"/>
      <c r="BKL1101"/>
      <c r="BKO1101"/>
      <c r="BKP1101"/>
      <c r="BKS1101"/>
      <c r="BKT1101"/>
      <c r="BKW1101"/>
      <c r="BKX1101"/>
      <c r="BLA1101"/>
      <c r="BLB1101"/>
      <c r="BLE1101"/>
      <c r="BLF1101"/>
      <c r="BLI1101"/>
      <c r="BLJ1101"/>
      <c r="BLM1101"/>
      <c r="BLN1101"/>
      <c r="BLQ1101"/>
      <c r="BLR1101"/>
      <c r="BLU1101"/>
      <c r="BLV1101"/>
      <c r="BLY1101"/>
      <c r="BLZ1101"/>
      <c r="BMC1101"/>
      <c r="BMD1101"/>
      <c r="BMG1101"/>
      <c r="BMH1101"/>
      <c r="BMK1101"/>
      <c r="BML1101"/>
      <c r="BMO1101"/>
      <c r="BMP1101"/>
      <c r="BMS1101"/>
      <c r="BMT1101"/>
      <c r="BMW1101"/>
      <c r="BMX1101"/>
      <c r="BNA1101"/>
      <c r="BNB1101"/>
      <c r="BNE1101"/>
      <c r="BNF1101"/>
      <c r="BNI1101"/>
      <c r="BNJ1101"/>
      <c r="BNM1101"/>
      <c r="BNN1101"/>
      <c r="BNQ1101"/>
      <c r="BNR1101"/>
      <c r="BNU1101"/>
      <c r="BNV1101"/>
      <c r="BNY1101"/>
      <c r="BNZ1101"/>
      <c r="BOC1101"/>
      <c r="BOD1101"/>
      <c r="BOG1101"/>
      <c r="BOH1101"/>
      <c r="BOK1101"/>
      <c r="BOL1101"/>
      <c r="BOO1101"/>
      <c r="BOP1101"/>
      <c r="BOS1101"/>
      <c r="BOT1101"/>
      <c r="BOW1101"/>
      <c r="BOX1101"/>
      <c r="BPA1101"/>
      <c r="BPB1101"/>
      <c r="BPE1101"/>
      <c r="BPF1101"/>
      <c r="BPI1101"/>
      <c r="BPJ1101"/>
      <c r="BPM1101"/>
      <c r="BPN1101"/>
      <c r="BPQ1101"/>
      <c r="BPR1101"/>
      <c r="BPU1101"/>
      <c r="BPV1101"/>
      <c r="BPY1101"/>
      <c r="BPZ1101"/>
      <c r="BQC1101"/>
      <c r="BQD1101"/>
      <c r="BQG1101"/>
      <c r="BQH1101"/>
      <c r="BQK1101"/>
      <c r="BQL1101"/>
      <c r="BQO1101"/>
      <c r="BQP1101"/>
      <c r="BQS1101"/>
      <c r="BQT1101"/>
      <c r="BQW1101"/>
      <c r="BQX1101"/>
      <c r="BRA1101"/>
      <c r="BRB1101"/>
      <c r="BRE1101"/>
      <c r="BRF1101"/>
      <c r="BRI1101"/>
      <c r="BRJ1101"/>
      <c r="BRM1101"/>
      <c r="BRN1101"/>
      <c r="BRQ1101"/>
      <c r="BRR1101"/>
      <c r="BRU1101"/>
      <c r="BRV1101"/>
      <c r="BRY1101"/>
      <c r="BRZ1101"/>
      <c r="BSC1101"/>
      <c r="BSD1101"/>
      <c r="BSG1101"/>
      <c r="BSH1101"/>
      <c r="BSK1101"/>
      <c r="BSL1101"/>
      <c r="BSO1101"/>
      <c r="BSP1101"/>
      <c r="BSS1101"/>
      <c r="BST1101"/>
      <c r="BSW1101"/>
      <c r="BSX1101"/>
      <c r="BTA1101"/>
      <c r="BTB1101"/>
      <c r="BTE1101"/>
      <c r="BTF1101"/>
      <c r="BTI1101"/>
      <c r="BTJ1101"/>
      <c r="BTM1101"/>
      <c r="BTN1101"/>
      <c r="BTQ1101"/>
      <c r="BTR1101"/>
      <c r="BTU1101"/>
      <c r="BTV1101"/>
      <c r="BTY1101"/>
      <c r="BTZ1101"/>
      <c r="BUC1101"/>
      <c r="BUD1101"/>
      <c r="BUG1101"/>
      <c r="BUH1101"/>
      <c r="BUK1101"/>
      <c r="BUL1101"/>
      <c r="BUO1101"/>
      <c r="BUP1101"/>
      <c r="BUS1101"/>
      <c r="BUT1101"/>
      <c r="BUW1101"/>
      <c r="BUX1101"/>
      <c r="BVA1101"/>
      <c r="BVB1101"/>
      <c r="BVE1101"/>
      <c r="BVF1101"/>
      <c r="BVI1101"/>
      <c r="BVJ1101"/>
      <c r="BVM1101"/>
      <c r="BVN1101"/>
      <c r="BVQ1101"/>
      <c r="BVR1101"/>
      <c r="BVU1101"/>
      <c r="BVV1101"/>
      <c r="BVY1101"/>
      <c r="BVZ1101"/>
      <c r="BWC1101"/>
      <c r="BWD1101"/>
      <c r="BWG1101"/>
      <c r="BWH1101"/>
      <c r="BWK1101"/>
      <c r="BWL1101"/>
      <c r="BWO1101"/>
      <c r="BWP1101"/>
      <c r="BWS1101"/>
      <c r="BWT1101"/>
      <c r="BWW1101"/>
      <c r="BWX1101"/>
      <c r="BXA1101"/>
      <c r="BXB1101"/>
      <c r="BXE1101"/>
      <c r="BXF1101"/>
      <c r="BXI1101"/>
      <c r="BXJ1101"/>
      <c r="BXM1101"/>
      <c r="BXN1101"/>
      <c r="BXQ1101"/>
      <c r="BXR1101"/>
      <c r="BXU1101"/>
      <c r="BXV1101"/>
      <c r="BXY1101"/>
      <c r="BXZ1101"/>
      <c r="BYC1101"/>
      <c r="BYD1101"/>
      <c r="BYG1101"/>
      <c r="BYH1101"/>
      <c r="BYK1101"/>
      <c r="BYL1101"/>
      <c r="BYO1101"/>
      <c r="BYP1101"/>
      <c r="BYS1101"/>
      <c r="BYT1101"/>
      <c r="BYW1101"/>
      <c r="BYX1101"/>
      <c r="BZA1101"/>
      <c r="BZB1101"/>
      <c r="BZE1101"/>
      <c r="BZF1101"/>
      <c r="BZI1101"/>
      <c r="BZJ1101"/>
      <c r="BZM1101"/>
      <c r="BZN1101"/>
      <c r="BZQ1101"/>
      <c r="BZR1101"/>
      <c r="BZU1101"/>
      <c r="BZV1101"/>
      <c r="BZY1101"/>
      <c r="BZZ1101"/>
      <c r="CAC1101"/>
      <c r="CAD1101"/>
      <c r="CAG1101"/>
      <c r="CAH1101"/>
      <c r="CAK1101"/>
      <c r="CAL1101"/>
      <c r="CAO1101"/>
      <c r="CAP1101"/>
      <c r="CAS1101"/>
      <c r="CAT1101"/>
      <c r="CAW1101"/>
      <c r="CAX1101"/>
      <c r="CBA1101"/>
      <c r="CBB1101"/>
      <c r="CBE1101"/>
      <c r="CBF1101"/>
      <c r="CBI1101"/>
      <c r="CBJ1101"/>
      <c r="CBM1101"/>
      <c r="CBN1101"/>
      <c r="CBQ1101"/>
      <c r="CBR1101"/>
      <c r="CBU1101"/>
      <c r="CBV1101"/>
      <c r="CBY1101"/>
      <c r="CBZ1101"/>
      <c r="CCC1101"/>
      <c r="CCD1101"/>
      <c r="CCG1101"/>
      <c r="CCH1101"/>
      <c r="CCK1101"/>
      <c r="CCL1101"/>
      <c r="CCO1101"/>
      <c r="CCP1101"/>
      <c r="CCS1101"/>
      <c r="CCT1101"/>
      <c r="CCW1101"/>
      <c r="CCX1101"/>
      <c r="CDA1101"/>
      <c r="CDB1101"/>
      <c r="CDE1101"/>
      <c r="CDF1101"/>
      <c r="CDI1101"/>
      <c r="CDJ1101"/>
      <c r="CDM1101"/>
      <c r="CDN1101"/>
      <c r="CDQ1101"/>
      <c r="CDR1101"/>
      <c r="CDU1101"/>
      <c r="CDV1101"/>
      <c r="CDY1101"/>
      <c r="CDZ1101"/>
      <c r="CEC1101"/>
      <c r="CED1101"/>
      <c r="CEG1101"/>
      <c r="CEH1101"/>
      <c r="CEK1101"/>
      <c r="CEL1101"/>
      <c r="CEO1101"/>
      <c r="CEP1101"/>
      <c r="CES1101"/>
      <c r="CET1101"/>
      <c r="CEW1101"/>
      <c r="CEX1101"/>
      <c r="CFA1101"/>
      <c r="CFB1101"/>
      <c r="CFE1101"/>
      <c r="CFF1101"/>
      <c r="CFI1101"/>
      <c r="CFJ1101"/>
      <c r="CFM1101"/>
      <c r="CFN1101"/>
      <c r="CFQ1101"/>
      <c r="CFR1101"/>
      <c r="CFU1101"/>
      <c r="CFV1101"/>
      <c r="CFY1101"/>
      <c r="CFZ1101"/>
      <c r="CGC1101"/>
      <c r="CGD1101"/>
      <c r="CGG1101"/>
      <c r="CGH1101"/>
      <c r="CGK1101"/>
      <c r="CGL1101"/>
      <c r="CGO1101"/>
      <c r="CGP1101"/>
      <c r="CGS1101"/>
      <c r="CGT1101"/>
      <c r="CGW1101"/>
      <c r="CGX1101"/>
      <c r="CHA1101"/>
      <c r="CHB1101"/>
      <c r="CHE1101"/>
      <c r="CHF1101"/>
      <c r="CHI1101"/>
      <c r="CHJ1101"/>
      <c r="CHM1101"/>
      <c r="CHN1101"/>
      <c r="CHQ1101"/>
      <c r="CHR1101"/>
      <c r="CHU1101"/>
      <c r="CHV1101"/>
      <c r="CHY1101"/>
      <c r="CHZ1101"/>
      <c r="CIC1101"/>
      <c r="CID1101"/>
      <c r="CIG1101"/>
      <c r="CIH1101"/>
      <c r="CIK1101"/>
      <c r="CIL1101"/>
      <c r="CIO1101"/>
      <c r="CIP1101"/>
      <c r="CIS1101"/>
      <c r="CIT1101"/>
      <c r="CIW1101"/>
      <c r="CIX1101"/>
      <c r="CJA1101"/>
      <c r="CJB1101"/>
      <c r="CJE1101"/>
      <c r="CJF1101"/>
      <c r="CJI1101"/>
      <c r="CJJ1101"/>
      <c r="CJM1101"/>
      <c r="CJN1101"/>
      <c r="CJQ1101"/>
      <c r="CJR1101"/>
      <c r="CJU1101"/>
      <c r="CJV1101"/>
      <c r="CJY1101"/>
      <c r="CJZ1101"/>
      <c r="CKC1101"/>
      <c r="CKD1101"/>
      <c r="CKG1101"/>
      <c r="CKH1101"/>
      <c r="CKK1101"/>
      <c r="CKL1101"/>
      <c r="CKO1101"/>
      <c r="CKP1101"/>
      <c r="CKS1101"/>
      <c r="CKT1101"/>
      <c r="CKW1101"/>
      <c r="CKX1101"/>
      <c r="CLA1101"/>
      <c r="CLB1101"/>
      <c r="CLE1101"/>
      <c r="CLF1101"/>
      <c r="CLI1101"/>
      <c r="CLJ1101"/>
      <c r="CLM1101"/>
      <c r="CLN1101"/>
      <c r="CLQ1101"/>
      <c r="CLR1101"/>
      <c r="CLU1101"/>
      <c r="CLV1101"/>
      <c r="CLY1101"/>
      <c r="CLZ1101"/>
      <c r="CMC1101"/>
      <c r="CMD1101"/>
      <c r="CMG1101"/>
      <c r="CMH1101"/>
      <c r="CMK1101"/>
      <c r="CML1101"/>
      <c r="CMO1101"/>
      <c r="CMP1101"/>
      <c r="CMS1101"/>
      <c r="CMT1101"/>
      <c r="CMW1101"/>
      <c r="CMX1101"/>
      <c r="CNA1101"/>
      <c r="CNB1101"/>
      <c r="CNE1101"/>
      <c r="CNF1101"/>
      <c r="CNI1101"/>
      <c r="CNJ1101"/>
      <c r="CNM1101"/>
      <c r="CNN1101"/>
      <c r="CNQ1101"/>
      <c r="CNR1101"/>
      <c r="CNU1101"/>
      <c r="CNV1101"/>
      <c r="CNY1101"/>
      <c r="CNZ1101"/>
      <c r="COC1101"/>
      <c r="COD1101"/>
      <c r="COG1101"/>
      <c r="COH1101"/>
      <c r="COK1101"/>
      <c r="COL1101"/>
      <c r="COO1101"/>
      <c r="COP1101"/>
      <c r="COS1101"/>
      <c r="COT1101"/>
      <c r="COW1101"/>
      <c r="COX1101"/>
      <c r="CPA1101"/>
      <c r="CPB1101"/>
      <c r="CPE1101"/>
      <c r="CPF1101"/>
      <c r="CPI1101"/>
      <c r="CPJ1101"/>
      <c r="CPM1101"/>
      <c r="CPN1101"/>
      <c r="CPQ1101"/>
      <c r="CPR1101"/>
      <c r="CPU1101"/>
      <c r="CPV1101"/>
      <c r="CPY1101"/>
      <c r="CPZ1101"/>
      <c r="CQC1101"/>
      <c r="CQD1101"/>
      <c r="CQG1101"/>
      <c r="CQH1101"/>
      <c r="CQK1101"/>
      <c r="CQL1101"/>
      <c r="CQO1101"/>
      <c r="CQP1101"/>
      <c r="CQS1101"/>
      <c r="CQT1101"/>
      <c r="CQW1101"/>
      <c r="CQX1101"/>
      <c r="CRA1101"/>
      <c r="CRB1101"/>
      <c r="CRE1101"/>
      <c r="CRF1101"/>
      <c r="CRI1101"/>
      <c r="CRJ1101"/>
      <c r="CRM1101"/>
      <c r="CRN1101"/>
      <c r="CRQ1101"/>
      <c r="CRR1101"/>
      <c r="CRU1101"/>
      <c r="CRV1101"/>
      <c r="CRY1101"/>
      <c r="CRZ1101"/>
      <c r="CSC1101"/>
      <c r="CSD1101"/>
      <c r="CSG1101"/>
      <c r="CSH1101"/>
      <c r="CSK1101"/>
      <c r="CSL1101"/>
      <c r="CSO1101"/>
      <c r="CSP1101"/>
      <c r="CSS1101"/>
      <c r="CST1101"/>
      <c r="CSW1101"/>
      <c r="CSX1101"/>
      <c r="CTA1101"/>
      <c r="CTB1101"/>
      <c r="CTE1101"/>
      <c r="CTF1101"/>
      <c r="CTI1101"/>
      <c r="CTJ1101"/>
      <c r="CTM1101"/>
      <c r="CTN1101"/>
      <c r="CTQ1101"/>
      <c r="CTR1101"/>
      <c r="CTU1101"/>
      <c r="CTV1101"/>
      <c r="CTY1101"/>
      <c r="CTZ1101"/>
      <c r="CUC1101"/>
      <c r="CUD1101"/>
      <c r="CUG1101"/>
      <c r="CUH1101"/>
      <c r="CUK1101"/>
      <c r="CUL1101"/>
      <c r="CUO1101"/>
      <c r="CUP1101"/>
      <c r="CUS1101"/>
      <c r="CUT1101"/>
      <c r="CUW1101"/>
      <c r="CUX1101"/>
      <c r="CVA1101"/>
      <c r="CVB1101"/>
      <c r="CVE1101"/>
      <c r="CVF1101"/>
      <c r="CVI1101"/>
      <c r="CVJ1101"/>
      <c r="CVM1101"/>
      <c r="CVN1101"/>
      <c r="CVQ1101"/>
      <c r="CVR1101"/>
      <c r="CVU1101"/>
      <c r="CVV1101"/>
      <c r="CVY1101"/>
      <c r="CVZ1101"/>
      <c r="CWC1101"/>
      <c r="CWD1101"/>
      <c r="CWG1101"/>
      <c r="CWH1101"/>
      <c r="CWK1101"/>
      <c r="CWL1101"/>
      <c r="CWO1101"/>
      <c r="CWP1101"/>
      <c r="CWS1101"/>
      <c r="CWT1101"/>
      <c r="CWW1101"/>
      <c r="CWX1101"/>
      <c r="CXA1101"/>
      <c r="CXB1101"/>
      <c r="CXE1101"/>
      <c r="CXF1101"/>
      <c r="CXI1101"/>
      <c r="CXJ1101"/>
      <c r="CXM1101"/>
      <c r="CXN1101"/>
      <c r="CXQ1101"/>
      <c r="CXR1101"/>
      <c r="CXU1101"/>
      <c r="CXV1101"/>
      <c r="CXY1101"/>
      <c r="CXZ1101"/>
      <c r="CYC1101"/>
      <c r="CYD1101"/>
      <c r="CYG1101"/>
      <c r="CYH1101"/>
      <c r="CYK1101"/>
      <c r="CYL1101"/>
      <c r="CYO1101"/>
      <c r="CYP1101"/>
      <c r="CYS1101"/>
      <c r="CYT1101"/>
      <c r="CYW1101"/>
      <c r="CYX1101"/>
      <c r="CZA1101"/>
      <c r="CZB1101"/>
      <c r="CZE1101"/>
      <c r="CZF1101"/>
      <c r="CZI1101"/>
      <c r="CZJ1101"/>
      <c r="CZM1101"/>
      <c r="CZN1101"/>
      <c r="CZQ1101"/>
      <c r="CZR1101"/>
      <c r="CZU1101"/>
      <c r="CZV1101"/>
      <c r="CZY1101"/>
      <c r="CZZ1101"/>
      <c r="DAC1101"/>
      <c r="DAD1101"/>
      <c r="DAG1101"/>
      <c r="DAH1101"/>
      <c r="DAK1101"/>
      <c r="DAL1101"/>
      <c r="DAO1101"/>
      <c r="DAP1101"/>
      <c r="DAS1101"/>
      <c r="DAT1101"/>
      <c r="DAW1101"/>
      <c r="DAX1101"/>
      <c r="DBA1101"/>
      <c r="DBB1101"/>
      <c r="DBE1101"/>
      <c r="DBF1101"/>
      <c r="DBI1101"/>
      <c r="DBJ1101"/>
      <c r="DBM1101"/>
      <c r="DBN1101"/>
      <c r="DBQ1101"/>
      <c r="DBR1101"/>
      <c r="DBU1101"/>
      <c r="DBV1101"/>
      <c r="DBY1101"/>
      <c r="DBZ1101"/>
      <c r="DCC1101"/>
      <c r="DCD1101"/>
      <c r="DCG1101"/>
      <c r="DCH1101"/>
      <c r="DCK1101"/>
      <c r="DCL1101"/>
      <c r="DCO1101"/>
      <c r="DCP1101"/>
      <c r="DCS1101"/>
      <c r="DCT1101"/>
      <c r="DCW1101"/>
      <c r="DCX1101"/>
      <c r="DDA1101"/>
      <c r="DDB1101"/>
      <c r="DDE1101"/>
      <c r="DDF1101"/>
      <c r="DDI1101"/>
      <c r="DDJ1101"/>
      <c r="DDM1101"/>
      <c r="DDN1101"/>
      <c r="DDQ1101"/>
      <c r="DDR1101"/>
      <c r="DDU1101"/>
      <c r="DDV1101"/>
      <c r="DDY1101"/>
      <c r="DDZ1101"/>
      <c r="DEC1101"/>
      <c r="DED1101"/>
      <c r="DEG1101"/>
      <c r="DEH1101"/>
      <c r="DEK1101"/>
      <c r="DEL1101"/>
      <c r="DEO1101"/>
      <c r="DEP1101"/>
      <c r="DES1101"/>
      <c r="DET1101"/>
      <c r="DEW1101"/>
      <c r="DEX1101"/>
      <c r="DFA1101"/>
      <c r="DFB1101"/>
      <c r="DFE1101"/>
      <c r="DFF1101"/>
      <c r="DFI1101"/>
      <c r="DFJ1101"/>
      <c r="DFM1101"/>
      <c r="DFN1101"/>
      <c r="DFQ1101"/>
      <c r="DFR1101"/>
      <c r="DFU1101"/>
      <c r="DFV1101"/>
      <c r="DFY1101"/>
      <c r="DFZ1101"/>
      <c r="DGC1101"/>
      <c r="DGD1101"/>
      <c r="DGG1101"/>
      <c r="DGH1101"/>
      <c r="DGK1101"/>
      <c r="DGL1101"/>
      <c r="DGO1101"/>
      <c r="DGP1101"/>
      <c r="DGS1101"/>
      <c r="DGT1101"/>
      <c r="DGW1101"/>
      <c r="DGX1101"/>
      <c r="DHA1101"/>
      <c r="DHB1101"/>
      <c r="DHE1101"/>
      <c r="DHF1101"/>
      <c r="DHI1101"/>
      <c r="DHJ1101"/>
      <c r="DHM1101"/>
      <c r="DHN1101"/>
      <c r="DHQ1101"/>
      <c r="DHR1101"/>
      <c r="DHU1101"/>
      <c r="DHV1101"/>
      <c r="DHY1101"/>
      <c r="DHZ1101"/>
      <c r="DIC1101"/>
      <c r="DID1101"/>
      <c r="DIG1101"/>
      <c r="DIH1101"/>
      <c r="DIK1101"/>
      <c r="DIL1101"/>
      <c r="DIO1101"/>
      <c r="DIP1101"/>
      <c r="DIS1101"/>
      <c r="DIT1101"/>
      <c r="DIW1101"/>
      <c r="DIX1101"/>
      <c r="DJA1101"/>
      <c r="DJB1101"/>
      <c r="DJE1101"/>
      <c r="DJF1101"/>
      <c r="DJI1101"/>
      <c r="DJJ1101"/>
      <c r="DJM1101"/>
      <c r="DJN1101"/>
      <c r="DJQ1101"/>
      <c r="DJR1101"/>
      <c r="DJU1101"/>
      <c r="DJV1101"/>
      <c r="DJY1101"/>
      <c r="DJZ1101"/>
      <c r="DKC1101"/>
      <c r="DKD1101"/>
      <c r="DKG1101"/>
      <c r="DKH1101"/>
      <c r="DKK1101"/>
      <c r="DKL1101"/>
      <c r="DKO1101"/>
      <c r="DKP1101"/>
      <c r="DKS1101"/>
      <c r="DKT1101"/>
      <c r="DKW1101"/>
      <c r="DKX1101"/>
      <c r="DLA1101"/>
      <c r="DLB1101"/>
      <c r="DLE1101"/>
      <c r="DLF1101"/>
      <c r="DLI1101"/>
      <c r="DLJ1101"/>
      <c r="DLM1101"/>
      <c r="DLN1101"/>
      <c r="DLQ1101"/>
      <c r="DLR1101"/>
      <c r="DLU1101"/>
      <c r="DLV1101"/>
      <c r="DLY1101"/>
      <c r="DLZ1101"/>
      <c r="DMC1101"/>
      <c r="DMD1101"/>
      <c r="DMG1101"/>
      <c r="DMH1101"/>
      <c r="DMK1101"/>
      <c r="DML1101"/>
      <c r="DMO1101"/>
      <c r="DMP1101"/>
      <c r="DMS1101"/>
      <c r="DMT1101"/>
      <c r="DMW1101"/>
      <c r="DMX1101"/>
      <c r="DNA1101"/>
      <c r="DNB1101"/>
      <c r="DNE1101"/>
      <c r="DNF1101"/>
      <c r="DNI1101"/>
      <c r="DNJ1101"/>
      <c r="DNM1101"/>
      <c r="DNN1101"/>
      <c r="DNQ1101"/>
      <c r="DNR1101"/>
      <c r="DNU1101"/>
      <c r="DNV1101"/>
      <c r="DNY1101"/>
      <c r="DNZ1101"/>
      <c r="DOC1101"/>
      <c r="DOD1101"/>
      <c r="DOG1101"/>
      <c r="DOH1101"/>
      <c r="DOK1101"/>
      <c r="DOL1101"/>
      <c r="DOO1101"/>
      <c r="DOP1101"/>
      <c r="DOS1101"/>
      <c r="DOT1101"/>
      <c r="DOW1101"/>
      <c r="DOX1101"/>
      <c r="DPA1101"/>
      <c r="DPB1101"/>
      <c r="DPE1101"/>
      <c r="DPF1101"/>
      <c r="DPI1101"/>
      <c r="DPJ1101"/>
      <c r="DPM1101"/>
      <c r="DPN1101"/>
      <c r="DPQ1101"/>
      <c r="DPR1101"/>
      <c r="DPU1101"/>
      <c r="DPV1101"/>
      <c r="DPY1101"/>
      <c r="DPZ1101"/>
      <c r="DQC1101"/>
      <c r="DQD1101"/>
      <c r="DQG1101"/>
      <c r="DQH1101"/>
      <c r="DQK1101"/>
      <c r="DQL1101"/>
      <c r="DQO1101"/>
      <c r="DQP1101"/>
      <c r="DQS1101"/>
      <c r="DQT1101"/>
      <c r="DQW1101"/>
      <c r="DQX1101"/>
      <c r="DRA1101"/>
      <c r="DRB1101"/>
      <c r="DRE1101"/>
      <c r="DRF1101"/>
      <c r="DRI1101"/>
      <c r="DRJ1101"/>
      <c r="DRM1101"/>
      <c r="DRN1101"/>
      <c r="DRQ1101"/>
      <c r="DRR1101"/>
      <c r="DRU1101"/>
      <c r="DRV1101"/>
      <c r="DRY1101"/>
      <c r="DRZ1101"/>
      <c r="DSC1101"/>
      <c r="DSD1101"/>
      <c r="DSG1101"/>
      <c r="DSH1101"/>
      <c r="DSK1101"/>
      <c r="DSL1101"/>
      <c r="DSO1101"/>
      <c r="DSP1101"/>
      <c r="DSS1101"/>
      <c r="DST1101"/>
      <c r="DSW1101"/>
      <c r="DSX1101"/>
      <c r="DTA1101"/>
      <c r="DTB1101"/>
      <c r="DTE1101"/>
      <c r="DTF1101"/>
      <c r="DTI1101"/>
      <c r="DTJ1101"/>
      <c r="DTM1101"/>
      <c r="DTN1101"/>
      <c r="DTQ1101"/>
      <c r="DTR1101"/>
      <c r="DTU1101"/>
      <c r="DTV1101"/>
      <c r="DTY1101"/>
      <c r="DTZ1101"/>
      <c r="DUC1101"/>
      <c r="DUD1101"/>
      <c r="DUG1101"/>
      <c r="DUH1101"/>
      <c r="DUK1101"/>
      <c r="DUL1101"/>
      <c r="DUO1101"/>
      <c r="DUP1101"/>
      <c r="DUS1101"/>
      <c r="DUT1101"/>
      <c r="DUW1101"/>
      <c r="DUX1101"/>
      <c r="DVA1101"/>
      <c r="DVB1101"/>
      <c r="DVE1101"/>
      <c r="DVF1101"/>
      <c r="DVI1101"/>
      <c r="DVJ1101"/>
      <c r="DVM1101"/>
      <c r="DVN1101"/>
      <c r="DVQ1101"/>
      <c r="DVR1101"/>
      <c r="DVU1101"/>
      <c r="DVV1101"/>
      <c r="DVY1101"/>
      <c r="DVZ1101"/>
      <c r="DWC1101"/>
      <c r="DWD1101"/>
      <c r="DWG1101"/>
      <c r="DWH1101"/>
      <c r="DWK1101"/>
      <c r="DWL1101"/>
      <c r="DWO1101"/>
      <c r="DWP1101"/>
      <c r="DWS1101"/>
      <c r="DWT1101"/>
      <c r="DWW1101"/>
      <c r="DWX1101"/>
      <c r="DXA1101"/>
      <c r="DXB1101"/>
      <c r="DXE1101"/>
      <c r="DXF1101"/>
      <c r="DXI1101"/>
      <c r="DXJ1101"/>
      <c r="DXM1101"/>
      <c r="DXN1101"/>
      <c r="DXQ1101"/>
      <c r="DXR1101"/>
      <c r="DXU1101"/>
      <c r="DXV1101"/>
      <c r="DXY1101"/>
      <c r="DXZ1101"/>
      <c r="DYC1101"/>
      <c r="DYD1101"/>
      <c r="DYG1101"/>
      <c r="DYH1101"/>
      <c r="DYK1101"/>
      <c r="DYL1101"/>
      <c r="DYO1101"/>
      <c r="DYP1101"/>
      <c r="DYS1101"/>
      <c r="DYT1101"/>
      <c r="DYW1101"/>
      <c r="DYX1101"/>
      <c r="DZA1101"/>
      <c r="DZB1101"/>
      <c r="DZE1101"/>
      <c r="DZF1101"/>
      <c r="DZI1101"/>
      <c r="DZJ1101"/>
      <c r="DZM1101"/>
      <c r="DZN1101"/>
      <c r="DZQ1101"/>
      <c r="DZR1101"/>
      <c r="DZU1101"/>
      <c r="DZV1101"/>
      <c r="DZY1101"/>
      <c r="DZZ1101"/>
      <c r="EAC1101"/>
      <c r="EAD1101"/>
      <c r="EAG1101"/>
      <c r="EAH1101"/>
      <c r="EAK1101"/>
      <c r="EAL1101"/>
      <c r="EAO1101"/>
      <c r="EAP1101"/>
      <c r="EAS1101"/>
      <c r="EAT1101"/>
      <c r="EAW1101"/>
      <c r="EAX1101"/>
      <c r="EBA1101"/>
      <c r="EBB1101"/>
      <c r="EBE1101"/>
      <c r="EBF1101"/>
      <c r="EBI1101"/>
      <c r="EBJ1101"/>
      <c r="EBM1101"/>
      <c r="EBN1101"/>
      <c r="EBQ1101"/>
      <c r="EBR1101"/>
      <c r="EBU1101"/>
      <c r="EBV1101"/>
      <c r="EBY1101"/>
      <c r="EBZ1101"/>
      <c r="ECC1101"/>
      <c r="ECD1101"/>
      <c r="ECG1101"/>
      <c r="ECH1101"/>
      <c r="ECK1101"/>
      <c r="ECL1101"/>
      <c r="ECO1101"/>
      <c r="ECP1101"/>
      <c r="ECS1101"/>
      <c r="ECT1101"/>
      <c r="ECW1101"/>
      <c r="ECX1101"/>
      <c r="EDA1101"/>
      <c r="EDB1101"/>
      <c r="EDE1101"/>
      <c r="EDF1101"/>
      <c r="EDI1101"/>
      <c r="EDJ1101"/>
      <c r="EDM1101"/>
      <c r="EDN1101"/>
      <c r="EDQ1101"/>
      <c r="EDR1101"/>
      <c r="EDU1101"/>
      <c r="EDV1101"/>
      <c r="EDY1101"/>
      <c r="EDZ1101"/>
      <c r="EEC1101"/>
      <c r="EED1101"/>
      <c r="EEG1101"/>
      <c r="EEH1101"/>
      <c r="EEK1101"/>
      <c r="EEL1101"/>
      <c r="EEO1101"/>
      <c r="EEP1101"/>
      <c r="EES1101"/>
      <c r="EET1101"/>
      <c r="EEW1101"/>
      <c r="EEX1101"/>
      <c r="EFA1101"/>
      <c r="EFB1101"/>
      <c r="EFE1101"/>
      <c r="EFF1101"/>
      <c r="EFI1101"/>
      <c r="EFJ1101"/>
      <c r="EFM1101"/>
      <c r="EFN1101"/>
      <c r="EFQ1101"/>
      <c r="EFR1101"/>
      <c r="EFU1101"/>
      <c r="EFV1101"/>
      <c r="EFY1101"/>
      <c r="EFZ1101"/>
      <c r="EGC1101"/>
      <c r="EGD1101"/>
      <c r="EGG1101"/>
      <c r="EGH1101"/>
      <c r="EGK1101"/>
      <c r="EGL1101"/>
      <c r="EGO1101"/>
      <c r="EGP1101"/>
      <c r="EGS1101"/>
      <c r="EGT1101"/>
      <c r="EGW1101"/>
      <c r="EGX1101"/>
      <c r="EHA1101"/>
      <c r="EHB1101"/>
      <c r="EHE1101"/>
      <c r="EHF1101"/>
      <c r="EHI1101"/>
      <c r="EHJ1101"/>
      <c r="EHM1101"/>
      <c r="EHN1101"/>
      <c r="EHQ1101"/>
      <c r="EHR1101"/>
      <c r="EHU1101"/>
      <c r="EHV1101"/>
      <c r="EHY1101"/>
      <c r="EHZ1101"/>
      <c r="EIC1101"/>
      <c r="EID1101"/>
      <c r="EIG1101"/>
      <c r="EIH1101"/>
      <c r="EIK1101"/>
      <c r="EIL1101"/>
      <c r="EIO1101"/>
      <c r="EIP1101"/>
      <c r="EIS1101"/>
      <c r="EIT1101"/>
      <c r="EIW1101"/>
      <c r="EIX1101"/>
      <c r="EJA1101"/>
      <c r="EJB1101"/>
      <c r="EJE1101"/>
      <c r="EJF1101"/>
      <c r="EJI1101"/>
      <c r="EJJ1101"/>
      <c r="EJM1101"/>
      <c r="EJN1101"/>
      <c r="EJQ1101"/>
      <c r="EJR1101"/>
      <c r="EJU1101"/>
      <c r="EJV1101"/>
      <c r="EJY1101"/>
      <c r="EJZ1101"/>
      <c r="EKC1101"/>
      <c r="EKD1101"/>
      <c r="EKG1101"/>
      <c r="EKH1101"/>
      <c r="EKK1101"/>
      <c r="EKL1101"/>
      <c r="EKO1101"/>
      <c r="EKP1101"/>
      <c r="EKS1101"/>
      <c r="EKT1101"/>
      <c r="EKW1101"/>
      <c r="EKX1101"/>
      <c r="ELA1101"/>
      <c r="ELB1101"/>
      <c r="ELE1101"/>
      <c r="ELF1101"/>
      <c r="ELI1101"/>
      <c r="ELJ1101"/>
      <c r="ELM1101"/>
      <c r="ELN1101"/>
      <c r="ELQ1101"/>
      <c r="ELR1101"/>
      <c r="ELU1101"/>
      <c r="ELV1101"/>
      <c r="ELY1101"/>
      <c r="ELZ1101"/>
      <c r="EMC1101"/>
      <c r="EMD1101"/>
      <c r="EMG1101"/>
      <c r="EMH1101"/>
      <c r="EMK1101"/>
      <c r="EML1101"/>
      <c r="EMO1101"/>
      <c r="EMP1101"/>
      <c r="EMS1101"/>
      <c r="EMT1101"/>
      <c r="EMW1101"/>
      <c r="EMX1101"/>
      <c r="ENA1101"/>
      <c r="ENB1101"/>
      <c r="ENE1101"/>
      <c r="ENF1101"/>
      <c r="ENI1101"/>
      <c r="ENJ1101"/>
      <c r="ENM1101"/>
      <c r="ENN1101"/>
      <c r="ENQ1101"/>
      <c r="ENR1101"/>
      <c r="ENU1101"/>
      <c r="ENV1101"/>
      <c r="ENY1101"/>
      <c r="ENZ1101"/>
      <c r="EOC1101"/>
      <c r="EOD1101"/>
      <c r="EOG1101"/>
      <c r="EOH1101"/>
      <c r="EOK1101"/>
      <c r="EOL1101"/>
      <c r="EOO1101"/>
      <c r="EOP1101"/>
      <c r="EOS1101"/>
      <c r="EOT1101"/>
      <c r="EOW1101"/>
      <c r="EOX1101"/>
      <c r="EPA1101"/>
      <c r="EPB1101"/>
      <c r="EPE1101"/>
      <c r="EPF1101"/>
      <c r="EPI1101"/>
      <c r="EPJ1101"/>
      <c r="EPM1101"/>
      <c r="EPN1101"/>
      <c r="EPQ1101"/>
      <c r="EPR1101"/>
      <c r="EPU1101"/>
      <c r="EPV1101"/>
      <c r="EPY1101"/>
      <c r="EPZ1101"/>
      <c r="EQC1101"/>
      <c r="EQD1101"/>
      <c r="EQG1101"/>
      <c r="EQH1101"/>
      <c r="EQK1101"/>
      <c r="EQL1101"/>
      <c r="EQO1101"/>
      <c r="EQP1101"/>
      <c r="EQS1101"/>
      <c r="EQT1101"/>
      <c r="EQW1101"/>
      <c r="EQX1101"/>
      <c r="ERA1101"/>
      <c r="ERB1101"/>
      <c r="ERE1101"/>
      <c r="ERF1101"/>
      <c r="ERI1101"/>
      <c r="ERJ1101"/>
      <c r="ERM1101"/>
      <c r="ERN1101"/>
      <c r="ERQ1101"/>
      <c r="ERR1101"/>
      <c r="ERU1101"/>
      <c r="ERV1101"/>
      <c r="ERY1101"/>
      <c r="ERZ1101"/>
      <c r="ESC1101"/>
      <c r="ESD1101"/>
      <c r="ESG1101"/>
      <c r="ESH1101"/>
      <c r="ESK1101"/>
      <c r="ESL1101"/>
      <c r="ESO1101"/>
      <c r="ESP1101"/>
      <c r="ESS1101"/>
      <c r="EST1101"/>
      <c r="ESW1101"/>
      <c r="ESX1101"/>
      <c r="ETA1101"/>
      <c r="ETB1101"/>
      <c r="ETE1101"/>
      <c r="ETF1101"/>
      <c r="ETI1101"/>
      <c r="ETJ1101"/>
      <c r="ETM1101"/>
      <c r="ETN1101"/>
      <c r="ETQ1101"/>
      <c r="ETR1101"/>
      <c r="ETU1101"/>
      <c r="ETV1101"/>
      <c r="ETY1101"/>
      <c r="ETZ1101"/>
      <c r="EUC1101"/>
      <c r="EUD1101"/>
      <c r="EUG1101"/>
      <c r="EUH1101"/>
      <c r="EUK1101"/>
      <c r="EUL1101"/>
      <c r="EUO1101"/>
      <c r="EUP1101"/>
      <c r="EUS1101"/>
      <c r="EUT1101"/>
      <c r="EUW1101"/>
      <c r="EUX1101"/>
      <c r="EVA1101"/>
      <c r="EVB1101"/>
      <c r="EVE1101"/>
      <c r="EVF1101"/>
      <c r="EVI1101"/>
      <c r="EVJ1101"/>
      <c r="EVM1101"/>
      <c r="EVN1101"/>
      <c r="EVQ1101"/>
      <c r="EVR1101"/>
      <c r="EVU1101"/>
      <c r="EVV1101"/>
      <c r="EVY1101"/>
      <c r="EVZ1101"/>
      <c r="EWC1101"/>
      <c r="EWD1101"/>
      <c r="EWG1101"/>
      <c r="EWH1101"/>
      <c r="EWK1101"/>
      <c r="EWL1101"/>
      <c r="EWO1101"/>
      <c r="EWP1101"/>
      <c r="EWS1101"/>
      <c r="EWT1101"/>
      <c r="EWW1101"/>
      <c r="EWX1101"/>
      <c r="EXA1101"/>
      <c r="EXB1101"/>
      <c r="EXE1101"/>
      <c r="EXF1101"/>
      <c r="EXI1101"/>
      <c r="EXJ1101"/>
      <c r="EXM1101"/>
      <c r="EXN1101"/>
      <c r="EXQ1101"/>
      <c r="EXR1101"/>
      <c r="EXU1101"/>
      <c r="EXV1101"/>
      <c r="EXY1101"/>
      <c r="EXZ1101"/>
      <c r="EYC1101"/>
      <c r="EYD1101"/>
      <c r="EYG1101"/>
      <c r="EYH1101"/>
      <c r="EYK1101"/>
      <c r="EYL1101"/>
      <c r="EYO1101"/>
      <c r="EYP1101"/>
      <c r="EYS1101"/>
      <c r="EYT1101"/>
      <c r="EYW1101"/>
      <c r="EYX1101"/>
      <c r="EZA1101"/>
      <c r="EZB1101"/>
      <c r="EZE1101"/>
      <c r="EZF1101"/>
      <c r="EZI1101"/>
      <c r="EZJ1101"/>
      <c r="EZM1101"/>
      <c r="EZN1101"/>
      <c r="EZQ1101"/>
      <c r="EZR1101"/>
      <c r="EZU1101"/>
      <c r="EZV1101"/>
      <c r="EZY1101"/>
      <c r="EZZ1101"/>
      <c r="FAC1101"/>
      <c r="FAD1101"/>
      <c r="FAG1101"/>
      <c r="FAH1101"/>
      <c r="FAK1101"/>
      <c r="FAL1101"/>
      <c r="FAO1101"/>
      <c r="FAP1101"/>
      <c r="FAS1101"/>
      <c r="FAT1101"/>
      <c r="FAW1101"/>
      <c r="FAX1101"/>
      <c r="FBA1101"/>
      <c r="FBB1101"/>
      <c r="FBE1101"/>
      <c r="FBF1101"/>
      <c r="FBI1101"/>
      <c r="FBJ1101"/>
      <c r="FBM1101"/>
      <c r="FBN1101"/>
      <c r="FBQ1101"/>
      <c r="FBR1101"/>
      <c r="FBU1101"/>
      <c r="FBV1101"/>
      <c r="FBY1101"/>
      <c r="FBZ1101"/>
      <c r="FCC1101"/>
      <c r="FCD1101"/>
      <c r="FCG1101"/>
      <c r="FCH1101"/>
      <c r="FCK1101"/>
      <c r="FCL1101"/>
      <c r="FCO1101"/>
      <c r="FCP1101"/>
      <c r="FCS1101"/>
      <c r="FCT1101"/>
      <c r="FCW1101"/>
      <c r="FCX1101"/>
      <c r="FDA1101"/>
      <c r="FDB1101"/>
      <c r="FDE1101"/>
      <c r="FDF1101"/>
      <c r="FDI1101"/>
      <c r="FDJ1101"/>
      <c r="FDM1101"/>
      <c r="FDN1101"/>
      <c r="FDQ1101"/>
      <c r="FDR1101"/>
      <c r="FDU1101"/>
      <c r="FDV1101"/>
      <c r="FDY1101"/>
      <c r="FDZ1101"/>
      <c r="FEC1101"/>
      <c r="FED1101"/>
      <c r="FEG1101"/>
      <c r="FEH1101"/>
      <c r="FEK1101"/>
      <c r="FEL1101"/>
      <c r="FEO1101"/>
      <c r="FEP1101"/>
      <c r="FES1101"/>
      <c r="FET1101"/>
      <c r="FEW1101"/>
      <c r="FEX1101"/>
      <c r="FFA1101"/>
      <c r="FFB1101"/>
      <c r="FFE1101"/>
      <c r="FFF1101"/>
      <c r="FFI1101"/>
      <c r="FFJ1101"/>
      <c r="FFM1101"/>
      <c r="FFN1101"/>
      <c r="FFQ1101"/>
      <c r="FFR1101"/>
      <c r="FFU1101"/>
      <c r="FFV1101"/>
      <c r="FFY1101"/>
      <c r="FFZ1101"/>
      <c r="FGC1101"/>
      <c r="FGD1101"/>
      <c r="FGG1101"/>
      <c r="FGH1101"/>
      <c r="FGK1101"/>
      <c r="FGL1101"/>
      <c r="FGO1101"/>
      <c r="FGP1101"/>
      <c r="FGS1101"/>
      <c r="FGT1101"/>
      <c r="FGW1101"/>
      <c r="FGX1101"/>
      <c r="FHA1101"/>
      <c r="FHB1101"/>
      <c r="FHE1101"/>
      <c r="FHF1101"/>
      <c r="FHI1101"/>
      <c r="FHJ1101"/>
      <c r="FHM1101"/>
      <c r="FHN1101"/>
      <c r="FHQ1101"/>
      <c r="FHR1101"/>
      <c r="FHU1101"/>
      <c r="FHV1101"/>
      <c r="FHY1101"/>
      <c r="FHZ1101"/>
      <c r="FIC1101"/>
      <c r="FID1101"/>
      <c r="FIG1101"/>
      <c r="FIH1101"/>
      <c r="FIK1101"/>
      <c r="FIL1101"/>
      <c r="FIO1101"/>
      <c r="FIP1101"/>
      <c r="FIS1101"/>
      <c r="FIT1101"/>
      <c r="FIW1101"/>
      <c r="FIX1101"/>
      <c r="FJA1101"/>
      <c r="FJB1101"/>
      <c r="FJE1101"/>
      <c r="FJF1101"/>
      <c r="FJI1101"/>
      <c r="FJJ1101"/>
      <c r="FJM1101"/>
      <c r="FJN1101"/>
      <c r="FJQ1101"/>
      <c r="FJR1101"/>
      <c r="FJU1101"/>
      <c r="FJV1101"/>
      <c r="FJY1101"/>
      <c r="FJZ1101"/>
      <c r="FKC1101"/>
      <c r="FKD1101"/>
      <c r="FKG1101"/>
      <c r="FKH1101"/>
      <c r="FKK1101"/>
      <c r="FKL1101"/>
      <c r="FKO1101"/>
      <c r="FKP1101"/>
      <c r="FKS1101"/>
      <c r="FKT1101"/>
      <c r="FKW1101"/>
      <c r="FKX1101"/>
      <c r="FLA1101"/>
      <c r="FLB1101"/>
      <c r="FLE1101"/>
      <c r="FLF1101"/>
      <c r="FLI1101"/>
      <c r="FLJ1101"/>
      <c r="FLM1101"/>
      <c r="FLN1101"/>
      <c r="FLQ1101"/>
      <c r="FLR1101"/>
      <c r="FLU1101"/>
      <c r="FLV1101"/>
      <c r="FLY1101"/>
      <c r="FLZ1101"/>
      <c r="FMC1101"/>
      <c r="FMD1101"/>
      <c r="FMG1101"/>
      <c r="FMH1101"/>
      <c r="FMK1101"/>
      <c r="FML1101"/>
      <c r="FMO1101"/>
      <c r="FMP1101"/>
      <c r="FMS1101"/>
      <c r="FMT1101"/>
      <c r="FMW1101"/>
      <c r="FMX1101"/>
      <c r="FNA1101"/>
      <c r="FNB1101"/>
      <c r="FNE1101"/>
      <c r="FNF1101"/>
      <c r="FNI1101"/>
      <c r="FNJ1101"/>
      <c r="FNM1101"/>
      <c r="FNN1101"/>
      <c r="FNQ1101"/>
      <c r="FNR1101"/>
      <c r="FNU1101"/>
      <c r="FNV1101"/>
      <c r="FNY1101"/>
      <c r="FNZ1101"/>
      <c r="FOC1101"/>
      <c r="FOD1101"/>
      <c r="FOG1101"/>
      <c r="FOH1101"/>
      <c r="FOK1101"/>
      <c r="FOL1101"/>
      <c r="FOO1101"/>
      <c r="FOP1101"/>
      <c r="FOS1101"/>
      <c r="FOT1101"/>
      <c r="FOW1101"/>
      <c r="FOX1101"/>
      <c r="FPA1101"/>
      <c r="FPB1101"/>
      <c r="FPE1101"/>
      <c r="FPF1101"/>
      <c r="FPI1101"/>
      <c r="FPJ1101"/>
      <c r="FPM1101"/>
      <c r="FPN1101"/>
      <c r="FPQ1101"/>
      <c r="FPR1101"/>
      <c r="FPU1101"/>
      <c r="FPV1101"/>
      <c r="FPY1101"/>
      <c r="FPZ1101"/>
      <c r="FQC1101"/>
      <c r="FQD1101"/>
      <c r="FQG1101"/>
      <c r="FQH1101"/>
      <c r="FQK1101"/>
      <c r="FQL1101"/>
      <c r="FQO1101"/>
      <c r="FQP1101"/>
      <c r="FQS1101"/>
      <c r="FQT1101"/>
      <c r="FQW1101"/>
      <c r="FQX1101"/>
      <c r="FRA1101"/>
      <c r="FRB1101"/>
      <c r="FRE1101"/>
      <c r="FRF1101"/>
      <c r="FRI1101"/>
      <c r="FRJ1101"/>
      <c r="FRM1101"/>
      <c r="FRN1101"/>
      <c r="FRQ1101"/>
      <c r="FRR1101"/>
      <c r="FRU1101"/>
      <c r="FRV1101"/>
      <c r="FRY1101"/>
      <c r="FRZ1101"/>
      <c r="FSC1101"/>
      <c r="FSD1101"/>
      <c r="FSG1101"/>
      <c r="FSH1101"/>
      <c r="FSK1101"/>
      <c r="FSL1101"/>
      <c r="FSO1101"/>
      <c r="FSP1101"/>
      <c r="FSS1101"/>
      <c r="FST1101"/>
      <c r="FSW1101"/>
      <c r="FSX1101"/>
      <c r="FTA1101"/>
      <c r="FTB1101"/>
      <c r="FTE1101"/>
      <c r="FTF1101"/>
      <c r="FTI1101"/>
      <c r="FTJ1101"/>
      <c r="FTM1101"/>
      <c r="FTN1101"/>
      <c r="FTQ1101"/>
      <c r="FTR1101"/>
      <c r="FTU1101"/>
      <c r="FTV1101"/>
      <c r="FTY1101"/>
      <c r="FTZ1101"/>
      <c r="FUC1101"/>
      <c r="FUD1101"/>
      <c r="FUG1101"/>
      <c r="FUH1101"/>
      <c r="FUK1101"/>
      <c r="FUL1101"/>
      <c r="FUO1101"/>
      <c r="FUP1101"/>
      <c r="FUS1101"/>
      <c r="FUT1101"/>
      <c r="FUW1101"/>
      <c r="FUX1101"/>
      <c r="FVA1101"/>
      <c r="FVB1101"/>
      <c r="FVE1101"/>
      <c r="FVF1101"/>
      <c r="FVI1101"/>
      <c r="FVJ1101"/>
      <c r="FVM1101"/>
      <c r="FVN1101"/>
      <c r="FVQ1101"/>
      <c r="FVR1101"/>
      <c r="FVU1101"/>
      <c r="FVV1101"/>
      <c r="FVY1101"/>
      <c r="FVZ1101"/>
      <c r="FWC1101"/>
      <c r="FWD1101"/>
      <c r="FWG1101"/>
      <c r="FWH1101"/>
      <c r="FWK1101"/>
      <c r="FWL1101"/>
      <c r="FWO1101"/>
      <c r="FWP1101"/>
      <c r="FWS1101"/>
      <c r="FWT1101"/>
      <c r="FWW1101"/>
      <c r="FWX1101"/>
      <c r="FXA1101"/>
      <c r="FXB1101"/>
      <c r="FXE1101"/>
      <c r="FXF1101"/>
      <c r="FXI1101"/>
      <c r="FXJ1101"/>
      <c r="FXM1101"/>
      <c r="FXN1101"/>
      <c r="FXQ1101"/>
      <c r="FXR1101"/>
      <c r="FXU1101"/>
      <c r="FXV1101"/>
      <c r="FXY1101"/>
      <c r="FXZ1101"/>
      <c r="FYC1101"/>
      <c r="FYD1101"/>
      <c r="FYG1101"/>
      <c r="FYH1101"/>
      <c r="FYK1101"/>
      <c r="FYL1101"/>
      <c r="FYO1101"/>
      <c r="FYP1101"/>
      <c r="FYS1101"/>
      <c r="FYT1101"/>
      <c r="FYW1101"/>
      <c r="FYX1101"/>
      <c r="FZA1101"/>
      <c r="FZB1101"/>
      <c r="FZE1101"/>
      <c r="FZF1101"/>
      <c r="FZI1101"/>
      <c r="FZJ1101"/>
      <c r="FZM1101"/>
      <c r="FZN1101"/>
      <c r="FZQ1101"/>
      <c r="FZR1101"/>
      <c r="FZU1101"/>
      <c r="FZV1101"/>
      <c r="FZY1101"/>
      <c r="FZZ1101"/>
      <c r="GAC1101"/>
      <c r="GAD1101"/>
      <c r="GAG1101"/>
      <c r="GAH1101"/>
      <c r="GAK1101"/>
      <c r="GAL1101"/>
      <c r="GAO1101"/>
      <c r="GAP1101"/>
      <c r="GAS1101"/>
      <c r="GAT1101"/>
      <c r="GAW1101"/>
      <c r="GAX1101"/>
      <c r="GBA1101"/>
      <c r="GBB1101"/>
      <c r="GBE1101"/>
      <c r="GBF1101"/>
      <c r="GBI1101"/>
      <c r="GBJ1101"/>
      <c r="GBM1101"/>
      <c r="GBN1101"/>
      <c r="GBQ1101"/>
      <c r="GBR1101"/>
      <c r="GBU1101"/>
      <c r="GBV1101"/>
      <c r="GBY1101"/>
      <c r="GBZ1101"/>
      <c r="GCC1101"/>
      <c r="GCD1101"/>
      <c r="GCG1101"/>
      <c r="GCH1101"/>
      <c r="GCK1101"/>
      <c r="GCL1101"/>
      <c r="GCO1101"/>
      <c r="GCP1101"/>
      <c r="GCS1101"/>
      <c r="GCT1101"/>
      <c r="GCW1101"/>
      <c r="GCX1101"/>
      <c r="GDA1101"/>
      <c r="GDB1101"/>
      <c r="GDE1101"/>
      <c r="GDF1101"/>
      <c r="GDI1101"/>
      <c r="GDJ1101"/>
      <c r="GDM1101"/>
      <c r="GDN1101"/>
      <c r="GDQ1101"/>
      <c r="GDR1101"/>
      <c r="GDU1101"/>
      <c r="GDV1101"/>
      <c r="GDY1101"/>
      <c r="GDZ1101"/>
      <c r="GEC1101"/>
      <c r="GED1101"/>
      <c r="GEG1101"/>
      <c r="GEH1101"/>
      <c r="GEK1101"/>
      <c r="GEL1101"/>
      <c r="GEO1101"/>
      <c r="GEP1101"/>
      <c r="GES1101"/>
      <c r="GET1101"/>
      <c r="GEW1101"/>
      <c r="GEX1101"/>
      <c r="GFA1101"/>
      <c r="GFB1101"/>
      <c r="GFE1101"/>
      <c r="GFF1101"/>
      <c r="GFI1101"/>
      <c r="GFJ1101"/>
      <c r="GFM1101"/>
      <c r="GFN1101"/>
      <c r="GFQ1101"/>
      <c r="GFR1101"/>
      <c r="GFU1101"/>
      <c r="GFV1101"/>
      <c r="GFY1101"/>
      <c r="GFZ1101"/>
      <c r="GGC1101"/>
      <c r="GGD1101"/>
      <c r="GGG1101"/>
      <c r="GGH1101"/>
      <c r="GGK1101"/>
      <c r="GGL1101"/>
      <c r="GGO1101"/>
      <c r="GGP1101"/>
      <c r="GGS1101"/>
      <c r="GGT1101"/>
      <c r="GGW1101"/>
      <c r="GGX1101"/>
      <c r="GHA1101"/>
      <c r="GHB1101"/>
      <c r="GHE1101"/>
      <c r="GHF1101"/>
      <c r="GHI1101"/>
      <c r="GHJ1101"/>
      <c r="GHM1101"/>
      <c r="GHN1101"/>
      <c r="GHQ1101"/>
      <c r="GHR1101"/>
      <c r="GHU1101"/>
      <c r="GHV1101"/>
      <c r="GHY1101"/>
      <c r="GHZ1101"/>
      <c r="GIC1101"/>
      <c r="GID1101"/>
      <c r="GIG1101"/>
      <c r="GIH1101"/>
      <c r="GIK1101"/>
      <c r="GIL1101"/>
      <c r="GIO1101"/>
      <c r="GIP1101"/>
      <c r="GIS1101"/>
      <c r="GIT1101"/>
      <c r="GIW1101"/>
      <c r="GIX1101"/>
      <c r="GJA1101"/>
      <c r="GJB1101"/>
      <c r="GJE1101"/>
      <c r="GJF1101"/>
      <c r="GJI1101"/>
      <c r="GJJ1101"/>
      <c r="GJM1101"/>
      <c r="GJN1101"/>
      <c r="GJQ1101"/>
      <c r="GJR1101"/>
      <c r="GJU1101"/>
      <c r="GJV1101"/>
      <c r="GJY1101"/>
      <c r="GJZ1101"/>
      <c r="GKC1101"/>
      <c r="GKD1101"/>
      <c r="GKG1101"/>
      <c r="GKH1101"/>
      <c r="GKK1101"/>
      <c r="GKL1101"/>
      <c r="GKO1101"/>
      <c r="GKP1101"/>
      <c r="GKS1101"/>
      <c r="GKT1101"/>
      <c r="GKW1101"/>
      <c r="GKX1101"/>
      <c r="GLA1101"/>
      <c r="GLB1101"/>
      <c r="GLE1101"/>
      <c r="GLF1101"/>
      <c r="GLI1101"/>
      <c r="GLJ1101"/>
      <c r="GLM1101"/>
      <c r="GLN1101"/>
      <c r="GLQ1101"/>
      <c r="GLR1101"/>
      <c r="GLU1101"/>
      <c r="GLV1101"/>
      <c r="GLY1101"/>
      <c r="GLZ1101"/>
      <c r="GMC1101"/>
      <c r="GMD1101"/>
      <c r="GMG1101"/>
      <c r="GMH1101"/>
      <c r="GMK1101"/>
      <c r="GML1101"/>
      <c r="GMO1101"/>
      <c r="GMP1101"/>
      <c r="GMS1101"/>
      <c r="GMT1101"/>
      <c r="GMW1101"/>
      <c r="GMX1101"/>
      <c r="GNA1101"/>
      <c r="GNB1101"/>
      <c r="GNE1101"/>
      <c r="GNF1101"/>
      <c r="GNI1101"/>
      <c r="GNJ1101"/>
      <c r="GNM1101"/>
      <c r="GNN1101"/>
      <c r="GNQ1101"/>
      <c r="GNR1101"/>
      <c r="GNU1101"/>
      <c r="GNV1101"/>
      <c r="GNY1101"/>
      <c r="GNZ1101"/>
      <c r="GOC1101"/>
      <c r="GOD1101"/>
      <c r="GOG1101"/>
      <c r="GOH1101"/>
      <c r="GOK1101"/>
      <c r="GOL1101"/>
      <c r="GOO1101"/>
      <c r="GOP1101"/>
      <c r="GOS1101"/>
      <c r="GOT1101"/>
      <c r="GOW1101"/>
      <c r="GOX1101"/>
      <c r="GPA1101"/>
      <c r="GPB1101"/>
      <c r="GPE1101"/>
      <c r="GPF1101"/>
      <c r="GPI1101"/>
      <c r="GPJ1101"/>
      <c r="GPM1101"/>
      <c r="GPN1101"/>
      <c r="GPQ1101"/>
      <c r="GPR1101"/>
      <c r="GPU1101"/>
      <c r="GPV1101"/>
      <c r="GPY1101"/>
      <c r="GPZ1101"/>
      <c r="GQC1101"/>
      <c r="GQD1101"/>
      <c r="GQG1101"/>
      <c r="GQH1101"/>
      <c r="GQK1101"/>
      <c r="GQL1101"/>
      <c r="GQO1101"/>
      <c r="GQP1101"/>
      <c r="GQS1101"/>
      <c r="GQT1101"/>
      <c r="GQW1101"/>
      <c r="GQX1101"/>
      <c r="GRA1101"/>
      <c r="GRB1101"/>
      <c r="GRE1101"/>
      <c r="GRF1101"/>
      <c r="GRI1101"/>
      <c r="GRJ1101"/>
      <c r="GRM1101"/>
      <c r="GRN1101"/>
      <c r="GRQ1101"/>
      <c r="GRR1101"/>
      <c r="GRU1101"/>
      <c r="GRV1101"/>
      <c r="GRY1101"/>
      <c r="GRZ1101"/>
      <c r="GSC1101"/>
      <c r="GSD1101"/>
      <c r="GSG1101"/>
      <c r="GSH1101"/>
      <c r="GSK1101"/>
      <c r="GSL1101"/>
      <c r="GSO1101"/>
      <c r="GSP1101"/>
      <c r="GSS1101"/>
      <c r="GST1101"/>
      <c r="GSW1101"/>
      <c r="GSX1101"/>
      <c r="GTA1101"/>
      <c r="GTB1101"/>
      <c r="GTE1101"/>
      <c r="GTF1101"/>
      <c r="GTI1101"/>
      <c r="GTJ1101"/>
      <c r="GTM1101"/>
      <c r="GTN1101"/>
      <c r="GTQ1101"/>
      <c r="GTR1101"/>
      <c r="GTU1101"/>
      <c r="GTV1101"/>
      <c r="GTY1101"/>
      <c r="GTZ1101"/>
      <c r="GUC1101"/>
      <c r="GUD1101"/>
      <c r="GUG1101"/>
      <c r="GUH1101"/>
      <c r="GUK1101"/>
      <c r="GUL1101"/>
      <c r="GUO1101"/>
      <c r="GUP1101"/>
      <c r="GUS1101"/>
      <c r="GUT1101"/>
      <c r="GUW1101"/>
      <c r="GUX1101"/>
      <c r="GVA1101"/>
      <c r="GVB1101"/>
      <c r="GVE1101"/>
      <c r="GVF1101"/>
      <c r="GVI1101"/>
      <c r="GVJ1101"/>
      <c r="GVM1101"/>
      <c r="GVN1101"/>
      <c r="GVQ1101"/>
      <c r="GVR1101"/>
      <c r="GVU1101"/>
      <c r="GVV1101"/>
      <c r="GVY1101"/>
      <c r="GVZ1101"/>
      <c r="GWC1101"/>
      <c r="GWD1101"/>
      <c r="GWG1101"/>
      <c r="GWH1101"/>
      <c r="GWK1101"/>
      <c r="GWL1101"/>
      <c r="GWO1101"/>
      <c r="GWP1101"/>
      <c r="GWS1101"/>
      <c r="GWT1101"/>
      <c r="GWW1101"/>
      <c r="GWX1101"/>
      <c r="GXA1101"/>
      <c r="GXB1101"/>
      <c r="GXE1101"/>
      <c r="GXF1101"/>
      <c r="GXI1101"/>
      <c r="GXJ1101"/>
      <c r="GXM1101"/>
      <c r="GXN1101"/>
      <c r="GXQ1101"/>
      <c r="GXR1101"/>
      <c r="GXU1101"/>
      <c r="GXV1101"/>
      <c r="GXY1101"/>
      <c r="GXZ1101"/>
      <c r="GYC1101"/>
      <c r="GYD1101"/>
      <c r="GYG1101"/>
      <c r="GYH1101"/>
      <c r="GYK1101"/>
      <c r="GYL1101"/>
      <c r="GYO1101"/>
      <c r="GYP1101"/>
      <c r="GYS1101"/>
      <c r="GYT1101"/>
      <c r="GYW1101"/>
      <c r="GYX1101"/>
      <c r="GZA1101"/>
      <c r="GZB1101"/>
      <c r="GZE1101"/>
      <c r="GZF1101"/>
      <c r="GZI1101"/>
      <c r="GZJ1101"/>
      <c r="GZM1101"/>
      <c r="GZN1101"/>
      <c r="GZQ1101"/>
      <c r="GZR1101"/>
      <c r="GZU1101"/>
      <c r="GZV1101"/>
      <c r="GZY1101"/>
      <c r="GZZ1101"/>
      <c r="HAC1101"/>
      <c r="HAD1101"/>
      <c r="HAG1101"/>
      <c r="HAH1101"/>
      <c r="HAK1101"/>
      <c r="HAL1101"/>
      <c r="HAO1101"/>
      <c r="HAP1101"/>
      <c r="HAS1101"/>
      <c r="HAT1101"/>
      <c r="HAW1101"/>
      <c r="HAX1101"/>
      <c r="HBA1101"/>
      <c r="HBB1101"/>
      <c r="HBE1101"/>
      <c r="HBF1101"/>
      <c r="HBI1101"/>
      <c r="HBJ1101"/>
      <c r="HBM1101"/>
      <c r="HBN1101"/>
      <c r="HBQ1101"/>
      <c r="HBR1101"/>
      <c r="HBU1101"/>
      <c r="HBV1101"/>
      <c r="HBY1101"/>
      <c r="HBZ1101"/>
      <c r="HCC1101"/>
      <c r="HCD1101"/>
      <c r="HCG1101"/>
      <c r="HCH1101"/>
      <c r="HCK1101"/>
      <c r="HCL1101"/>
      <c r="HCO1101"/>
      <c r="HCP1101"/>
      <c r="HCS1101"/>
      <c r="HCT1101"/>
      <c r="HCW1101"/>
      <c r="HCX1101"/>
      <c r="HDA1101"/>
      <c r="HDB1101"/>
      <c r="HDE1101"/>
      <c r="HDF1101"/>
      <c r="HDI1101"/>
      <c r="HDJ1101"/>
      <c r="HDM1101"/>
      <c r="HDN1101"/>
      <c r="HDQ1101"/>
      <c r="HDR1101"/>
      <c r="HDU1101"/>
      <c r="HDV1101"/>
      <c r="HDY1101"/>
      <c r="HDZ1101"/>
      <c r="HEC1101"/>
      <c r="HED1101"/>
      <c r="HEG1101"/>
      <c r="HEH1101"/>
      <c r="HEK1101"/>
      <c r="HEL1101"/>
      <c r="HEO1101"/>
      <c r="HEP1101"/>
      <c r="HES1101"/>
      <c r="HET1101"/>
      <c r="HEW1101"/>
      <c r="HEX1101"/>
      <c r="HFA1101"/>
      <c r="HFB1101"/>
      <c r="HFE1101"/>
      <c r="HFF1101"/>
      <c r="HFI1101"/>
      <c r="HFJ1101"/>
      <c r="HFM1101"/>
      <c r="HFN1101"/>
      <c r="HFQ1101"/>
      <c r="HFR1101"/>
      <c r="HFU1101"/>
      <c r="HFV1101"/>
      <c r="HFY1101"/>
      <c r="HFZ1101"/>
      <c r="HGC1101"/>
      <c r="HGD1101"/>
      <c r="HGG1101"/>
      <c r="HGH1101"/>
      <c r="HGK1101"/>
      <c r="HGL1101"/>
      <c r="HGO1101"/>
      <c r="HGP1101"/>
      <c r="HGS1101"/>
      <c r="HGT1101"/>
      <c r="HGW1101"/>
      <c r="HGX1101"/>
      <c r="HHA1101"/>
      <c r="HHB1101"/>
      <c r="HHE1101"/>
      <c r="HHF1101"/>
      <c r="HHI1101"/>
      <c r="HHJ1101"/>
      <c r="HHM1101"/>
      <c r="HHN1101"/>
      <c r="HHQ1101"/>
      <c r="HHR1101"/>
      <c r="HHU1101"/>
      <c r="HHV1101"/>
      <c r="HHY1101"/>
      <c r="HHZ1101"/>
      <c r="HIC1101"/>
      <c r="HID1101"/>
      <c r="HIG1101"/>
      <c r="HIH1101"/>
      <c r="HIK1101"/>
      <c r="HIL1101"/>
      <c r="HIO1101"/>
      <c r="HIP1101"/>
      <c r="HIS1101"/>
      <c r="HIT1101"/>
      <c r="HIW1101"/>
      <c r="HIX1101"/>
      <c r="HJA1101"/>
      <c r="HJB1101"/>
      <c r="HJE1101"/>
      <c r="HJF1101"/>
      <c r="HJI1101"/>
      <c r="HJJ1101"/>
      <c r="HJM1101"/>
      <c r="HJN1101"/>
      <c r="HJQ1101"/>
      <c r="HJR1101"/>
      <c r="HJU1101"/>
      <c r="HJV1101"/>
      <c r="HJY1101"/>
      <c r="HJZ1101"/>
      <c r="HKC1101"/>
      <c r="HKD1101"/>
      <c r="HKG1101"/>
      <c r="HKH1101"/>
      <c r="HKK1101"/>
      <c r="HKL1101"/>
      <c r="HKO1101"/>
      <c r="HKP1101"/>
      <c r="HKS1101"/>
      <c r="HKT1101"/>
      <c r="HKW1101"/>
      <c r="HKX1101"/>
      <c r="HLA1101"/>
      <c r="HLB1101"/>
      <c r="HLE1101"/>
      <c r="HLF1101"/>
      <c r="HLI1101"/>
      <c r="HLJ1101"/>
      <c r="HLM1101"/>
      <c r="HLN1101"/>
      <c r="HLQ1101"/>
      <c r="HLR1101"/>
      <c r="HLU1101"/>
      <c r="HLV1101"/>
      <c r="HLY1101"/>
      <c r="HLZ1101"/>
      <c r="HMC1101"/>
      <c r="HMD1101"/>
      <c r="HMG1101"/>
      <c r="HMH1101"/>
      <c r="HMK1101"/>
      <c r="HML1101"/>
      <c r="HMO1101"/>
      <c r="HMP1101"/>
      <c r="HMS1101"/>
      <c r="HMT1101"/>
      <c r="HMW1101"/>
      <c r="HMX1101"/>
      <c r="HNA1101"/>
      <c r="HNB1101"/>
      <c r="HNE1101"/>
      <c r="HNF1101"/>
      <c r="HNI1101"/>
      <c r="HNJ1101"/>
      <c r="HNM1101"/>
      <c r="HNN1101"/>
      <c r="HNQ1101"/>
      <c r="HNR1101"/>
      <c r="HNU1101"/>
      <c r="HNV1101"/>
      <c r="HNY1101"/>
      <c r="HNZ1101"/>
      <c r="HOC1101"/>
      <c r="HOD1101"/>
      <c r="HOG1101"/>
      <c r="HOH1101"/>
      <c r="HOK1101"/>
      <c r="HOL1101"/>
      <c r="HOO1101"/>
      <c r="HOP1101"/>
      <c r="HOS1101"/>
      <c r="HOT1101"/>
      <c r="HOW1101"/>
      <c r="HOX1101"/>
      <c r="HPA1101"/>
      <c r="HPB1101"/>
      <c r="HPE1101"/>
      <c r="HPF1101"/>
      <c r="HPI1101"/>
      <c r="HPJ1101"/>
      <c r="HPM1101"/>
      <c r="HPN1101"/>
      <c r="HPQ1101"/>
      <c r="HPR1101"/>
      <c r="HPU1101"/>
      <c r="HPV1101"/>
      <c r="HPY1101"/>
      <c r="HPZ1101"/>
      <c r="HQC1101"/>
      <c r="HQD1101"/>
      <c r="HQG1101"/>
      <c r="HQH1101"/>
      <c r="HQK1101"/>
      <c r="HQL1101"/>
      <c r="HQO1101"/>
      <c r="HQP1101"/>
      <c r="HQS1101"/>
      <c r="HQT1101"/>
      <c r="HQW1101"/>
      <c r="HQX1101"/>
      <c r="HRA1101"/>
      <c r="HRB1101"/>
      <c r="HRE1101"/>
      <c r="HRF1101"/>
      <c r="HRI1101"/>
      <c r="HRJ1101"/>
      <c r="HRM1101"/>
      <c r="HRN1101"/>
      <c r="HRQ1101"/>
      <c r="HRR1101"/>
      <c r="HRU1101"/>
      <c r="HRV1101"/>
      <c r="HRY1101"/>
      <c r="HRZ1101"/>
      <c r="HSC1101"/>
      <c r="HSD1101"/>
      <c r="HSG1101"/>
      <c r="HSH1101"/>
      <c r="HSK1101"/>
      <c r="HSL1101"/>
      <c r="HSO1101"/>
      <c r="HSP1101"/>
      <c r="HSS1101"/>
      <c r="HST1101"/>
      <c r="HSW1101"/>
      <c r="HSX1101"/>
      <c r="HTA1101"/>
      <c r="HTB1101"/>
      <c r="HTE1101"/>
      <c r="HTF1101"/>
      <c r="HTI1101"/>
      <c r="HTJ1101"/>
      <c r="HTM1101"/>
      <c r="HTN1101"/>
      <c r="HTQ1101"/>
      <c r="HTR1101"/>
      <c r="HTU1101"/>
      <c r="HTV1101"/>
      <c r="HTY1101"/>
      <c r="HTZ1101"/>
      <c r="HUC1101"/>
      <c r="HUD1101"/>
      <c r="HUG1101"/>
      <c r="HUH1101"/>
      <c r="HUK1101"/>
      <c r="HUL1101"/>
      <c r="HUO1101"/>
      <c r="HUP1101"/>
      <c r="HUS1101"/>
      <c r="HUT1101"/>
      <c r="HUW1101"/>
      <c r="HUX1101"/>
      <c r="HVA1101"/>
      <c r="HVB1101"/>
      <c r="HVE1101"/>
      <c r="HVF1101"/>
      <c r="HVI1101"/>
      <c r="HVJ1101"/>
      <c r="HVM1101"/>
      <c r="HVN1101"/>
      <c r="HVQ1101"/>
      <c r="HVR1101"/>
      <c r="HVU1101"/>
      <c r="HVV1101"/>
      <c r="HVY1101"/>
      <c r="HVZ1101"/>
      <c r="HWC1101"/>
      <c r="HWD1101"/>
      <c r="HWG1101"/>
      <c r="HWH1101"/>
      <c r="HWK1101"/>
      <c r="HWL1101"/>
      <c r="HWO1101"/>
      <c r="HWP1101"/>
      <c r="HWS1101"/>
      <c r="HWT1101"/>
      <c r="HWW1101"/>
      <c r="HWX1101"/>
      <c r="HXA1101"/>
      <c r="HXB1101"/>
      <c r="HXE1101"/>
      <c r="HXF1101"/>
      <c r="HXI1101"/>
      <c r="HXJ1101"/>
      <c r="HXM1101"/>
      <c r="HXN1101"/>
      <c r="HXQ1101"/>
      <c r="HXR1101"/>
      <c r="HXU1101"/>
      <c r="HXV1101"/>
      <c r="HXY1101"/>
      <c r="HXZ1101"/>
      <c r="HYC1101"/>
      <c r="HYD1101"/>
      <c r="HYG1101"/>
      <c r="HYH1101"/>
      <c r="HYK1101"/>
      <c r="HYL1101"/>
      <c r="HYO1101"/>
      <c r="HYP1101"/>
      <c r="HYS1101"/>
      <c r="HYT1101"/>
      <c r="HYW1101"/>
      <c r="HYX1101"/>
      <c r="HZA1101"/>
      <c r="HZB1101"/>
      <c r="HZE1101"/>
      <c r="HZF1101"/>
      <c r="HZI1101"/>
      <c r="HZJ1101"/>
      <c r="HZM1101"/>
      <c r="HZN1101"/>
      <c r="HZQ1101"/>
      <c r="HZR1101"/>
      <c r="HZU1101"/>
      <c r="HZV1101"/>
      <c r="HZY1101"/>
      <c r="HZZ1101"/>
      <c r="IAC1101"/>
      <c r="IAD1101"/>
      <c r="IAG1101"/>
      <c r="IAH1101"/>
      <c r="IAK1101"/>
      <c r="IAL1101"/>
      <c r="IAO1101"/>
      <c r="IAP1101"/>
      <c r="IAS1101"/>
      <c r="IAT1101"/>
      <c r="IAW1101"/>
      <c r="IAX1101"/>
      <c r="IBA1101"/>
      <c r="IBB1101"/>
      <c r="IBE1101"/>
      <c r="IBF1101"/>
      <c r="IBI1101"/>
      <c r="IBJ1101"/>
      <c r="IBM1101"/>
      <c r="IBN1101"/>
      <c r="IBQ1101"/>
      <c r="IBR1101"/>
      <c r="IBU1101"/>
      <c r="IBV1101"/>
      <c r="IBY1101"/>
      <c r="IBZ1101"/>
      <c r="ICC1101"/>
      <c r="ICD1101"/>
      <c r="ICG1101"/>
      <c r="ICH1101"/>
      <c r="ICK1101"/>
      <c r="ICL1101"/>
      <c r="ICO1101"/>
      <c r="ICP1101"/>
      <c r="ICS1101"/>
      <c r="ICT1101"/>
      <c r="ICW1101"/>
      <c r="ICX1101"/>
      <c r="IDA1101"/>
      <c r="IDB1101"/>
      <c r="IDE1101"/>
      <c r="IDF1101"/>
      <c r="IDI1101"/>
      <c r="IDJ1101"/>
      <c r="IDM1101"/>
      <c r="IDN1101"/>
      <c r="IDQ1101"/>
      <c r="IDR1101"/>
      <c r="IDU1101"/>
      <c r="IDV1101"/>
      <c r="IDY1101"/>
      <c r="IDZ1101"/>
      <c r="IEC1101"/>
      <c r="IED1101"/>
      <c r="IEG1101"/>
      <c r="IEH1101"/>
      <c r="IEK1101"/>
      <c r="IEL1101"/>
      <c r="IEO1101"/>
      <c r="IEP1101"/>
      <c r="IES1101"/>
      <c r="IET1101"/>
      <c r="IEW1101"/>
      <c r="IEX1101"/>
      <c r="IFA1101"/>
      <c r="IFB1101"/>
      <c r="IFE1101"/>
      <c r="IFF1101"/>
      <c r="IFI1101"/>
      <c r="IFJ1101"/>
      <c r="IFM1101"/>
      <c r="IFN1101"/>
      <c r="IFQ1101"/>
      <c r="IFR1101"/>
      <c r="IFU1101"/>
      <c r="IFV1101"/>
      <c r="IFY1101"/>
      <c r="IFZ1101"/>
      <c r="IGC1101"/>
      <c r="IGD1101"/>
      <c r="IGG1101"/>
      <c r="IGH1101"/>
      <c r="IGK1101"/>
      <c r="IGL1101"/>
      <c r="IGO1101"/>
      <c r="IGP1101"/>
      <c r="IGS1101"/>
      <c r="IGT1101"/>
      <c r="IGW1101"/>
      <c r="IGX1101"/>
      <c r="IHA1101"/>
      <c r="IHB1101"/>
      <c r="IHE1101"/>
      <c r="IHF1101"/>
      <c r="IHI1101"/>
      <c r="IHJ1101"/>
      <c r="IHM1101"/>
      <c r="IHN1101"/>
      <c r="IHQ1101"/>
      <c r="IHR1101"/>
      <c r="IHU1101"/>
      <c r="IHV1101"/>
      <c r="IHY1101"/>
      <c r="IHZ1101"/>
      <c r="IIC1101"/>
      <c r="IID1101"/>
      <c r="IIG1101"/>
      <c r="IIH1101"/>
      <c r="IIK1101"/>
      <c r="IIL1101"/>
      <c r="IIO1101"/>
      <c r="IIP1101"/>
      <c r="IIS1101"/>
      <c r="IIT1101"/>
      <c r="IIW1101"/>
      <c r="IIX1101"/>
      <c r="IJA1101"/>
      <c r="IJB1101"/>
      <c r="IJE1101"/>
      <c r="IJF1101"/>
      <c r="IJI1101"/>
      <c r="IJJ1101"/>
      <c r="IJM1101"/>
      <c r="IJN1101"/>
      <c r="IJQ1101"/>
      <c r="IJR1101"/>
      <c r="IJU1101"/>
      <c r="IJV1101"/>
      <c r="IJY1101"/>
      <c r="IJZ1101"/>
      <c r="IKC1101"/>
      <c r="IKD1101"/>
      <c r="IKG1101"/>
      <c r="IKH1101"/>
      <c r="IKK1101"/>
      <c r="IKL1101"/>
      <c r="IKO1101"/>
      <c r="IKP1101"/>
      <c r="IKS1101"/>
      <c r="IKT1101"/>
      <c r="IKW1101"/>
      <c r="IKX1101"/>
      <c r="ILA1101"/>
      <c r="ILB1101"/>
      <c r="ILE1101"/>
      <c r="ILF1101"/>
      <c r="ILI1101"/>
      <c r="ILJ1101"/>
      <c r="ILM1101"/>
      <c r="ILN1101"/>
      <c r="ILQ1101"/>
      <c r="ILR1101"/>
      <c r="ILU1101"/>
      <c r="ILV1101"/>
      <c r="ILY1101"/>
      <c r="ILZ1101"/>
      <c r="IMC1101"/>
      <c r="IMD1101"/>
      <c r="IMG1101"/>
      <c r="IMH1101"/>
      <c r="IMK1101"/>
      <c r="IML1101"/>
      <c r="IMO1101"/>
      <c r="IMP1101"/>
      <c r="IMS1101"/>
      <c r="IMT1101"/>
      <c r="IMW1101"/>
      <c r="IMX1101"/>
      <c r="INA1101"/>
      <c r="INB1101"/>
      <c r="INE1101"/>
      <c r="INF1101"/>
      <c r="INI1101"/>
      <c r="INJ1101"/>
      <c r="INM1101"/>
      <c r="INN1101"/>
      <c r="INQ1101"/>
      <c r="INR1101"/>
      <c r="INU1101"/>
      <c r="INV1101"/>
      <c r="INY1101"/>
      <c r="INZ1101"/>
      <c r="IOC1101"/>
      <c r="IOD1101"/>
      <c r="IOG1101"/>
      <c r="IOH1101"/>
      <c r="IOK1101"/>
      <c r="IOL1101"/>
      <c r="IOO1101"/>
      <c r="IOP1101"/>
      <c r="IOS1101"/>
      <c r="IOT1101"/>
      <c r="IOW1101"/>
      <c r="IOX1101"/>
      <c r="IPA1101"/>
      <c r="IPB1101"/>
      <c r="IPE1101"/>
      <c r="IPF1101"/>
      <c r="IPI1101"/>
      <c r="IPJ1101"/>
      <c r="IPM1101"/>
      <c r="IPN1101"/>
      <c r="IPQ1101"/>
      <c r="IPR1101"/>
      <c r="IPU1101"/>
      <c r="IPV1101"/>
      <c r="IPY1101"/>
      <c r="IPZ1101"/>
      <c r="IQC1101"/>
      <c r="IQD1101"/>
      <c r="IQG1101"/>
      <c r="IQH1101"/>
      <c r="IQK1101"/>
      <c r="IQL1101"/>
      <c r="IQO1101"/>
      <c r="IQP1101"/>
      <c r="IQS1101"/>
      <c r="IQT1101"/>
      <c r="IQW1101"/>
      <c r="IQX1101"/>
      <c r="IRA1101"/>
      <c r="IRB1101"/>
      <c r="IRE1101"/>
      <c r="IRF1101"/>
      <c r="IRI1101"/>
      <c r="IRJ1101"/>
      <c r="IRM1101"/>
      <c r="IRN1101"/>
      <c r="IRQ1101"/>
      <c r="IRR1101"/>
      <c r="IRU1101"/>
      <c r="IRV1101"/>
      <c r="IRY1101"/>
      <c r="IRZ1101"/>
      <c r="ISC1101"/>
      <c r="ISD1101"/>
      <c r="ISG1101"/>
      <c r="ISH1101"/>
      <c r="ISK1101"/>
      <c r="ISL1101"/>
      <c r="ISO1101"/>
      <c r="ISP1101"/>
      <c r="ISS1101"/>
      <c r="IST1101"/>
      <c r="ISW1101"/>
      <c r="ISX1101"/>
      <c r="ITA1101"/>
      <c r="ITB1101"/>
      <c r="ITE1101"/>
      <c r="ITF1101"/>
      <c r="ITI1101"/>
      <c r="ITJ1101"/>
      <c r="ITM1101"/>
      <c r="ITN1101"/>
      <c r="ITQ1101"/>
      <c r="ITR1101"/>
      <c r="ITU1101"/>
      <c r="ITV1101"/>
      <c r="ITY1101"/>
      <c r="ITZ1101"/>
      <c r="IUC1101"/>
      <c r="IUD1101"/>
      <c r="IUG1101"/>
      <c r="IUH1101"/>
      <c r="IUK1101"/>
      <c r="IUL1101"/>
      <c r="IUO1101"/>
      <c r="IUP1101"/>
      <c r="IUS1101"/>
      <c r="IUT1101"/>
      <c r="IUW1101"/>
      <c r="IUX1101"/>
      <c r="IVA1101"/>
      <c r="IVB1101"/>
      <c r="IVE1101"/>
      <c r="IVF1101"/>
      <c r="IVI1101"/>
      <c r="IVJ1101"/>
      <c r="IVM1101"/>
      <c r="IVN1101"/>
      <c r="IVQ1101"/>
      <c r="IVR1101"/>
      <c r="IVU1101"/>
      <c r="IVV1101"/>
      <c r="IVY1101"/>
      <c r="IVZ1101"/>
      <c r="IWC1101"/>
      <c r="IWD1101"/>
      <c r="IWG1101"/>
      <c r="IWH1101"/>
      <c r="IWK1101"/>
      <c r="IWL1101"/>
      <c r="IWO1101"/>
      <c r="IWP1101"/>
      <c r="IWS1101"/>
      <c r="IWT1101"/>
      <c r="IWW1101"/>
      <c r="IWX1101"/>
      <c r="IXA1101"/>
      <c r="IXB1101"/>
      <c r="IXE1101"/>
      <c r="IXF1101"/>
      <c r="IXI1101"/>
      <c r="IXJ1101"/>
      <c r="IXM1101"/>
      <c r="IXN1101"/>
      <c r="IXQ1101"/>
      <c r="IXR1101"/>
      <c r="IXU1101"/>
      <c r="IXV1101"/>
      <c r="IXY1101"/>
      <c r="IXZ1101"/>
      <c r="IYC1101"/>
      <c r="IYD1101"/>
      <c r="IYG1101"/>
      <c r="IYH1101"/>
      <c r="IYK1101"/>
      <c r="IYL1101"/>
      <c r="IYO1101"/>
      <c r="IYP1101"/>
      <c r="IYS1101"/>
      <c r="IYT1101"/>
      <c r="IYW1101"/>
      <c r="IYX1101"/>
      <c r="IZA1101"/>
      <c r="IZB1101"/>
      <c r="IZE1101"/>
      <c r="IZF1101"/>
      <c r="IZI1101"/>
      <c r="IZJ1101"/>
      <c r="IZM1101"/>
      <c r="IZN1101"/>
      <c r="IZQ1101"/>
      <c r="IZR1101"/>
      <c r="IZU1101"/>
      <c r="IZV1101"/>
      <c r="IZY1101"/>
      <c r="IZZ1101"/>
      <c r="JAC1101"/>
      <c r="JAD1101"/>
      <c r="JAG1101"/>
      <c r="JAH1101"/>
      <c r="JAK1101"/>
      <c r="JAL1101"/>
      <c r="JAO1101"/>
      <c r="JAP1101"/>
      <c r="JAS1101"/>
      <c r="JAT1101"/>
      <c r="JAW1101"/>
      <c r="JAX1101"/>
      <c r="JBA1101"/>
      <c r="JBB1101"/>
      <c r="JBE1101"/>
      <c r="JBF1101"/>
      <c r="JBI1101"/>
      <c r="JBJ1101"/>
      <c r="JBM1101"/>
      <c r="JBN1101"/>
      <c r="JBQ1101"/>
      <c r="JBR1101"/>
      <c r="JBU1101"/>
      <c r="JBV1101"/>
      <c r="JBY1101"/>
      <c r="JBZ1101"/>
      <c r="JCC1101"/>
      <c r="JCD1101"/>
      <c r="JCG1101"/>
      <c r="JCH1101"/>
      <c r="JCK1101"/>
      <c r="JCL1101"/>
      <c r="JCO1101"/>
      <c r="JCP1101"/>
      <c r="JCS1101"/>
      <c r="JCT1101"/>
      <c r="JCW1101"/>
      <c r="JCX1101"/>
      <c r="JDA1101"/>
      <c r="JDB1101"/>
      <c r="JDE1101"/>
      <c r="JDF1101"/>
      <c r="JDI1101"/>
      <c r="JDJ1101"/>
      <c r="JDM1101"/>
      <c r="JDN1101"/>
      <c r="JDQ1101"/>
      <c r="JDR1101"/>
      <c r="JDU1101"/>
      <c r="JDV1101"/>
      <c r="JDY1101"/>
      <c r="JDZ1101"/>
      <c r="JEC1101"/>
      <c r="JED1101"/>
      <c r="JEG1101"/>
      <c r="JEH1101"/>
      <c r="JEK1101"/>
      <c r="JEL1101"/>
      <c r="JEO1101"/>
      <c r="JEP1101"/>
      <c r="JES1101"/>
      <c r="JET1101"/>
      <c r="JEW1101"/>
      <c r="JEX1101"/>
      <c r="JFA1101"/>
      <c r="JFB1101"/>
      <c r="JFE1101"/>
      <c r="JFF1101"/>
      <c r="JFI1101"/>
      <c r="JFJ1101"/>
      <c r="JFM1101"/>
      <c r="JFN1101"/>
      <c r="JFQ1101"/>
      <c r="JFR1101"/>
      <c r="JFU1101"/>
      <c r="JFV1101"/>
      <c r="JFY1101"/>
      <c r="JFZ1101"/>
      <c r="JGC1101"/>
      <c r="JGD1101"/>
      <c r="JGG1101"/>
      <c r="JGH1101"/>
      <c r="JGK1101"/>
      <c r="JGL1101"/>
      <c r="JGO1101"/>
      <c r="JGP1101"/>
      <c r="JGS1101"/>
      <c r="JGT1101"/>
      <c r="JGW1101"/>
      <c r="JGX1101"/>
      <c r="JHA1101"/>
      <c r="JHB1101"/>
      <c r="JHE1101"/>
      <c r="JHF1101"/>
      <c r="JHI1101"/>
      <c r="JHJ1101"/>
      <c r="JHM1101"/>
      <c r="JHN1101"/>
      <c r="JHQ1101"/>
      <c r="JHR1101"/>
      <c r="JHU1101"/>
      <c r="JHV1101"/>
      <c r="JHY1101"/>
      <c r="JHZ1101"/>
      <c r="JIC1101"/>
      <c r="JID1101"/>
      <c r="JIG1101"/>
      <c r="JIH1101"/>
      <c r="JIK1101"/>
      <c r="JIL1101"/>
      <c r="JIO1101"/>
      <c r="JIP1101"/>
      <c r="JIS1101"/>
      <c r="JIT1101"/>
      <c r="JIW1101"/>
      <c r="JIX1101"/>
      <c r="JJA1101"/>
      <c r="JJB1101"/>
      <c r="JJE1101"/>
      <c r="JJF1101"/>
      <c r="JJI1101"/>
      <c r="JJJ1101"/>
      <c r="JJM1101"/>
      <c r="JJN1101"/>
      <c r="JJQ1101"/>
      <c r="JJR1101"/>
      <c r="JJU1101"/>
      <c r="JJV1101"/>
      <c r="JJY1101"/>
      <c r="JJZ1101"/>
      <c r="JKC1101"/>
      <c r="JKD1101"/>
      <c r="JKG1101"/>
      <c r="JKH1101"/>
      <c r="JKK1101"/>
      <c r="JKL1101"/>
      <c r="JKO1101"/>
      <c r="JKP1101"/>
      <c r="JKS1101"/>
      <c r="JKT1101"/>
      <c r="JKW1101"/>
      <c r="JKX1101"/>
      <c r="JLA1101"/>
      <c r="JLB1101"/>
      <c r="JLE1101"/>
      <c r="JLF1101"/>
      <c r="JLI1101"/>
      <c r="JLJ1101"/>
      <c r="JLM1101"/>
      <c r="JLN1101"/>
      <c r="JLQ1101"/>
      <c r="JLR1101"/>
      <c r="JLU1101"/>
      <c r="JLV1101"/>
      <c r="JLY1101"/>
      <c r="JLZ1101"/>
      <c r="JMC1101"/>
      <c r="JMD1101"/>
      <c r="JMG1101"/>
      <c r="JMH1101"/>
      <c r="JMK1101"/>
      <c r="JML1101"/>
      <c r="JMO1101"/>
      <c r="JMP1101"/>
      <c r="JMS1101"/>
      <c r="JMT1101"/>
      <c r="JMW1101"/>
      <c r="JMX1101"/>
      <c r="JNA1101"/>
      <c r="JNB1101"/>
      <c r="JNE1101"/>
      <c r="JNF1101"/>
      <c r="JNI1101"/>
      <c r="JNJ1101"/>
      <c r="JNM1101"/>
      <c r="JNN1101"/>
      <c r="JNQ1101"/>
      <c r="JNR1101"/>
      <c r="JNU1101"/>
      <c r="JNV1101"/>
      <c r="JNY1101"/>
      <c r="JNZ1101"/>
      <c r="JOC1101"/>
      <c r="JOD1101"/>
      <c r="JOG1101"/>
      <c r="JOH1101"/>
      <c r="JOK1101"/>
      <c r="JOL1101"/>
      <c r="JOO1101"/>
      <c r="JOP1101"/>
      <c r="JOS1101"/>
      <c r="JOT1101"/>
      <c r="JOW1101"/>
      <c r="JOX1101"/>
      <c r="JPA1101"/>
      <c r="JPB1101"/>
      <c r="JPE1101"/>
      <c r="JPF1101"/>
      <c r="JPI1101"/>
      <c r="JPJ1101"/>
      <c r="JPM1101"/>
      <c r="JPN1101"/>
      <c r="JPQ1101"/>
      <c r="JPR1101"/>
      <c r="JPU1101"/>
      <c r="JPV1101"/>
      <c r="JPY1101"/>
      <c r="JPZ1101"/>
      <c r="JQC1101"/>
      <c r="JQD1101"/>
      <c r="JQG1101"/>
      <c r="JQH1101"/>
      <c r="JQK1101"/>
      <c r="JQL1101"/>
      <c r="JQO1101"/>
      <c r="JQP1101"/>
      <c r="JQS1101"/>
      <c r="JQT1101"/>
      <c r="JQW1101"/>
      <c r="JQX1101"/>
      <c r="JRA1101"/>
      <c r="JRB1101"/>
      <c r="JRE1101"/>
      <c r="JRF1101"/>
      <c r="JRI1101"/>
      <c r="JRJ1101"/>
      <c r="JRM1101"/>
      <c r="JRN1101"/>
      <c r="JRQ1101"/>
      <c r="JRR1101"/>
      <c r="JRU1101"/>
      <c r="JRV1101"/>
      <c r="JRY1101"/>
      <c r="JRZ1101"/>
      <c r="JSC1101"/>
      <c r="JSD1101"/>
      <c r="JSG1101"/>
      <c r="JSH1101"/>
      <c r="JSK1101"/>
      <c r="JSL1101"/>
      <c r="JSO1101"/>
      <c r="JSP1101"/>
      <c r="JSS1101"/>
      <c r="JST1101"/>
      <c r="JSW1101"/>
      <c r="JSX1101"/>
      <c r="JTA1101"/>
      <c r="JTB1101"/>
      <c r="JTE1101"/>
      <c r="JTF1101"/>
      <c r="JTI1101"/>
      <c r="JTJ1101"/>
      <c r="JTM1101"/>
      <c r="JTN1101"/>
      <c r="JTQ1101"/>
      <c r="JTR1101"/>
      <c r="JTU1101"/>
      <c r="JTV1101"/>
      <c r="JTY1101"/>
      <c r="JTZ1101"/>
      <c r="JUC1101"/>
      <c r="JUD1101"/>
      <c r="JUG1101"/>
      <c r="JUH1101"/>
      <c r="JUK1101"/>
      <c r="JUL1101"/>
      <c r="JUO1101"/>
      <c r="JUP1101"/>
      <c r="JUS1101"/>
      <c r="JUT1101"/>
      <c r="JUW1101"/>
      <c r="JUX1101"/>
      <c r="JVA1101"/>
      <c r="JVB1101"/>
      <c r="JVE1101"/>
      <c r="JVF1101"/>
      <c r="JVI1101"/>
      <c r="JVJ1101"/>
      <c r="JVM1101"/>
      <c r="JVN1101"/>
      <c r="JVQ1101"/>
      <c r="JVR1101"/>
      <c r="JVU1101"/>
      <c r="JVV1101"/>
      <c r="JVY1101"/>
      <c r="JVZ1101"/>
      <c r="JWC1101"/>
      <c r="JWD1101"/>
      <c r="JWG1101"/>
      <c r="JWH1101"/>
      <c r="JWK1101"/>
      <c r="JWL1101"/>
      <c r="JWO1101"/>
      <c r="JWP1101"/>
      <c r="JWS1101"/>
      <c r="JWT1101"/>
      <c r="JWW1101"/>
      <c r="JWX1101"/>
      <c r="JXA1101"/>
      <c r="JXB1101"/>
      <c r="JXE1101"/>
      <c r="JXF1101"/>
      <c r="JXI1101"/>
      <c r="JXJ1101"/>
      <c r="JXM1101"/>
      <c r="JXN1101"/>
      <c r="JXQ1101"/>
      <c r="JXR1101"/>
      <c r="JXU1101"/>
      <c r="JXV1101"/>
      <c r="JXY1101"/>
      <c r="JXZ1101"/>
      <c r="JYC1101"/>
      <c r="JYD1101"/>
      <c r="JYG1101"/>
      <c r="JYH1101"/>
      <c r="JYK1101"/>
      <c r="JYL1101"/>
      <c r="JYO1101"/>
      <c r="JYP1101"/>
      <c r="JYS1101"/>
      <c r="JYT1101"/>
      <c r="JYW1101"/>
      <c r="JYX1101"/>
      <c r="JZA1101"/>
      <c r="JZB1101"/>
      <c r="JZE1101"/>
      <c r="JZF1101"/>
      <c r="JZI1101"/>
      <c r="JZJ1101"/>
      <c r="JZM1101"/>
      <c r="JZN1101"/>
      <c r="JZQ1101"/>
      <c r="JZR1101"/>
      <c r="JZU1101"/>
      <c r="JZV1101"/>
      <c r="JZY1101"/>
      <c r="JZZ1101"/>
      <c r="KAC1101"/>
      <c r="KAD1101"/>
      <c r="KAG1101"/>
      <c r="KAH1101"/>
      <c r="KAK1101"/>
      <c r="KAL1101"/>
      <c r="KAO1101"/>
      <c r="KAP1101"/>
      <c r="KAS1101"/>
      <c r="KAT1101"/>
      <c r="KAW1101"/>
      <c r="KAX1101"/>
      <c r="KBA1101"/>
      <c r="KBB1101"/>
      <c r="KBE1101"/>
      <c r="KBF1101"/>
      <c r="KBI1101"/>
      <c r="KBJ1101"/>
      <c r="KBM1101"/>
      <c r="KBN1101"/>
      <c r="KBQ1101"/>
      <c r="KBR1101"/>
      <c r="KBU1101"/>
      <c r="KBV1101"/>
      <c r="KBY1101"/>
      <c r="KBZ1101"/>
      <c r="KCC1101"/>
      <c r="KCD1101"/>
      <c r="KCG1101"/>
      <c r="KCH1101"/>
      <c r="KCK1101"/>
      <c r="KCL1101"/>
      <c r="KCO1101"/>
      <c r="KCP1101"/>
      <c r="KCS1101"/>
      <c r="KCT1101"/>
      <c r="KCW1101"/>
      <c r="KCX1101"/>
      <c r="KDA1101"/>
      <c r="KDB1101"/>
      <c r="KDE1101"/>
      <c r="KDF1101"/>
      <c r="KDI1101"/>
      <c r="KDJ1101"/>
      <c r="KDM1101"/>
      <c r="KDN1101"/>
      <c r="KDQ1101"/>
      <c r="KDR1101"/>
      <c r="KDU1101"/>
      <c r="KDV1101"/>
      <c r="KDY1101"/>
      <c r="KDZ1101"/>
      <c r="KEC1101"/>
      <c r="KED1101"/>
      <c r="KEG1101"/>
      <c r="KEH1101"/>
      <c r="KEK1101"/>
      <c r="KEL1101"/>
      <c r="KEO1101"/>
      <c r="KEP1101"/>
      <c r="KES1101"/>
      <c r="KET1101"/>
      <c r="KEW1101"/>
      <c r="KEX1101"/>
      <c r="KFA1101"/>
      <c r="KFB1101"/>
      <c r="KFE1101"/>
      <c r="KFF1101"/>
      <c r="KFI1101"/>
      <c r="KFJ1101"/>
      <c r="KFM1101"/>
      <c r="KFN1101"/>
      <c r="KFQ1101"/>
      <c r="KFR1101"/>
      <c r="KFU1101"/>
      <c r="KFV1101"/>
      <c r="KFY1101"/>
      <c r="KFZ1101"/>
      <c r="KGC1101"/>
      <c r="KGD1101"/>
      <c r="KGG1101"/>
      <c r="KGH1101"/>
      <c r="KGK1101"/>
      <c r="KGL1101"/>
      <c r="KGO1101"/>
      <c r="KGP1101"/>
      <c r="KGS1101"/>
      <c r="KGT1101"/>
      <c r="KGW1101"/>
      <c r="KGX1101"/>
      <c r="KHA1101"/>
      <c r="KHB1101"/>
      <c r="KHE1101"/>
      <c r="KHF1101"/>
      <c r="KHI1101"/>
      <c r="KHJ1101"/>
      <c r="KHM1101"/>
      <c r="KHN1101"/>
      <c r="KHQ1101"/>
      <c r="KHR1101"/>
      <c r="KHU1101"/>
      <c r="KHV1101"/>
      <c r="KHY1101"/>
      <c r="KHZ1101"/>
      <c r="KIC1101"/>
      <c r="KID1101"/>
      <c r="KIG1101"/>
      <c r="KIH1101"/>
      <c r="KIK1101"/>
      <c r="KIL1101"/>
      <c r="KIO1101"/>
      <c r="KIP1101"/>
      <c r="KIS1101"/>
      <c r="KIT1101"/>
      <c r="KIW1101"/>
      <c r="KIX1101"/>
      <c r="KJA1101"/>
      <c r="KJB1101"/>
      <c r="KJE1101"/>
      <c r="KJF1101"/>
      <c r="KJI1101"/>
      <c r="KJJ1101"/>
      <c r="KJM1101"/>
      <c r="KJN1101"/>
      <c r="KJQ1101"/>
      <c r="KJR1101"/>
      <c r="KJU1101"/>
      <c r="KJV1101"/>
      <c r="KJY1101"/>
      <c r="KJZ1101"/>
      <c r="KKC1101"/>
      <c r="KKD1101"/>
      <c r="KKG1101"/>
      <c r="KKH1101"/>
      <c r="KKK1101"/>
      <c r="KKL1101"/>
      <c r="KKO1101"/>
      <c r="KKP1101"/>
      <c r="KKS1101"/>
      <c r="KKT1101"/>
      <c r="KKW1101"/>
      <c r="KKX1101"/>
      <c r="KLA1101"/>
      <c r="KLB1101"/>
      <c r="KLE1101"/>
      <c r="KLF1101"/>
      <c r="KLI1101"/>
      <c r="KLJ1101"/>
      <c r="KLM1101"/>
      <c r="KLN1101"/>
      <c r="KLQ1101"/>
      <c r="KLR1101"/>
      <c r="KLU1101"/>
      <c r="KLV1101"/>
      <c r="KLY1101"/>
      <c r="KLZ1101"/>
      <c r="KMC1101"/>
      <c r="KMD1101"/>
      <c r="KMG1101"/>
      <c r="KMH1101"/>
      <c r="KMK1101"/>
      <c r="KML1101"/>
      <c r="KMO1101"/>
      <c r="KMP1101"/>
      <c r="KMS1101"/>
      <c r="KMT1101"/>
      <c r="KMW1101"/>
      <c r="KMX1101"/>
      <c r="KNA1101"/>
      <c r="KNB1101"/>
      <c r="KNE1101"/>
      <c r="KNF1101"/>
      <c r="KNI1101"/>
      <c r="KNJ1101"/>
      <c r="KNM1101"/>
      <c r="KNN1101"/>
      <c r="KNQ1101"/>
      <c r="KNR1101"/>
      <c r="KNU1101"/>
      <c r="KNV1101"/>
      <c r="KNY1101"/>
      <c r="KNZ1101"/>
      <c r="KOC1101"/>
      <c r="KOD1101"/>
      <c r="KOG1101"/>
      <c r="KOH1101"/>
      <c r="KOK1101"/>
      <c r="KOL1101"/>
      <c r="KOO1101"/>
      <c r="KOP1101"/>
      <c r="KOS1101"/>
      <c r="KOT1101"/>
      <c r="KOW1101"/>
      <c r="KOX1101"/>
      <c r="KPA1101"/>
      <c r="KPB1101"/>
      <c r="KPE1101"/>
      <c r="KPF1101"/>
      <c r="KPI1101"/>
      <c r="KPJ1101"/>
      <c r="KPM1101"/>
      <c r="KPN1101"/>
      <c r="KPQ1101"/>
      <c r="KPR1101"/>
      <c r="KPU1101"/>
      <c r="KPV1101"/>
      <c r="KPY1101"/>
      <c r="KPZ1101"/>
      <c r="KQC1101"/>
      <c r="KQD1101"/>
      <c r="KQG1101"/>
      <c r="KQH1101"/>
      <c r="KQK1101"/>
      <c r="KQL1101"/>
      <c r="KQO1101"/>
      <c r="KQP1101"/>
      <c r="KQS1101"/>
      <c r="KQT1101"/>
      <c r="KQW1101"/>
      <c r="KQX1101"/>
      <c r="KRA1101"/>
      <c r="KRB1101"/>
      <c r="KRE1101"/>
      <c r="KRF1101"/>
      <c r="KRI1101"/>
      <c r="KRJ1101"/>
      <c r="KRM1101"/>
      <c r="KRN1101"/>
      <c r="KRQ1101"/>
      <c r="KRR1101"/>
      <c r="KRU1101"/>
      <c r="KRV1101"/>
      <c r="KRY1101"/>
      <c r="KRZ1101"/>
      <c r="KSC1101"/>
      <c r="KSD1101"/>
      <c r="KSG1101"/>
      <c r="KSH1101"/>
      <c r="KSK1101"/>
      <c r="KSL1101"/>
      <c r="KSO1101"/>
      <c r="KSP1101"/>
      <c r="KSS1101"/>
      <c r="KST1101"/>
      <c r="KSW1101"/>
      <c r="KSX1101"/>
      <c r="KTA1101"/>
      <c r="KTB1101"/>
      <c r="KTE1101"/>
      <c r="KTF1101"/>
      <c r="KTI1101"/>
      <c r="KTJ1101"/>
      <c r="KTM1101"/>
      <c r="KTN1101"/>
      <c r="KTQ1101"/>
      <c r="KTR1101"/>
      <c r="KTU1101"/>
      <c r="KTV1101"/>
      <c r="KTY1101"/>
      <c r="KTZ1101"/>
      <c r="KUC1101"/>
      <c r="KUD1101"/>
      <c r="KUG1101"/>
      <c r="KUH1101"/>
      <c r="KUK1101"/>
      <c r="KUL1101"/>
      <c r="KUO1101"/>
      <c r="KUP1101"/>
      <c r="KUS1101"/>
      <c r="KUT1101"/>
      <c r="KUW1101"/>
      <c r="KUX1101"/>
      <c r="KVA1101"/>
      <c r="KVB1101"/>
      <c r="KVE1101"/>
      <c r="KVF1101"/>
      <c r="KVI1101"/>
      <c r="KVJ1101"/>
      <c r="KVM1101"/>
      <c r="KVN1101"/>
      <c r="KVQ1101"/>
      <c r="KVR1101"/>
      <c r="KVU1101"/>
      <c r="KVV1101"/>
      <c r="KVY1101"/>
      <c r="KVZ1101"/>
      <c r="KWC1101"/>
      <c r="KWD1101"/>
      <c r="KWG1101"/>
      <c r="KWH1101"/>
      <c r="KWK1101"/>
      <c r="KWL1101"/>
      <c r="KWO1101"/>
      <c r="KWP1101"/>
      <c r="KWS1101"/>
      <c r="KWT1101"/>
      <c r="KWW1101"/>
      <c r="KWX1101"/>
      <c r="KXA1101"/>
      <c r="KXB1101"/>
      <c r="KXE1101"/>
      <c r="KXF1101"/>
      <c r="KXI1101"/>
      <c r="KXJ1101"/>
      <c r="KXM1101"/>
      <c r="KXN1101"/>
      <c r="KXQ1101"/>
      <c r="KXR1101"/>
      <c r="KXU1101"/>
      <c r="KXV1101"/>
      <c r="KXY1101"/>
      <c r="KXZ1101"/>
      <c r="KYC1101"/>
      <c r="KYD1101"/>
      <c r="KYG1101"/>
      <c r="KYH1101"/>
      <c r="KYK1101"/>
      <c r="KYL1101"/>
      <c r="KYO1101"/>
      <c r="KYP1101"/>
      <c r="KYS1101"/>
      <c r="KYT1101"/>
      <c r="KYW1101"/>
      <c r="KYX1101"/>
      <c r="KZA1101"/>
      <c r="KZB1101"/>
      <c r="KZE1101"/>
      <c r="KZF1101"/>
      <c r="KZI1101"/>
      <c r="KZJ1101"/>
      <c r="KZM1101"/>
      <c r="KZN1101"/>
      <c r="KZQ1101"/>
      <c r="KZR1101"/>
      <c r="KZU1101"/>
      <c r="KZV1101"/>
      <c r="KZY1101"/>
      <c r="KZZ1101"/>
      <c r="LAC1101"/>
      <c r="LAD1101"/>
      <c r="LAG1101"/>
      <c r="LAH1101"/>
      <c r="LAK1101"/>
      <c r="LAL1101"/>
      <c r="LAO1101"/>
      <c r="LAP1101"/>
      <c r="LAS1101"/>
      <c r="LAT1101"/>
      <c r="LAW1101"/>
      <c r="LAX1101"/>
      <c r="LBA1101"/>
      <c r="LBB1101"/>
      <c r="LBE1101"/>
      <c r="LBF1101"/>
      <c r="LBI1101"/>
      <c r="LBJ1101"/>
      <c r="LBM1101"/>
      <c r="LBN1101"/>
      <c r="LBQ1101"/>
      <c r="LBR1101"/>
      <c r="LBU1101"/>
      <c r="LBV1101"/>
      <c r="LBY1101"/>
      <c r="LBZ1101"/>
      <c r="LCC1101"/>
      <c r="LCD1101"/>
      <c r="LCG1101"/>
      <c r="LCH1101"/>
      <c r="LCK1101"/>
      <c r="LCL1101"/>
      <c r="LCO1101"/>
      <c r="LCP1101"/>
      <c r="LCS1101"/>
      <c r="LCT1101"/>
      <c r="LCW1101"/>
      <c r="LCX1101"/>
      <c r="LDA1101"/>
      <c r="LDB1101"/>
      <c r="LDE1101"/>
      <c r="LDF1101"/>
      <c r="LDI1101"/>
      <c r="LDJ1101"/>
      <c r="LDM1101"/>
      <c r="LDN1101"/>
      <c r="LDQ1101"/>
      <c r="LDR1101"/>
      <c r="LDU1101"/>
      <c r="LDV1101"/>
      <c r="LDY1101"/>
      <c r="LDZ1101"/>
      <c r="LEC1101"/>
      <c r="LED1101"/>
      <c r="LEG1101"/>
      <c r="LEH1101"/>
      <c r="LEK1101"/>
      <c r="LEL1101"/>
      <c r="LEO1101"/>
      <c r="LEP1101"/>
      <c r="LES1101"/>
      <c r="LET1101"/>
      <c r="LEW1101"/>
      <c r="LEX1101"/>
      <c r="LFA1101"/>
      <c r="LFB1101"/>
      <c r="LFE1101"/>
      <c r="LFF1101"/>
      <c r="LFI1101"/>
      <c r="LFJ1101"/>
      <c r="LFM1101"/>
      <c r="LFN1101"/>
      <c r="LFQ1101"/>
      <c r="LFR1101"/>
      <c r="LFU1101"/>
      <c r="LFV1101"/>
      <c r="LFY1101"/>
      <c r="LFZ1101"/>
      <c r="LGC1101"/>
      <c r="LGD1101"/>
      <c r="LGG1101"/>
      <c r="LGH1101"/>
      <c r="LGK1101"/>
      <c r="LGL1101"/>
      <c r="LGO1101"/>
      <c r="LGP1101"/>
      <c r="LGS1101"/>
      <c r="LGT1101"/>
      <c r="LGW1101"/>
      <c r="LGX1101"/>
      <c r="LHA1101"/>
      <c r="LHB1101"/>
      <c r="LHE1101"/>
      <c r="LHF1101"/>
      <c r="LHI1101"/>
      <c r="LHJ1101"/>
      <c r="LHM1101"/>
      <c r="LHN1101"/>
      <c r="LHQ1101"/>
      <c r="LHR1101"/>
      <c r="LHU1101"/>
      <c r="LHV1101"/>
      <c r="LHY1101"/>
      <c r="LHZ1101"/>
      <c r="LIC1101"/>
      <c r="LID1101"/>
      <c r="LIG1101"/>
      <c r="LIH1101"/>
      <c r="LIK1101"/>
      <c r="LIL1101"/>
      <c r="LIO1101"/>
      <c r="LIP1101"/>
      <c r="LIS1101"/>
      <c r="LIT1101"/>
      <c r="LIW1101"/>
      <c r="LIX1101"/>
      <c r="LJA1101"/>
      <c r="LJB1101"/>
      <c r="LJE1101"/>
      <c r="LJF1101"/>
      <c r="LJI1101"/>
      <c r="LJJ1101"/>
      <c r="LJM1101"/>
      <c r="LJN1101"/>
      <c r="LJQ1101"/>
      <c r="LJR1101"/>
      <c r="LJU1101"/>
      <c r="LJV1101"/>
      <c r="LJY1101"/>
      <c r="LJZ1101"/>
      <c r="LKC1101"/>
      <c r="LKD1101"/>
      <c r="LKG1101"/>
      <c r="LKH1101"/>
      <c r="LKK1101"/>
      <c r="LKL1101"/>
      <c r="LKO1101"/>
      <c r="LKP1101"/>
      <c r="LKS1101"/>
      <c r="LKT1101"/>
      <c r="LKW1101"/>
      <c r="LKX1101"/>
      <c r="LLA1101"/>
      <c r="LLB1101"/>
      <c r="LLE1101"/>
      <c r="LLF1101"/>
      <c r="LLI1101"/>
      <c r="LLJ1101"/>
      <c r="LLM1101"/>
      <c r="LLN1101"/>
      <c r="LLQ1101"/>
      <c r="LLR1101"/>
      <c r="LLU1101"/>
      <c r="LLV1101"/>
      <c r="LLY1101"/>
      <c r="LLZ1101"/>
      <c r="LMC1101"/>
      <c r="LMD1101"/>
      <c r="LMG1101"/>
      <c r="LMH1101"/>
      <c r="LMK1101"/>
      <c r="LML1101"/>
      <c r="LMO1101"/>
      <c r="LMP1101"/>
      <c r="LMS1101"/>
      <c r="LMT1101"/>
      <c r="LMW1101"/>
      <c r="LMX1101"/>
      <c r="LNA1101"/>
      <c r="LNB1101"/>
      <c r="LNE1101"/>
      <c r="LNF1101"/>
      <c r="LNI1101"/>
      <c r="LNJ1101"/>
      <c r="LNM1101"/>
      <c r="LNN1101"/>
      <c r="LNQ1101"/>
      <c r="LNR1101"/>
      <c r="LNU1101"/>
      <c r="LNV1101"/>
      <c r="LNY1101"/>
      <c r="LNZ1101"/>
      <c r="LOC1101"/>
      <c r="LOD1101"/>
      <c r="LOG1101"/>
      <c r="LOH1101"/>
      <c r="LOK1101"/>
      <c r="LOL1101"/>
      <c r="LOO1101"/>
      <c r="LOP1101"/>
      <c r="LOS1101"/>
      <c r="LOT1101"/>
      <c r="LOW1101"/>
      <c r="LOX1101"/>
      <c r="LPA1101"/>
      <c r="LPB1101"/>
      <c r="LPE1101"/>
      <c r="LPF1101"/>
      <c r="LPI1101"/>
      <c r="LPJ1101"/>
      <c r="LPM1101"/>
      <c r="LPN1101"/>
      <c r="LPQ1101"/>
      <c r="LPR1101"/>
      <c r="LPU1101"/>
      <c r="LPV1101"/>
      <c r="LPY1101"/>
      <c r="LPZ1101"/>
      <c r="LQC1101"/>
      <c r="LQD1101"/>
      <c r="LQG1101"/>
      <c r="LQH1101"/>
      <c r="LQK1101"/>
      <c r="LQL1101"/>
      <c r="LQO1101"/>
      <c r="LQP1101"/>
      <c r="LQS1101"/>
      <c r="LQT1101"/>
      <c r="LQW1101"/>
      <c r="LQX1101"/>
      <c r="LRA1101"/>
      <c r="LRB1101"/>
      <c r="LRE1101"/>
      <c r="LRF1101"/>
      <c r="LRI1101"/>
      <c r="LRJ1101"/>
      <c r="LRM1101"/>
      <c r="LRN1101"/>
      <c r="LRQ1101"/>
      <c r="LRR1101"/>
      <c r="LRU1101"/>
      <c r="LRV1101"/>
      <c r="LRY1101"/>
      <c r="LRZ1101"/>
      <c r="LSC1101"/>
      <c r="LSD1101"/>
      <c r="LSG1101"/>
      <c r="LSH1101"/>
      <c r="LSK1101"/>
      <c r="LSL1101"/>
      <c r="LSO1101"/>
      <c r="LSP1101"/>
      <c r="LSS1101"/>
      <c r="LST1101"/>
      <c r="LSW1101"/>
      <c r="LSX1101"/>
      <c r="LTA1101"/>
      <c r="LTB1101"/>
      <c r="LTE1101"/>
      <c r="LTF1101"/>
      <c r="LTI1101"/>
      <c r="LTJ1101"/>
      <c r="LTM1101"/>
      <c r="LTN1101"/>
      <c r="LTQ1101"/>
      <c r="LTR1101"/>
      <c r="LTU1101"/>
      <c r="LTV1101"/>
      <c r="LTY1101"/>
      <c r="LTZ1101"/>
      <c r="LUC1101"/>
      <c r="LUD1101"/>
      <c r="LUG1101"/>
      <c r="LUH1101"/>
      <c r="LUK1101"/>
      <c r="LUL1101"/>
      <c r="LUO1101"/>
      <c r="LUP1101"/>
      <c r="LUS1101"/>
      <c r="LUT1101"/>
      <c r="LUW1101"/>
      <c r="LUX1101"/>
      <c r="LVA1101"/>
      <c r="LVB1101"/>
      <c r="LVE1101"/>
      <c r="LVF1101"/>
      <c r="LVI1101"/>
      <c r="LVJ1101"/>
      <c r="LVM1101"/>
      <c r="LVN1101"/>
      <c r="LVQ1101"/>
      <c r="LVR1101"/>
      <c r="LVU1101"/>
      <c r="LVV1101"/>
      <c r="LVY1101"/>
      <c r="LVZ1101"/>
      <c r="LWC1101"/>
      <c r="LWD1101"/>
      <c r="LWG1101"/>
      <c r="LWH1101"/>
      <c r="LWK1101"/>
      <c r="LWL1101"/>
      <c r="LWO1101"/>
      <c r="LWP1101"/>
      <c r="LWS1101"/>
      <c r="LWT1101"/>
      <c r="LWW1101"/>
      <c r="LWX1101"/>
      <c r="LXA1101"/>
      <c r="LXB1101"/>
      <c r="LXE1101"/>
      <c r="LXF1101"/>
      <c r="LXI1101"/>
      <c r="LXJ1101"/>
      <c r="LXM1101"/>
      <c r="LXN1101"/>
      <c r="LXQ1101"/>
      <c r="LXR1101"/>
      <c r="LXU1101"/>
      <c r="LXV1101"/>
      <c r="LXY1101"/>
      <c r="LXZ1101"/>
      <c r="LYC1101"/>
      <c r="LYD1101"/>
      <c r="LYG1101"/>
      <c r="LYH1101"/>
      <c r="LYK1101"/>
      <c r="LYL1101"/>
      <c r="LYO1101"/>
      <c r="LYP1101"/>
      <c r="LYS1101"/>
      <c r="LYT1101"/>
      <c r="LYW1101"/>
      <c r="LYX1101"/>
      <c r="LZA1101"/>
      <c r="LZB1101"/>
      <c r="LZE1101"/>
      <c r="LZF1101"/>
      <c r="LZI1101"/>
      <c r="LZJ1101"/>
      <c r="LZM1101"/>
      <c r="LZN1101"/>
      <c r="LZQ1101"/>
      <c r="LZR1101"/>
      <c r="LZU1101"/>
      <c r="LZV1101"/>
      <c r="LZY1101"/>
      <c r="LZZ1101"/>
      <c r="MAC1101"/>
      <c r="MAD1101"/>
      <c r="MAG1101"/>
      <c r="MAH1101"/>
      <c r="MAK1101"/>
      <c r="MAL1101"/>
      <c r="MAO1101"/>
      <c r="MAP1101"/>
      <c r="MAS1101"/>
      <c r="MAT1101"/>
      <c r="MAW1101"/>
      <c r="MAX1101"/>
      <c r="MBA1101"/>
      <c r="MBB1101"/>
      <c r="MBE1101"/>
      <c r="MBF1101"/>
      <c r="MBI1101"/>
      <c r="MBJ1101"/>
      <c r="MBM1101"/>
      <c r="MBN1101"/>
      <c r="MBQ1101"/>
      <c r="MBR1101"/>
      <c r="MBU1101"/>
      <c r="MBV1101"/>
      <c r="MBY1101"/>
      <c r="MBZ1101"/>
      <c r="MCC1101"/>
      <c r="MCD1101"/>
      <c r="MCG1101"/>
      <c r="MCH1101"/>
      <c r="MCK1101"/>
      <c r="MCL1101"/>
      <c r="MCO1101"/>
      <c r="MCP1101"/>
      <c r="MCS1101"/>
      <c r="MCT1101"/>
      <c r="MCW1101"/>
      <c r="MCX1101"/>
      <c r="MDA1101"/>
      <c r="MDB1101"/>
      <c r="MDE1101"/>
      <c r="MDF1101"/>
      <c r="MDI1101"/>
      <c r="MDJ1101"/>
      <c r="MDM1101"/>
      <c r="MDN1101"/>
      <c r="MDQ1101"/>
      <c r="MDR1101"/>
      <c r="MDU1101"/>
      <c r="MDV1101"/>
      <c r="MDY1101"/>
      <c r="MDZ1101"/>
      <c r="MEC1101"/>
      <c r="MED1101"/>
      <c r="MEG1101"/>
      <c r="MEH1101"/>
      <c r="MEK1101"/>
      <c r="MEL1101"/>
      <c r="MEO1101"/>
      <c r="MEP1101"/>
      <c r="MES1101"/>
      <c r="MET1101"/>
      <c r="MEW1101"/>
      <c r="MEX1101"/>
      <c r="MFA1101"/>
      <c r="MFB1101"/>
      <c r="MFE1101"/>
      <c r="MFF1101"/>
      <c r="MFI1101"/>
      <c r="MFJ1101"/>
      <c r="MFM1101"/>
      <c r="MFN1101"/>
      <c r="MFQ1101"/>
      <c r="MFR1101"/>
      <c r="MFU1101"/>
      <c r="MFV1101"/>
      <c r="MFY1101"/>
      <c r="MFZ1101"/>
      <c r="MGC1101"/>
      <c r="MGD1101"/>
      <c r="MGG1101"/>
      <c r="MGH1101"/>
      <c r="MGK1101"/>
      <c r="MGL1101"/>
      <c r="MGO1101"/>
      <c r="MGP1101"/>
      <c r="MGS1101"/>
      <c r="MGT1101"/>
      <c r="MGW1101"/>
      <c r="MGX1101"/>
      <c r="MHA1101"/>
      <c r="MHB1101"/>
      <c r="MHE1101"/>
      <c r="MHF1101"/>
      <c r="MHI1101"/>
      <c r="MHJ1101"/>
      <c r="MHM1101"/>
      <c r="MHN1101"/>
      <c r="MHQ1101"/>
      <c r="MHR1101"/>
      <c r="MHU1101"/>
      <c r="MHV1101"/>
      <c r="MHY1101"/>
      <c r="MHZ1101"/>
      <c r="MIC1101"/>
      <c r="MID1101"/>
      <c r="MIG1101"/>
      <c r="MIH1101"/>
      <c r="MIK1101"/>
      <c r="MIL1101"/>
      <c r="MIO1101"/>
      <c r="MIP1101"/>
      <c r="MIS1101"/>
      <c r="MIT1101"/>
      <c r="MIW1101"/>
      <c r="MIX1101"/>
      <c r="MJA1101"/>
      <c r="MJB1101"/>
      <c r="MJE1101"/>
      <c r="MJF1101"/>
      <c r="MJI1101"/>
      <c r="MJJ1101"/>
      <c r="MJM1101"/>
      <c r="MJN1101"/>
      <c r="MJQ1101"/>
      <c r="MJR1101"/>
      <c r="MJU1101"/>
      <c r="MJV1101"/>
      <c r="MJY1101"/>
      <c r="MJZ1101"/>
      <c r="MKC1101"/>
      <c r="MKD1101"/>
      <c r="MKG1101"/>
      <c r="MKH1101"/>
      <c r="MKK1101"/>
      <c r="MKL1101"/>
      <c r="MKO1101"/>
      <c r="MKP1101"/>
      <c r="MKS1101"/>
      <c r="MKT1101"/>
      <c r="MKW1101"/>
      <c r="MKX1101"/>
      <c r="MLA1101"/>
      <c r="MLB1101"/>
      <c r="MLE1101"/>
      <c r="MLF1101"/>
      <c r="MLI1101"/>
      <c r="MLJ1101"/>
      <c r="MLM1101"/>
      <c r="MLN1101"/>
      <c r="MLQ1101"/>
      <c r="MLR1101"/>
      <c r="MLU1101"/>
      <c r="MLV1101"/>
      <c r="MLY1101"/>
      <c r="MLZ1101"/>
      <c r="MMC1101"/>
      <c r="MMD1101"/>
      <c r="MMG1101"/>
      <c r="MMH1101"/>
      <c r="MMK1101"/>
      <c r="MML1101"/>
      <c r="MMO1101"/>
      <c r="MMP1101"/>
      <c r="MMS1101"/>
      <c r="MMT1101"/>
      <c r="MMW1101"/>
      <c r="MMX1101"/>
      <c r="MNA1101"/>
      <c r="MNB1101"/>
      <c r="MNE1101"/>
      <c r="MNF1101"/>
      <c r="MNI1101"/>
      <c r="MNJ1101"/>
      <c r="MNM1101"/>
      <c r="MNN1101"/>
      <c r="MNQ1101"/>
      <c r="MNR1101"/>
      <c r="MNU1101"/>
      <c r="MNV1101"/>
      <c r="MNY1101"/>
      <c r="MNZ1101"/>
      <c r="MOC1101"/>
      <c r="MOD1101"/>
      <c r="MOG1101"/>
      <c r="MOH1101"/>
      <c r="MOK1101"/>
      <c r="MOL1101"/>
      <c r="MOO1101"/>
      <c r="MOP1101"/>
      <c r="MOS1101"/>
      <c r="MOT1101"/>
      <c r="MOW1101"/>
      <c r="MOX1101"/>
      <c r="MPA1101"/>
      <c r="MPB1101"/>
      <c r="MPE1101"/>
      <c r="MPF1101"/>
      <c r="MPI1101"/>
      <c r="MPJ1101"/>
      <c r="MPM1101"/>
      <c r="MPN1101"/>
      <c r="MPQ1101"/>
      <c r="MPR1101"/>
      <c r="MPU1101"/>
      <c r="MPV1101"/>
      <c r="MPY1101"/>
      <c r="MPZ1101"/>
      <c r="MQC1101"/>
      <c r="MQD1101"/>
      <c r="MQG1101"/>
      <c r="MQH1101"/>
      <c r="MQK1101"/>
      <c r="MQL1101"/>
      <c r="MQO1101"/>
      <c r="MQP1101"/>
      <c r="MQS1101"/>
      <c r="MQT1101"/>
      <c r="MQW1101"/>
      <c r="MQX1101"/>
      <c r="MRA1101"/>
      <c r="MRB1101"/>
      <c r="MRE1101"/>
      <c r="MRF1101"/>
      <c r="MRI1101"/>
      <c r="MRJ1101"/>
      <c r="MRM1101"/>
      <c r="MRN1101"/>
      <c r="MRQ1101"/>
      <c r="MRR1101"/>
      <c r="MRU1101"/>
      <c r="MRV1101"/>
      <c r="MRY1101"/>
      <c r="MRZ1101"/>
      <c r="MSC1101"/>
      <c r="MSD1101"/>
      <c r="MSG1101"/>
      <c r="MSH1101"/>
      <c r="MSK1101"/>
      <c r="MSL1101"/>
      <c r="MSO1101"/>
      <c r="MSP1101"/>
      <c r="MSS1101"/>
      <c r="MST1101"/>
      <c r="MSW1101"/>
      <c r="MSX1101"/>
      <c r="MTA1101"/>
      <c r="MTB1101"/>
      <c r="MTE1101"/>
      <c r="MTF1101"/>
      <c r="MTI1101"/>
      <c r="MTJ1101"/>
      <c r="MTM1101"/>
      <c r="MTN1101"/>
      <c r="MTQ1101"/>
      <c r="MTR1101"/>
      <c r="MTU1101"/>
      <c r="MTV1101"/>
      <c r="MTY1101"/>
      <c r="MTZ1101"/>
      <c r="MUC1101"/>
      <c r="MUD1101"/>
      <c r="MUG1101"/>
      <c r="MUH1101"/>
      <c r="MUK1101"/>
      <c r="MUL1101"/>
      <c r="MUO1101"/>
      <c r="MUP1101"/>
      <c r="MUS1101"/>
      <c r="MUT1101"/>
      <c r="MUW1101"/>
      <c r="MUX1101"/>
      <c r="MVA1101"/>
      <c r="MVB1101"/>
      <c r="MVE1101"/>
      <c r="MVF1101"/>
      <c r="MVI1101"/>
      <c r="MVJ1101"/>
      <c r="MVM1101"/>
      <c r="MVN1101"/>
      <c r="MVQ1101"/>
      <c r="MVR1101"/>
      <c r="MVU1101"/>
      <c r="MVV1101"/>
      <c r="MVY1101"/>
      <c r="MVZ1101"/>
      <c r="MWC1101"/>
      <c r="MWD1101"/>
      <c r="MWG1101"/>
      <c r="MWH1101"/>
      <c r="MWK1101"/>
      <c r="MWL1101"/>
      <c r="MWO1101"/>
      <c r="MWP1101"/>
      <c r="MWS1101"/>
      <c r="MWT1101"/>
      <c r="MWW1101"/>
      <c r="MWX1101"/>
      <c r="MXA1101"/>
      <c r="MXB1101"/>
      <c r="MXE1101"/>
      <c r="MXF1101"/>
      <c r="MXI1101"/>
      <c r="MXJ1101"/>
      <c r="MXM1101"/>
      <c r="MXN1101"/>
      <c r="MXQ1101"/>
      <c r="MXR1101"/>
      <c r="MXU1101"/>
      <c r="MXV1101"/>
      <c r="MXY1101"/>
      <c r="MXZ1101"/>
      <c r="MYC1101"/>
      <c r="MYD1101"/>
      <c r="MYG1101"/>
      <c r="MYH1101"/>
      <c r="MYK1101"/>
      <c r="MYL1101"/>
      <c r="MYO1101"/>
      <c r="MYP1101"/>
      <c r="MYS1101"/>
      <c r="MYT1101"/>
      <c r="MYW1101"/>
      <c r="MYX1101"/>
      <c r="MZA1101"/>
      <c r="MZB1101"/>
      <c r="MZE1101"/>
      <c r="MZF1101"/>
      <c r="MZI1101"/>
      <c r="MZJ1101"/>
      <c r="MZM1101"/>
      <c r="MZN1101"/>
      <c r="MZQ1101"/>
      <c r="MZR1101"/>
      <c r="MZU1101"/>
      <c r="MZV1101"/>
      <c r="MZY1101"/>
      <c r="MZZ1101"/>
      <c r="NAC1101"/>
      <c r="NAD1101"/>
      <c r="NAG1101"/>
      <c r="NAH1101"/>
      <c r="NAK1101"/>
      <c r="NAL1101"/>
      <c r="NAO1101"/>
      <c r="NAP1101"/>
      <c r="NAS1101"/>
      <c r="NAT1101"/>
      <c r="NAW1101"/>
      <c r="NAX1101"/>
      <c r="NBA1101"/>
      <c r="NBB1101"/>
      <c r="NBE1101"/>
      <c r="NBF1101"/>
      <c r="NBI1101"/>
      <c r="NBJ1101"/>
      <c r="NBM1101"/>
      <c r="NBN1101"/>
      <c r="NBQ1101"/>
      <c r="NBR1101"/>
      <c r="NBU1101"/>
      <c r="NBV1101"/>
      <c r="NBY1101"/>
      <c r="NBZ1101"/>
      <c r="NCC1101"/>
      <c r="NCD1101"/>
      <c r="NCG1101"/>
      <c r="NCH1101"/>
      <c r="NCK1101"/>
      <c r="NCL1101"/>
      <c r="NCO1101"/>
      <c r="NCP1101"/>
      <c r="NCS1101"/>
      <c r="NCT1101"/>
      <c r="NCW1101"/>
      <c r="NCX1101"/>
      <c r="NDA1101"/>
      <c r="NDB1101"/>
      <c r="NDE1101"/>
      <c r="NDF1101"/>
      <c r="NDI1101"/>
      <c r="NDJ1101"/>
      <c r="NDM1101"/>
      <c r="NDN1101"/>
      <c r="NDQ1101"/>
      <c r="NDR1101"/>
      <c r="NDU1101"/>
      <c r="NDV1101"/>
      <c r="NDY1101"/>
      <c r="NDZ1101"/>
      <c r="NEC1101"/>
      <c r="NED1101"/>
      <c r="NEG1101"/>
      <c r="NEH1101"/>
      <c r="NEK1101"/>
      <c r="NEL1101"/>
      <c r="NEO1101"/>
      <c r="NEP1101"/>
      <c r="NES1101"/>
      <c r="NET1101"/>
      <c r="NEW1101"/>
      <c r="NEX1101"/>
      <c r="NFA1101"/>
      <c r="NFB1101"/>
      <c r="NFE1101"/>
      <c r="NFF1101"/>
      <c r="NFI1101"/>
      <c r="NFJ1101"/>
      <c r="NFM1101"/>
      <c r="NFN1101"/>
      <c r="NFQ1101"/>
      <c r="NFR1101"/>
      <c r="NFU1101"/>
      <c r="NFV1101"/>
      <c r="NFY1101"/>
      <c r="NFZ1101"/>
      <c r="NGC1101"/>
      <c r="NGD1101"/>
      <c r="NGG1101"/>
      <c r="NGH1101"/>
      <c r="NGK1101"/>
      <c r="NGL1101"/>
      <c r="NGO1101"/>
      <c r="NGP1101"/>
      <c r="NGS1101"/>
      <c r="NGT1101"/>
      <c r="NGW1101"/>
      <c r="NGX1101"/>
      <c r="NHA1101"/>
      <c r="NHB1101"/>
      <c r="NHE1101"/>
      <c r="NHF1101"/>
      <c r="NHI1101"/>
      <c r="NHJ1101"/>
      <c r="NHM1101"/>
      <c r="NHN1101"/>
      <c r="NHQ1101"/>
      <c r="NHR1101"/>
      <c r="NHU1101"/>
      <c r="NHV1101"/>
      <c r="NHY1101"/>
      <c r="NHZ1101"/>
      <c r="NIC1101"/>
      <c r="NID1101"/>
      <c r="NIG1101"/>
      <c r="NIH1101"/>
      <c r="NIK1101"/>
      <c r="NIL1101"/>
      <c r="NIO1101"/>
      <c r="NIP1101"/>
      <c r="NIS1101"/>
      <c r="NIT1101"/>
      <c r="NIW1101"/>
      <c r="NIX1101"/>
      <c r="NJA1101"/>
      <c r="NJB1101"/>
      <c r="NJE1101"/>
      <c r="NJF1101"/>
      <c r="NJI1101"/>
      <c r="NJJ1101"/>
      <c r="NJM1101"/>
      <c r="NJN1101"/>
      <c r="NJQ1101"/>
      <c r="NJR1101"/>
      <c r="NJU1101"/>
      <c r="NJV1101"/>
      <c r="NJY1101"/>
      <c r="NJZ1101"/>
      <c r="NKC1101"/>
      <c r="NKD1101"/>
      <c r="NKG1101"/>
      <c r="NKH1101"/>
      <c r="NKK1101"/>
      <c r="NKL1101"/>
      <c r="NKO1101"/>
      <c r="NKP1101"/>
      <c r="NKS1101"/>
      <c r="NKT1101"/>
      <c r="NKW1101"/>
      <c r="NKX1101"/>
      <c r="NLA1101"/>
      <c r="NLB1101"/>
      <c r="NLE1101"/>
      <c r="NLF1101"/>
      <c r="NLI1101"/>
      <c r="NLJ1101"/>
      <c r="NLM1101"/>
      <c r="NLN1101"/>
      <c r="NLQ1101"/>
      <c r="NLR1101"/>
      <c r="NLU1101"/>
      <c r="NLV1101"/>
      <c r="NLY1101"/>
      <c r="NLZ1101"/>
      <c r="NMC1101"/>
      <c r="NMD1101"/>
      <c r="NMG1101"/>
      <c r="NMH1101"/>
      <c r="NMK1101"/>
      <c r="NML1101"/>
      <c r="NMO1101"/>
      <c r="NMP1101"/>
      <c r="NMS1101"/>
      <c r="NMT1101"/>
      <c r="NMW1101"/>
      <c r="NMX1101"/>
      <c r="NNA1101"/>
      <c r="NNB1101"/>
      <c r="NNE1101"/>
      <c r="NNF1101"/>
      <c r="NNI1101"/>
      <c r="NNJ1101"/>
      <c r="NNM1101"/>
      <c r="NNN1101"/>
      <c r="NNQ1101"/>
      <c r="NNR1101"/>
      <c r="NNU1101"/>
      <c r="NNV1101"/>
      <c r="NNY1101"/>
      <c r="NNZ1101"/>
      <c r="NOC1101"/>
      <c r="NOD1101"/>
      <c r="NOG1101"/>
      <c r="NOH1101"/>
      <c r="NOK1101"/>
      <c r="NOL1101"/>
      <c r="NOO1101"/>
      <c r="NOP1101"/>
      <c r="NOS1101"/>
      <c r="NOT1101"/>
      <c r="NOW1101"/>
      <c r="NOX1101"/>
      <c r="NPA1101"/>
      <c r="NPB1101"/>
      <c r="NPE1101"/>
      <c r="NPF1101"/>
      <c r="NPI1101"/>
      <c r="NPJ1101"/>
      <c r="NPM1101"/>
      <c r="NPN1101"/>
      <c r="NPQ1101"/>
      <c r="NPR1101"/>
      <c r="NPU1101"/>
      <c r="NPV1101"/>
      <c r="NPY1101"/>
      <c r="NPZ1101"/>
      <c r="NQC1101"/>
      <c r="NQD1101"/>
      <c r="NQG1101"/>
      <c r="NQH1101"/>
      <c r="NQK1101"/>
      <c r="NQL1101"/>
      <c r="NQO1101"/>
      <c r="NQP1101"/>
      <c r="NQS1101"/>
      <c r="NQT1101"/>
      <c r="NQW1101"/>
      <c r="NQX1101"/>
      <c r="NRA1101"/>
      <c r="NRB1101"/>
      <c r="NRE1101"/>
      <c r="NRF1101"/>
      <c r="NRI1101"/>
      <c r="NRJ1101"/>
      <c r="NRM1101"/>
      <c r="NRN1101"/>
      <c r="NRQ1101"/>
      <c r="NRR1101"/>
      <c r="NRU1101"/>
      <c r="NRV1101"/>
      <c r="NRY1101"/>
      <c r="NRZ1101"/>
      <c r="NSC1101"/>
      <c r="NSD1101"/>
      <c r="NSG1101"/>
      <c r="NSH1101"/>
      <c r="NSK1101"/>
      <c r="NSL1101"/>
      <c r="NSO1101"/>
      <c r="NSP1101"/>
      <c r="NSS1101"/>
      <c r="NST1101"/>
      <c r="NSW1101"/>
      <c r="NSX1101"/>
      <c r="NTA1101"/>
      <c r="NTB1101"/>
      <c r="NTE1101"/>
      <c r="NTF1101"/>
      <c r="NTI1101"/>
      <c r="NTJ1101"/>
      <c r="NTM1101"/>
      <c r="NTN1101"/>
      <c r="NTQ1101"/>
      <c r="NTR1101"/>
      <c r="NTU1101"/>
      <c r="NTV1101"/>
      <c r="NTY1101"/>
      <c r="NTZ1101"/>
      <c r="NUC1101"/>
      <c r="NUD1101"/>
      <c r="NUG1101"/>
      <c r="NUH1101"/>
      <c r="NUK1101"/>
      <c r="NUL1101"/>
      <c r="NUO1101"/>
      <c r="NUP1101"/>
      <c r="NUS1101"/>
      <c r="NUT1101"/>
      <c r="NUW1101"/>
      <c r="NUX1101"/>
      <c r="NVA1101"/>
      <c r="NVB1101"/>
      <c r="NVE1101"/>
      <c r="NVF1101"/>
      <c r="NVI1101"/>
      <c r="NVJ1101"/>
      <c r="NVM1101"/>
      <c r="NVN1101"/>
      <c r="NVQ1101"/>
      <c r="NVR1101"/>
      <c r="NVU1101"/>
      <c r="NVV1101"/>
      <c r="NVY1101"/>
      <c r="NVZ1101"/>
      <c r="NWC1101"/>
      <c r="NWD1101"/>
      <c r="NWG1101"/>
      <c r="NWH1101"/>
      <c r="NWK1101"/>
      <c r="NWL1101"/>
      <c r="NWO1101"/>
      <c r="NWP1101"/>
      <c r="NWS1101"/>
      <c r="NWT1101"/>
      <c r="NWW1101"/>
      <c r="NWX1101"/>
      <c r="NXA1101"/>
      <c r="NXB1101"/>
      <c r="NXE1101"/>
      <c r="NXF1101"/>
      <c r="NXI1101"/>
      <c r="NXJ1101"/>
      <c r="NXM1101"/>
      <c r="NXN1101"/>
      <c r="NXQ1101"/>
      <c r="NXR1101"/>
      <c r="NXU1101"/>
      <c r="NXV1101"/>
      <c r="NXY1101"/>
      <c r="NXZ1101"/>
      <c r="NYC1101"/>
      <c r="NYD1101"/>
      <c r="NYG1101"/>
      <c r="NYH1101"/>
      <c r="NYK1101"/>
      <c r="NYL1101"/>
      <c r="NYO1101"/>
      <c r="NYP1101"/>
      <c r="NYS1101"/>
      <c r="NYT1101"/>
      <c r="NYW1101"/>
      <c r="NYX1101"/>
      <c r="NZA1101"/>
      <c r="NZB1101"/>
      <c r="NZE1101"/>
      <c r="NZF1101"/>
      <c r="NZI1101"/>
      <c r="NZJ1101"/>
      <c r="NZM1101"/>
      <c r="NZN1101"/>
      <c r="NZQ1101"/>
      <c r="NZR1101"/>
      <c r="NZU1101"/>
      <c r="NZV1101"/>
      <c r="NZY1101"/>
      <c r="NZZ1101"/>
      <c r="OAC1101"/>
      <c r="OAD1101"/>
      <c r="OAG1101"/>
      <c r="OAH1101"/>
      <c r="OAK1101"/>
      <c r="OAL1101"/>
      <c r="OAO1101"/>
      <c r="OAP1101"/>
      <c r="OAS1101"/>
      <c r="OAT1101"/>
      <c r="OAW1101"/>
      <c r="OAX1101"/>
      <c r="OBA1101"/>
      <c r="OBB1101"/>
      <c r="OBE1101"/>
      <c r="OBF1101"/>
      <c r="OBI1101"/>
      <c r="OBJ1101"/>
      <c r="OBM1101"/>
      <c r="OBN1101"/>
      <c r="OBQ1101"/>
      <c r="OBR1101"/>
      <c r="OBU1101"/>
      <c r="OBV1101"/>
      <c r="OBY1101"/>
      <c r="OBZ1101"/>
      <c r="OCC1101"/>
      <c r="OCD1101"/>
      <c r="OCG1101"/>
      <c r="OCH1101"/>
      <c r="OCK1101"/>
      <c r="OCL1101"/>
      <c r="OCO1101"/>
      <c r="OCP1101"/>
      <c r="OCS1101"/>
      <c r="OCT1101"/>
      <c r="OCW1101"/>
      <c r="OCX1101"/>
      <c r="ODA1101"/>
      <c r="ODB1101"/>
      <c r="ODE1101"/>
      <c r="ODF1101"/>
      <c r="ODI1101"/>
      <c r="ODJ1101"/>
      <c r="ODM1101"/>
      <c r="ODN1101"/>
      <c r="ODQ1101"/>
      <c r="ODR1101"/>
      <c r="ODU1101"/>
      <c r="ODV1101"/>
      <c r="ODY1101"/>
      <c r="ODZ1101"/>
      <c r="OEC1101"/>
      <c r="OED1101"/>
      <c r="OEG1101"/>
      <c r="OEH1101"/>
      <c r="OEK1101"/>
      <c r="OEL1101"/>
      <c r="OEO1101"/>
      <c r="OEP1101"/>
      <c r="OES1101"/>
      <c r="OET1101"/>
      <c r="OEW1101"/>
      <c r="OEX1101"/>
      <c r="OFA1101"/>
      <c r="OFB1101"/>
      <c r="OFE1101"/>
      <c r="OFF1101"/>
      <c r="OFI1101"/>
      <c r="OFJ1101"/>
      <c r="OFM1101"/>
      <c r="OFN1101"/>
      <c r="OFQ1101"/>
      <c r="OFR1101"/>
      <c r="OFU1101"/>
      <c r="OFV1101"/>
      <c r="OFY1101"/>
      <c r="OFZ1101"/>
      <c r="OGC1101"/>
      <c r="OGD1101"/>
      <c r="OGG1101"/>
      <c r="OGH1101"/>
      <c r="OGK1101"/>
      <c r="OGL1101"/>
      <c r="OGO1101"/>
      <c r="OGP1101"/>
      <c r="OGS1101"/>
      <c r="OGT1101"/>
      <c r="OGW1101"/>
      <c r="OGX1101"/>
      <c r="OHA1101"/>
      <c r="OHB1101"/>
      <c r="OHE1101"/>
      <c r="OHF1101"/>
      <c r="OHI1101"/>
      <c r="OHJ1101"/>
      <c r="OHM1101"/>
      <c r="OHN1101"/>
      <c r="OHQ1101"/>
      <c r="OHR1101"/>
      <c r="OHU1101"/>
      <c r="OHV1101"/>
      <c r="OHY1101"/>
      <c r="OHZ1101"/>
      <c r="OIC1101"/>
      <c r="OID1101"/>
      <c r="OIG1101"/>
      <c r="OIH1101"/>
      <c r="OIK1101"/>
      <c r="OIL1101"/>
      <c r="OIO1101"/>
      <c r="OIP1101"/>
      <c r="OIS1101"/>
      <c r="OIT1101"/>
      <c r="OIW1101"/>
      <c r="OIX1101"/>
      <c r="OJA1101"/>
      <c r="OJB1101"/>
      <c r="OJE1101"/>
      <c r="OJF1101"/>
      <c r="OJI1101"/>
      <c r="OJJ1101"/>
      <c r="OJM1101"/>
      <c r="OJN1101"/>
      <c r="OJQ1101"/>
      <c r="OJR1101"/>
      <c r="OJU1101"/>
      <c r="OJV1101"/>
      <c r="OJY1101"/>
      <c r="OJZ1101"/>
      <c r="OKC1101"/>
      <c r="OKD1101"/>
      <c r="OKG1101"/>
      <c r="OKH1101"/>
      <c r="OKK1101"/>
      <c r="OKL1101"/>
      <c r="OKO1101"/>
      <c r="OKP1101"/>
      <c r="OKS1101"/>
      <c r="OKT1101"/>
      <c r="OKW1101"/>
      <c r="OKX1101"/>
      <c r="OLA1101"/>
      <c r="OLB1101"/>
      <c r="OLE1101"/>
      <c r="OLF1101"/>
      <c r="OLI1101"/>
      <c r="OLJ1101"/>
      <c r="OLM1101"/>
      <c r="OLN1101"/>
      <c r="OLQ1101"/>
      <c r="OLR1101"/>
      <c r="OLU1101"/>
      <c r="OLV1101"/>
      <c r="OLY1101"/>
      <c r="OLZ1101"/>
      <c r="OMC1101"/>
      <c r="OMD1101"/>
      <c r="OMG1101"/>
      <c r="OMH1101"/>
      <c r="OMK1101"/>
      <c r="OML1101"/>
      <c r="OMO1101"/>
      <c r="OMP1101"/>
      <c r="OMS1101"/>
      <c r="OMT1101"/>
      <c r="OMW1101"/>
      <c r="OMX1101"/>
      <c r="ONA1101"/>
      <c r="ONB1101"/>
      <c r="ONE1101"/>
      <c r="ONF1101"/>
      <c r="ONI1101"/>
      <c r="ONJ1101"/>
      <c r="ONM1101"/>
      <c r="ONN1101"/>
      <c r="ONQ1101"/>
      <c r="ONR1101"/>
      <c r="ONU1101"/>
      <c r="ONV1101"/>
      <c r="ONY1101"/>
      <c r="ONZ1101"/>
      <c r="OOC1101"/>
      <c r="OOD1101"/>
      <c r="OOG1101"/>
      <c r="OOH1101"/>
      <c r="OOK1101"/>
      <c r="OOL1101"/>
      <c r="OOO1101"/>
      <c r="OOP1101"/>
      <c r="OOS1101"/>
      <c r="OOT1101"/>
      <c r="OOW1101"/>
      <c r="OOX1101"/>
      <c r="OPA1101"/>
      <c r="OPB1101"/>
      <c r="OPE1101"/>
      <c r="OPF1101"/>
      <c r="OPI1101"/>
      <c r="OPJ1101"/>
      <c r="OPM1101"/>
      <c r="OPN1101"/>
      <c r="OPQ1101"/>
      <c r="OPR1101"/>
      <c r="OPU1101"/>
      <c r="OPV1101"/>
      <c r="OPY1101"/>
      <c r="OPZ1101"/>
      <c r="OQC1101"/>
      <c r="OQD1101"/>
      <c r="OQG1101"/>
      <c r="OQH1101"/>
      <c r="OQK1101"/>
      <c r="OQL1101"/>
      <c r="OQO1101"/>
      <c r="OQP1101"/>
      <c r="OQS1101"/>
      <c r="OQT1101"/>
      <c r="OQW1101"/>
      <c r="OQX1101"/>
      <c r="ORA1101"/>
      <c r="ORB1101"/>
      <c r="ORE1101"/>
      <c r="ORF1101"/>
      <c r="ORI1101"/>
      <c r="ORJ1101"/>
      <c r="ORM1101"/>
      <c r="ORN1101"/>
      <c r="ORQ1101"/>
      <c r="ORR1101"/>
      <c r="ORU1101"/>
      <c r="ORV1101"/>
      <c r="ORY1101"/>
      <c r="ORZ1101"/>
      <c r="OSC1101"/>
      <c r="OSD1101"/>
      <c r="OSG1101"/>
      <c r="OSH1101"/>
      <c r="OSK1101"/>
      <c r="OSL1101"/>
      <c r="OSO1101"/>
      <c r="OSP1101"/>
      <c r="OSS1101"/>
      <c r="OST1101"/>
      <c r="OSW1101"/>
      <c r="OSX1101"/>
      <c r="OTA1101"/>
      <c r="OTB1101"/>
      <c r="OTE1101"/>
      <c r="OTF1101"/>
      <c r="OTI1101"/>
      <c r="OTJ1101"/>
      <c r="OTM1101"/>
      <c r="OTN1101"/>
      <c r="OTQ1101"/>
      <c r="OTR1101"/>
      <c r="OTU1101"/>
      <c r="OTV1101"/>
      <c r="OTY1101"/>
      <c r="OTZ1101"/>
      <c r="OUC1101"/>
      <c r="OUD1101"/>
      <c r="OUG1101"/>
      <c r="OUH1101"/>
      <c r="OUK1101"/>
      <c r="OUL1101"/>
      <c r="OUO1101"/>
      <c r="OUP1101"/>
      <c r="OUS1101"/>
      <c r="OUT1101"/>
      <c r="OUW1101"/>
      <c r="OUX1101"/>
      <c r="OVA1101"/>
      <c r="OVB1101"/>
      <c r="OVE1101"/>
      <c r="OVF1101"/>
      <c r="OVI1101"/>
      <c r="OVJ1101"/>
      <c r="OVM1101"/>
      <c r="OVN1101"/>
      <c r="OVQ1101"/>
      <c r="OVR1101"/>
      <c r="OVU1101"/>
      <c r="OVV1101"/>
      <c r="OVY1101"/>
      <c r="OVZ1101"/>
      <c r="OWC1101"/>
      <c r="OWD1101"/>
      <c r="OWG1101"/>
      <c r="OWH1101"/>
      <c r="OWK1101"/>
      <c r="OWL1101"/>
      <c r="OWO1101"/>
      <c r="OWP1101"/>
      <c r="OWS1101"/>
      <c r="OWT1101"/>
      <c r="OWW1101"/>
      <c r="OWX1101"/>
      <c r="OXA1101"/>
      <c r="OXB1101"/>
      <c r="OXE1101"/>
      <c r="OXF1101"/>
      <c r="OXI1101"/>
      <c r="OXJ1101"/>
      <c r="OXM1101"/>
      <c r="OXN1101"/>
      <c r="OXQ1101"/>
      <c r="OXR1101"/>
      <c r="OXU1101"/>
      <c r="OXV1101"/>
      <c r="OXY1101"/>
      <c r="OXZ1101"/>
      <c r="OYC1101"/>
      <c r="OYD1101"/>
      <c r="OYG1101"/>
      <c r="OYH1101"/>
      <c r="OYK1101"/>
      <c r="OYL1101"/>
      <c r="OYO1101"/>
      <c r="OYP1101"/>
      <c r="OYS1101"/>
      <c r="OYT1101"/>
      <c r="OYW1101"/>
      <c r="OYX1101"/>
      <c r="OZA1101"/>
      <c r="OZB1101"/>
      <c r="OZE1101"/>
      <c r="OZF1101"/>
      <c r="OZI1101"/>
      <c r="OZJ1101"/>
      <c r="OZM1101"/>
      <c r="OZN1101"/>
      <c r="OZQ1101"/>
      <c r="OZR1101"/>
      <c r="OZU1101"/>
      <c r="OZV1101"/>
      <c r="OZY1101"/>
      <c r="OZZ1101"/>
      <c r="PAC1101"/>
      <c r="PAD1101"/>
      <c r="PAG1101"/>
      <c r="PAH1101"/>
      <c r="PAK1101"/>
      <c r="PAL1101"/>
      <c r="PAO1101"/>
      <c r="PAP1101"/>
      <c r="PAS1101"/>
      <c r="PAT1101"/>
      <c r="PAW1101"/>
      <c r="PAX1101"/>
      <c r="PBA1101"/>
      <c r="PBB1101"/>
      <c r="PBE1101"/>
      <c r="PBF1101"/>
      <c r="PBI1101"/>
      <c r="PBJ1101"/>
      <c r="PBM1101"/>
      <c r="PBN1101"/>
      <c r="PBQ1101"/>
      <c r="PBR1101"/>
      <c r="PBU1101"/>
      <c r="PBV1101"/>
      <c r="PBY1101"/>
      <c r="PBZ1101"/>
      <c r="PCC1101"/>
      <c r="PCD1101"/>
      <c r="PCG1101"/>
      <c r="PCH1101"/>
      <c r="PCK1101"/>
      <c r="PCL1101"/>
      <c r="PCO1101"/>
      <c r="PCP1101"/>
      <c r="PCS1101"/>
      <c r="PCT1101"/>
      <c r="PCW1101"/>
      <c r="PCX1101"/>
      <c r="PDA1101"/>
      <c r="PDB1101"/>
      <c r="PDE1101"/>
      <c r="PDF1101"/>
      <c r="PDI1101"/>
      <c r="PDJ1101"/>
      <c r="PDM1101"/>
      <c r="PDN1101"/>
      <c r="PDQ1101"/>
      <c r="PDR1101"/>
      <c r="PDU1101"/>
      <c r="PDV1101"/>
      <c r="PDY1101"/>
      <c r="PDZ1101"/>
      <c r="PEC1101"/>
      <c r="PED1101"/>
      <c r="PEG1101"/>
      <c r="PEH1101"/>
      <c r="PEK1101"/>
      <c r="PEL1101"/>
      <c r="PEO1101"/>
      <c r="PEP1101"/>
      <c r="PES1101"/>
      <c r="PET1101"/>
      <c r="PEW1101"/>
      <c r="PEX1101"/>
      <c r="PFA1101"/>
      <c r="PFB1101"/>
      <c r="PFE1101"/>
      <c r="PFF1101"/>
      <c r="PFI1101"/>
      <c r="PFJ1101"/>
      <c r="PFM1101"/>
      <c r="PFN1101"/>
      <c r="PFQ1101"/>
      <c r="PFR1101"/>
      <c r="PFU1101"/>
      <c r="PFV1101"/>
      <c r="PFY1101"/>
      <c r="PFZ1101"/>
      <c r="PGC1101"/>
      <c r="PGD1101"/>
      <c r="PGG1101"/>
      <c r="PGH1101"/>
      <c r="PGK1101"/>
      <c r="PGL1101"/>
      <c r="PGO1101"/>
      <c r="PGP1101"/>
      <c r="PGS1101"/>
      <c r="PGT1101"/>
      <c r="PGW1101"/>
      <c r="PGX1101"/>
      <c r="PHA1101"/>
      <c r="PHB1101"/>
      <c r="PHE1101"/>
      <c r="PHF1101"/>
      <c r="PHI1101"/>
      <c r="PHJ1101"/>
      <c r="PHM1101"/>
      <c r="PHN1101"/>
      <c r="PHQ1101"/>
      <c r="PHR1101"/>
      <c r="PHU1101"/>
      <c r="PHV1101"/>
      <c r="PHY1101"/>
      <c r="PHZ1101"/>
      <c r="PIC1101"/>
      <c r="PID1101"/>
      <c r="PIG1101"/>
      <c r="PIH1101"/>
      <c r="PIK1101"/>
      <c r="PIL1101"/>
      <c r="PIO1101"/>
      <c r="PIP1101"/>
      <c r="PIS1101"/>
      <c r="PIT1101"/>
      <c r="PIW1101"/>
      <c r="PIX1101"/>
      <c r="PJA1101"/>
      <c r="PJB1101"/>
      <c r="PJE1101"/>
      <c r="PJF1101"/>
      <c r="PJI1101"/>
      <c r="PJJ1101"/>
      <c r="PJM1101"/>
      <c r="PJN1101"/>
      <c r="PJQ1101"/>
      <c r="PJR1101"/>
      <c r="PJU1101"/>
      <c r="PJV1101"/>
      <c r="PJY1101"/>
      <c r="PJZ1101"/>
      <c r="PKC1101"/>
      <c r="PKD1101"/>
      <c r="PKG1101"/>
      <c r="PKH1101"/>
      <c r="PKK1101"/>
      <c r="PKL1101"/>
      <c r="PKO1101"/>
      <c r="PKP1101"/>
      <c r="PKS1101"/>
      <c r="PKT1101"/>
      <c r="PKW1101"/>
      <c r="PKX1101"/>
      <c r="PLA1101"/>
      <c r="PLB1101"/>
      <c r="PLE1101"/>
      <c r="PLF1101"/>
      <c r="PLI1101"/>
      <c r="PLJ1101"/>
      <c r="PLM1101"/>
      <c r="PLN1101"/>
      <c r="PLQ1101"/>
      <c r="PLR1101"/>
      <c r="PLU1101"/>
      <c r="PLV1101"/>
      <c r="PLY1101"/>
      <c r="PLZ1101"/>
      <c r="PMC1101"/>
      <c r="PMD1101"/>
      <c r="PMG1101"/>
      <c r="PMH1101"/>
      <c r="PMK1101"/>
      <c r="PML1101"/>
      <c r="PMO1101"/>
      <c r="PMP1101"/>
      <c r="PMS1101"/>
      <c r="PMT1101"/>
      <c r="PMW1101"/>
      <c r="PMX1101"/>
      <c r="PNA1101"/>
      <c r="PNB1101"/>
      <c r="PNE1101"/>
      <c r="PNF1101"/>
      <c r="PNI1101"/>
      <c r="PNJ1101"/>
      <c r="PNM1101"/>
      <c r="PNN1101"/>
      <c r="PNQ1101"/>
      <c r="PNR1101"/>
      <c r="PNU1101"/>
      <c r="PNV1101"/>
      <c r="PNY1101"/>
      <c r="PNZ1101"/>
      <c r="POC1101"/>
      <c r="POD1101"/>
      <c r="POG1101"/>
      <c r="POH1101"/>
      <c r="POK1101"/>
      <c r="POL1101"/>
      <c r="POO1101"/>
      <c r="POP1101"/>
      <c r="POS1101"/>
      <c r="POT1101"/>
      <c r="POW1101"/>
      <c r="POX1101"/>
      <c r="PPA1101"/>
      <c r="PPB1101"/>
      <c r="PPE1101"/>
      <c r="PPF1101"/>
      <c r="PPI1101"/>
      <c r="PPJ1101"/>
      <c r="PPM1101"/>
      <c r="PPN1101"/>
      <c r="PPQ1101"/>
      <c r="PPR1101"/>
      <c r="PPU1101"/>
      <c r="PPV1101"/>
      <c r="PPY1101"/>
      <c r="PPZ1101"/>
      <c r="PQC1101"/>
      <c r="PQD1101"/>
      <c r="PQG1101"/>
      <c r="PQH1101"/>
      <c r="PQK1101"/>
      <c r="PQL1101"/>
      <c r="PQO1101"/>
      <c r="PQP1101"/>
      <c r="PQS1101"/>
      <c r="PQT1101"/>
      <c r="PQW1101"/>
      <c r="PQX1101"/>
      <c r="PRA1101"/>
      <c r="PRB1101"/>
      <c r="PRE1101"/>
      <c r="PRF1101"/>
      <c r="PRI1101"/>
      <c r="PRJ1101"/>
      <c r="PRM1101"/>
      <c r="PRN1101"/>
      <c r="PRQ1101"/>
      <c r="PRR1101"/>
      <c r="PRU1101"/>
      <c r="PRV1101"/>
      <c r="PRY1101"/>
      <c r="PRZ1101"/>
      <c r="PSC1101"/>
      <c r="PSD1101"/>
      <c r="PSG1101"/>
      <c r="PSH1101"/>
      <c r="PSK1101"/>
      <c r="PSL1101"/>
      <c r="PSO1101"/>
      <c r="PSP1101"/>
      <c r="PSS1101"/>
      <c r="PST1101"/>
      <c r="PSW1101"/>
      <c r="PSX1101"/>
      <c r="PTA1101"/>
      <c r="PTB1101"/>
      <c r="PTE1101"/>
      <c r="PTF1101"/>
      <c r="PTI1101"/>
      <c r="PTJ1101"/>
      <c r="PTM1101"/>
      <c r="PTN1101"/>
      <c r="PTQ1101"/>
      <c r="PTR1101"/>
      <c r="PTU1101"/>
      <c r="PTV1101"/>
      <c r="PTY1101"/>
      <c r="PTZ1101"/>
      <c r="PUC1101"/>
      <c r="PUD1101"/>
      <c r="PUG1101"/>
      <c r="PUH1101"/>
      <c r="PUK1101"/>
      <c r="PUL1101"/>
      <c r="PUO1101"/>
      <c r="PUP1101"/>
      <c r="PUS1101"/>
      <c r="PUT1101"/>
      <c r="PUW1101"/>
      <c r="PUX1101"/>
      <c r="PVA1101"/>
      <c r="PVB1101"/>
      <c r="PVE1101"/>
      <c r="PVF1101"/>
      <c r="PVI1101"/>
      <c r="PVJ1101"/>
      <c r="PVM1101"/>
      <c r="PVN1101"/>
      <c r="PVQ1101"/>
      <c r="PVR1101"/>
      <c r="PVU1101"/>
      <c r="PVV1101"/>
      <c r="PVY1101"/>
      <c r="PVZ1101"/>
      <c r="PWC1101"/>
      <c r="PWD1101"/>
      <c r="PWG1101"/>
      <c r="PWH1101"/>
      <c r="PWK1101"/>
      <c r="PWL1101"/>
      <c r="PWO1101"/>
      <c r="PWP1101"/>
      <c r="PWS1101"/>
      <c r="PWT1101"/>
      <c r="PWW1101"/>
      <c r="PWX1101"/>
      <c r="PXA1101"/>
      <c r="PXB1101"/>
      <c r="PXE1101"/>
      <c r="PXF1101"/>
      <c r="PXI1101"/>
      <c r="PXJ1101"/>
      <c r="PXM1101"/>
      <c r="PXN1101"/>
      <c r="PXQ1101"/>
      <c r="PXR1101"/>
      <c r="PXU1101"/>
      <c r="PXV1101"/>
      <c r="PXY1101"/>
      <c r="PXZ1101"/>
      <c r="PYC1101"/>
      <c r="PYD1101"/>
      <c r="PYG1101"/>
      <c r="PYH1101"/>
      <c r="PYK1101"/>
      <c r="PYL1101"/>
      <c r="PYO1101"/>
      <c r="PYP1101"/>
      <c r="PYS1101"/>
      <c r="PYT1101"/>
      <c r="PYW1101"/>
      <c r="PYX1101"/>
      <c r="PZA1101"/>
      <c r="PZB1101"/>
      <c r="PZE1101"/>
      <c r="PZF1101"/>
      <c r="PZI1101"/>
      <c r="PZJ1101"/>
      <c r="PZM1101"/>
      <c r="PZN1101"/>
      <c r="PZQ1101"/>
      <c r="PZR1101"/>
      <c r="PZU1101"/>
      <c r="PZV1101"/>
      <c r="PZY1101"/>
      <c r="PZZ1101"/>
      <c r="QAC1101"/>
      <c r="QAD1101"/>
      <c r="QAG1101"/>
      <c r="QAH1101"/>
      <c r="QAK1101"/>
      <c r="QAL1101"/>
      <c r="QAO1101"/>
      <c r="QAP1101"/>
      <c r="QAS1101"/>
      <c r="QAT1101"/>
      <c r="QAW1101"/>
      <c r="QAX1101"/>
      <c r="QBA1101"/>
      <c r="QBB1101"/>
      <c r="QBE1101"/>
      <c r="QBF1101"/>
      <c r="QBI1101"/>
      <c r="QBJ1101"/>
      <c r="QBM1101"/>
      <c r="QBN1101"/>
      <c r="QBQ1101"/>
      <c r="QBR1101"/>
      <c r="QBU1101"/>
      <c r="QBV1101"/>
      <c r="QBY1101"/>
      <c r="QBZ1101"/>
      <c r="QCC1101"/>
      <c r="QCD1101"/>
      <c r="QCG1101"/>
      <c r="QCH1101"/>
      <c r="QCK1101"/>
      <c r="QCL1101"/>
      <c r="QCO1101"/>
      <c r="QCP1101"/>
      <c r="QCS1101"/>
      <c r="QCT1101"/>
      <c r="QCW1101"/>
      <c r="QCX1101"/>
      <c r="QDA1101"/>
      <c r="QDB1101"/>
      <c r="QDE1101"/>
      <c r="QDF1101"/>
      <c r="QDI1101"/>
      <c r="QDJ1101"/>
      <c r="QDM1101"/>
      <c r="QDN1101"/>
      <c r="QDQ1101"/>
      <c r="QDR1101"/>
      <c r="QDU1101"/>
      <c r="QDV1101"/>
      <c r="QDY1101"/>
      <c r="QDZ1101"/>
      <c r="QEC1101"/>
      <c r="QED1101"/>
      <c r="QEG1101"/>
      <c r="QEH1101"/>
      <c r="QEK1101"/>
      <c r="QEL1101"/>
      <c r="QEO1101"/>
      <c r="QEP1101"/>
      <c r="QES1101"/>
      <c r="QET1101"/>
      <c r="QEW1101"/>
      <c r="QEX1101"/>
      <c r="QFA1101"/>
      <c r="QFB1101"/>
      <c r="QFE1101"/>
      <c r="QFF1101"/>
      <c r="QFI1101"/>
      <c r="QFJ1101"/>
      <c r="QFM1101"/>
      <c r="QFN1101"/>
      <c r="QFQ1101"/>
      <c r="QFR1101"/>
      <c r="QFU1101"/>
      <c r="QFV1101"/>
      <c r="QFY1101"/>
      <c r="QFZ1101"/>
      <c r="QGC1101"/>
      <c r="QGD1101"/>
      <c r="QGG1101"/>
      <c r="QGH1101"/>
      <c r="QGK1101"/>
      <c r="QGL1101"/>
      <c r="QGO1101"/>
      <c r="QGP1101"/>
      <c r="QGS1101"/>
      <c r="QGT1101"/>
      <c r="QGW1101"/>
      <c r="QGX1101"/>
      <c r="QHA1101"/>
      <c r="QHB1101"/>
      <c r="QHE1101"/>
      <c r="QHF1101"/>
      <c r="QHI1101"/>
      <c r="QHJ1101"/>
      <c r="QHM1101"/>
      <c r="QHN1101"/>
      <c r="QHQ1101"/>
      <c r="QHR1101"/>
      <c r="QHU1101"/>
      <c r="QHV1101"/>
      <c r="QHY1101"/>
      <c r="QHZ1101"/>
      <c r="QIC1101"/>
      <c r="QID1101"/>
      <c r="QIG1101"/>
      <c r="QIH1101"/>
      <c r="QIK1101"/>
      <c r="QIL1101"/>
      <c r="QIO1101"/>
      <c r="QIP1101"/>
      <c r="QIS1101"/>
      <c r="QIT1101"/>
      <c r="QIW1101"/>
      <c r="QIX1101"/>
      <c r="QJA1101"/>
      <c r="QJB1101"/>
      <c r="QJE1101"/>
      <c r="QJF1101"/>
      <c r="QJI1101"/>
      <c r="QJJ1101"/>
      <c r="QJM1101"/>
      <c r="QJN1101"/>
      <c r="QJQ1101"/>
      <c r="QJR1101"/>
      <c r="QJU1101"/>
      <c r="QJV1101"/>
      <c r="QJY1101"/>
      <c r="QJZ1101"/>
      <c r="QKC1101"/>
      <c r="QKD1101"/>
      <c r="QKG1101"/>
      <c r="QKH1101"/>
      <c r="QKK1101"/>
      <c r="QKL1101"/>
      <c r="QKO1101"/>
      <c r="QKP1101"/>
      <c r="QKS1101"/>
      <c r="QKT1101"/>
      <c r="QKW1101"/>
      <c r="QKX1101"/>
      <c r="QLA1101"/>
      <c r="QLB1101"/>
      <c r="QLE1101"/>
      <c r="QLF1101"/>
      <c r="QLI1101"/>
      <c r="QLJ1101"/>
      <c r="QLM1101"/>
      <c r="QLN1101"/>
      <c r="QLQ1101"/>
      <c r="QLR1101"/>
      <c r="QLU1101"/>
      <c r="QLV1101"/>
      <c r="QLY1101"/>
      <c r="QLZ1101"/>
      <c r="QMC1101"/>
      <c r="QMD1101"/>
      <c r="QMG1101"/>
      <c r="QMH1101"/>
      <c r="QMK1101"/>
      <c r="QML1101"/>
      <c r="QMO1101"/>
      <c r="QMP1101"/>
      <c r="QMS1101"/>
      <c r="QMT1101"/>
      <c r="QMW1101"/>
      <c r="QMX1101"/>
      <c r="QNA1101"/>
      <c r="QNB1101"/>
      <c r="QNE1101"/>
      <c r="QNF1101"/>
      <c r="QNI1101"/>
      <c r="QNJ1101"/>
      <c r="QNM1101"/>
      <c r="QNN1101"/>
      <c r="QNQ1101"/>
      <c r="QNR1101"/>
      <c r="QNU1101"/>
      <c r="QNV1101"/>
      <c r="QNY1101"/>
      <c r="QNZ1101"/>
      <c r="QOC1101"/>
      <c r="QOD1101"/>
      <c r="QOG1101"/>
      <c r="QOH1101"/>
      <c r="QOK1101"/>
      <c r="QOL1101"/>
      <c r="QOO1101"/>
      <c r="QOP1101"/>
      <c r="QOS1101"/>
      <c r="QOT1101"/>
      <c r="QOW1101"/>
      <c r="QOX1101"/>
      <c r="QPA1101"/>
      <c r="QPB1101"/>
      <c r="QPE1101"/>
      <c r="QPF1101"/>
      <c r="QPI1101"/>
      <c r="QPJ1101"/>
      <c r="QPM1101"/>
      <c r="QPN1101"/>
      <c r="QPQ1101"/>
      <c r="QPR1101"/>
      <c r="QPU1101"/>
      <c r="QPV1101"/>
      <c r="QPY1101"/>
      <c r="QPZ1101"/>
      <c r="QQC1101"/>
      <c r="QQD1101"/>
      <c r="QQG1101"/>
      <c r="QQH1101"/>
      <c r="QQK1101"/>
      <c r="QQL1101"/>
      <c r="QQO1101"/>
      <c r="QQP1101"/>
      <c r="QQS1101"/>
      <c r="QQT1101"/>
      <c r="QQW1101"/>
      <c r="QQX1101"/>
      <c r="QRA1101"/>
      <c r="QRB1101"/>
      <c r="QRE1101"/>
      <c r="QRF1101"/>
      <c r="QRI1101"/>
      <c r="QRJ1101"/>
      <c r="QRM1101"/>
      <c r="QRN1101"/>
      <c r="QRQ1101"/>
      <c r="QRR1101"/>
      <c r="QRU1101"/>
      <c r="QRV1101"/>
      <c r="QRY1101"/>
      <c r="QRZ1101"/>
      <c r="QSC1101"/>
      <c r="QSD1101"/>
      <c r="QSG1101"/>
      <c r="QSH1101"/>
      <c r="QSK1101"/>
      <c r="QSL1101"/>
      <c r="QSO1101"/>
      <c r="QSP1101"/>
      <c r="QSS1101"/>
      <c r="QST1101"/>
      <c r="QSW1101"/>
      <c r="QSX1101"/>
      <c r="QTA1101"/>
      <c r="QTB1101"/>
      <c r="QTE1101"/>
      <c r="QTF1101"/>
      <c r="QTI1101"/>
      <c r="QTJ1101"/>
      <c r="QTM1101"/>
      <c r="QTN1101"/>
      <c r="QTQ1101"/>
      <c r="QTR1101"/>
      <c r="QTU1101"/>
      <c r="QTV1101"/>
      <c r="QTY1101"/>
      <c r="QTZ1101"/>
      <c r="QUC1101"/>
      <c r="QUD1101"/>
      <c r="QUG1101"/>
      <c r="QUH1101"/>
      <c r="QUK1101"/>
      <c r="QUL1101"/>
      <c r="QUO1101"/>
      <c r="QUP1101"/>
      <c r="QUS1101"/>
      <c r="QUT1101"/>
      <c r="QUW1101"/>
      <c r="QUX1101"/>
      <c r="QVA1101"/>
      <c r="QVB1101"/>
      <c r="QVE1101"/>
      <c r="QVF1101"/>
      <c r="QVI1101"/>
      <c r="QVJ1101"/>
      <c r="QVM1101"/>
      <c r="QVN1101"/>
      <c r="QVQ1101"/>
      <c r="QVR1101"/>
      <c r="QVU1101"/>
      <c r="QVV1101"/>
      <c r="QVY1101"/>
      <c r="QVZ1101"/>
      <c r="QWC1101"/>
      <c r="QWD1101"/>
      <c r="QWG1101"/>
      <c r="QWH1101"/>
      <c r="QWK1101"/>
      <c r="QWL1101"/>
      <c r="QWO1101"/>
      <c r="QWP1101"/>
      <c r="QWS1101"/>
      <c r="QWT1101"/>
      <c r="QWW1101"/>
      <c r="QWX1101"/>
      <c r="QXA1101"/>
      <c r="QXB1101"/>
      <c r="QXE1101"/>
      <c r="QXF1101"/>
      <c r="QXI1101"/>
      <c r="QXJ1101"/>
      <c r="QXM1101"/>
      <c r="QXN1101"/>
      <c r="QXQ1101"/>
      <c r="QXR1101"/>
      <c r="QXU1101"/>
      <c r="QXV1101"/>
      <c r="QXY1101"/>
      <c r="QXZ1101"/>
      <c r="QYC1101"/>
      <c r="QYD1101"/>
      <c r="QYG1101"/>
      <c r="QYH1101"/>
      <c r="QYK1101"/>
      <c r="QYL1101"/>
      <c r="QYO1101"/>
      <c r="QYP1101"/>
      <c r="QYS1101"/>
      <c r="QYT1101"/>
      <c r="QYW1101"/>
      <c r="QYX1101"/>
      <c r="QZA1101"/>
      <c r="QZB1101"/>
      <c r="QZE1101"/>
      <c r="QZF1101"/>
      <c r="QZI1101"/>
      <c r="QZJ1101"/>
      <c r="QZM1101"/>
      <c r="QZN1101"/>
      <c r="QZQ1101"/>
      <c r="QZR1101"/>
      <c r="QZU1101"/>
      <c r="QZV1101"/>
      <c r="QZY1101"/>
      <c r="QZZ1101"/>
      <c r="RAC1101"/>
      <c r="RAD1101"/>
      <c r="RAG1101"/>
      <c r="RAH1101"/>
      <c r="RAK1101"/>
      <c r="RAL1101"/>
      <c r="RAO1101"/>
      <c r="RAP1101"/>
      <c r="RAS1101"/>
      <c r="RAT1101"/>
      <c r="RAW1101"/>
      <c r="RAX1101"/>
      <c r="RBA1101"/>
      <c r="RBB1101"/>
      <c r="RBE1101"/>
      <c r="RBF1101"/>
      <c r="RBI1101"/>
      <c r="RBJ1101"/>
      <c r="RBM1101"/>
      <c r="RBN1101"/>
      <c r="RBQ1101"/>
      <c r="RBR1101"/>
      <c r="RBU1101"/>
      <c r="RBV1101"/>
      <c r="RBY1101"/>
      <c r="RBZ1101"/>
      <c r="RCC1101"/>
      <c r="RCD1101"/>
      <c r="RCG1101"/>
      <c r="RCH1101"/>
      <c r="RCK1101"/>
      <c r="RCL1101"/>
      <c r="RCO1101"/>
      <c r="RCP1101"/>
      <c r="RCS1101"/>
      <c r="RCT1101"/>
      <c r="RCW1101"/>
      <c r="RCX1101"/>
      <c r="RDA1101"/>
      <c r="RDB1101"/>
      <c r="RDE1101"/>
      <c r="RDF1101"/>
      <c r="RDI1101"/>
      <c r="RDJ1101"/>
      <c r="RDM1101"/>
      <c r="RDN1101"/>
      <c r="RDQ1101"/>
      <c r="RDR1101"/>
      <c r="RDU1101"/>
      <c r="RDV1101"/>
      <c r="RDY1101"/>
      <c r="RDZ1101"/>
      <c r="REC1101"/>
      <c r="RED1101"/>
      <c r="REG1101"/>
      <c r="REH1101"/>
      <c r="REK1101"/>
      <c r="REL1101"/>
      <c r="REO1101"/>
      <c r="REP1101"/>
      <c r="RES1101"/>
      <c r="RET1101"/>
      <c r="REW1101"/>
      <c r="REX1101"/>
      <c r="RFA1101"/>
      <c r="RFB1101"/>
      <c r="RFE1101"/>
      <c r="RFF1101"/>
      <c r="RFI1101"/>
      <c r="RFJ1101"/>
      <c r="RFM1101"/>
      <c r="RFN1101"/>
      <c r="RFQ1101"/>
      <c r="RFR1101"/>
      <c r="RFU1101"/>
      <c r="RFV1101"/>
      <c r="RFY1101"/>
      <c r="RFZ1101"/>
      <c r="RGC1101"/>
      <c r="RGD1101"/>
      <c r="RGG1101"/>
      <c r="RGH1101"/>
      <c r="RGK1101"/>
      <c r="RGL1101"/>
      <c r="RGO1101"/>
      <c r="RGP1101"/>
      <c r="RGS1101"/>
      <c r="RGT1101"/>
      <c r="RGW1101"/>
      <c r="RGX1101"/>
      <c r="RHA1101"/>
      <c r="RHB1101"/>
      <c r="RHE1101"/>
      <c r="RHF1101"/>
      <c r="RHI1101"/>
      <c r="RHJ1101"/>
      <c r="RHM1101"/>
      <c r="RHN1101"/>
      <c r="RHQ1101"/>
      <c r="RHR1101"/>
      <c r="RHU1101"/>
      <c r="RHV1101"/>
      <c r="RHY1101"/>
      <c r="RHZ1101"/>
      <c r="RIC1101"/>
      <c r="RID1101"/>
      <c r="RIG1101"/>
      <c r="RIH1101"/>
      <c r="RIK1101"/>
      <c r="RIL1101"/>
      <c r="RIO1101"/>
      <c r="RIP1101"/>
      <c r="RIS1101"/>
      <c r="RIT1101"/>
      <c r="RIW1101"/>
      <c r="RIX1101"/>
      <c r="RJA1101"/>
      <c r="RJB1101"/>
      <c r="RJE1101"/>
      <c r="RJF1101"/>
      <c r="RJI1101"/>
      <c r="RJJ1101"/>
      <c r="RJM1101"/>
      <c r="RJN1101"/>
      <c r="RJQ1101"/>
      <c r="RJR1101"/>
      <c r="RJU1101"/>
      <c r="RJV1101"/>
      <c r="RJY1101"/>
      <c r="RJZ1101"/>
      <c r="RKC1101"/>
      <c r="RKD1101"/>
      <c r="RKG1101"/>
      <c r="RKH1101"/>
      <c r="RKK1101"/>
      <c r="RKL1101"/>
      <c r="RKO1101"/>
      <c r="RKP1101"/>
      <c r="RKS1101"/>
      <c r="RKT1101"/>
      <c r="RKW1101"/>
      <c r="RKX1101"/>
      <c r="RLA1101"/>
      <c r="RLB1101"/>
      <c r="RLE1101"/>
      <c r="RLF1101"/>
      <c r="RLI1101"/>
      <c r="RLJ1101"/>
      <c r="RLM1101"/>
      <c r="RLN1101"/>
      <c r="RLQ1101"/>
      <c r="RLR1101"/>
      <c r="RLU1101"/>
      <c r="RLV1101"/>
      <c r="RLY1101"/>
      <c r="RLZ1101"/>
      <c r="RMC1101"/>
      <c r="RMD1101"/>
      <c r="RMG1101"/>
      <c r="RMH1101"/>
      <c r="RMK1101"/>
      <c r="RML1101"/>
      <c r="RMO1101"/>
      <c r="RMP1101"/>
      <c r="RMS1101"/>
      <c r="RMT1101"/>
      <c r="RMW1101"/>
      <c r="RMX1101"/>
      <c r="RNA1101"/>
      <c r="RNB1101"/>
      <c r="RNE1101"/>
      <c r="RNF1101"/>
      <c r="RNI1101"/>
      <c r="RNJ1101"/>
      <c r="RNM1101"/>
      <c r="RNN1101"/>
      <c r="RNQ1101"/>
      <c r="RNR1101"/>
      <c r="RNU1101"/>
      <c r="RNV1101"/>
      <c r="RNY1101"/>
      <c r="RNZ1101"/>
      <c r="ROC1101"/>
      <c r="ROD1101"/>
      <c r="ROG1101"/>
      <c r="ROH1101"/>
      <c r="ROK1101"/>
      <c r="ROL1101"/>
      <c r="ROO1101"/>
      <c r="ROP1101"/>
      <c r="ROS1101"/>
      <c r="ROT1101"/>
      <c r="ROW1101"/>
      <c r="ROX1101"/>
      <c r="RPA1101"/>
      <c r="RPB1101"/>
      <c r="RPE1101"/>
      <c r="RPF1101"/>
      <c r="RPI1101"/>
      <c r="RPJ1101"/>
      <c r="RPM1101"/>
      <c r="RPN1101"/>
      <c r="RPQ1101"/>
      <c r="RPR1101"/>
      <c r="RPU1101"/>
      <c r="RPV1101"/>
      <c r="RPY1101"/>
      <c r="RPZ1101"/>
      <c r="RQC1101"/>
      <c r="RQD1101"/>
      <c r="RQG1101"/>
      <c r="RQH1101"/>
      <c r="RQK1101"/>
      <c r="RQL1101"/>
      <c r="RQO1101"/>
      <c r="RQP1101"/>
      <c r="RQS1101"/>
      <c r="RQT1101"/>
      <c r="RQW1101"/>
      <c r="RQX1101"/>
      <c r="RRA1101"/>
      <c r="RRB1101"/>
      <c r="RRE1101"/>
      <c r="RRF1101"/>
      <c r="RRI1101"/>
      <c r="RRJ1101"/>
      <c r="RRM1101"/>
      <c r="RRN1101"/>
      <c r="RRQ1101"/>
      <c r="RRR1101"/>
      <c r="RRU1101"/>
      <c r="RRV1101"/>
      <c r="RRY1101"/>
      <c r="RRZ1101"/>
      <c r="RSC1101"/>
      <c r="RSD1101"/>
      <c r="RSG1101"/>
      <c r="RSH1101"/>
      <c r="RSK1101"/>
      <c r="RSL1101"/>
      <c r="RSO1101"/>
      <c r="RSP1101"/>
      <c r="RSS1101"/>
      <c r="RST1101"/>
      <c r="RSW1101"/>
      <c r="RSX1101"/>
      <c r="RTA1101"/>
      <c r="RTB1101"/>
      <c r="RTE1101"/>
      <c r="RTF1101"/>
      <c r="RTI1101"/>
      <c r="RTJ1101"/>
      <c r="RTM1101"/>
      <c r="RTN1101"/>
      <c r="RTQ1101"/>
      <c r="RTR1101"/>
      <c r="RTU1101"/>
      <c r="RTV1101"/>
      <c r="RTY1101"/>
      <c r="RTZ1101"/>
      <c r="RUC1101"/>
      <c r="RUD1101"/>
      <c r="RUG1101"/>
      <c r="RUH1101"/>
      <c r="RUK1101"/>
      <c r="RUL1101"/>
      <c r="RUO1101"/>
      <c r="RUP1101"/>
      <c r="RUS1101"/>
      <c r="RUT1101"/>
      <c r="RUW1101"/>
      <c r="RUX1101"/>
      <c r="RVA1101"/>
      <c r="RVB1101"/>
      <c r="RVE1101"/>
      <c r="RVF1101"/>
      <c r="RVI1101"/>
      <c r="RVJ1101"/>
      <c r="RVM1101"/>
      <c r="RVN1101"/>
      <c r="RVQ1101"/>
      <c r="RVR1101"/>
      <c r="RVU1101"/>
      <c r="RVV1101"/>
      <c r="RVY1101"/>
      <c r="RVZ1101"/>
      <c r="RWC1101"/>
      <c r="RWD1101"/>
      <c r="RWG1101"/>
      <c r="RWH1101"/>
      <c r="RWK1101"/>
      <c r="RWL1101"/>
      <c r="RWO1101"/>
      <c r="RWP1101"/>
      <c r="RWS1101"/>
      <c r="RWT1101"/>
      <c r="RWW1101"/>
      <c r="RWX1101"/>
      <c r="RXA1101"/>
      <c r="RXB1101"/>
      <c r="RXE1101"/>
      <c r="RXF1101"/>
      <c r="RXI1101"/>
      <c r="RXJ1101"/>
      <c r="RXM1101"/>
      <c r="RXN1101"/>
      <c r="RXQ1101"/>
      <c r="RXR1101"/>
      <c r="RXU1101"/>
      <c r="RXV1101"/>
      <c r="RXY1101"/>
      <c r="RXZ1101"/>
      <c r="RYC1101"/>
      <c r="RYD1101"/>
      <c r="RYG1101"/>
      <c r="RYH1101"/>
      <c r="RYK1101"/>
      <c r="RYL1101"/>
      <c r="RYO1101"/>
      <c r="RYP1101"/>
      <c r="RYS1101"/>
      <c r="RYT1101"/>
      <c r="RYW1101"/>
      <c r="RYX1101"/>
      <c r="RZA1101"/>
      <c r="RZB1101"/>
      <c r="RZE1101"/>
      <c r="RZF1101"/>
      <c r="RZI1101"/>
      <c r="RZJ1101"/>
      <c r="RZM1101"/>
      <c r="RZN1101"/>
      <c r="RZQ1101"/>
      <c r="RZR1101"/>
      <c r="RZU1101"/>
      <c r="RZV1101"/>
      <c r="RZY1101"/>
      <c r="RZZ1101"/>
      <c r="SAC1101"/>
      <c r="SAD1101"/>
      <c r="SAG1101"/>
      <c r="SAH1101"/>
      <c r="SAK1101"/>
      <c r="SAL1101"/>
      <c r="SAO1101"/>
      <c r="SAP1101"/>
      <c r="SAS1101"/>
      <c r="SAT1101"/>
      <c r="SAW1101"/>
      <c r="SAX1101"/>
      <c r="SBA1101"/>
      <c r="SBB1101"/>
      <c r="SBE1101"/>
      <c r="SBF1101"/>
      <c r="SBI1101"/>
      <c r="SBJ1101"/>
      <c r="SBM1101"/>
      <c r="SBN1101"/>
      <c r="SBQ1101"/>
      <c r="SBR1101"/>
      <c r="SBU1101"/>
      <c r="SBV1101"/>
      <c r="SBY1101"/>
      <c r="SBZ1101"/>
      <c r="SCC1101"/>
      <c r="SCD1101"/>
      <c r="SCG1101"/>
      <c r="SCH1101"/>
      <c r="SCK1101"/>
      <c r="SCL1101"/>
      <c r="SCO1101"/>
      <c r="SCP1101"/>
      <c r="SCS1101"/>
      <c r="SCT1101"/>
      <c r="SCW1101"/>
      <c r="SCX1101"/>
      <c r="SDA1101"/>
      <c r="SDB1101"/>
      <c r="SDE1101"/>
      <c r="SDF1101"/>
      <c r="SDI1101"/>
      <c r="SDJ1101"/>
      <c r="SDM1101"/>
      <c r="SDN1101"/>
      <c r="SDQ1101"/>
      <c r="SDR1101"/>
      <c r="SDU1101"/>
      <c r="SDV1101"/>
      <c r="SDY1101"/>
      <c r="SDZ1101"/>
      <c r="SEC1101"/>
      <c r="SED1101"/>
      <c r="SEG1101"/>
      <c r="SEH1101"/>
      <c r="SEK1101"/>
      <c r="SEL1101"/>
      <c r="SEO1101"/>
      <c r="SEP1101"/>
      <c r="SES1101"/>
      <c r="SET1101"/>
      <c r="SEW1101"/>
      <c r="SEX1101"/>
      <c r="SFA1101"/>
      <c r="SFB1101"/>
      <c r="SFE1101"/>
      <c r="SFF1101"/>
      <c r="SFI1101"/>
      <c r="SFJ1101"/>
      <c r="SFM1101"/>
      <c r="SFN1101"/>
      <c r="SFQ1101"/>
      <c r="SFR1101"/>
      <c r="SFU1101"/>
      <c r="SFV1101"/>
      <c r="SFY1101"/>
      <c r="SFZ1101"/>
      <c r="SGC1101"/>
      <c r="SGD1101"/>
      <c r="SGG1101"/>
      <c r="SGH1101"/>
      <c r="SGK1101"/>
      <c r="SGL1101"/>
      <c r="SGO1101"/>
      <c r="SGP1101"/>
      <c r="SGS1101"/>
      <c r="SGT1101"/>
      <c r="SGW1101"/>
      <c r="SGX1101"/>
      <c r="SHA1101"/>
      <c r="SHB1101"/>
      <c r="SHE1101"/>
      <c r="SHF1101"/>
      <c r="SHI1101"/>
      <c r="SHJ1101"/>
      <c r="SHM1101"/>
      <c r="SHN1101"/>
      <c r="SHQ1101"/>
      <c r="SHR1101"/>
      <c r="SHU1101"/>
      <c r="SHV1101"/>
      <c r="SHY1101"/>
      <c r="SHZ1101"/>
      <c r="SIC1101"/>
      <c r="SID1101"/>
      <c r="SIG1101"/>
      <c r="SIH1101"/>
      <c r="SIK1101"/>
      <c r="SIL1101"/>
      <c r="SIO1101"/>
      <c r="SIP1101"/>
      <c r="SIS1101"/>
      <c r="SIT1101"/>
      <c r="SIW1101"/>
      <c r="SIX1101"/>
      <c r="SJA1101"/>
      <c r="SJB1101"/>
      <c r="SJE1101"/>
      <c r="SJF1101"/>
      <c r="SJI1101"/>
      <c r="SJJ1101"/>
      <c r="SJM1101"/>
      <c r="SJN1101"/>
      <c r="SJQ1101"/>
      <c r="SJR1101"/>
      <c r="SJU1101"/>
      <c r="SJV1101"/>
      <c r="SJY1101"/>
      <c r="SJZ1101"/>
      <c r="SKC1101"/>
      <c r="SKD1101"/>
      <c r="SKG1101"/>
      <c r="SKH1101"/>
      <c r="SKK1101"/>
      <c r="SKL1101"/>
      <c r="SKO1101"/>
      <c r="SKP1101"/>
      <c r="SKS1101"/>
      <c r="SKT1101"/>
      <c r="SKW1101"/>
      <c r="SKX1101"/>
      <c r="SLA1101"/>
      <c r="SLB1101"/>
      <c r="SLE1101"/>
      <c r="SLF1101"/>
      <c r="SLI1101"/>
      <c r="SLJ1101"/>
      <c r="SLM1101"/>
      <c r="SLN1101"/>
      <c r="SLQ1101"/>
      <c r="SLR1101"/>
      <c r="SLU1101"/>
      <c r="SLV1101"/>
      <c r="SLY1101"/>
      <c r="SLZ1101"/>
      <c r="SMC1101"/>
      <c r="SMD1101"/>
      <c r="SMG1101"/>
      <c r="SMH1101"/>
      <c r="SMK1101"/>
      <c r="SML1101"/>
      <c r="SMO1101"/>
      <c r="SMP1101"/>
      <c r="SMS1101"/>
      <c r="SMT1101"/>
      <c r="SMW1101"/>
      <c r="SMX1101"/>
      <c r="SNA1101"/>
      <c r="SNB1101"/>
      <c r="SNE1101"/>
      <c r="SNF1101"/>
      <c r="SNI1101"/>
      <c r="SNJ1101"/>
      <c r="SNM1101"/>
      <c r="SNN1101"/>
      <c r="SNQ1101"/>
      <c r="SNR1101"/>
      <c r="SNU1101"/>
      <c r="SNV1101"/>
      <c r="SNY1101"/>
      <c r="SNZ1101"/>
      <c r="SOC1101"/>
      <c r="SOD1101"/>
      <c r="SOG1101"/>
      <c r="SOH1101"/>
      <c r="SOK1101"/>
      <c r="SOL1101"/>
      <c r="SOO1101"/>
      <c r="SOP1101"/>
      <c r="SOS1101"/>
      <c r="SOT1101"/>
      <c r="SOW1101"/>
      <c r="SOX1101"/>
      <c r="SPA1101"/>
      <c r="SPB1101"/>
      <c r="SPE1101"/>
      <c r="SPF1101"/>
      <c r="SPI1101"/>
      <c r="SPJ1101"/>
      <c r="SPM1101"/>
      <c r="SPN1101"/>
      <c r="SPQ1101"/>
      <c r="SPR1101"/>
      <c r="SPU1101"/>
      <c r="SPV1101"/>
      <c r="SPY1101"/>
      <c r="SPZ1101"/>
      <c r="SQC1101"/>
      <c r="SQD1101"/>
      <c r="SQG1101"/>
      <c r="SQH1101"/>
      <c r="SQK1101"/>
      <c r="SQL1101"/>
      <c r="SQO1101"/>
      <c r="SQP1101"/>
      <c r="SQS1101"/>
      <c r="SQT1101"/>
      <c r="SQW1101"/>
      <c r="SQX1101"/>
      <c r="SRA1101"/>
      <c r="SRB1101"/>
      <c r="SRE1101"/>
      <c r="SRF1101"/>
      <c r="SRI1101"/>
      <c r="SRJ1101"/>
      <c r="SRM1101"/>
      <c r="SRN1101"/>
      <c r="SRQ1101"/>
      <c r="SRR1101"/>
      <c r="SRU1101"/>
      <c r="SRV1101"/>
      <c r="SRY1101"/>
      <c r="SRZ1101"/>
      <c r="SSC1101"/>
      <c r="SSD1101"/>
      <c r="SSG1101"/>
      <c r="SSH1101"/>
      <c r="SSK1101"/>
      <c r="SSL1101"/>
      <c r="SSO1101"/>
      <c r="SSP1101"/>
      <c r="SSS1101"/>
      <c r="SST1101"/>
      <c r="SSW1101"/>
      <c r="SSX1101"/>
      <c r="STA1101"/>
      <c r="STB1101"/>
      <c r="STE1101"/>
      <c r="STF1101"/>
      <c r="STI1101"/>
      <c r="STJ1101"/>
      <c r="STM1101"/>
      <c r="STN1101"/>
      <c r="STQ1101"/>
      <c r="STR1101"/>
      <c r="STU1101"/>
      <c r="STV1101"/>
      <c r="STY1101"/>
      <c r="STZ1101"/>
      <c r="SUC1101"/>
      <c r="SUD1101"/>
      <c r="SUG1101"/>
      <c r="SUH1101"/>
      <c r="SUK1101"/>
      <c r="SUL1101"/>
      <c r="SUO1101"/>
      <c r="SUP1101"/>
      <c r="SUS1101"/>
      <c r="SUT1101"/>
      <c r="SUW1101"/>
      <c r="SUX1101"/>
      <c r="SVA1101"/>
      <c r="SVB1101"/>
      <c r="SVE1101"/>
      <c r="SVF1101"/>
      <c r="SVI1101"/>
      <c r="SVJ1101"/>
      <c r="SVM1101"/>
      <c r="SVN1101"/>
      <c r="SVQ1101"/>
      <c r="SVR1101"/>
      <c r="SVU1101"/>
      <c r="SVV1101"/>
      <c r="SVY1101"/>
      <c r="SVZ1101"/>
      <c r="SWC1101"/>
      <c r="SWD1101"/>
      <c r="SWG1101"/>
      <c r="SWH1101"/>
      <c r="SWK1101"/>
      <c r="SWL1101"/>
      <c r="SWO1101"/>
      <c r="SWP1101"/>
      <c r="SWS1101"/>
      <c r="SWT1101"/>
      <c r="SWW1101"/>
      <c r="SWX1101"/>
      <c r="SXA1101"/>
      <c r="SXB1101"/>
      <c r="SXE1101"/>
      <c r="SXF1101"/>
      <c r="SXI1101"/>
      <c r="SXJ1101"/>
      <c r="SXM1101"/>
      <c r="SXN1101"/>
      <c r="SXQ1101"/>
      <c r="SXR1101"/>
      <c r="SXU1101"/>
      <c r="SXV1101"/>
      <c r="SXY1101"/>
      <c r="SXZ1101"/>
      <c r="SYC1101"/>
      <c r="SYD1101"/>
      <c r="SYG1101"/>
      <c r="SYH1101"/>
      <c r="SYK1101"/>
      <c r="SYL1101"/>
      <c r="SYO1101"/>
      <c r="SYP1101"/>
      <c r="SYS1101"/>
      <c r="SYT1101"/>
      <c r="SYW1101"/>
      <c r="SYX1101"/>
      <c r="SZA1101"/>
      <c r="SZB1101"/>
      <c r="SZE1101"/>
      <c r="SZF1101"/>
      <c r="SZI1101"/>
      <c r="SZJ1101"/>
      <c r="SZM1101"/>
      <c r="SZN1101"/>
      <c r="SZQ1101"/>
      <c r="SZR1101"/>
      <c r="SZU1101"/>
      <c r="SZV1101"/>
      <c r="SZY1101"/>
      <c r="SZZ1101"/>
      <c r="TAC1101"/>
      <c r="TAD1101"/>
      <c r="TAG1101"/>
      <c r="TAH1101"/>
      <c r="TAK1101"/>
      <c r="TAL1101"/>
      <c r="TAO1101"/>
      <c r="TAP1101"/>
      <c r="TAS1101"/>
      <c r="TAT1101"/>
      <c r="TAW1101"/>
      <c r="TAX1101"/>
      <c r="TBA1101"/>
      <c r="TBB1101"/>
      <c r="TBE1101"/>
      <c r="TBF1101"/>
      <c r="TBI1101"/>
      <c r="TBJ1101"/>
      <c r="TBM1101"/>
      <c r="TBN1101"/>
      <c r="TBQ1101"/>
      <c r="TBR1101"/>
      <c r="TBU1101"/>
      <c r="TBV1101"/>
      <c r="TBY1101"/>
      <c r="TBZ1101"/>
      <c r="TCC1101"/>
      <c r="TCD1101"/>
      <c r="TCG1101"/>
      <c r="TCH1101"/>
      <c r="TCK1101"/>
      <c r="TCL1101"/>
      <c r="TCO1101"/>
      <c r="TCP1101"/>
      <c r="TCS1101"/>
      <c r="TCT1101"/>
      <c r="TCW1101"/>
      <c r="TCX1101"/>
      <c r="TDA1101"/>
      <c r="TDB1101"/>
      <c r="TDE1101"/>
      <c r="TDF1101"/>
      <c r="TDI1101"/>
      <c r="TDJ1101"/>
      <c r="TDM1101"/>
      <c r="TDN1101"/>
      <c r="TDQ1101"/>
      <c r="TDR1101"/>
      <c r="TDU1101"/>
      <c r="TDV1101"/>
      <c r="TDY1101"/>
      <c r="TDZ1101"/>
      <c r="TEC1101"/>
      <c r="TED1101"/>
      <c r="TEG1101"/>
      <c r="TEH1101"/>
      <c r="TEK1101"/>
      <c r="TEL1101"/>
      <c r="TEO1101"/>
      <c r="TEP1101"/>
      <c r="TES1101"/>
      <c r="TET1101"/>
      <c r="TEW1101"/>
      <c r="TEX1101"/>
      <c r="TFA1101"/>
      <c r="TFB1101"/>
      <c r="TFE1101"/>
      <c r="TFF1101"/>
      <c r="TFI1101"/>
      <c r="TFJ1101"/>
      <c r="TFM1101"/>
      <c r="TFN1101"/>
      <c r="TFQ1101"/>
      <c r="TFR1101"/>
      <c r="TFU1101"/>
      <c r="TFV1101"/>
      <c r="TFY1101"/>
      <c r="TFZ1101"/>
      <c r="TGC1101"/>
      <c r="TGD1101"/>
      <c r="TGG1101"/>
      <c r="TGH1101"/>
      <c r="TGK1101"/>
      <c r="TGL1101"/>
      <c r="TGO1101"/>
      <c r="TGP1101"/>
      <c r="TGS1101"/>
      <c r="TGT1101"/>
      <c r="TGW1101"/>
      <c r="TGX1101"/>
      <c r="THA1101"/>
      <c r="THB1101"/>
      <c r="THE1101"/>
      <c r="THF1101"/>
      <c r="THI1101"/>
      <c r="THJ1101"/>
      <c r="THM1101"/>
      <c r="THN1101"/>
      <c r="THQ1101"/>
      <c r="THR1101"/>
      <c r="THU1101"/>
      <c r="THV1101"/>
      <c r="THY1101"/>
      <c r="THZ1101"/>
      <c r="TIC1101"/>
      <c r="TID1101"/>
      <c r="TIG1101"/>
      <c r="TIH1101"/>
      <c r="TIK1101"/>
      <c r="TIL1101"/>
      <c r="TIO1101"/>
      <c r="TIP1101"/>
      <c r="TIS1101"/>
      <c r="TIT1101"/>
      <c r="TIW1101"/>
      <c r="TIX1101"/>
      <c r="TJA1101"/>
      <c r="TJB1101"/>
      <c r="TJE1101"/>
      <c r="TJF1101"/>
      <c r="TJI1101"/>
      <c r="TJJ1101"/>
      <c r="TJM1101"/>
      <c r="TJN1101"/>
      <c r="TJQ1101"/>
      <c r="TJR1101"/>
      <c r="TJU1101"/>
      <c r="TJV1101"/>
      <c r="TJY1101"/>
      <c r="TJZ1101"/>
      <c r="TKC1101"/>
      <c r="TKD1101"/>
      <c r="TKG1101"/>
      <c r="TKH1101"/>
      <c r="TKK1101"/>
      <c r="TKL1101"/>
      <c r="TKO1101"/>
      <c r="TKP1101"/>
      <c r="TKS1101"/>
      <c r="TKT1101"/>
      <c r="TKW1101"/>
      <c r="TKX1101"/>
      <c r="TLA1101"/>
      <c r="TLB1101"/>
      <c r="TLE1101"/>
      <c r="TLF1101"/>
      <c r="TLI1101"/>
      <c r="TLJ1101"/>
      <c r="TLM1101"/>
      <c r="TLN1101"/>
      <c r="TLQ1101"/>
      <c r="TLR1101"/>
      <c r="TLU1101"/>
      <c r="TLV1101"/>
      <c r="TLY1101"/>
      <c r="TLZ1101"/>
      <c r="TMC1101"/>
      <c r="TMD1101"/>
      <c r="TMG1101"/>
      <c r="TMH1101"/>
      <c r="TMK1101"/>
      <c r="TML1101"/>
      <c r="TMO1101"/>
      <c r="TMP1101"/>
      <c r="TMS1101"/>
      <c r="TMT1101"/>
      <c r="TMW1101"/>
      <c r="TMX1101"/>
      <c r="TNA1101"/>
      <c r="TNB1101"/>
      <c r="TNE1101"/>
      <c r="TNF1101"/>
      <c r="TNI1101"/>
      <c r="TNJ1101"/>
      <c r="TNM1101"/>
      <c r="TNN1101"/>
      <c r="TNQ1101"/>
      <c r="TNR1101"/>
      <c r="TNU1101"/>
      <c r="TNV1101"/>
      <c r="TNY1101"/>
      <c r="TNZ1101"/>
      <c r="TOC1101"/>
      <c r="TOD1101"/>
      <c r="TOG1101"/>
      <c r="TOH1101"/>
      <c r="TOK1101"/>
      <c r="TOL1101"/>
      <c r="TOO1101"/>
      <c r="TOP1101"/>
      <c r="TOS1101"/>
      <c r="TOT1101"/>
      <c r="TOW1101"/>
      <c r="TOX1101"/>
      <c r="TPA1101"/>
      <c r="TPB1101"/>
      <c r="TPE1101"/>
      <c r="TPF1101"/>
      <c r="TPI1101"/>
      <c r="TPJ1101"/>
      <c r="TPM1101"/>
      <c r="TPN1101"/>
      <c r="TPQ1101"/>
      <c r="TPR1101"/>
      <c r="TPU1101"/>
      <c r="TPV1101"/>
      <c r="TPY1101"/>
      <c r="TPZ1101"/>
      <c r="TQC1101"/>
      <c r="TQD1101"/>
      <c r="TQG1101"/>
      <c r="TQH1101"/>
      <c r="TQK1101"/>
      <c r="TQL1101"/>
      <c r="TQO1101"/>
      <c r="TQP1101"/>
      <c r="TQS1101"/>
      <c r="TQT1101"/>
      <c r="TQW1101"/>
      <c r="TQX1101"/>
      <c r="TRA1101"/>
      <c r="TRB1101"/>
      <c r="TRE1101"/>
      <c r="TRF1101"/>
      <c r="TRI1101"/>
      <c r="TRJ1101"/>
      <c r="TRM1101"/>
      <c r="TRN1101"/>
      <c r="TRQ1101"/>
      <c r="TRR1101"/>
      <c r="TRU1101"/>
      <c r="TRV1101"/>
      <c r="TRY1101"/>
      <c r="TRZ1101"/>
      <c r="TSC1101"/>
      <c r="TSD1101"/>
      <c r="TSG1101"/>
      <c r="TSH1101"/>
      <c r="TSK1101"/>
      <c r="TSL1101"/>
      <c r="TSO1101"/>
      <c r="TSP1101"/>
      <c r="TSS1101"/>
      <c r="TST1101"/>
      <c r="TSW1101"/>
      <c r="TSX1101"/>
      <c r="TTA1101"/>
      <c r="TTB1101"/>
      <c r="TTE1101"/>
      <c r="TTF1101"/>
      <c r="TTI1101"/>
      <c r="TTJ1101"/>
      <c r="TTM1101"/>
      <c r="TTN1101"/>
      <c r="TTQ1101"/>
      <c r="TTR1101"/>
      <c r="TTU1101"/>
      <c r="TTV1101"/>
      <c r="TTY1101"/>
      <c r="TTZ1101"/>
      <c r="TUC1101"/>
      <c r="TUD1101"/>
      <c r="TUG1101"/>
      <c r="TUH1101"/>
      <c r="TUK1101"/>
      <c r="TUL1101"/>
      <c r="TUO1101"/>
      <c r="TUP1101"/>
      <c r="TUS1101"/>
      <c r="TUT1101"/>
      <c r="TUW1101"/>
      <c r="TUX1101"/>
      <c r="TVA1101"/>
      <c r="TVB1101"/>
      <c r="TVE1101"/>
      <c r="TVF1101"/>
      <c r="TVI1101"/>
      <c r="TVJ1101"/>
      <c r="TVM1101"/>
      <c r="TVN1101"/>
      <c r="TVQ1101"/>
      <c r="TVR1101"/>
      <c r="TVU1101"/>
      <c r="TVV1101"/>
      <c r="TVY1101"/>
      <c r="TVZ1101"/>
      <c r="TWC1101"/>
      <c r="TWD1101"/>
      <c r="TWG1101"/>
      <c r="TWH1101"/>
      <c r="TWK1101"/>
      <c r="TWL1101"/>
      <c r="TWO1101"/>
      <c r="TWP1101"/>
      <c r="TWS1101"/>
      <c r="TWT1101"/>
      <c r="TWW1101"/>
      <c r="TWX1101"/>
      <c r="TXA1101"/>
      <c r="TXB1101"/>
      <c r="TXE1101"/>
      <c r="TXF1101"/>
      <c r="TXI1101"/>
      <c r="TXJ1101"/>
      <c r="TXM1101"/>
      <c r="TXN1101"/>
      <c r="TXQ1101"/>
      <c r="TXR1101"/>
      <c r="TXU1101"/>
      <c r="TXV1101"/>
      <c r="TXY1101"/>
      <c r="TXZ1101"/>
      <c r="TYC1101"/>
      <c r="TYD1101"/>
      <c r="TYG1101"/>
      <c r="TYH1101"/>
      <c r="TYK1101"/>
      <c r="TYL1101"/>
      <c r="TYO1101"/>
      <c r="TYP1101"/>
      <c r="TYS1101"/>
      <c r="TYT1101"/>
      <c r="TYW1101"/>
      <c r="TYX1101"/>
      <c r="TZA1101"/>
      <c r="TZB1101"/>
      <c r="TZE1101"/>
      <c r="TZF1101"/>
      <c r="TZI1101"/>
      <c r="TZJ1101"/>
      <c r="TZM1101"/>
      <c r="TZN1101"/>
      <c r="TZQ1101"/>
      <c r="TZR1101"/>
      <c r="TZU1101"/>
      <c r="TZV1101"/>
      <c r="TZY1101"/>
      <c r="TZZ1101"/>
      <c r="UAC1101"/>
      <c r="UAD1101"/>
      <c r="UAG1101"/>
      <c r="UAH1101"/>
      <c r="UAK1101"/>
      <c r="UAL1101"/>
      <c r="UAO1101"/>
      <c r="UAP1101"/>
      <c r="UAS1101"/>
      <c r="UAT1101"/>
      <c r="UAW1101"/>
      <c r="UAX1101"/>
      <c r="UBA1101"/>
      <c r="UBB1101"/>
      <c r="UBE1101"/>
      <c r="UBF1101"/>
      <c r="UBI1101"/>
      <c r="UBJ1101"/>
      <c r="UBM1101"/>
      <c r="UBN1101"/>
      <c r="UBQ1101"/>
      <c r="UBR1101"/>
      <c r="UBU1101"/>
      <c r="UBV1101"/>
      <c r="UBY1101"/>
      <c r="UBZ1101"/>
      <c r="UCC1101"/>
      <c r="UCD1101"/>
      <c r="UCG1101"/>
      <c r="UCH1101"/>
      <c r="UCK1101"/>
      <c r="UCL1101"/>
      <c r="UCO1101"/>
      <c r="UCP1101"/>
      <c r="UCS1101"/>
      <c r="UCT1101"/>
      <c r="UCW1101"/>
      <c r="UCX1101"/>
      <c r="UDA1101"/>
      <c r="UDB1101"/>
      <c r="UDE1101"/>
      <c r="UDF1101"/>
      <c r="UDI1101"/>
      <c r="UDJ1101"/>
      <c r="UDM1101"/>
      <c r="UDN1101"/>
      <c r="UDQ1101"/>
      <c r="UDR1101"/>
      <c r="UDU1101"/>
      <c r="UDV1101"/>
      <c r="UDY1101"/>
      <c r="UDZ1101"/>
      <c r="UEC1101"/>
      <c r="UED1101"/>
      <c r="UEG1101"/>
      <c r="UEH1101"/>
      <c r="UEK1101"/>
      <c r="UEL1101"/>
      <c r="UEO1101"/>
      <c r="UEP1101"/>
      <c r="UES1101"/>
      <c r="UET1101"/>
      <c r="UEW1101"/>
      <c r="UEX1101"/>
      <c r="UFA1101"/>
      <c r="UFB1101"/>
      <c r="UFE1101"/>
      <c r="UFF1101"/>
      <c r="UFI1101"/>
      <c r="UFJ1101"/>
      <c r="UFM1101"/>
      <c r="UFN1101"/>
      <c r="UFQ1101"/>
      <c r="UFR1101"/>
      <c r="UFU1101"/>
      <c r="UFV1101"/>
      <c r="UFY1101"/>
      <c r="UFZ1101"/>
      <c r="UGC1101"/>
      <c r="UGD1101"/>
      <c r="UGG1101"/>
      <c r="UGH1101"/>
      <c r="UGK1101"/>
      <c r="UGL1101"/>
      <c r="UGO1101"/>
      <c r="UGP1101"/>
      <c r="UGS1101"/>
      <c r="UGT1101"/>
      <c r="UGW1101"/>
      <c r="UGX1101"/>
      <c r="UHA1101"/>
      <c r="UHB1101"/>
      <c r="UHE1101"/>
      <c r="UHF1101"/>
      <c r="UHI1101"/>
      <c r="UHJ1101"/>
      <c r="UHM1101"/>
      <c r="UHN1101"/>
      <c r="UHQ1101"/>
      <c r="UHR1101"/>
      <c r="UHU1101"/>
      <c r="UHV1101"/>
      <c r="UHY1101"/>
      <c r="UHZ1101"/>
      <c r="UIC1101"/>
      <c r="UID1101"/>
      <c r="UIG1101"/>
      <c r="UIH1101"/>
      <c r="UIK1101"/>
      <c r="UIL1101"/>
      <c r="UIO1101"/>
      <c r="UIP1101"/>
      <c r="UIS1101"/>
      <c r="UIT1101"/>
      <c r="UIW1101"/>
      <c r="UIX1101"/>
      <c r="UJA1101"/>
      <c r="UJB1101"/>
      <c r="UJE1101"/>
      <c r="UJF1101"/>
      <c r="UJI1101"/>
      <c r="UJJ1101"/>
      <c r="UJM1101"/>
      <c r="UJN1101"/>
      <c r="UJQ1101"/>
      <c r="UJR1101"/>
      <c r="UJU1101"/>
      <c r="UJV1101"/>
      <c r="UJY1101"/>
      <c r="UJZ1101"/>
      <c r="UKC1101"/>
      <c r="UKD1101"/>
      <c r="UKG1101"/>
      <c r="UKH1101"/>
      <c r="UKK1101"/>
      <c r="UKL1101"/>
      <c r="UKO1101"/>
      <c r="UKP1101"/>
      <c r="UKS1101"/>
      <c r="UKT1101"/>
      <c r="UKW1101"/>
      <c r="UKX1101"/>
      <c r="ULA1101"/>
      <c r="ULB1101"/>
      <c r="ULE1101"/>
      <c r="ULF1101"/>
      <c r="ULI1101"/>
      <c r="ULJ1101"/>
      <c r="ULM1101"/>
      <c r="ULN1101"/>
      <c r="ULQ1101"/>
      <c r="ULR1101"/>
      <c r="ULU1101"/>
      <c r="ULV1101"/>
      <c r="ULY1101"/>
      <c r="ULZ1101"/>
      <c r="UMC1101"/>
      <c r="UMD1101"/>
      <c r="UMG1101"/>
      <c r="UMH1101"/>
      <c r="UMK1101"/>
      <c r="UML1101"/>
      <c r="UMO1101"/>
      <c r="UMP1101"/>
      <c r="UMS1101"/>
      <c r="UMT1101"/>
      <c r="UMW1101"/>
      <c r="UMX1101"/>
      <c r="UNA1101"/>
      <c r="UNB1101"/>
      <c r="UNE1101"/>
      <c r="UNF1101"/>
      <c r="UNI1101"/>
      <c r="UNJ1101"/>
      <c r="UNM1101"/>
      <c r="UNN1101"/>
      <c r="UNQ1101"/>
      <c r="UNR1101"/>
      <c r="UNU1101"/>
      <c r="UNV1101"/>
      <c r="UNY1101"/>
      <c r="UNZ1101"/>
      <c r="UOC1101"/>
      <c r="UOD1101"/>
      <c r="UOG1101"/>
      <c r="UOH1101"/>
      <c r="UOK1101"/>
      <c r="UOL1101"/>
      <c r="UOO1101"/>
      <c r="UOP1101"/>
      <c r="UOS1101"/>
      <c r="UOT1101"/>
      <c r="UOW1101"/>
      <c r="UOX1101"/>
      <c r="UPA1101"/>
      <c r="UPB1101"/>
      <c r="UPE1101"/>
      <c r="UPF1101"/>
      <c r="UPI1101"/>
      <c r="UPJ1101"/>
      <c r="UPM1101"/>
      <c r="UPN1101"/>
      <c r="UPQ1101"/>
      <c r="UPR1101"/>
      <c r="UPU1101"/>
      <c r="UPV1101"/>
      <c r="UPY1101"/>
      <c r="UPZ1101"/>
      <c r="UQC1101"/>
      <c r="UQD1101"/>
      <c r="UQG1101"/>
      <c r="UQH1101"/>
      <c r="UQK1101"/>
      <c r="UQL1101"/>
      <c r="UQO1101"/>
      <c r="UQP1101"/>
      <c r="UQS1101"/>
      <c r="UQT1101"/>
      <c r="UQW1101"/>
      <c r="UQX1101"/>
      <c r="URA1101"/>
      <c r="URB1101"/>
      <c r="URE1101"/>
      <c r="URF1101"/>
      <c r="URI1101"/>
      <c r="URJ1101"/>
      <c r="URM1101"/>
      <c r="URN1101"/>
      <c r="URQ1101"/>
      <c r="URR1101"/>
      <c r="URU1101"/>
      <c r="URV1101"/>
      <c r="URY1101"/>
      <c r="URZ1101"/>
      <c r="USC1101"/>
      <c r="USD1101"/>
      <c r="USG1101"/>
      <c r="USH1101"/>
      <c r="USK1101"/>
      <c r="USL1101"/>
      <c r="USO1101"/>
      <c r="USP1101"/>
      <c r="USS1101"/>
      <c r="UST1101"/>
      <c r="USW1101"/>
      <c r="USX1101"/>
      <c r="UTA1101"/>
      <c r="UTB1101"/>
      <c r="UTE1101"/>
      <c r="UTF1101"/>
      <c r="UTI1101"/>
      <c r="UTJ1101"/>
      <c r="UTM1101"/>
      <c r="UTN1101"/>
      <c r="UTQ1101"/>
      <c r="UTR1101"/>
      <c r="UTU1101"/>
      <c r="UTV1101"/>
      <c r="UTY1101"/>
      <c r="UTZ1101"/>
      <c r="UUC1101"/>
      <c r="UUD1101"/>
      <c r="UUG1101"/>
      <c r="UUH1101"/>
      <c r="UUK1101"/>
      <c r="UUL1101"/>
      <c r="UUO1101"/>
      <c r="UUP1101"/>
      <c r="UUS1101"/>
      <c r="UUT1101"/>
      <c r="UUW1101"/>
      <c r="UUX1101"/>
      <c r="UVA1101"/>
      <c r="UVB1101"/>
      <c r="UVE1101"/>
      <c r="UVF1101"/>
      <c r="UVI1101"/>
      <c r="UVJ1101"/>
      <c r="UVM1101"/>
      <c r="UVN1101"/>
      <c r="UVQ1101"/>
      <c r="UVR1101"/>
      <c r="UVU1101"/>
      <c r="UVV1101"/>
      <c r="UVY1101"/>
      <c r="UVZ1101"/>
      <c r="UWC1101"/>
      <c r="UWD1101"/>
      <c r="UWG1101"/>
      <c r="UWH1101"/>
      <c r="UWK1101"/>
      <c r="UWL1101"/>
      <c r="UWO1101"/>
      <c r="UWP1101"/>
      <c r="UWS1101"/>
      <c r="UWT1101"/>
      <c r="UWW1101"/>
      <c r="UWX1101"/>
      <c r="UXA1101"/>
      <c r="UXB1101"/>
      <c r="UXE1101"/>
      <c r="UXF1101"/>
      <c r="UXI1101"/>
      <c r="UXJ1101"/>
      <c r="UXM1101"/>
      <c r="UXN1101"/>
      <c r="UXQ1101"/>
      <c r="UXR1101"/>
      <c r="UXU1101"/>
      <c r="UXV1101"/>
      <c r="UXY1101"/>
      <c r="UXZ1101"/>
      <c r="UYC1101"/>
      <c r="UYD1101"/>
      <c r="UYG1101"/>
      <c r="UYH1101"/>
      <c r="UYK1101"/>
      <c r="UYL1101"/>
      <c r="UYO1101"/>
      <c r="UYP1101"/>
      <c r="UYS1101"/>
      <c r="UYT1101"/>
      <c r="UYW1101"/>
      <c r="UYX1101"/>
      <c r="UZA1101"/>
      <c r="UZB1101"/>
      <c r="UZE1101"/>
      <c r="UZF1101"/>
      <c r="UZI1101"/>
      <c r="UZJ1101"/>
      <c r="UZM1101"/>
      <c r="UZN1101"/>
      <c r="UZQ1101"/>
      <c r="UZR1101"/>
      <c r="UZU1101"/>
      <c r="UZV1101"/>
      <c r="UZY1101"/>
      <c r="UZZ1101"/>
      <c r="VAC1101"/>
      <c r="VAD1101"/>
      <c r="VAG1101"/>
      <c r="VAH1101"/>
      <c r="VAK1101"/>
      <c r="VAL1101"/>
      <c r="VAO1101"/>
      <c r="VAP1101"/>
      <c r="VAS1101"/>
      <c r="VAT1101"/>
      <c r="VAW1101"/>
      <c r="VAX1101"/>
      <c r="VBA1101"/>
      <c r="VBB1101"/>
      <c r="VBE1101"/>
      <c r="VBF1101"/>
      <c r="VBI1101"/>
      <c r="VBJ1101"/>
      <c r="VBM1101"/>
      <c r="VBN1101"/>
      <c r="VBQ1101"/>
      <c r="VBR1101"/>
      <c r="VBU1101"/>
      <c r="VBV1101"/>
      <c r="VBY1101"/>
      <c r="VBZ1101"/>
      <c r="VCC1101"/>
      <c r="VCD1101"/>
      <c r="VCG1101"/>
      <c r="VCH1101"/>
      <c r="VCK1101"/>
      <c r="VCL1101"/>
      <c r="VCO1101"/>
      <c r="VCP1101"/>
      <c r="VCS1101"/>
      <c r="VCT1101"/>
      <c r="VCW1101"/>
      <c r="VCX1101"/>
      <c r="VDA1101"/>
      <c r="VDB1101"/>
      <c r="VDE1101"/>
      <c r="VDF1101"/>
      <c r="VDI1101"/>
      <c r="VDJ1101"/>
      <c r="VDM1101"/>
      <c r="VDN1101"/>
      <c r="VDQ1101"/>
      <c r="VDR1101"/>
      <c r="VDU1101"/>
      <c r="VDV1101"/>
      <c r="VDY1101"/>
      <c r="VDZ1101"/>
      <c r="VEC1101"/>
      <c r="VED1101"/>
      <c r="VEG1101"/>
      <c r="VEH1101"/>
      <c r="VEK1101"/>
      <c r="VEL1101"/>
      <c r="VEO1101"/>
      <c r="VEP1101"/>
      <c r="VES1101"/>
      <c r="VET1101"/>
      <c r="VEW1101"/>
      <c r="VEX1101"/>
      <c r="VFA1101"/>
      <c r="VFB1101"/>
      <c r="VFE1101"/>
      <c r="VFF1101"/>
      <c r="VFI1101"/>
      <c r="VFJ1101"/>
      <c r="VFM1101"/>
      <c r="VFN1101"/>
      <c r="VFQ1101"/>
      <c r="VFR1101"/>
      <c r="VFU1101"/>
      <c r="VFV1101"/>
      <c r="VFY1101"/>
      <c r="VFZ1101"/>
      <c r="VGC1101"/>
      <c r="VGD1101"/>
      <c r="VGG1101"/>
      <c r="VGH1101"/>
      <c r="VGK1101"/>
      <c r="VGL1101"/>
      <c r="VGO1101"/>
      <c r="VGP1101"/>
      <c r="VGS1101"/>
      <c r="VGT1101"/>
      <c r="VGW1101"/>
      <c r="VGX1101"/>
      <c r="VHA1101"/>
      <c r="VHB1101"/>
      <c r="VHE1101"/>
      <c r="VHF1101"/>
      <c r="VHI1101"/>
      <c r="VHJ1101"/>
      <c r="VHM1101"/>
      <c r="VHN1101"/>
      <c r="VHQ1101"/>
      <c r="VHR1101"/>
      <c r="VHU1101"/>
      <c r="VHV1101"/>
      <c r="VHY1101"/>
      <c r="VHZ1101"/>
      <c r="VIC1101"/>
      <c r="VID1101"/>
      <c r="VIG1101"/>
      <c r="VIH1101"/>
      <c r="VIK1101"/>
      <c r="VIL1101"/>
      <c r="VIO1101"/>
      <c r="VIP1101"/>
      <c r="VIS1101"/>
      <c r="VIT1101"/>
      <c r="VIW1101"/>
      <c r="VIX1101"/>
      <c r="VJA1101"/>
      <c r="VJB1101"/>
      <c r="VJE1101"/>
      <c r="VJF1101"/>
      <c r="VJI1101"/>
      <c r="VJJ1101"/>
      <c r="VJM1101"/>
      <c r="VJN1101"/>
      <c r="VJQ1101"/>
      <c r="VJR1101"/>
      <c r="VJU1101"/>
      <c r="VJV1101"/>
      <c r="VJY1101"/>
      <c r="VJZ1101"/>
      <c r="VKC1101"/>
      <c r="VKD1101"/>
      <c r="VKG1101"/>
      <c r="VKH1101"/>
      <c r="VKK1101"/>
      <c r="VKL1101"/>
      <c r="VKO1101"/>
      <c r="VKP1101"/>
      <c r="VKS1101"/>
      <c r="VKT1101"/>
      <c r="VKW1101"/>
      <c r="VKX1101"/>
      <c r="VLA1101"/>
      <c r="VLB1101"/>
      <c r="VLE1101"/>
      <c r="VLF1101"/>
      <c r="VLI1101"/>
      <c r="VLJ1101"/>
      <c r="VLM1101"/>
      <c r="VLN1101"/>
      <c r="VLQ1101"/>
      <c r="VLR1101"/>
      <c r="VLU1101"/>
      <c r="VLV1101"/>
      <c r="VLY1101"/>
      <c r="VLZ1101"/>
      <c r="VMC1101"/>
      <c r="VMD1101"/>
      <c r="VMG1101"/>
      <c r="VMH1101"/>
      <c r="VMK1101"/>
      <c r="VML1101"/>
      <c r="VMO1101"/>
      <c r="VMP1101"/>
      <c r="VMS1101"/>
      <c r="VMT1101"/>
      <c r="VMW1101"/>
      <c r="VMX1101"/>
      <c r="VNA1101"/>
      <c r="VNB1101"/>
      <c r="VNE1101"/>
      <c r="VNF1101"/>
      <c r="VNI1101"/>
      <c r="VNJ1101"/>
      <c r="VNM1101"/>
      <c r="VNN1101"/>
      <c r="VNQ1101"/>
      <c r="VNR1101"/>
      <c r="VNU1101"/>
      <c r="VNV1101"/>
      <c r="VNY1101"/>
      <c r="VNZ1101"/>
      <c r="VOC1101"/>
      <c r="VOD1101"/>
      <c r="VOG1101"/>
      <c r="VOH1101"/>
      <c r="VOK1101"/>
      <c r="VOL1101"/>
      <c r="VOO1101"/>
      <c r="VOP1101"/>
      <c r="VOS1101"/>
      <c r="VOT1101"/>
      <c r="VOW1101"/>
      <c r="VOX1101"/>
      <c r="VPA1101"/>
      <c r="VPB1101"/>
      <c r="VPE1101"/>
      <c r="VPF1101"/>
      <c r="VPI1101"/>
      <c r="VPJ1101"/>
      <c r="VPM1101"/>
      <c r="VPN1101"/>
      <c r="VPQ1101"/>
      <c r="VPR1101"/>
      <c r="VPU1101"/>
      <c r="VPV1101"/>
      <c r="VPY1101"/>
      <c r="VPZ1101"/>
      <c r="VQC1101"/>
      <c r="VQD1101"/>
      <c r="VQG1101"/>
      <c r="VQH1101"/>
      <c r="VQK1101"/>
      <c r="VQL1101"/>
      <c r="VQO1101"/>
      <c r="VQP1101"/>
      <c r="VQS1101"/>
      <c r="VQT1101"/>
      <c r="VQW1101"/>
      <c r="VQX1101"/>
      <c r="VRA1101"/>
      <c r="VRB1101"/>
      <c r="VRE1101"/>
      <c r="VRF1101"/>
      <c r="VRI1101"/>
      <c r="VRJ1101"/>
      <c r="VRM1101"/>
      <c r="VRN1101"/>
      <c r="VRQ1101"/>
      <c r="VRR1101"/>
      <c r="VRU1101"/>
      <c r="VRV1101"/>
      <c r="VRY1101"/>
      <c r="VRZ1101"/>
      <c r="VSC1101"/>
      <c r="VSD1101"/>
      <c r="VSG1101"/>
      <c r="VSH1101"/>
      <c r="VSK1101"/>
      <c r="VSL1101"/>
      <c r="VSO1101"/>
      <c r="VSP1101"/>
      <c r="VSS1101"/>
      <c r="VST1101"/>
      <c r="VSW1101"/>
      <c r="VSX1101"/>
      <c r="VTA1101"/>
      <c r="VTB1101"/>
      <c r="VTE1101"/>
      <c r="VTF1101"/>
      <c r="VTI1101"/>
      <c r="VTJ1101"/>
      <c r="VTM1101"/>
      <c r="VTN1101"/>
      <c r="VTQ1101"/>
      <c r="VTR1101"/>
      <c r="VTU1101"/>
      <c r="VTV1101"/>
      <c r="VTY1101"/>
      <c r="VTZ1101"/>
      <c r="VUC1101"/>
      <c r="VUD1101"/>
      <c r="VUG1101"/>
      <c r="VUH1101"/>
      <c r="VUK1101"/>
      <c r="VUL1101"/>
      <c r="VUO1101"/>
      <c r="VUP1101"/>
      <c r="VUS1101"/>
      <c r="VUT1101"/>
      <c r="VUW1101"/>
      <c r="VUX1101"/>
      <c r="VVA1101"/>
      <c r="VVB1101"/>
      <c r="VVE1101"/>
      <c r="VVF1101"/>
      <c r="VVI1101"/>
      <c r="VVJ1101"/>
      <c r="VVM1101"/>
      <c r="VVN1101"/>
      <c r="VVQ1101"/>
      <c r="VVR1101"/>
      <c r="VVU1101"/>
      <c r="VVV1101"/>
      <c r="VVY1101"/>
      <c r="VVZ1101"/>
      <c r="VWC1101"/>
      <c r="VWD1101"/>
      <c r="VWG1101"/>
      <c r="VWH1101"/>
      <c r="VWK1101"/>
      <c r="VWL1101"/>
      <c r="VWO1101"/>
      <c r="VWP1101"/>
      <c r="VWS1101"/>
      <c r="VWT1101"/>
      <c r="VWW1101"/>
      <c r="VWX1101"/>
      <c r="VXA1101"/>
      <c r="VXB1101"/>
      <c r="VXE1101"/>
      <c r="VXF1101"/>
      <c r="VXI1101"/>
      <c r="VXJ1101"/>
      <c r="VXM1101"/>
      <c r="VXN1101"/>
      <c r="VXQ1101"/>
      <c r="VXR1101"/>
      <c r="VXU1101"/>
      <c r="VXV1101"/>
      <c r="VXY1101"/>
      <c r="VXZ1101"/>
      <c r="VYC1101"/>
      <c r="VYD1101"/>
      <c r="VYG1101"/>
      <c r="VYH1101"/>
      <c r="VYK1101"/>
      <c r="VYL1101"/>
      <c r="VYO1101"/>
      <c r="VYP1101"/>
      <c r="VYS1101"/>
      <c r="VYT1101"/>
      <c r="VYW1101"/>
      <c r="VYX1101"/>
      <c r="VZA1101"/>
      <c r="VZB1101"/>
      <c r="VZE1101"/>
      <c r="VZF1101"/>
      <c r="VZI1101"/>
      <c r="VZJ1101"/>
      <c r="VZM1101"/>
      <c r="VZN1101"/>
      <c r="VZQ1101"/>
      <c r="VZR1101"/>
      <c r="VZU1101"/>
      <c r="VZV1101"/>
      <c r="VZY1101"/>
      <c r="VZZ1101"/>
      <c r="WAC1101"/>
      <c r="WAD1101"/>
      <c r="WAG1101"/>
      <c r="WAH1101"/>
      <c r="WAK1101"/>
      <c r="WAL1101"/>
      <c r="WAO1101"/>
      <c r="WAP1101"/>
      <c r="WAS1101"/>
      <c r="WAT1101"/>
      <c r="WAW1101"/>
      <c r="WAX1101"/>
      <c r="WBA1101"/>
      <c r="WBB1101"/>
      <c r="WBE1101"/>
      <c r="WBF1101"/>
      <c r="WBI1101"/>
      <c r="WBJ1101"/>
      <c r="WBM1101"/>
      <c r="WBN1101"/>
      <c r="WBQ1101"/>
      <c r="WBR1101"/>
      <c r="WBU1101"/>
      <c r="WBV1101"/>
      <c r="WBY1101"/>
      <c r="WBZ1101"/>
      <c r="WCC1101"/>
      <c r="WCD1101"/>
      <c r="WCG1101"/>
      <c r="WCH1101"/>
      <c r="WCK1101"/>
      <c r="WCL1101"/>
      <c r="WCO1101"/>
      <c r="WCP1101"/>
      <c r="WCS1101"/>
      <c r="WCT1101"/>
      <c r="WCW1101"/>
      <c r="WCX1101"/>
      <c r="WDA1101"/>
      <c r="WDB1101"/>
      <c r="WDE1101"/>
      <c r="WDF1101"/>
      <c r="WDI1101"/>
      <c r="WDJ1101"/>
      <c r="WDM1101"/>
      <c r="WDN1101"/>
      <c r="WDQ1101"/>
      <c r="WDR1101"/>
      <c r="WDU1101"/>
      <c r="WDV1101"/>
      <c r="WDY1101"/>
      <c r="WDZ1101"/>
      <c r="WEC1101"/>
      <c r="WED1101"/>
      <c r="WEG1101"/>
      <c r="WEH1101"/>
      <c r="WEK1101"/>
      <c r="WEL1101"/>
      <c r="WEO1101"/>
      <c r="WEP1101"/>
      <c r="WES1101"/>
      <c r="WET1101"/>
      <c r="WEW1101"/>
      <c r="WEX1101"/>
      <c r="WFA1101"/>
      <c r="WFB1101"/>
      <c r="WFE1101"/>
      <c r="WFF1101"/>
      <c r="WFI1101"/>
      <c r="WFJ1101"/>
      <c r="WFM1101"/>
      <c r="WFN1101"/>
      <c r="WFQ1101"/>
      <c r="WFR1101"/>
      <c r="WFU1101"/>
      <c r="WFV1101"/>
      <c r="WFY1101"/>
      <c r="WFZ1101"/>
      <c r="WGC1101"/>
      <c r="WGD1101"/>
      <c r="WGG1101"/>
      <c r="WGH1101"/>
      <c r="WGK1101"/>
      <c r="WGL1101"/>
      <c r="WGO1101"/>
      <c r="WGP1101"/>
      <c r="WGS1101"/>
      <c r="WGT1101"/>
      <c r="WGW1101"/>
      <c r="WGX1101"/>
      <c r="WHA1101"/>
      <c r="WHB1101"/>
      <c r="WHE1101"/>
      <c r="WHF1101"/>
      <c r="WHI1101"/>
      <c r="WHJ1101"/>
      <c r="WHM1101"/>
      <c r="WHN1101"/>
      <c r="WHQ1101"/>
      <c r="WHR1101"/>
      <c r="WHU1101"/>
      <c r="WHV1101"/>
      <c r="WHY1101"/>
      <c r="WHZ1101"/>
      <c r="WIC1101"/>
      <c r="WID1101"/>
      <c r="WIG1101"/>
      <c r="WIH1101"/>
      <c r="WIK1101"/>
      <c r="WIL1101"/>
      <c r="WIO1101"/>
      <c r="WIP1101"/>
      <c r="WIS1101"/>
      <c r="WIT1101"/>
      <c r="WIW1101"/>
      <c r="WIX1101"/>
      <c r="WJA1101"/>
      <c r="WJB1101"/>
      <c r="WJE1101"/>
      <c r="WJF1101"/>
      <c r="WJI1101"/>
      <c r="WJJ1101"/>
      <c r="WJM1101"/>
      <c r="WJN1101"/>
      <c r="WJQ1101"/>
      <c r="WJR1101"/>
      <c r="WJU1101"/>
      <c r="WJV1101"/>
      <c r="WJY1101"/>
      <c r="WJZ1101"/>
      <c r="WKC1101"/>
      <c r="WKD1101"/>
      <c r="WKG1101"/>
      <c r="WKH1101"/>
      <c r="WKK1101"/>
      <c r="WKL1101"/>
      <c r="WKO1101"/>
      <c r="WKP1101"/>
      <c r="WKS1101"/>
      <c r="WKT1101"/>
      <c r="WKW1101"/>
      <c r="WKX1101"/>
      <c r="WLA1101"/>
      <c r="WLB1101"/>
      <c r="WLE1101"/>
      <c r="WLF1101"/>
      <c r="WLI1101"/>
      <c r="WLJ1101"/>
      <c r="WLM1101"/>
      <c r="WLN1101"/>
      <c r="WLQ1101"/>
      <c r="WLR1101"/>
      <c r="WLU1101"/>
      <c r="WLV1101"/>
      <c r="WLY1101"/>
      <c r="WLZ1101"/>
      <c r="WMC1101"/>
      <c r="WMD1101"/>
      <c r="WMG1101"/>
      <c r="WMH1101"/>
      <c r="WMK1101"/>
      <c r="WML1101"/>
      <c r="WMO1101"/>
      <c r="WMP1101"/>
      <c r="WMS1101"/>
      <c r="WMT1101"/>
      <c r="WMW1101"/>
      <c r="WMX1101"/>
      <c r="WNA1101"/>
      <c r="WNB1101"/>
      <c r="WNE1101"/>
      <c r="WNF1101"/>
      <c r="WNI1101"/>
      <c r="WNJ1101"/>
      <c r="WNM1101"/>
      <c r="WNN1101"/>
      <c r="WNQ1101"/>
      <c r="WNR1101"/>
      <c r="WNU1101"/>
      <c r="WNV1101"/>
      <c r="WNY1101"/>
      <c r="WNZ1101"/>
      <c r="WOC1101"/>
      <c r="WOD1101"/>
      <c r="WOG1101"/>
      <c r="WOH1101"/>
      <c r="WOK1101"/>
      <c r="WOL1101"/>
      <c r="WOO1101"/>
      <c r="WOP1101"/>
      <c r="WOS1101"/>
      <c r="WOT1101"/>
      <c r="WOW1101"/>
      <c r="WOX1101"/>
      <c r="WPA1101"/>
      <c r="WPB1101"/>
      <c r="WPE1101"/>
      <c r="WPF1101"/>
      <c r="WPI1101"/>
      <c r="WPJ1101"/>
      <c r="WPM1101"/>
      <c r="WPN1101"/>
      <c r="WPQ1101"/>
      <c r="WPR1101"/>
      <c r="WPU1101"/>
      <c r="WPV1101"/>
      <c r="WPY1101"/>
      <c r="WPZ1101"/>
      <c r="WQC1101"/>
      <c r="WQD1101"/>
      <c r="WQG1101"/>
      <c r="WQH1101"/>
      <c r="WQK1101"/>
      <c r="WQL1101"/>
      <c r="WQO1101"/>
      <c r="WQP1101"/>
      <c r="WQS1101"/>
      <c r="WQT1101"/>
      <c r="WQW1101"/>
      <c r="WQX1101"/>
      <c r="WRA1101"/>
      <c r="WRB1101"/>
      <c r="WRE1101"/>
      <c r="WRF1101"/>
      <c r="WRI1101"/>
      <c r="WRJ1101"/>
      <c r="WRM1101"/>
      <c r="WRN1101"/>
      <c r="WRQ1101"/>
      <c r="WRR1101"/>
      <c r="WRU1101"/>
      <c r="WRV1101"/>
      <c r="WRY1101"/>
      <c r="WRZ1101"/>
      <c r="WSC1101"/>
      <c r="WSD1101"/>
      <c r="WSG1101"/>
      <c r="WSH1101"/>
      <c r="WSK1101"/>
      <c r="WSL1101"/>
      <c r="WSO1101"/>
      <c r="WSP1101"/>
      <c r="WSS1101"/>
      <c r="WST1101"/>
      <c r="WSW1101"/>
      <c r="WSX1101"/>
      <c r="WTA1101"/>
      <c r="WTB1101"/>
      <c r="WTE1101"/>
      <c r="WTF1101"/>
      <c r="WTI1101"/>
      <c r="WTJ1101"/>
      <c r="WTM1101"/>
      <c r="WTN1101"/>
      <c r="WTQ1101"/>
      <c r="WTR1101"/>
      <c r="WTU1101"/>
      <c r="WTV1101"/>
      <c r="WTY1101"/>
      <c r="WTZ1101"/>
      <c r="WUC1101"/>
      <c r="WUD1101"/>
      <c r="WUG1101"/>
      <c r="WUH1101"/>
      <c r="WUK1101"/>
      <c r="WUL1101"/>
      <c r="WUO1101"/>
      <c r="WUP1101"/>
      <c r="WUS1101"/>
      <c r="WUT1101"/>
      <c r="WUW1101"/>
      <c r="WUX1101"/>
      <c r="WVA1101"/>
      <c r="WVB1101"/>
      <c r="WVE1101"/>
      <c r="WVF1101"/>
      <c r="WVI1101"/>
      <c r="WVJ1101"/>
      <c r="WVM1101"/>
      <c r="WVN1101"/>
      <c r="WVQ1101"/>
      <c r="WVR1101"/>
      <c r="WVU1101"/>
      <c r="WVV1101"/>
      <c r="WVY1101"/>
      <c r="WVZ1101"/>
      <c r="WWC1101"/>
      <c r="WWD1101"/>
      <c r="WWG1101"/>
      <c r="WWH1101"/>
      <c r="WWK1101"/>
      <c r="WWL1101"/>
      <c r="WWO1101"/>
      <c r="WWP1101"/>
      <c r="WWS1101"/>
      <c r="WWT1101"/>
      <c r="WWW1101"/>
      <c r="WWX1101"/>
      <c r="WXA1101"/>
      <c r="WXB1101"/>
      <c r="WXE1101"/>
      <c r="WXF1101"/>
      <c r="WXI1101"/>
      <c r="WXJ1101"/>
      <c r="WXM1101"/>
      <c r="WXN1101"/>
      <c r="WXQ1101"/>
      <c r="WXR1101"/>
      <c r="WXU1101"/>
      <c r="WXV1101"/>
      <c r="WXY1101"/>
      <c r="WXZ1101"/>
      <c r="WYC1101"/>
      <c r="WYD1101"/>
      <c r="WYG1101"/>
      <c r="WYH1101"/>
      <c r="WYK1101"/>
      <c r="WYL1101"/>
      <c r="WYO1101"/>
      <c r="WYP1101"/>
      <c r="WYS1101"/>
      <c r="WYT1101"/>
      <c r="WYW1101"/>
      <c r="WYX1101"/>
      <c r="WZA1101"/>
      <c r="WZB1101"/>
      <c r="WZE1101"/>
      <c r="WZF1101"/>
      <c r="WZI1101"/>
      <c r="WZJ1101"/>
      <c r="WZM1101"/>
      <c r="WZN1101"/>
      <c r="WZQ1101"/>
      <c r="WZR1101"/>
      <c r="WZU1101"/>
      <c r="WZV1101"/>
      <c r="WZY1101"/>
      <c r="WZZ1101"/>
      <c r="XAC1101"/>
      <c r="XAD1101"/>
      <c r="XAG1101"/>
      <c r="XAH1101"/>
      <c r="XAK1101"/>
      <c r="XAL1101"/>
      <c r="XAO1101"/>
      <c r="XAP1101"/>
      <c r="XAS1101"/>
      <c r="XAT1101"/>
      <c r="XAW1101"/>
      <c r="XAX1101"/>
      <c r="XBA1101"/>
      <c r="XBB1101"/>
      <c r="XBE1101"/>
      <c r="XBF1101"/>
      <c r="XBI1101"/>
      <c r="XBJ1101"/>
      <c r="XBM1101"/>
      <c r="XBN1101"/>
      <c r="XBQ1101"/>
      <c r="XBR1101"/>
      <c r="XBU1101"/>
      <c r="XBV1101"/>
      <c r="XBY1101"/>
      <c r="XBZ1101"/>
      <c r="XCC1101"/>
      <c r="XCD1101"/>
      <c r="XCG1101"/>
      <c r="XCH1101"/>
      <c r="XCK1101"/>
      <c r="XCL1101"/>
      <c r="XCO1101"/>
      <c r="XCP1101"/>
      <c r="XCS1101"/>
      <c r="XCT1101"/>
      <c r="XCW1101"/>
      <c r="XCX1101"/>
      <c r="XDA1101"/>
      <c r="XDB1101"/>
      <c r="XDE1101"/>
      <c r="XDF1101"/>
      <c r="XDI1101"/>
      <c r="XDJ1101"/>
      <c r="XDM1101"/>
      <c r="XDN1101"/>
      <c r="XDQ1101"/>
      <c r="XDR1101"/>
      <c r="XDU1101"/>
      <c r="XDV1101"/>
      <c r="XDY1101"/>
      <c r="XDZ1101"/>
      <c r="XEC1101"/>
      <c r="XED1101"/>
      <c r="XEG1101"/>
      <c r="XEH1101"/>
      <c r="XEK1101"/>
      <c r="XEL1101"/>
      <c r="XEO1101"/>
      <c r="XEP1101"/>
      <c r="XES1101"/>
      <c r="XET1101"/>
      <c r="XEW1101"/>
      <c r="XEX1101"/>
      <c r="XFA1101"/>
      <c r="XFB1101"/>
    </row>
    <row r="1102" spans="1:1022 1025:2046 2049:3070 3073:4094 4097:5118 5121:6142 6145:7166 7169:8190 8193:9214 9217:10238 10241:11262 11265:12286 12289:13310 13313:14334 14337:15358 15361:16382" outlineLevel="1" x14ac:dyDescent="0.3">
      <c r="A1102" t="s">
        <v>1831</v>
      </c>
      <c r="B1102" t="s">
        <v>266</v>
      </c>
      <c r="C1102" s="15" t="s">
        <v>10</v>
      </c>
      <c r="D1102" s="15" t="s">
        <v>1832</v>
      </c>
      <c r="E1102" t="s">
        <v>8510</v>
      </c>
      <c r="J1102" t="inlineStr">
        <is>
          <t>Ad Collection</t>
        </is>
      </c>
      <c r="K1102" t="inlineStr">
        <is>
          <t>QNL/BF.jpg</t>
        </is>
      </c>
      <c r="L1102" t="inlineStr">
        <is>
          <t>SAME - screen and column D name the same room</t>
        </is>
      </c>
    </row>
    <row r="1103" spans="1:1022 1025:2046 2049:3070 3073:4094 4097:5118 5121:6142 6145:7166 7169:8190 8193:9214 9217:10238 10241:11262 11265:12286 12289:13310 13313:14334 14337:15358 15361:16382" outlineLevel="1" x14ac:dyDescent="0.3">
      <c r="A1103" t="s">
        <v>1833</v>
      </c>
      <c r="B1103" t="s">
        <v>266</v>
      </c>
      <c r="C1103" s="15" t="s">
        <v>10</v>
      </c>
      <c r="D1103" s="15" t="s">
        <v>1832</v>
      </c>
      <c r="E1103" t="s">
        <v>8510</v>
      </c>
      <c r="J1103" t="inlineStr">
        <is>
          <t>Ad Collection</t>
        </is>
      </c>
      <c r="K1103" t="inlineStr">
        <is>
          <t>QNL/BF.jpg</t>
        </is>
      </c>
      <c r="L1103" t="inlineStr">
        <is>
          <t>SAME - screen and column D name the same room</t>
        </is>
      </c>
    </row>
    <row r="1104" spans="1:1022 1025:2046 2049:3070 3073:4094 4097:5118 5121:6142 6145:7166 7169:8190 8193:9214 9217:10238 10241:11262 11265:12286 12289:13310 13313:14334 14337:15358 15361:16382" outlineLevel="1" x14ac:dyDescent="0.3">
      <c r="A1104" t="s">
        <v>1834</v>
      </c>
      <c r="B1104" t="s">
        <v>266</v>
      </c>
      <c r="C1104" s="15" t="s">
        <v>10</v>
      </c>
      <c r="D1104" s="15" t="s">
        <v>1835</v>
      </c>
      <c r="E1104" t="s">
        <v>8498</v>
      </c>
    </row>
    <row r="1105" spans="1:5" outlineLevel="1" x14ac:dyDescent="0.3">
      <c r="A1105" t="s">
        <v>1836</v>
      </c>
      <c r="B1105" t="s">
        <v>266</v>
      </c>
      <c r="C1105" s="15" t="s">
        <v>10</v>
      </c>
      <c r="D1105" s="15" t="s">
        <v>1837</v>
      </c>
      <c r="E1105" t="s">
        <v>8501</v>
      </c>
    </row>
    <row r="1106" spans="1:5" outlineLevel="1" x14ac:dyDescent="0.3">
      <c r="A1106" t="s">
        <v>1838</v>
      </c>
      <c r="B1106" t="s">
        <v>266</v>
      </c>
      <c r="C1106" s="15" t="s">
        <v>10</v>
      </c>
      <c r="D1106" s="15" t="s">
        <v>1839</v>
      </c>
      <c r="E1106" t="s">
        <v>8504</v>
      </c>
    </row>
    <row r="1107" spans="1:11" outlineLevel="1" x14ac:dyDescent="0.3">
      <c s="45" r="A1107" t="s">
        <v>1840</v>
      </c>
      <c s="45" r="B1107" t="s">
        <v>266</v>
      </c>
      <c r="C1107" s="46" t="s">
        <v>10</v>
      </c>
      <c r="D1107" s="46" t="s">
        <v>1841</v>
      </c>
      <c s="45" r="E1107" t="s">
        <v>8507</v>
      </c>
      <c r="F1107" s="45"/>
      <c r="G1107" s="45"/>
      <c r="H1107" s="45"/>
      <c r="I1107" s="45"/>
      <c s="45" r="J1107" t="inlineStr">
        <is>
          <t>Corridor 4</t>
        </is>
      </c>
      <c s="45" r="K1107" t="inlineStr">
        <is>
          <t>QNL/BF-1.jpg</t>
        </is>
      </c>
      <c r="L1107" t="inlineStr">
        <is>
          <t>DIFF - the screen puts this unit somewhere column D does not</t>
        </is>
      </c>
      <c r="M1107" t="inlineStr">
        <is>
          <t>dot is in the Corridor 4 strip west of the MV Rm wall, the strip the Corridor 4 label points into; column D says Art &amp; Humanities B.023</t>
        </is>
      </c>
    </row>
    <row r="1108" spans="1:11" outlineLevel="1" x14ac:dyDescent="0.3">
      <c s="45" r="A1108" t="s">
        <v>1842</v>
      </c>
      <c s="45" r="B1108" t="s">
        <v>266</v>
      </c>
      <c r="C1108" s="46" t="s">
        <v>10</v>
      </c>
      <c r="D1108" s="46" t="s">
        <v>1843</v>
      </c>
      <c s="45" r="E1108" t="s">
        <v>8519</v>
      </c>
      <c r="F1108" s="45"/>
      <c r="G1108" s="45"/>
      <c r="H1108" s="45"/>
      <c r="I1108" s="45"/>
      <c s="45" r="J1108" t="inlineStr">
        <is>
          <t>Procurement SPC</t>
        </is>
      </c>
      <c s="45" r="K1108" t="inlineStr">
        <is>
          <t>QNL/BF.jpg</t>
        </is>
      </c>
      <c r="L1108" t="inlineStr">
        <is>
          <t>DIFF - the screen puts this unit somewhere column D does not</t>
        </is>
      </c>
    </row>
    <row r="1109" spans="1:5" outlineLevel="1" x14ac:dyDescent="0.3">
      <c r="A1109" t="s">
        <v>1844</v>
      </c>
      <c r="B1109" t="s">
        <v>266</v>
      </c>
      <c r="C1109" s="15" t="s">
        <v>10</v>
      </c>
      <c r="D1109" s="15" t="s">
        <v>1845</v>
      </c>
      <c r="E1109" t="s">
        <v>8516</v>
      </c>
    </row>
    <row r="1110" spans="1:5" outlineLevel="1" x14ac:dyDescent="0.3">
      <c r="A1110" t="s">
        <v>1846</v>
      </c>
      <c r="B1110" t="s">
        <v>266</v>
      </c>
      <c r="C1110" s="15" t="s">
        <v>10</v>
      </c>
      <c r="D1110" s="15" t="s">
        <v>1847</v>
      </c>
      <c r="E1110" t="s">
        <v>8513</v>
      </c>
    </row>
    <row r="1111" spans="1:5" outlineLevel="1" x14ac:dyDescent="0.3">
      <c r="A1111" t="s">
        <v>1848</v>
      </c>
      <c r="B1111" t="s">
        <v>266</v>
      </c>
      <c r="C1111" s="15" t="s">
        <v>10</v>
      </c>
      <c r="D1111" s="15" t="s">
        <v>1849</v>
      </c>
      <c r="E1111" t="s">
        <v>8524</v>
      </c>
    </row>
    <row r="1112" spans="1:5" outlineLevel="1" x14ac:dyDescent="0.3">
      <c r="A1112" t="s">
        <v>1850</v>
      </c>
      <c r="B1112" t="s">
        <v>266</v>
      </c>
      <c r="C1112" s="15" t="s">
        <v>10</v>
      </c>
      <c r="D1112" s="15" t="s">
        <v>1851</v>
      </c>
      <c r="E1112" t="s">
        <v>8527</v>
      </c>
    </row>
    <row r="1113" spans="1:11" outlineLevel="1" x14ac:dyDescent="0.3">
      <c s="45" r="A1113" t="s">
        <v>1852</v>
      </c>
      <c s="45" r="B1113" t="s">
        <v>266</v>
      </c>
      <c r="C1113" s="46" t="s">
        <v>10</v>
      </c>
      <c r="D1113" s="46" t="s">
        <v>1853</v>
      </c>
      <c s="45" r="E1113" t="s">
        <v>8490</v>
      </c>
      <c r="F1113" s="45"/>
      <c r="G1113" s="45"/>
      <c r="H1113" s="45"/>
      <c r="I1113" s="45"/>
      <c s="45" r="J1113" t="inlineStr">
        <is>
          <t>Corridor east of Receving Area</t>
        </is>
      </c>
      <c s="45" r="K1113" t="inlineStr">
        <is>
          <t>QNL/BF.jpg</t>
        </is>
      </c>
      <c r="L1113" t="inlineStr">
        <is>
          <t>DIFF - the screen puts this unit somewhere column D does not</t>
        </is>
      </c>
      <c r="M1113" t="inlineStr">
        <is>
          <t>east of the Receving Area wall, in the corridor strip with S11-046 and S11-022; column D says Receiving Area B.008</t>
        </is>
      </c>
    </row>
    <row r="1114" spans="1:11" outlineLevel="1" x14ac:dyDescent="0.3">
      <c s="45" r="A1114" t="s">
        <v>1854</v>
      </c>
      <c s="45" r="B1114" t="s">
        <v>266</v>
      </c>
      <c r="C1114" s="46" t="s">
        <v>10</v>
      </c>
      <c r="D1114" s="46" t="s">
        <v>1853</v>
      </c>
      <c s="45" r="E1114" t="s">
        <v>8490</v>
      </c>
      <c r="F1114" s="45"/>
      <c r="G1114" s="45"/>
      <c r="H1114" s="45"/>
      <c r="I1114" s="45"/>
      <c s="45" r="J1114" t="inlineStr">
        <is>
          <t>Budget &amp; Payment (lower band)</t>
        </is>
      </c>
      <c s="45" r="K1114" t="inlineStr">
        <is>
          <t>QNL/BF.jpg</t>
        </is>
      </c>
      <c r="L1114" t="inlineStr">
        <is>
          <t>CHECK - read, but with a caveat; see the reason</t>
        </is>
      </c>
      <c r="M1114" t="inlineStr">
        <is>
          <t>the dot is in the lower band with S11-030 and S11-031; the partition between the cells is only partial, so which cell is not certain. Column D says Receiving Area B.008</t>
        </is>
      </c>
    </row>
    <row r="1115" spans="1:13" outlineLevel="1" x14ac:dyDescent="0.3">
      <c r="A1115" t="s">
        <v>1855</v>
      </c>
      <c r="B1115" t="s">
        <v>266</v>
      </c>
      <c r="C1115" s="15" t="s">
        <v>10</v>
      </c>
      <c r="D1115" s="15" t="s">
        <v>1853</v>
      </c>
      <c r="E1115" t="s">
        <v>8490</v>
      </c>
      <c r="J1115" t="inlineStr">
        <is>
          <t>Receving Area</t>
        </is>
      </c>
      <c r="K1115" t="inlineStr">
        <is>
          <t>QNL/BF.jpg</t>
        </is>
      </c>
      <c r="L1115" t="inlineStr">
        <is>
          <t>SAME - screen and column D name the same room</t>
        </is>
      </c>
    </row>
    <row r="1116" spans="1:11" outlineLevel="1" x14ac:dyDescent="0.3">
      <c s="45" r="A1116" t="s">
        <v>1856</v>
      </c>
      <c s="45" r="B1116" t="s">
        <v>266</v>
      </c>
      <c r="C1116" s="46" t="s">
        <v>10</v>
      </c>
      <c r="D1116" s="46" t="s">
        <v>1853</v>
      </c>
      <c s="45" r="E1116" t="s">
        <v>8490</v>
      </c>
      <c r="F1116" s="45"/>
      <c r="G1116" s="45"/>
      <c r="H1116" s="45"/>
      <c r="I1116" s="45"/>
      <c s="45" r="J1116" t="inlineStr">
        <is>
          <t>Corridor east of Receving Area</t>
        </is>
      </c>
      <c s="45" r="K1116" t="inlineStr">
        <is>
          <t>QNL/BF.jpg</t>
        </is>
      </c>
      <c r="L1116" t="inlineStr">
        <is>
          <t>DIFF - the screen puts this unit somewhere column D does not</t>
        </is>
      </c>
      <c r="M1116" t="inlineStr">
        <is>
          <t>right of the Receving Area wall, in the corridor strip with S11-022; column D says Receiving Area B.008</t>
        </is>
      </c>
    </row>
    <row r="1117" spans="1:13" outlineLevel="1" x14ac:dyDescent="0.3">
      <c r="A1117" t="s">
        <v>1857</v>
      </c>
      <c r="B1117" t="s">
        <v>266</v>
      </c>
      <c r="C1117" s="15" t="s">
        <v>10</v>
      </c>
      <c r="D1117" s="15" t="s">
        <v>1858</v>
      </c>
      <c r="E1117" t="s">
        <v>8534</v>
      </c>
      <c r="J1117" t="inlineStr">
        <is>
          <t>Meeting Rm</t>
        </is>
      </c>
      <c r="K1117" t="inlineStr">
        <is>
          <t>QNL/BF-1.jpg</t>
        </is>
      </c>
      <c r="L1117" t="inlineStr">
        <is>
          <t>SAME - screen and column D name the same room</t>
        </is>
      </c>
    </row>
    <row r="1118" spans="1:13" outlineLevel="1" x14ac:dyDescent="0.3">
      <c r="A1118" t="s">
        <v>1859</v>
      </c>
      <c r="B1118" t="s">
        <v>266</v>
      </c>
      <c r="C1118" s="15" t="s">
        <v>10</v>
      </c>
      <c r="D1118" s="15" t="s">
        <v>1858</v>
      </c>
      <c r="E1118" t="s">
        <v>8534</v>
      </c>
      <c r="J1118" t="inlineStr">
        <is>
          <t>Meeting Rm</t>
        </is>
      </c>
      <c r="K1118" t="inlineStr">
        <is>
          <t>QNL/BF-1.jpg</t>
        </is>
      </c>
      <c r="L1118" t="inlineStr">
        <is>
          <t>SAME - screen and column D name the same room</t>
        </is>
      </c>
    </row>
    <row r="1119" spans="1:13" outlineLevel="1" x14ac:dyDescent="0.3">
      <c r="A1119" t="s">
        <v>1860</v>
      </c>
      <c r="B1119" t="s">
        <v>266</v>
      </c>
      <c r="C1119" s="15" t="s">
        <v>10</v>
      </c>
      <c r="D1119" s="15" t="s">
        <v>1861</v>
      </c>
      <c r="E1119" t="s">
        <v>8648</v>
      </c>
      <c r="J1119" t="inlineStr">
        <is>
          <t>Processing Rm</t>
        </is>
      </c>
      <c r="K1119" t="inlineStr">
        <is>
          <t>QNL/BF-5.jpg</t>
        </is>
      </c>
      <c r="L1119" t="inlineStr">
        <is>
          <t>SAME - screen and column D name the same room</t>
        </is>
      </c>
    </row>
    <row r="1120" spans="1:13" outlineLevel="1" x14ac:dyDescent="0.3">
      <c r="A1120" t="s">
        <v>1862</v>
      </c>
      <c r="B1120" t="s">
        <v>266</v>
      </c>
      <c r="C1120" s="15" t="s">
        <v>10</v>
      </c>
      <c r="D1120" s="15" t="s">
        <v>1861</v>
      </c>
      <c r="E1120" t="s">
        <v>8648</v>
      </c>
      <c r="J1120" t="inlineStr">
        <is>
          <t>Processing Rm</t>
        </is>
      </c>
      <c r="K1120" t="inlineStr">
        <is>
          <t>QNL/BF-5.jpg</t>
        </is>
      </c>
      <c r="L1120" t="inlineStr">
        <is>
          <t>SAME - screen and column D name the same room</t>
        </is>
      </c>
    </row>
    <row r="1121" spans="1:5" outlineLevel="1" x14ac:dyDescent="0.3">
      <c r="A1121" t="s">
        <v>1863</v>
      </c>
      <c r="B1121" t="s">
        <v>266</v>
      </c>
      <c r="C1121" s="27"/>
      <c r="D1121" s="15"/>
    </row>
    <row r="1122" spans="1:5" outlineLevel="1" x14ac:dyDescent="0.3">
      <c r="A1122" t="s">
        <v>1864</v>
      </c>
      <c r="B1122" t="s">
        <v>266</v>
      </c>
      <c r="C1122" s="15" t="s">
        <v>10</v>
      </c>
      <c r="D1122" s="15" t="s">
        <v>1865</v>
      </c>
      <c r="E1122" t="s">
        <v>8614</v>
      </c>
    </row>
    <row r="1123" spans="1:13" outlineLevel="1" x14ac:dyDescent="0.3">
      <c r="A1123" t="s">
        <v>1866</v>
      </c>
      <c r="B1123" t="s">
        <v>266</v>
      </c>
      <c r="C1123" s="15" t="s">
        <v>10</v>
      </c>
      <c r="D1123" s="15" t="s">
        <v>1867</v>
      </c>
      <c r="E1123" t="s">
        <v>8642</v>
      </c>
      <c r="J1123" t="inlineStr">
        <is>
          <t>Shipping Clerk</t>
        </is>
      </c>
      <c r="K1123" t="inlineStr">
        <is>
          <t>QNL/BF-5.jpg</t>
        </is>
      </c>
      <c r="L1123" t="inlineStr">
        <is>
          <t>SAME - screen and column D name the same room</t>
        </is>
      </c>
    </row>
    <row r="1124" spans="1:11" outlineLevel="1" x14ac:dyDescent="0.3">
      <c s="45" r="A1124" t="s">
        <v>1868</v>
      </c>
      <c s="45" r="B1124" t="s">
        <v>266</v>
      </c>
      <c r="C1124" s="46" t="s">
        <v>8</v>
      </c>
      <c r="D1124" s="46" t="s">
        <v>1869</v>
      </c>
      <c s="45" r="E1124" t="s">
        <v>9122</v>
      </c>
      <c r="F1124" s="45"/>
      <c r="G1124" s="45"/>
      <c r="H1124" s="45"/>
      <c r="I1124" s="45"/>
      <c s="45" r="J1124" t="inlineStr">
        <is>
          <t>Security Store</t>
        </is>
      </c>
      <c s="45" r="K1124" t="inlineStr">
        <is>
          <t>QNL/BF-5.jpg</t>
        </is>
      </c>
      <c r="L1124" t="inlineStr">
        <is>
          <t>DIFF - the screen puts this unit somewhere column D does not</t>
        </is>
      </c>
      <c r="M1124" t="inlineStr">
        <is>
          <t>the dot is inside the Security Store cell; the screen has no room called Security Control Room, which is what column D says</t>
        </is>
      </c>
    </row>
    <row r="1125" spans="1:13" outlineLevel="1" x14ac:dyDescent="0.3">
      <c r="A1125" t="s">
        <v>1870</v>
      </c>
      <c r="B1125" t="s">
        <v>266</v>
      </c>
      <c r="C1125" s="15" t="s">
        <v>10</v>
      </c>
      <c r="D1125" s="15" t="s">
        <v>1871</v>
      </c>
      <c r="E1125" t="s">
        <v>8540</v>
      </c>
      <c r="J1125" t="inlineStr">
        <is>
          <t>Office</t>
        </is>
      </c>
      <c r="K1125" t="inlineStr">
        <is>
          <t>QNL/BF-4.jpg</t>
        </is>
      </c>
      <c r="L1125" t="inlineStr">
        <is>
          <t>SAME - screen and column D name the same room</t>
        </is>
      </c>
    </row>
    <row r="1126" spans="1:5" outlineLevel="1" x14ac:dyDescent="0.3">
      <c r="A1126" t="s">
        <v>1872</v>
      </c>
      <c r="B1126" t="s">
        <v>266</v>
      </c>
      <c r="C1126" s="15" t="s">
        <v>10</v>
      </c>
      <c r="D1126" s="15" t="s">
        <v>1873</v>
      </c>
      <c r="E1126" t="s">
        <v>9134</v>
      </c>
    </row>
    <row r="1127" spans="1:11" outlineLevel="1" x14ac:dyDescent="0.3">
      <c s="45" r="A1127" t="s">
        <v>1874</v>
      </c>
      <c s="45" r="B1127" t="s">
        <v>266</v>
      </c>
      <c r="C1127" s="46" t="s">
        <v>10</v>
      </c>
      <c r="D1127" s="46" t="s">
        <v>1875</v>
      </c>
      <c s="45" r="E1127" t="s">
        <v>9136</v>
      </c>
      <c r="F1127" s="45"/>
      <c r="G1127" s="45"/>
      <c r="H1127" s="45"/>
      <c r="I1127" s="45"/>
      <c s="45" r="J1127" t="inlineStr">
        <is>
          <t>Loading Area (north-west grey band)</t>
        </is>
      </c>
      <c s="45" r="K1127" t="inlineStr">
        <is>
          <t>QNL/BF-4.jpg</t>
        </is>
      </c>
      <c r="L1127" t="inlineStr">
        <is>
          <t>DIFF - the screen puts this unit somewhere column D does not</t>
        </is>
      </c>
      <c r="M1127" t="inlineStr">
        <is>
          <t>the dot is in the grey Loading Area band, two walls west of the pink; column D says Office AD For LIT B.057</t>
        </is>
      </c>
    </row>
    <row r="1128" spans="1:5" outlineLevel="1" x14ac:dyDescent="0.3">
      <c r="A1128" t="s">
        <v>1876</v>
      </c>
      <c r="B1128" t="s">
        <v>266</v>
      </c>
      <c r="C1128" s="15" t="s">
        <v>10</v>
      </c>
      <c r="D1128" s="15" t="s">
        <v>1877</v>
      </c>
      <c r="E1128" t="s">
        <v>8543</v>
      </c>
    </row>
    <row r="1129" spans="1:5" outlineLevel="1" x14ac:dyDescent="0.3">
      <c r="A1129" t="s">
        <v>1878</v>
      </c>
      <c r="B1129" t="s">
        <v>266</v>
      </c>
      <c r="C1129" s="15" t="s">
        <v>10</v>
      </c>
      <c r="D1129" s="15" t="s">
        <v>1877</v>
      </c>
      <c r="E1129" t="s">
        <v>8543</v>
      </c>
    </row>
    <row r="1130" spans="1:5" outlineLevel="1" x14ac:dyDescent="0.3">
      <c r="A1130" t="s">
        <v>1879</v>
      </c>
      <c r="B1130" t="s">
        <v>266</v>
      </c>
      <c r="C1130" s="15" t="s">
        <v>10</v>
      </c>
      <c r="D1130" s="15" t="s">
        <v>1877</v>
      </c>
      <c r="E1130" t="s">
        <v>8543</v>
      </c>
    </row>
    <row r="1131" spans="1:5" outlineLevel="1" x14ac:dyDescent="0.3">
      <c r="A1131" t="s">
        <v>1880</v>
      </c>
      <c r="B1131" t="s">
        <v>266</v>
      </c>
      <c r="C1131" s="15" t="s">
        <v>10</v>
      </c>
      <c r="D1131" s="15" t="s">
        <v>1881</v>
      </c>
      <c r="E1131" t="s">
        <v>8579</v>
      </c>
    </row>
    <row r="1132" spans="1:11" outlineLevel="1" x14ac:dyDescent="0.3">
      <c s="45" r="A1132" t="s">
        <v>1882</v>
      </c>
      <c s="45" r="B1132" t="s">
        <v>266</v>
      </c>
      <c r="C1132" s="46" t="s">
        <v>10</v>
      </c>
      <c r="D1132" s="46" t="s">
        <v>1883</v>
      </c>
      <c s="45" r="E1132" t="s">
        <v>9138</v>
      </c>
      <c r="F1132" s="45"/>
      <c r="G1132" s="45"/>
      <c r="H1132" s="45"/>
      <c r="I1132" s="45"/>
      <c s="45" r="J1132" t="inlineStr">
        <is>
          <t>Office AD For LIT / Digitization Rm (open plan)</t>
        </is>
      </c>
      <c s="45" r="K1132" t="inlineStr">
        <is>
          <t>QNL/BF-4.jpg</t>
        </is>
      </c>
      <c r="L1132" t="inlineStr">
        <is>
          <t>DIFF - the screen puts this unit somewhere column D does not</t>
        </is>
      </c>
      <c r="M1132" t="inlineStr">
        <is>
          <t>the dot is in the Digitization Rm end of the open band; Shell Space is the next room east across a wall, which is what column D says</t>
        </is>
      </c>
    </row>
    <row r="1133" spans="1:13" outlineLevel="1" x14ac:dyDescent="0.3">
      <c r="A1133" t="s">
        <v>1884</v>
      </c>
      <c r="B1133" t="s">
        <v>266</v>
      </c>
      <c r="C1133" s="15" t="s">
        <v>10</v>
      </c>
      <c r="D1133" s="15" t="s">
        <v>1877</v>
      </c>
      <c r="E1133" t="s">
        <v>8543</v>
      </c>
      <c r="J1133" t="inlineStr">
        <is>
          <t>Office AD For LIT / Digitization Rm (open plan)</t>
        </is>
      </c>
      <c r="K1133" t="inlineStr">
        <is>
          <t>QNL/BF-4.jpg</t>
        </is>
      </c>
      <c r="L1133" t="inlineStr">
        <is>
          <t>OPEN - one space, two or more labels; the screen cannot split them</t>
        </is>
      </c>
      <c r="M1133" t="inlineStr">
        <is>
          <t>open plan - Office AD For LIT end</t>
        </is>
      </c>
    </row>
    <row r="1134" spans="1:5" outlineLevel="1" x14ac:dyDescent="0.3">
      <c r="A1134" t="s">
        <v>1885</v>
      </c>
      <c r="B1134" t="s">
        <v>266</v>
      </c>
      <c r="C1134" s="15" t="s">
        <v>10</v>
      </c>
      <c r="D1134" s="15" t="s">
        <v>1877</v>
      </c>
      <c r="E1134" t="s">
        <v>8543</v>
      </c>
    </row>
    <row r="1135" spans="1:13" outlineLevel="1" x14ac:dyDescent="0.3">
      <c r="A1135" t="s">
        <v>1886</v>
      </c>
      <c r="B1135" t="s">
        <v>266</v>
      </c>
      <c r="C1135" s="15" t="s">
        <v>10</v>
      </c>
      <c r="D1135" s="15" t="s">
        <v>1877</v>
      </c>
      <c r="E1135" t="s">
        <v>8543</v>
      </c>
      <c r="J1135" t="inlineStr">
        <is>
          <t>Office AD For LIT / Digitization Rm (open plan)</t>
        </is>
      </c>
      <c r="K1135" t="inlineStr">
        <is>
          <t>QNL/BF-4.jpg</t>
        </is>
      </c>
      <c r="L1135" t="inlineStr">
        <is>
          <t>OPEN - one space, two or more labels; the screen cannot split them</t>
        </is>
      </c>
      <c r="M1135" t="inlineStr">
        <is>
          <t>open plan - Digitization Rm end</t>
        </is>
      </c>
    </row>
    <row r="1136" spans="1:13" outlineLevel="1" x14ac:dyDescent="0.3">
      <c r="A1136" t="s">
        <v>1887</v>
      </c>
      <c r="B1136" t="s">
        <v>266</v>
      </c>
      <c r="C1136" s="15" t="s">
        <v>10</v>
      </c>
      <c r="D1136" s="15" t="s">
        <v>1877</v>
      </c>
      <c r="E1136" t="s">
        <v>8543</v>
      </c>
      <c r="J1136" t="inlineStr">
        <is>
          <t>Office AD For LIT / Digitization Rm (open plan)</t>
        </is>
      </c>
      <c r="K1136" t="inlineStr">
        <is>
          <t>QNL/BF-4.jpg</t>
        </is>
      </c>
      <c r="L1136" t="inlineStr">
        <is>
          <t>OPEN - one space, two or more labels; the screen cannot split them</t>
        </is>
      </c>
      <c r="M1136" t="inlineStr">
        <is>
          <t>open plan - Digitization Rm end</t>
        </is>
      </c>
    </row>
    <row r="1137" spans="1:5" outlineLevel="1" x14ac:dyDescent="0.3">
      <c r="A1137" t="s">
        <v>1888</v>
      </c>
      <c r="B1137" t="s">
        <v>266</v>
      </c>
      <c r="C1137" s="15" t="s">
        <v>10</v>
      </c>
      <c r="D1137" s="15" t="s">
        <v>1881</v>
      </c>
      <c r="E1137" t="s">
        <v>8579</v>
      </c>
    </row>
    <row r="1138" spans="1:5" outlineLevel="1" x14ac:dyDescent="0.3">
      <c r="A1138" t="s">
        <v>1889</v>
      </c>
      <c r="B1138" t="s">
        <v>266</v>
      </c>
      <c r="C1138" s="15" t="s">
        <v>10</v>
      </c>
      <c r="D1138" s="15" t="s">
        <v>1883</v>
      </c>
      <c r="E1138" t="s">
        <v>9138</v>
      </c>
    </row>
    <row r="1139" spans="1:5" outlineLevel="1" x14ac:dyDescent="0.3">
      <c r="A1139" t="s">
        <v>1890</v>
      </c>
      <c r="B1139" t="s">
        <v>266</v>
      </c>
      <c r="C1139" s="15" t="s">
        <v>10</v>
      </c>
      <c r="D1139" s="15" t="s">
        <v>1877</v>
      </c>
      <c r="E1139" t="s">
        <v>8543</v>
      </c>
    </row>
    <row r="1140" spans="1:5" outlineLevel="1" x14ac:dyDescent="0.3">
      <c r="A1140" t="s">
        <v>1891</v>
      </c>
      <c r="B1140" t="s">
        <v>266</v>
      </c>
      <c r="C1140" s="15" t="s">
        <v>10</v>
      </c>
      <c r="D1140" s="15" t="s">
        <v>1877</v>
      </c>
      <c r="E1140" t="s">
        <v>8543</v>
      </c>
    </row>
    <row r="1141" spans="1:5" outlineLevel="1" x14ac:dyDescent="0.3">
      <c r="A1141" t="s">
        <v>1892</v>
      </c>
      <c r="B1141" t="s">
        <v>266</v>
      </c>
      <c r="C1141" s="15" t="s">
        <v>10</v>
      </c>
      <c r="D1141" s="15" t="s">
        <v>1893</v>
      </c>
      <c r="E1141" t="s">
        <v>9140</v>
      </c>
    </row>
    <row r="1142" spans="1:5" outlineLevel="1" x14ac:dyDescent="0.3">
      <c r="A1142" t="s">
        <v>1894</v>
      </c>
      <c r="B1142" t="s">
        <v>266</v>
      </c>
      <c r="C1142" s="15" t="s">
        <v>10</v>
      </c>
      <c r="D1142" s="15" t="s">
        <v>1895</v>
      </c>
      <c r="E1142" t="s">
        <v>9140</v>
      </c>
    </row>
    <row r="1143" spans="1:5" outlineLevel="1" x14ac:dyDescent="0.3">
      <c r="A1143" t="s">
        <v>1896</v>
      </c>
      <c r="B1143" t="s">
        <v>266</v>
      </c>
      <c r="C1143" s="15" t="s">
        <v>10</v>
      </c>
      <c r="D1143" s="15" t="s">
        <v>1897</v>
      </c>
      <c r="E1143" t="s">
        <v>8547</v>
      </c>
    </row>
    <row r="1144" spans="1:5" outlineLevel="1" x14ac:dyDescent="0.3">
      <c r="A1144" t="s">
        <v>1898</v>
      </c>
      <c r="B1144" t="s">
        <v>266</v>
      </c>
      <c r="C1144" s="15" t="s">
        <v>10</v>
      </c>
      <c r="D1144" s="15" t="s">
        <v>1897</v>
      </c>
      <c r="E1144" t="s">
        <v>8547</v>
      </c>
    </row>
    <row r="1145" spans="1:13" outlineLevel="1" x14ac:dyDescent="0.3">
      <c r="A1145" t="s">
        <v>1899</v>
      </c>
      <c r="B1145" t="s">
        <v>266</v>
      </c>
      <c r="C1145" s="15" t="s">
        <v>10</v>
      </c>
      <c r="D1145" s="15" t="s">
        <v>1897</v>
      </c>
      <c r="E1145" t="s">
        <v>8547</v>
      </c>
      <c r="J1145" t="inlineStr">
        <is>
          <t>Binding &amp; Preservation Space</t>
        </is>
      </c>
      <c r="K1145" t="inlineStr">
        <is>
          <t>QNL/BF-4.jpg</t>
        </is>
      </c>
      <c r="L1145" t="inlineStr">
        <is>
          <t>SAME - screen and column D name the same room</t>
        </is>
      </c>
    </row>
    <row r="1146" spans="1:13" outlineLevel="1" x14ac:dyDescent="0.3">
      <c r="A1146" t="s">
        <v>1900</v>
      </c>
      <c r="B1146" t="s">
        <v>266</v>
      </c>
      <c r="C1146" s="15" t="s">
        <v>10</v>
      </c>
      <c r="D1146" s="15" t="s">
        <v>1897</v>
      </c>
      <c r="E1146" t="s">
        <v>8547</v>
      </c>
      <c r="J1146" t="inlineStr">
        <is>
          <t>Binding &amp; Preservation Space</t>
        </is>
      </c>
      <c r="K1146" t="inlineStr">
        <is>
          <t>QNL/BF-4.jpg</t>
        </is>
      </c>
      <c r="L1146" t="inlineStr">
        <is>
          <t>SAME - screen and column D name the same room</t>
        </is>
      </c>
    </row>
    <row r="1147" spans="1:5" outlineLevel="1" x14ac:dyDescent="0.3">
      <c r="A1147" t="s">
        <v>1901</v>
      </c>
      <c r="B1147" t="s">
        <v>266</v>
      </c>
      <c r="C1147" s="15" t="s">
        <v>10</v>
      </c>
      <c r="D1147" s="15" t="s">
        <v>1897</v>
      </c>
      <c r="E1147" t="s">
        <v>8547</v>
      </c>
    </row>
    <row r="1148" spans="1:13" outlineLevel="1" x14ac:dyDescent="0.3">
      <c r="A1148" t="s">
        <v>1902</v>
      </c>
      <c r="B1148" t="s">
        <v>266</v>
      </c>
      <c r="C1148" s="15" t="s">
        <v>10</v>
      </c>
      <c r="D1148" s="15" t="s">
        <v>1903</v>
      </c>
      <c r="E1148" t="s">
        <v>9140</v>
      </c>
      <c r="J1148" t="inlineStr">
        <is>
          <t>Fine Binding / Q-Tel Rm</t>
        </is>
      </c>
      <c r="K1148" t="inlineStr">
        <is>
          <t>QNL/BF-4.jpg</t>
        </is>
      </c>
      <c r="L1148" t="inlineStr">
        <is>
          <t>SAME - screen and column D name the same room</t>
        </is>
      </c>
      <c r="M1148" t="inlineStr">
        <is>
          <t>one cell carrying both labels, west of Binding &amp; Preservation Space</t>
        </is>
      </c>
    </row>
    <row r="1149" spans="1:5" outlineLevel="1" x14ac:dyDescent="0.3">
      <c r="A1149" t="s">
        <v>1904</v>
      </c>
      <c r="B1149" t="s">
        <v>266</v>
      </c>
      <c r="C1149" s="15" t="s">
        <v>10</v>
      </c>
      <c r="D1149" s="15" t="s">
        <v>1897</v>
      </c>
      <c r="E1149" t="s">
        <v>8547</v>
      </c>
    </row>
    <row r="1150" spans="1:13" outlineLevel="1" x14ac:dyDescent="0.3">
      <c r="A1150" t="s">
        <v>1905</v>
      </c>
      <c r="B1150" t="s">
        <v>266</v>
      </c>
      <c r="C1150" s="15" t="s">
        <v>10</v>
      </c>
      <c r="D1150" s="15" t="s">
        <v>1897</v>
      </c>
      <c r="E1150" t="s">
        <v>8547</v>
      </c>
      <c r="J1150" t="inlineStr">
        <is>
          <t>Binding &amp; Preservation Space</t>
        </is>
      </c>
      <c r="K1150" t="inlineStr">
        <is>
          <t>QNL/BF-4.jpg</t>
        </is>
      </c>
      <c r="L1150" t="inlineStr">
        <is>
          <t>SAME - screen and column D name the same room</t>
        </is>
      </c>
    </row>
    <row r="1151" spans="1:13" outlineLevel="1" x14ac:dyDescent="0.3">
      <c r="A1151" t="s">
        <v>1906</v>
      </c>
      <c r="B1151" t="s">
        <v>266</v>
      </c>
      <c r="C1151" s="15" t="s">
        <v>10</v>
      </c>
      <c r="D1151" s="15" t="s">
        <v>1897</v>
      </c>
      <c r="E1151" t="s">
        <v>8547</v>
      </c>
      <c r="J1151" t="inlineStr">
        <is>
          <t>Binding &amp; Preservation Space</t>
        </is>
      </c>
      <c r="K1151" t="inlineStr">
        <is>
          <t>QNL/BF-4.jpg</t>
        </is>
      </c>
      <c r="L1151" t="inlineStr">
        <is>
          <t>SAME - screen and column D name the same room</t>
        </is>
      </c>
    </row>
    <row r="1152" spans="1:5" outlineLevel="1" x14ac:dyDescent="0.3">
      <c r="A1152" t="s">
        <v>1907</v>
      </c>
      <c r="B1152" t="s">
        <v>266</v>
      </c>
      <c r="C1152" s="15" t="s">
        <v>10</v>
      </c>
      <c r="D1152" s="15" t="s">
        <v>1897</v>
      </c>
      <c r="E1152" t="s">
        <v>8547</v>
      </c>
    </row>
    <row r="1153" spans="1:5" outlineLevel="1" x14ac:dyDescent="0.3">
      <c r="A1153" t="s">
        <v>1908</v>
      </c>
      <c r="B1153" t="s">
        <v>266</v>
      </c>
      <c r="C1153" s="15" t="s">
        <v>10</v>
      </c>
      <c r="D1153" s="15" t="s">
        <v>1909</v>
      </c>
      <c r="E1153" t="s">
        <v>8714</v>
      </c>
    </row>
    <row r="1154" spans="1:5" outlineLevel="1" x14ac:dyDescent="0.3">
      <c r="A1154" t="s">
        <v>1910</v>
      </c>
      <c r="B1154" t="s">
        <v>266</v>
      </c>
      <c r="C1154" s="15" t="s">
        <v>8</v>
      </c>
      <c r="D1154" s="15" t="s">
        <v>1911</v>
      </c>
      <c r="E1154" t="s">
        <v>8695</v>
      </c>
    </row>
    <row r="1155" spans="1:5" outlineLevel="1" x14ac:dyDescent="0.3">
      <c r="A1155" t="s">
        <v>1912</v>
      </c>
      <c r="B1155" t="s">
        <v>266</v>
      </c>
      <c r="C1155" s="15" t="s">
        <v>8</v>
      </c>
      <c r="D1155" s="15" t="s">
        <v>1911</v>
      </c>
      <c r="E1155" t="s">
        <v>8695</v>
      </c>
    </row>
    <row r="1156" spans="1:5" outlineLevel="1" x14ac:dyDescent="0.3">
      <c r="A1156" t="s">
        <v>1913</v>
      </c>
      <c r="B1156" t="s">
        <v>266</v>
      </c>
      <c r="C1156" s="15" t="s">
        <v>8</v>
      </c>
      <c r="D1156" s="15" t="s">
        <v>1911</v>
      </c>
      <c r="E1156" t="s">
        <v>8695</v>
      </c>
    </row>
    <row r="1157" spans="1:5" outlineLevel="1" x14ac:dyDescent="0.3">
      <c r="A1157" t="s">
        <v>1914</v>
      </c>
      <c r="B1157" t="s">
        <v>266</v>
      </c>
      <c r="C1157" s="15" t="s">
        <v>10</v>
      </c>
      <c r="D1157" s="15" t="s">
        <v>1909</v>
      </c>
      <c r="E1157" t="s">
        <v>8714</v>
      </c>
    </row>
    <row r="1158" spans="1:5" outlineLevel="1" x14ac:dyDescent="0.3">
      <c r="A1158" t="s">
        <v>1915</v>
      </c>
      <c r="B1158" t="s">
        <v>266</v>
      </c>
      <c r="C1158" s="15" t="s">
        <v>10</v>
      </c>
      <c r="D1158" s="15" t="s">
        <v>1909</v>
      </c>
      <c r="E1158" t="s">
        <v>8714</v>
      </c>
    </row>
    <row r="1159" spans="1:5" outlineLevel="1" x14ac:dyDescent="0.3">
      <c r="A1159" t="s">
        <v>1916</v>
      </c>
      <c r="B1159" t="s">
        <v>266</v>
      </c>
      <c r="C1159" s="15" t="s">
        <v>8</v>
      </c>
      <c r="D1159" s="15" t="s">
        <v>1917</v>
      </c>
      <c r="E1159" t="s">
        <v>8711</v>
      </c>
    </row>
    <row r="1160" spans="1:5" outlineLevel="1" x14ac:dyDescent="0.3">
      <c r="A1160" t="s">
        <v>1918</v>
      </c>
      <c r="B1160" t="s">
        <v>266</v>
      </c>
      <c r="C1160" s="15" t="s">
        <v>10</v>
      </c>
      <c r="D1160" s="15" t="s">
        <v>1919</v>
      </c>
      <c r="E1160" t="s">
        <v>8708</v>
      </c>
    </row>
    <row r="1161" spans="1:5" outlineLevel="1" x14ac:dyDescent="0.3">
      <c r="A1161" t="s">
        <v>1920</v>
      </c>
      <c r="B1161" t="s">
        <v>266</v>
      </c>
      <c r="C1161" s="15" t="s">
        <v>8</v>
      </c>
      <c r="D1161" s="15" t="s">
        <v>1921</v>
      </c>
      <c r="E1161" t="s">
        <v>8703</v>
      </c>
    </row>
    <row r="1162" spans="1:11" outlineLevel="1" x14ac:dyDescent="0.3">
      <c s="45" r="A1162" t="s">
        <v>1922</v>
      </c>
      <c s="45" r="B1162" t="s">
        <v>266</v>
      </c>
      <c r="C1162" s="46" t="s">
        <v>8</v>
      </c>
      <c r="D1162" s="46" t="s">
        <v>1921</v>
      </c>
      <c s="45" r="E1162" t="s">
        <v>8703</v>
      </c>
      <c r="F1162" s="45"/>
      <c r="G1162" s="45"/>
      <c r="H1162" s="45"/>
      <c r="I1162" s="45"/>
      <c s="45" r="J1162" t="inlineStr">
        <is>
          <t>Cell north-east of VIP Majlis</t>
        </is>
      </c>
      <c s="45" r="K1162" t="inlineStr">
        <is>
          <t>QNL/BF-8.jpg</t>
        </is>
      </c>
      <c r="L1162" t="inlineStr">
        <is>
          <t>CHECK - read, but with a caveat; see the reason</t>
        </is>
      </c>
      <c r="M1162" t="inlineStr">
        <is>
          <t>the cell carries no label of its own</t>
        </is>
      </c>
    </row>
    <row r="1163" spans="1:13" outlineLevel="1" x14ac:dyDescent="0.3">
      <c r="A1163" t="s">
        <v>1923</v>
      </c>
      <c r="B1163" t="s">
        <v>266</v>
      </c>
      <c r="C1163" s="15" t="s">
        <v>8</v>
      </c>
      <c r="D1163" s="15" t="s">
        <v>1924</v>
      </c>
      <c r="E1163" t="s">
        <v>8703</v>
      </c>
      <c r="J1163" t="inlineStr">
        <is>
          <t>VIP Majlis</t>
        </is>
      </c>
      <c r="K1163" t="inlineStr">
        <is>
          <t>QNL/BF-8.jpg</t>
        </is>
      </c>
      <c r="L1163" t="inlineStr">
        <is>
          <t>SAME - screen and column D name the same room</t>
        </is>
      </c>
    </row>
    <row r="1164" spans="1:5" outlineLevel="1" x14ac:dyDescent="0.3">
      <c r="A1164" t="s">
        <v>1925</v>
      </c>
      <c r="B1164" t="s">
        <v>266</v>
      </c>
      <c r="C1164" s="15" t="s">
        <v>8</v>
      </c>
      <c r="D1164" s="15" t="s">
        <v>1924</v>
      </c>
      <c r="E1164" t="s">
        <v>8703</v>
      </c>
    </row>
    <row r="1165" spans="1:5" outlineLevel="1" x14ac:dyDescent="0.3">
      <c r="A1165" t="s">
        <v>1926</v>
      </c>
      <c r="B1165" t="s">
        <v>266</v>
      </c>
      <c r="C1165" s="15" t="s">
        <v>10</v>
      </c>
      <c r="D1165" s="15" t="s">
        <v>1919</v>
      </c>
      <c r="E1165" t="s">
        <v>8708</v>
      </c>
    </row>
    <row r="1166" spans="1:5" outlineLevel="1" x14ac:dyDescent="0.3">
      <c r="A1166" s="15" t="s">
        <v>1927</v>
      </c>
      <c r="B1166" s="15" t="s">
        <v>1928</v>
      </c>
      <c r="C1166" s="15" t="s">
        <v>10</v>
      </c>
      <c r="D1166" s="15" t="s">
        <v>1929</v>
      </c>
      <c r="E1166" t="s">
        <v>9143</v>
      </c>
    </row>
    <row r="1167" spans="1:11" outlineLevel="1" x14ac:dyDescent="0.3">
      <c r="A1167" s="46" t="s">
        <v>1930</v>
      </c>
      <c r="B1167" s="46" t="s">
        <v>1928</v>
      </c>
      <c r="C1167" s="46" t="s">
        <v>10</v>
      </c>
      <c r="D1167" s="46" t="s">
        <v>1929</v>
      </c>
      <c s="45" r="E1167" t="s">
        <v>9143</v>
      </c>
      <c r="F1167" s="45"/>
      <c r="G1167" s="45"/>
      <c r="H1167" s="45"/>
      <c r="I1167" s="45"/>
      <c s="45" r="J1167" t="inlineStr">
        <is>
          <t>Grey area by L-1 and Rest Rm</t>
        </is>
      </c>
      <c s="45" r="K1167" t="inlineStr">
        <is>
          <t>QNL/FF.jpg</t>
        </is>
      </c>
      <c r="L1167" t="inlineStr">
        <is>
          <t>CHECK - read, but with a caveat; see the reason</t>
        </is>
      </c>
      <c r="M1167" t="inlineStr">
        <is>
          <t>unlabelled; may be the CORRIDOR L1.023 column D names</t>
        </is>
      </c>
    </row>
    <row r="1168" spans="1:5" outlineLevel="1" x14ac:dyDescent="0.3">
      <c r="A1168" s="15" t="s">
        <v>1931</v>
      </c>
      <c r="B1168" s="15" t="s">
        <v>1928</v>
      </c>
      <c r="C1168" s="15" t="s">
        <v>10</v>
      </c>
      <c r="D1168" s="15" t="s">
        <v>1932</v>
      </c>
      <c r="E1168" t="s">
        <v>8889</v>
      </c>
    </row>
    <row r="1169" spans="1:5" outlineLevel="1" x14ac:dyDescent="0.3">
      <c r="A1169" s="15" t="s">
        <v>1933</v>
      </c>
      <c r="B1169" s="15" t="s">
        <v>1928</v>
      </c>
      <c r="C1169" s="15" t="s">
        <v>10</v>
      </c>
      <c r="D1169" s="15" t="s">
        <v>1929</v>
      </c>
      <c r="E1169" t="s">
        <v>9143</v>
      </c>
    </row>
    <row r="1170" spans="1:5" outlineLevel="1" x14ac:dyDescent="0.3">
      <c r="A1170" s="15" t="s">
        <v>1934</v>
      </c>
      <c r="B1170" s="15" t="s">
        <v>1928</v>
      </c>
      <c r="C1170" s="15" t="s">
        <v>10</v>
      </c>
      <c r="D1170" s="15" t="s">
        <v>1932</v>
      </c>
      <c r="E1170" t="s">
        <v>8889</v>
      </c>
    </row>
    <row r="1171" spans="1:5" outlineLevel="1" x14ac:dyDescent="0.3">
      <c r="A1171" s="15" t="s">
        <v>1935</v>
      </c>
      <c r="B1171" s="15" t="s">
        <v>1928</v>
      </c>
      <c r="C1171" s="15" t="s">
        <v>10</v>
      </c>
      <c r="D1171" s="15" t="s">
        <v>1932</v>
      </c>
      <c r="E1171" t="s">
        <v>8889</v>
      </c>
    </row>
    <row r="1172" spans="1:13" outlineLevel="1" x14ac:dyDescent="0.3">
      <c r="A1172" s="15" t="s">
        <v>1936</v>
      </c>
      <c r="B1172" s="15" t="s">
        <v>1928</v>
      </c>
      <c r="C1172" s="15" t="s">
        <v>10</v>
      </c>
      <c r="D1172" s="15" t="s">
        <v>1451</v>
      </c>
      <c r="E1172" t="s">
        <v>9107</v>
      </c>
      <c r="J1172" t="inlineStr">
        <is>
          <t>Restaurant / Front Kitchen (open plan)</t>
        </is>
      </c>
      <c r="K1172" t="inlineStr">
        <is>
          <t>QNL/FF-2.jpg</t>
        </is>
      </c>
      <c r="L1172" t="inlineStr">
        <is>
          <t>OPEN - one space, two or more labels; the screen cannot split them</t>
        </is>
      </c>
      <c r="M1172" t="inlineStr">
        <is>
          <t>open plan</t>
        </is>
      </c>
    </row>
    <row r="1173" spans="1:5" outlineLevel="1" x14ac:dyDescent="0.3">
      <c r="A1173" s="15" t="s">
        <v>1937</v>
      </c>
      <c r="B1173" s="15" t="s">
        <v>1928</v>
      </c>
      <c r="C1173" s="15" t="s">
        <v>10</v>
      </c>
      <c r="D1173" s="15" t="s">
        <v>1938</v>
      </c>
      <c r="E1173" t="s">
        <v>8968</v>
      </c>
    </row>
    <row r="1174" spans="1:13" outlineLevel="1" x14ac:dyDescent="0.3">
      <c r="A1174" s="15" t="s">
        <v>1939</v>
      </c>
      <c r="B1174" s="15" t="s">
        <v>1928</v>
      </c>
      <c r="C1174" s="15" t="s">
        <v>10</v>
      </c>
      <c r="D1174" s="15" t="s">
        <v>1451</v>
      </c>
      <c r="E1174" t="s">
        <v>9107</v>
      </c>
      <c r="J1174" t="inlineStr">
        <is>
          <t>Restaurant / Front Kitchen (open plan)</t>
        </is>
      </c>
      <c r="K1174" t="inlineStr">
        <is>
          <t>QNL/FF-2.jpg</t>
        </is>
      </c>
      <c r="L1174" t="inlineStr">
        <is>
          <t>OPEN - one space, two or more labels; the screen cannot split them</t>
        </is>
      </c>
      <c r="M1174" t="inlineStr">
        <is>
          <t>open plan</t>
        </is>
      </c>
    </row>
    <row r="1175" spans="1:5" outlineLevel="1" x14ac:dyDescent="0.3">
      <c r="A1175" s="15" t="s">
        <v>1940</v>
      </c>
      <c r="B1175" s="15" t="s">
        <v>1928</v>
      </c>
      <c r="C1175" s="15" t="s">
        <v>10</v>
      </c>
      <c r="D1175" s="15" t="s">
        <v>1451</v>
      </c>
      <c r="E1175" t="s">
        <v>9107</v>
      </c>
    </row>
    <row r="1176" spans="1:5" outlineLevel="1" x14ac:dyDescent="0.3">
      <c r="A1176" s="15" t="s">
        <v>1941</v>
      </c>
      <c r="B1176" s="15" t="s">
        <v>1928</v>
      </c>
      <c r="C1176" s="15" t="s">
        <v>10</v>
      </c>
      <c r="D1176" s="15" t="s">
        <v>1451</v>
      </c>
      <c r="E1176" t="s">
        <v>9107</v>
      </c>
    </row>
    <row r="1177" spans="1:13" outlineLevel="1" x14ac:dyDescent="0.3">
      <c r="A1177" s="15" t="s">
        <v>1942</v>
      </c>
      <c r="B1177" s="15" t="s">
        <v>1928</v>
      </c>
      <c r="C1177" s="15" t="s">
        <v>10</v>
      </c>
      <c r="D1177" s="15" t="s">
        <v>1451</v>
      </c>
      <c r="E1177" t="s">
        <v>9107</v>
      </c>
      <c r="J1177" t="inlineStr">
        <is>
          <t>Restaurant / Front Kitchen (open plan)</t>
        </is>
      </c>
      <c r="K1177" t="inlineStr">
        <is>
          <t>QNL/FF-2.jpg</t>
        </is>
      </c>
      <c r="L1177" t="inlineStr">
        <is>
          <t>OPEN - one space, two or more labels; the screen cannot split them</t>
        </is>
      </c>
      <c r="M1177" t="inlineStr">
        <is>
          <t>open plan</t>
        </is>
      </c>
    </row>
    <row r="1178" spans="1:13" outlineLevel="1" x14ac:dyDescent="0.3">
      <c r="A1178" s="15" t="s">
        <v>1943</v>
      </c>
      <c r="B1178" s="15" t="s">
        <v>1928</v>
      </c>
      <c r="C1178" s="15" t="s">
        <v>10</v>
      </c>
      <c r="D1178" s="15" t="s">
        <v>1451</v>
      </c>
      <c r="E1178" t="s">
        <v>9107</v>
      </c>
      <c r="J1178" t="inlineStr">
        <is>
          <t>Restaurant / Front Kitchen (open plan)</t>
        </is>
      </c>
      <c r="K1178" t="inlineStr">
        <is>
          <t>QNL/FF-2.jpg</t>
        </is>
      </c>
      <c r="L1178" t="inlineStr">
        <is>
          <t>OPEN - one space, two or more labels; the screen cannot split them</t>
        </is>
      </c>
      <c r="M1178" t="inlineStr">
        <is>
          <t>open plan - by the Front Kitchen label</t>
        </is>
      </c>
    </row>
    <row r="1179" spans="1:13" outlineLevel="1" x14ac:dyDescent="0.3">
      <c r="A1179" s="15" t="s">
        <v>1944</v>
      </c>
      <c r="B1179" s="15" t="s">
        <v>1928</v>
      </c>
      <c r="C1179" s="15" t="s">
        <v>10</v>
      </c>
      <c r="D1179" s="15" t="s">
        <v>1451</v>
      </c>
      <c r="E1179" t="s">
        <v>9107</v>
      </c>
      <c r="J1179" t="inlineStr">
        <is>
          <t>Restaurant / Front Kitchen (open plan)</t>
        </is>
      </c>
      <c r="K1179" t="inlineStr">
        <is>
          <t>QNL/FF-2.jpg</t>
        </is>
      </c>
      <c r="L1179" t="inlineStr">
        <is>
          <t>OPEN - one space, two or more labels; the screen cannot split them</t>
        </is>
      </c>
      <c r="M1179" t="inlineStr">
        <is>
          <t>open plan</t>
        </is>
      </c>
    </row>
    <row r="1180" spans="1:5" outlineLevel="1" x14ac:dyDescent="0.3">
      <c r="A1180" s="15" t="s">
        <v>1945</v>
      </c>
      <c r="B1180" s="15" t="s">
        <v>1928</v>
      </c>
      <c r="C1180" s="15" t="s">
        <v>10</v>
      </c>
      <c r="D1180" s="15" t="s">
        <v>1451</v>
      </c>
      <c r="E1180" t="s">
        <v>9107</v>
      </c>
    </row>
    <row r="1181" spans="1:13" outlineLevel="1" x14ac:dyDescent="0.3">
      <c r="A1181" s="15" t="s">
        <v>1946</v>
      </c>
      <c r="B1181" s="15" t="s">
        <v>1928</v>
      </c>
      <c r="C1181" s="15" t="s">
        <v>10</v>
      </c>
      <c r="D1181" s="15" t="s">
        <v>1451</v>
      </c>
      <c r="E1181" t="s">
        <v>9107</v>
      </c>
      <c r="J1181" t="inlineStr">
        <is>
          <t>Restaurant / Front Kitchen (open plan)</t>
        </is>
      </c>
      <c r="K1181" t="inlineStr">
        <is>
          <t>QNL/FF-2.jpg</t>
        </is>
      </c>
      <c r="L1181" t="inlineStr">
        <is>
          <t>OPEN - one space, two or more labels; the screen cannot split them</t>
        </is>
      </c>
      <c r="M1181" t="inlineStr">
        <is>
          <t>open plan</t>
        </is>
      </c>
    </row>
    <row r="1182" spans="1:13" outlineLevel="1" x14ac:dyDescent="0.3">
      <c r="A1182" s="15" t="s">
        <v>1947</v>
      </c>
      <c r="B1182" s="15" t="s">
        <v>1928</v>
      </c>
      <c r="C1182" s="15" t="s">
        <v>10</v>
      </c>
      <c r="D1182" s="15" t="s">
        <v>1451</v>
      </c>
      <c r="E1182" t="s">
        <v>9107</v>
      </c>
      <c r="J1182" t="inlineStr">
        <is>
          <t>Restaurant / Front Kitchen (open plan)</t>
        </is>
      </c>
      <c r="K1182" t="inlineStr">
        <is>
          <t>QNL/FF-2.jpg</t>
        </is>
      </c>
      <c r="L1182" t="inlineStr">
        <is>
          <t>OPEN - one space, two or more labels; the screen cannot split them</t>
        </is>
      </c>
      <c r="M1182" t="inlineStr">
        <is>
          <t>open plan</t>
        </is>
      </c>
    </row>
    <row r="1183" spans="1:13" outlineLevel="1" x14ac:dyDescent="0.3">
      <c r="A1183" s="15" t="s">
        <v>1948</v>
      </c>
      <c r="B1183" s="15" t="s">
        <v>1928</v>
      </c>
      <c r="C1183" s="15" t="s">
        <v>10</v>
      </c>
      <c r="D1183" s="15" t="s">
        <v>1451</v>
      </c>
      <c r="E1183" t="s">
        <v>9107</v>
      </c>
      <c r="J1183" t="inlineStr">
        <is>
          <t>Restaurant / Front Kitchen (open plan)</t>
        </is>
      </c>
      <c r="K1183" t="inlineStr">
        <is>
          <t>QNL/FF-2.jpg</t>
        </is>
      </c>
      <c r="L1183" t="inlineStr">
        <is>
          <t>OPEN - one space, two or more labels; the screen cannot split them</t>
        </is>
      </c>
      <c r="M1183" t="inlineStr">
        <is>
          <t>open plan</t>
        </is>
      </c>
    </row>
    <row r="1184" spans="1:5" outlineLevel="1" x14ac:dyDescent="0.3">
      <c r="A1184" s="15" t="s">
        <v>1949</v>
      </c>
      <c r="B1184" s="15" t="s">
        <v>1928</v>
      </c>
      <c r="C1184" s="15" t="s">
        <v>10</v>
      </c>
      <c r="D1184" s="15" t="s">
        <v>1950</v>
      </c>
      <c r="E1184" t="s">
        <v>8968</v>
      </c>
    </row>
    <row r="1185" spans="1:11" outlineLevel="1" x14ac:dyDescent="0.3">
      <c r="A1185" s="46" t="s">
        <v>1951</v>
      </c>
      <c r="B1185" s="46" t="s">
        <v>1928</v>
      </c>
      <c r="C1185" s="46" t="s">
        <v>10</v>
      </c>
      <c r="D1185" s="46" t="s">
        <v>1952</v>
      </c>
      <c s="45" r="E1185" t="s">
        <v>8988</v>
      </c>
      <c r="F1185" s="45"/>
      <c r="G1185" s="45"/>
      <c r="H1185" s="45"/>
      <c r="I1185" s="45"/>
      <c s="45" r="J1185" t="inlineStr">
        <is>
          <t>Band south of the Media Studios</t>
        </is>
      </c>
      <c s="45" r="K1185" t="inlineStr">
        <is>
          <t>QNL/FF-3.jpg</t>
        </is>
      </c>
      <c r="L1185" t="inlineStr">
        <is>
          <t>CHECK - read, but with a caveat; see the reason</t>
        </is>
      </c>
      <c r="M1185" t="inlineStr">
        <is>
          <t>the band carries no label; column D says FURNITURE STORE L1.153</t>
        </is>
      </c>
    </row>
    <row r="1186" spans="1:11" outlineLevel="1" x14ac:dyDescent="0.3">
      <c r="A1186" s="46" t="s">
        <v>1953</v>
      </c>
      <c r="B1186" s="46" t="s">
        <v>1928</v>
      </c>
      <c r="C1186" s="46" t="s">
        <v>10</v>
      </c>
      <c r="D1186" s="46" t="s">
        <v>1954</v>
      </c>
      <c s="45" r="E1186" t="s">
        <v>9145</v>
      </c>
      <c r="F1186" s="45"/>
      <c r="G1186" s="45"/>
      <c r="H1186" s="45"/>
      <c r="I1186" s="45"/>
      <c s="45" r="J1186" t="inlineStr">
        <is>
          <t>Plant Rm 1</t>
        </is>
      </c>
      <c s="45" r="K1186" t="inlineStr">
        <is>
          <t>QNL/BF-2.jpg</t>
        </is>
      </c>
      <c r="L1186" t="inlineStr">
        <is>
          <t>DIFF - the screen puts this unit somewhere column D does not</t>
        </is>
      </c>
      <c r="M1186" t="inlineStr">
        <is>
          <t>both S12-001 and S12-002 land in Plant Rm 1; column D says CORRIDOR B.061</t>
        </is>
      </c>
    </row>
    <row r="1187" spans="1:13" outlineLevel="1" x14ac:dyDescent="0.3">
      <c r="A1187" s="15" t="s">
        <v>1955</v>
      </c>
      <c r="B1187" s="15" t="s">
        <v>1928</v>
      </c>
      <c r="C1187" s="15" t="s">
        <v>8</v>
      </c>
      <c r="D1187" s="15" t="s">
        <v>1525</v>
      </c>
      <c r="E1187" t="s">
        <v>8586</v>
      </c>
      <c r="J1187" t="inlineStr">
        <is>
          <t>Plant Rm 1</t>
        </is>
      </c>
      <c r="K1187" t="inlineStr">
        <is>
          <t>QNL/BF-2.jpg</t>
        </is>
      </c>
      <c r="L1187" t="inlineStr">
        <is>
          <t>SAME - screen and column D name the same room</t>
        </is>
      </c>
    </row>
    <row r="1188" spans="1:13" outlineLevel="1" x14ac:dyDescent="0.3">
      <c r="A1188" s="15" t="s">
        <v>1956</v>
      </c>
      <c r="B1188" s="15" t="s">
        <v>1928</v>
      </c>
      <c r="C1188" s="15" t="s">
        <v>8</v>
      </c>
      <c r="D1188" s="15" t="s">
        <v>1525</v>
      </c>
      <c r="E1188" t="s">
        <v>8586</v>
      </c>
      <c r="J1188" t="inlineStr">
        <is>
          <t>Plant Rm 1</t>
        </is>
      </c>
      <c r="K1188" t="inlineStr">
        <is>
          <t>QNL/BF-2.jpg</t>
        </is>
      </c>
      <c r="L1188" t="inlineStr">
        <is>
          <t>SAME - screen and column D name the same room</t>
        </is>
      </c>
    </row>
    <row r="1189" spans="1:13" outlineLevel="1" x14ac:dyDescent="0.3">
      <c r="A1189" s="15" t="s">
        <v>1957</v>
      </c>
      <c r="B1189" s="15" t="s">
        <v>1928</v>
      </c>
      <c r="C1189" s="15" t="s">
        <v>10</v>
      </c>
      <c r="D1189" s="15" t="s">
        <v>1958</v>
      </c>
      <c r="E1189" t="s">
        <v>9147</v>
      </c>
      <c r="J1189" t="inlineStr">
        <is>
          <t>Corridor south of Plant Rm 1</t>
        </is>
      </c>
      <c r="K1189" t="inlineStr">
        <is>
          <t>QNL/BF-2.jpg</t>
        </is>
      </c>
      <c r="L1189" t="inlineStr">
        <is>
          <t>SAME - screen and column D name the same room</t>
        </is>
      </c>
    </row>
    <row r="1190" spans="1:13" outlineLevel="1" x14ac:dyDescent="0.3">
      <c r="A1190" s="15" t="s">
        <v>1959</v>
      </c>
      <c r="B1190" s="15" t="s">
        <v>1928</v>
      </c>
      <c r="C1190" s="15" t="s">
        <v>10</v>
      </c>
      <c r="D1190" s="15" t="s">
        <v>1958</v>
      </c>
      <c r="E1190" t="s">
        <v>9147</v>
      </c>
      <c r="J1190" t="inlineStr">
        <is>
          <t>Corridor south of Plant Rm 1</t>
        </is>
      </c>
      <c r="K1190" t="inlineStr">
        <is>
          <t>QNL/BF-2.jpg</t>
        </is>
      </c>
      <c r="L1190" t="inlineStr">
        <is>
          <t>SAME - screen and column D name the same room</t>
        </is>
      </c>
    </row>
    <row r="1191" spans="1:5" outlineLevel="1" x14ac:dyDescent="0.3">
      <c r="A1191" s="15" t="s">
        <v>1960</v>
      </c>
      <c r="B1191" s="15" t="s">
        <v>1928</v>
      </c>
      <c r="C1191" s="15" t="s">
        <v>10</v>
      </c>
      <c r="D1191" s="15" t="s">
        <v>1958</v>
      </c>
      <c r="E1191" t="s">
        <v>9147</v>
      </c>
    </row>
    <row r="1192" spans="1:13" outlineLevel="1" x14ac:dyDescent="0.3">
      <c r="A1192" s="15" t="s">
        <v>1961</v>
      </c>
      <c r="B1192" s="15" t="s">
        <v>1928</v>
      </c>
      <c r="C1192" s="15" t="s">
        <v>10</v>
      </c>
      <c r="D1192" s="15" t="s">
        <v>1958</v>
      </c>
      <c r="E1192" t="s">
        <v>9147</v>
      </c>
      <c r="J1192" t="inlineStr">
        <is>
          <t>Corridor 2</t>
        </is>
      </c>
      <c r="K1192" t="inlineStr">
        <is>
          <t>QNL/BF-5.jpg</t>
        </is>
      </c>
      <c r="L1192" t="inlineStr">
        <is>
          <t>SAME - screen and column D name the same room</t>
        </is>
      </c>
    </row>
    <row r="1193" spans="1:13" outlineLevel="1" x14ac:dyDescent="0.3">
      <c r="A1193" s="15" t="s">
        <v>1962</v>
      </c>
      <c r="B1193" s="15" t="s">
        <v>1928</v>
      </c>
      <c r="C1193" s="15" t="s">
        <v>10</v>
      </c>
      <c r="D1193" s="15" t="s">
        <v>1958</v>
      </c>
      <c r="E1193" t="s">
        <v>9147</v>
      </c>
      <c r="J1193" t="inlineStr">
        <is>
          <t>Corridor 2</t>
        </is>
      </c>
      <c r="K1193" t="inlineStr">
        <is>
          <t>QNL/BF-5.jpg</t>
        </is>
      </c>
      <c r="L1193" t="inlineStr">
        <is>
          <t>SAME - screen and column D name the same room</t>
        </is>
      </c>
    </row>
    <row r="1194" spans="1:11" outlineLevel="1" x14ac:dyDescent="0.3">
      <c r="A1194" s="46" t="s">
        <v>1963</v>
      </c>
      <c r="B1194" s="46" t="s">
        <v>1928</v>
      </c>
      <c r="C1194" s="46" t="s">
        <v>10</v>
      </c>
      <c r="D1194" s="46" t="s">
        <v>1964</v>
      </c>
      <c s="45" r="E1194" t="s">
        <v>9150</v>
      </c>
      <c r="F1194" s="45"/>
      <c r="G1194" s="45"/>
      <c r="H1194" s="45"/>
      <c r="I1194" s="45"/>
      <c s="45" r="J1194" t="inlineStr">
        <is>
          <t>Plant Rm 2 - narrow band along its north wall</t>
        </is>
      </c>
      <c s="45" r="K1194" t="inlineStr">
        <is>
          <t>QNL/BF-2.jpg</t>
        </is>
      </c>
      <c r="L1194" t="inlineStr">
        <is>
          <t>CHECK - read, but with a caveat; see the reason</t>
        </is>
      </c>
      <c r="M1194" t="inlineStr">
        <is>
          <t>the band may be the Corridor 4 column D names; it carries no label here</t>
        </is>
      </c>
    </row>
    <row r="1195" spans="1:13" outlineLevel="1" x14ac:dyDescent="0.3">
      <c r="A1195" s="15" t="s">
        <v>1965</v>
      </c>
      <c r="B1195" s="15" t="s">
        <v>1928</v>
      </c>
      <c r="C1195" s="15" t="s">
        <v>10</v>
      </c>
      <c r="D1195" s="15" t="s">
        <v>1964</v>
      </c>
      <c r="E1195" t="s">
        <v>9150</v>
      </c>
      <c r="J1195" t="inlineStr">
        <is>
          <t>Corridor 4</t>
        </is>
      </c>
      <c r="K1195" t="inlineStr">
        <is>
          <t>QNL/BF-1.jpg</t>
        </is>
      </c>
      <c r="L1195" t="inlineStr">
        <is>
          <t>SAME - screen and column D name the same room</t>
        </is>
      </c>
    </row>
    <row r="1196" spans="1:11" outlineLevel="1" x14ac:dyDescent="0.3">
      <c r="A1196" s="46" t="s">
        <v>1966</v>
      </c>
      <c r="B1196" s="46" t="s">
        <v>1928</v>
      </c>
      <c r="C1196" s="46" t="s">
        <v>10</v>
      </c>
      <c r="D1196" s="46" t="s">
        <v>1964</v>
      </c>
      <c s="45" r="E1196" t="s">
        <v>9150</v>
      </c>
      <c r="F1196" s="45"/>
      <c r="G1196" s="45"/>
      <c r="H1196" s="45"/>
      <c r="I1196" s="45"/>
      <c s="45" r="J1196" t="inlineStr">
        <is>
          <t>Unlabelled strip north of Fire Cmd</t>
        </is>
      </c>
      <c s="45" r="K1196" t="inlineStr">
        <is>
          <t>QNL/BF-3.jpg</t>
        </is>
      </c>
      <c r="L1196" t="inlineStr">
        <is>
          <t>CHECK - read, but with a caveat; see the reason</t>
        </is>
      </c>
      <c r="M1196" t="inlineStr">
        <is>
          <t>the strip carries no label; column D says CORRIDOR 4 B.035</t>
        </is>
      </c>
    </row>
    <row r="1197" spans="1:13" outlineLevel="1" x14ac:dyDescent="0.3">
      <c r="A1197" s="15" t="s">
        <v>1967</v>
      </c>
      <c r="B1197" s="15" t="s">
        <v>1928</v>
      </c>
      <c r="C1197" s="15" t="s">
        <v>10</v>
      </c>
      <c r="D1197" s="15" t="s">
        <v>1968</v>
      </c>
      <c r="E1197" t="s">
        <v>8651</v>
      </c>
      <c r="J1197" t="inlineStr">
        <is>
          <t>Storage</t>
        </is>
      </c>
      <c r="K1197" t="inlineStr">
        <is>
          <t>QNL/BF-5.jpg</t>
        </is>
      </c>
      <c r="L1197" t="inlineStr">
        <is>
          <t>SAME - screen and column D name the same room</t>
        </is>
      </c>
      <c r="M1197" t="inlineStr">
        <is>
          <t>the dot sits on the Storage / Security Equip. boundary</t>
        </is>
      </c>
    </row>
    <row r="1198" spans="1:13" outlineLevel="1" x14ac:dyDescent="0.3">
      <c r="A1198" s="15" t="s">
        <v>1969</v>
      </c>
      <c r="B1198" s="15" t="s">
        <v>1928</v>
      </c>
      <c r="C1198" s="15" t="s">
        <v>8</v>
      </c>
      <c r="D1198" s="15" t="s">
        <v>1528</v>
      </c>
      <c r="E1198" t="s">
        <v>8594</v>
      </c>
      <c r="J1198" t="inlineStr">
        <is>
          <t>Plant Rm 2</t>
        </is>
      </c>
      <c r="K1198" t="inlineStr">
        <is>
          <t>QNL/BF-2.jpg</t>
        </is>
      </c>
      <c r="L1198" t="inlineStr">
        <is>
          <t>SAME - screen and column D name the same room</t>
        </is>
      </c>
    </row>
    <row r="1199" spans="1:13" outlineLevel="1" x14ac:dyDescent="0.3">
      <c r="A1199" s="15" t="s">
        <v>1970</v>
      </c>
      <c r="B1199" s="15" t="s">
        <v>1928</v>
      </c>
      <c r="C1199" s="15" t="s">
        <v>8</v>
      </c>
      <c r="D1199" s="15" t="s">
        <v>1528</v>
      </c>
      <c r="E1199" t="s">
        <v>8594</v>
      </c>
      <c r="J1199" t="inlineStr">
        <is>
          <t>Plant Rm 2</t>
        </is>
      </c>
      <c r="K1199" t="inlineStr">
        <is>
          <t>QNL/BF-2.jpg</t>
        </is>
      </c>
      <c r="L1199" t="inlineStr">
        <is>
          <t>SAME - screen and column D name the same room</t>
        </is>
      </c>
    </row>
    <row r="1200" spans="1:11" outlineLevel="1" x14ac:dyDescent="0.3">
      <c r="A1200" s="46" t="s">
        <v>1971</v>
      </c>
      <c r="B1200" s="46" t="s">
        <v>1928</v>
      </c>
      <c r="C1200" s="46" t="s">
        <v>8</v>
      </c>
      <c r="D1200" s="46" t="s">
        <v>1972</v>
      </c>
      <c s="45" r="E1200" t="s">
        <v>8597</v>
      </c>
      <c r="F1200" s="45"/>
      <c r="G1200" s="45"/>
      <c r="H1200" s="45"/>
      <c r="I1200" s="45"/>
      <c s="45" r="J1200" t="inlineStr">
        <is>
          <t>Plant Rm 2</t>
        </is>
      </c>
      <c s="45" r="K1200" t="inlineStr">
        <is>
          <t>QNL/BF-2.jpg</t>
        </is>
      </c>
      <c r="L1200" t="inlineStr">
        <is>
          <t>DIFF - the screen puts this unit somewhere column D does not</t>
        </is>
      </c>
      <c r="M1200" t="inlineStr">
        <is>
          <t>dot is inside Plant Rm 2 with S13-010 and S13-011; column D says Fire Command B.071</t>
        </is>
      </c>
    </row>
    <row r="1201" spans="1:13" outlineLevel="1" x14ac:dyDescent="0.3">
      <c r="A1201" s="15" t="s">
        <v>1973</v>
      </c>
      <c r="B1201" s="15" t="s">
        <v>1928</v>
      </c>
      <c r="C1201" s="15" t="s">
        <v>8</v>
      </c>
      <c r="D1201" s="15" t="s">
        <v>1974</v>
      </c>
      <c r="E1201" t="s">
        <v>8619</v>
      </c>
      <c r="J1201" t="inlineStr">
        <is>
          <t>Gas Suppression</t>
        </is>
      </c>
      <c r="K1201" t="inlineStr">
        <is>
          <t>QNL/BF-3.jpg</t>
        </is>
      </c>
      <c r="L1201" t="inlineStr">
        <is>
          <t>SAME - screen and column D name the same room</t>
        </is>
      </c>
    </row>
    <row r="1202" spans="1:11" outlineLevel="1" x14ac:dyDescent="0.3">
      <c r="A1202" s="46" t="s">
        <v>1975</v>
      </c>
      <c r="B1202" s="46" t="s">
        <v>1928</v>
      </c>
      <c r="C1202" s="46" t="s">
        <v>10</v>
      </c>
      <c r="D1202" s="46" t="s">
        <v>1976</v>
      </c>
      <c s="45" r="E1202" t="s">
        <v>8622</v>
      </c>
      <c r="F1202" s="45"/>
      <c r="G1202" s="45"/>
      <c r="H1202" s="45"/>
      <c r="I1202" s="45"/>
      <c s="45" r="J1202" t="inlineStr">
        <is>
          <t>Cell between Gas Suppression and Server Rm</t>
        </is>
      </c>
      <c s="45" r="K1202" t="inlineStr">
        <is>
          <t>QNL/BF-3.jpg</t>
        </is>
      </c>
      <c r="L1202" t="inlineStr">
        <is>
          <t>CHECK - read, but with a caveat; see the reason</t>
        </is>
      </c>
      <c r="M1202" t="inlineStr">
        <is>
          <t>the middle cell carries no label of its own</t>
        </is>
      </c>
    </row>
    <row r="1203" spans="1:13" outlineLevel="1" x14ac:dyDescent="0.3">
      <c r="A1203" s="15" t="s">
        <v>1977</v>
      </c>
      <c r="B1203" s="15" t="s">
        <v>1928</v>
      </c>
      <c r="C1203" s="15" t="s">
        <v>8</v>
      </c>
      <c r="D1203" s="15" t="s">
        <v>1978</v>
      </c>
      <c r="E1203" t="s">
        <v>8625</v>
      </c>
      <c r="J1203" t="inlineStr">
        <is>
          <t>Server Rm</t>
        </is>
      </c>
      <c r="K1203" t="inlineStr">
        <is>
          <t>QNL/BF-3.jpg</t>
        </is>
      </c>
      <c r="L1203" t="inlineStr">
        <is>
          <t>SAME - screen and column D name the same room</t>
        </is>
      </c>
    </row>
    <row r="1204" spans="1:5" outlineLevel="1" x14ac:dyDescent="0.3">
      <c r="A1204" s="15" t="s">
        <v>1979</v>
      </c>
      <c r="B1204" s="15" t="s">
        <v>1928</v>
      </c>
      <c r="C1204" s="15" t="s">
        <v>8</v>
      </c>
      <c r="D1204" s="15" t="s">
        <v>1980</v>
      </c>
      <c r="E1204" t="s">
        <v>8611</v>
      </c>
    </row>
    <row r="1205" spans="1:13" outlineLevel="1" x14ac:dyDescent="0.3">
      <c r="A1205" s="15" t="s">
        <v>1981</v>
      </c>
      <c r="B1205" s="15" t="s">
        <v>1928</v>
      </c>
      <c r="C1205" s="15" t="s">
        <v>8</v>
      </c>
      <c r="D1205" s="15" t="s">
        <v>1982</v>
      </c>
      <c r="E1205" t="s">
        <v>8600</v>
      </c>
      <c r="J1205" t="inlineStr">
        <is>
          <t>Sprinkler Pump</t>
        </is>
      </c>
      <c r="K1205" t="inlineStr">
        <is>
          <t>QNL/BF-3.jpg</t>
        </is>
      </c>
      <c r="L1205" t="inlineStr">
        <is>
          <t>SAME - screen and column D name the same room</t>
        </is>
      </c>
    </row>
    <row r="1206" spans="1:5" outlineLevel="1" x14ac:dyDescent="0.3">
      <c r="A1206" s="15" t="s">
        <v>1983</v>
      </c>
      <c r="B1206" s="15" t="s">
        <v>1928</v>
      </c>
      <c r="C1206" s="15" t="s">
        <v>8</v>
      </c>
      <c r="D1206" s="15" t="s">
        <v>1984</v>
      </c>
      <c r="E1206" t="s">
        <v>9153</v>
      </c>
    </row>
    <row r="1207" spans="1:5" outlineLevel="1" x14ac:dyDescent="0.3">
      <c r="A1207" s="15" t="s">
        <v>1985</v>
      </c>
      <c r="B1207" s="15" t="s">
        <v>1928</v>
      </c>
      <c r="C1207" s="15" t="s">
        <v>10</v>
      </c>
      <c r="D1207" s="15" t="s">
        <v>1986</v>
      </c>
      <c r="E1207" t="s">
        <v>8570</v>
      </c>
    </row>
    <row r="1208" spans="1:5" outlineLevel="1" x14ac:dyDescent="0.3">
      <c r="A1208" s="15" t="s">
        <v>1987</v>
      </c>
      <c r="B1208" s="15" t="s">
        <v>1928</v>
      </c>
      <c r="C1208" s="15" t="s">
        <v>10</v>
      </c>
      <c r="D1208" s="15" t="s">
        <v>1988</v>
      </c>
      <c r="E1208" t="s">
        <v>9155</v>
      </c>
    </row>
    <row r="1209" spans="1:5" outlineLevel="1" x14ac:dyDescent="0.3">
      <c r="A1209" s="15" t="s">
        <v>1989</v>
      </c>
      <c r="B1209" s="15" t="s">
        <v>1928</v>
      </c>
      <c r="C1209" s="15" t="s">
        <v>8</v>
      </c>
      <c r="D1209" s="15" t="s">
        <v>1990</v>
      </c>
      <c r="E1209" t="s">
        <v>8665</v>
      </c>
    </row>
    <row r="1210" spans="1:13" outlineLevel="1" x14ac:dyDescent="0.3">
      <c r="A1210" s="15" t="s">
        <v>1991</v>
      </c>
      <c r="B1210" s="15" t="s">
        <v>1928</v>
      </c>
      <c r="C1210" s="15" t="s">
        <v>8</v>
      </c>
      <c r="D1210" s="15" t="s">
        <v>1990</v>
      </c>
      <c r="E1210" t="s">
        <v>8665</v>
      </c>
      <c r="J1210" t="inlineStr">
        <is>
          <t>Plant Rm 3 / Corridor 5 (open plan)</t>
        </is>
      </c>
      <c r="K1210" t="inlineStr">
        <is>
          <t>QNL/BF-6.jpg</t>
        </is>
      </c>
      <c r="L1210" t="inlineStr">
        <is>
          <t>OPEN - one space, two or more labels; the screen cannot split them</t>
        </is>
      </c>
      <c r="M1210" t="inlineStr">
        <is>
          <t>open plan - level with the Corridor 5 label</t>
        </is>
      </c>
    </row>
    <row r="1211" spans="1:5" outlineLevel="1" x14ac:dyDescent="0.3">
      <c r="A1211" s="15" t="s">
        <v>1992</v>
      </c>
      <c r="B1211" s="15" t="s">
        <v>1928</v>
      </c>
      <c r="C1211" s="15" t="s">
        <v>8</v>
      </c>
      <c r="D1211" s="15" t="s">
        <v>1990</v>
      </c>
      <c r="E1211" t="s">
        <v>8665</v>
      </c>
    </row>
    <row r="1212" spans="1:13" outlineLevel="1" x14ac:dyDescent="0.3">
      <c r="A1212" s="15" t="s">
        <v>1993</v>
      </c>
      <c r="B1212" s="15" t="s">
        <v>1928</v>
      </c>
      <c r="C1212" s="15" t="s">
        <v>10</v>
      </c>
      <c r="D1212" s="15" t="s">
        <v>1994</v>
      </c>
      <c r="E1212" t="s">
        <v>9140</v>
      </c>
      <c r="J1212" t="inlineStr">
        <is>
          <t>Pink lobby west of Refrigerated Store</t>
        </is>
      </c>
      <c r="K1212" t="inlineStr">
        <is>
          <t>QNL/BF-4.jpg</t>
        </is>
      </c>
      <c r="L1212" t="inlineStr">
        <is>
          <t>SAME - screen and column D name the same room</t>
        </is>
      </c>
    </row>
    <row r="1213" spans="1:5" outlineLevel="1" x14ac:dyDescent="0.3">
      <c r="A1213" s="15" t="s">
        <v>1995</v>
      </c>
      <c r="B1213" s="15" t="s">
        <v>1928</v>
      </c>
      <c r="C1213" s="15" t="s">
        <v>10</v>
      </c>
      <c r="D1213" s="15" t="s">
        <v>1996</v>
      </c>
      <c r="E1213" t="s">
        <v>9140</v>
      </c>
    </row>
    <row r="1214" spans="1:5" outlineLevel="1" x14ac:dyDescent="0.3">
      <c r="A1214" s="15" t="s">
        <v>1997</v>
      </c>
      <c r="B1214" s="15" t="s">
        <v>1928</v>
      </c>
      <c r="C1214" s="15" t="s">
        <v>10</v>
      </c>
      <c r="D1214" s="15" t="s">
        <v>1998</v>
      </c>
      <c r="E1214" t="s">
        <v>8586</v>
      </c>
    </row>
    <row r="1215" spans="1:5" outlineLevel="1" x14ac:dyDescent="0.3">
      <c r="A1215" s="15" t="s">
        <v>1999</v>
      </c>
      <c r="B1215" s="15" t="s">
        <v>1928</v>
      </c>
      <c r="C1215" s="15" t="s">
        <v>10</v>
      </c>
      <c r="D1215" s="15" t="s">
        <v>1998</v>
      </c>
      <c r="E1215" t="s">
        <v>8586</v>
      </c>
    </row>
    <row r="1216" spans="1:5" outlineLevel="1" x14ac:dyDescent="0.3">
      <c r="A1216" s="15" t="s">
        <v>2000</v>
      </c>
      <c r="B1216" s="15" t="s">
        <v>1928</v>
      </c>
      <c r="C1216" s="15" t="s">
        <v>10</v>
      </c>
      <c r="D1216" s="15" t="s">
        <v>1998</v>
      </c>
      <c r="E1216" t="s">
        <v>8586</v>
      </c>
    </row>
    <row r="1217" spans="1:11" outlineLevel="1" x14ac:dyDescent="0.3">
      <c r="A1217" s="46" t="s">
        <v>5231</v>
      </c>
      <c r="B1217" s="46" t="s">
        <v>5046</v>
      </c>
      <c r="C1217" s="45"/>
      <c r="D1217" s="46" t="s">
        <v>9233</v>
      </c>
      <c s="45" r="E1217" t="s">
        <v>8605</v>
      </c>
      <c r="F1217" s="45"/>
      <c r="G1217" s="45"/>
      <c r="H1217" s="45"/>
      <c r="I1217" s="45"/>
      <c s="45" r="J1217" t="inlineStr">
        <is>
          <t>Corridor 4</t>
        </is>
      </c>
      <c s="45" r="K1217" t="inlineStr">
        <is>
          <t>QNL/BF-1.jpg</t>
        </is>
      </c>
      <c r="L1217" t="inlineStr">
        <is>
          <t>CHECK - read, but with a caveat; see the reason</t>
        </is>
      </c>
      <c r="M1217" t="inlineStr">
        <is>
          <t>the dot is in the Corridor 4 strip, one wall west of MV Rm; column D says MV ROOM B.081</t>
        </is>
      </c>
    </row>
    <row r="1218" spans="1:5" outlineLevel="1" x14ac:dyDescent="0.3">
      <c r="A1218" s="15" t="s">
        <v>5233</v>
      </c>
      <c r="B1218" s="15" t="s">
        <v>5046</v>
      </c>
      <c r="D1218" s="15" t="s">
        <v>9233</v>
      </c>
      <c r="E1218" t="s">
        <v>8605</v>
      </c>
    </row>
    <row r="1219" spans="1:11" outlineLevel="1" x14ac:dyDescent="0.3">
      <c r="A1219" s="46" t="s">
        <v>5234</v>
      </c>
      <c r="B1219" s="46" t="s">
        <v>5046</v>
      </c>
      <c r="C1219" s="45"/>
      <c r="D1219" s="46" t="s">
        <v>9234</v>
      </c>
      <c s="45" r="E1219" t="s">
        <v>8608</v>
      </c>
      <c r="F1219" s="45"/>
      <c r="G1219" s="45"/>
      <c r="H1219" s="45"/>
      <c r="I1219" s="45"/>
      <c s="45" r="J1219" t="inlineStr">
        <is>
          <t>Emergency Lighting Battery Rm</t>
        </is>
      </c>
      <c s="45" r="K1219" t="inlineStr">
        <is>
          <t>QNL/BF-1.jpg</t>
        </is>
      </c>
      <c r="L1219" t="inlineStr">
        <is>
          <t>CHECK - read, but with a caveat; see the reason</t>
        </is>
      </c>
      <c r="M1219" t="inlineStr">
        <is>
          <t>column D says TRANSFORMER ROOM B.082, which is the room north of it</t>
        </is>
      </c>
    </row>
    <row r="1220" spans="1:5" outlineLevel="1" x14ac:dyDescent="0.3">
      <c r="A1220" s="15" t="s">
        <v>5235</v>
      </c>
      <c r="B1220" s="15" t="s">
        <v>5046</v>
      </c>
      <c r="D1220" s="15" t="s">
        <v>9234</v>
      </c>
      <c r="E1220" t="s">
        <v>8608</v>
      </c>
    </row>
    <row r="1221" spans="1:5" outlineLevel="1" x14ac:dyDescent="0.3">
      <c r="A1221" s="15" t="s">
        <v>5236</v>
      </c>
      <c r="B1221" s="15" t="s">
        <v>5046</v>
      </c>
      <c r="D1221" s="15" t="s">
        <v>9248</v>
      </c>
      <c r="E1221" t="s">
        <v>9274</v>
      </c>
    </row>
    <row r="1222" spans="1:11" outlineLevel="1" x14ac:dyDescent="0.3">
      <c r="A1222" s="46" t="s">
        <v>5237</v>
      </c>
      <c r="B1222" s="46" t="s">
        <v>5046</v>
      </c>
      <c r="C1222" s="45"/>
      <c r="D1222" s="46" t="s">
        <v>9248</v>
      </c>
      <c s="45" r="E1222" t="s">
        <v>9274</v>
      </c>
      <c r="F1222" s="45"/>
      <c r="G1222" s="45"/>
      <c r="H1222" s="45"/>
      <c r="I1222" s="45"/>
      <c s="45" r="J1222" t="inlineStr">
        <is>
          <t>Loading Area (pink, south-west)</t>
        </is>
      </c>
      <c s="45" r="K1222" t="inlineStr">
        <is>
          <t>QNL/BF-4.jpg</t>
        </is>
      </c>
      <c r="L1222" t="inlineStr">
        <is>
          <t>CHECK - read, but with a caveat; see the reason</t>
        </is>
      </c>
      <c r="M1222" t="inlineStr">
        <is>
          <t>the dot is in the pink Loading Area, which is where the condenser sits; column D names HV ROOM B.083, a room drawn on BF-1</t>
        </is>
      </c>
    </row>
    <row r="1223" spans="1:5" outlineLevel="1" x14ac:dyDescent="0.3">
      <c r="A1223" s="15" t="s">
        <v>5238</v>
      </c>
      <c r="B1223" s="15" t="s">
        <v>5046</v>
      </c>
      <c r="D1223" s="15" t="s">
        <v>9235</v>
      </c>
      <c r="E1223" t="s">
        <v>8637</v>
      </c>
    </row>
    <row r="1224" spans="1:5" outlineLevel="1" x14ac:dyDescent="0.3">
      <c r="A1224" s="15" t="s">
        <v>5239</v>
      </c>
      <c r="B1224" s="15" t="s">
        <v>5046</v>
      </c>
      <c r="D1224" s="15" t="s">
        <v>1980</v>
      </c>
      <c r="E1224" t="s">
        <v>8611</v>
      </c>
    </row>
    <row r="1225" spans="1:5" outlineLevel="1" x14ac:dyDescent="0.3">
      <c r="A1225" s="15" t="s">
        <v>5242</v>
      </c>
      <c r="B1225" s="15" t="s">
        <v>5046</v>
      </c>
      <c r="D1225" s="15" t="s">
        <v>1980</v>
      </c>
      <c r="E1225" t="s">
        <v>8611</v>
      </c>
    </row>
    <row r="1226" spans="1:11" outlineLevel="1" x14ac:dyDescent="0.3">
      <c r="A1226" s="46" t="s">
        <v>5245</v>
      </c>
      <c r="B1226" s="46" t="s">
        <v>5046</v>
      </c>
      <c r="C1226" s="45"/>
      <c r="D1226" s="46" t="s">
        <v>9236</v>
      </c>
      <c s="45" r="E1226" t="s">
        <v>8645</v>
      </c>
      <c r="F1226" s="45"/>
      <c r="G1226" s="45"/>
      <c r="H1226" s="45"/>
      <c r="I1226" s="45"/>
      <c s="45" r="J1226" t="inlineStr">
        <is>
          <t>Processing Rm</t>
        </is>
      </c>
      <c s="45" r="K1226" t="inlineStr">
        <is>
          <t>QNL/BF-5.jpg</t>
        </is>
      </c>
      <c r="L1226" t="inlineStr">
        <is>
          <t>CHECK - read, but with a caveat; see the reason</t>
        </is>
      </c>
      <c r="M1226" t="inlineStr">
        <is>
          <t>column D says SECURITY &amp; BMS B.102</t>
        </is>
      </c>
    </row>
    <row r="1227" spans="1:11" outlineLevel="1" x14ac:dyDescent="0.3">
      <c r="A1227" s="46" t="s">
        <v>5248</v>
      </c>
      <c r="B1227" s="46" t="s">
        <v>5046</v>
      </c>
      <c r="C1227" s="45"/>
      <c r="D1227" s="46" t="s">
        <v>9251</v>
      </c>
      <c s="45" r="E1227" t="s">
        <v>8555</v>
      </c>
      <c r="F1227" s="45"/>
      <c r="G1227" s="45"/>
      <c r="H1227" s="45"/>
      <c r="I1227" s="45"/>
      <c s="45" r="J1227" t="inlineStr">
        <is>
          <t>Security Equip.</t>
        </is>
      </c>
      <c s="45" r="K1227" t="inlineStr">
        <is>
          <t>QNL/BF-5.jpg</t>
        </is>
      </c>
      <c r="L1227" t="inlineStr">
        <is>
          <t>CHECK - read, but with a caveat; see the reason</t>
        </is>
      </c>
      <c r="M1227" t="inlineStr">
        <is>
          <t>column D says ITTIGATION CONTROL ROOM B.046_ITT</t>
        </is>
      </c>
    </row>
    <row r="1228" spans="1:5" outlineLevel="1" x14ac:dyDescent="0.3">
      <c r="A1228" s="15" t="s">
        <v>5251</v>
      </c>
      <c r="B1228" s="15" t="s">
        <v>5046</v>
      </c>
      <c r="D1228" s="15" t="s">
        <v>9237</v>
      </c>
      <c r="E1228" t="s">
        <v>8658</v>
      </c>
    </row>
    <row r="1229" spans="1:5" outlineLevel="1" x14ac:dyDescent="0.3">
      <c r="A1229" s="15" t="s">
        <v>5254</v>
      </c>
      <c r="B1229" s="15" t="s">
        <v>5046</v>
      </c>
      <c r="D1229" s="15" t="s">
        <v>9238</v>
      </c>
      <c r="E1229" t="s">
        <v>8634</v>
      </c>
    </row>
    <row r="1230" spans="1:11" outlineLevel="1" x14ac:dyDescent="0.3">
      <c r="A1230" s="46" t="s">
        <v>5256</v>
      </c>
      <c r="B1230" s="46" t="s">
        <v>5046</v>
      </c>
      <c r="C1230" s="45"/>
      <c r="D1230" s="46" t="s">
        <v>9234</v>
      </c>
      <c s="45" r="E1230" t="s">
        <v>8608</v>
      </c>
      <c r="F1230" s="45"/>
      <c r="G1230" s="45"/>
      <c r="H1230" s="45"/>
      <c r="I1230" s="45"/>
      <c s="45" r="J1230" t="inlineStr">
        <is>
          <t>Emergency Lighting Battery Rm</t>
        </is>
      </c>
      <c s="45" r="K1230" t="inlineStr">
        <is>
          <t>QNL/BF-1.jpg</t>
        </is>
      </c>
      <c r="L1230" t="inlineStr">
        <is>
          <t>CHECK - read, but with a caveat; see the reason</t>
        </is>
      </c>
      <c r="M1230" t="inlineStr">
        <is>
          <t>column D says TRANSFORMER ROOM B.082, which is the room north of it</t>
        </is>
      </c>
    </row>
    <row r="1231" spans="1:5" outlineLevel="1" x14ac:dyDescent="0.3">
      <c r="A1231" s="15" t="s">
        <v>5258</v>
      </c>
      <c r="B1231" s="15" t="s">
        <v>5046</v>
      </c>
      <c r="D1231" s="15" t="s">
        <v>9238</v>
      </c>
      <c r="E1231" t="s">
        <v>8634</v>
      </c>
    </row>
    <row r="1232" spans="1:5" outlineLevel="1" x14ac:dyDescent="0.3">
      <c r="A1232" s="15" t="s">
        <v>5260</v>
      </c>
      <c r="B1232" s="15" t="s">
        <v>5046</v>
      </c>
      <c r="D1232" s="15" t="s">
        <v>9235</v>
      </c>
      <c r="E1232" t="s">
        <v>8637</v>
      </c>
    </row>
    <row r="1233" spans="1:5" outlineLevel="1" x14ac:dyDescent="0.3">
      <c r="A1233" s="15" t="s">
        <v>5263</v>
      </c>
      <c r="B1233" s="15" t="s">
        <v>5046</v>
      </c>
      <c r="D1233" s="15" t="s">
        <v>9252</v>
      </c>
      <c r="E1233" t="s">
        <v>9275</v>
      </c>
    </row>
    <row r="1234" spans="1:5" outlineLevel="1" x14ac:dyDescent="0.3">
      <c r="A1234" s="15" t="s">
        <v>5266</v>
      </c>
      <c r="B1234" s="15" t="s">
        <v>5046</v>
      </c>
      <c r="D1234" s="15" t="s">
        <v>9252</v>
      </c>
      <c r="E1234" t="s">
        <v>9275</v>
      </c>
    </row>
    <row r="1235" spans="1:5" outlineLevel="1" x14ac:dyDescent="0.3">
      <c r="A1235" s="15" t="s">
        <v>5269</v>
      </c>
      <c r="B1235" s="15" t="s">
        <v>5046</v>
      </c>
      <c r="D1235" s="15" t="s">
        <v>9252</v>
      </c>
      <c r="E1235" t="s">
        <v>9275</v>
      </c>
    </row>
    <row r="1236" spans="1:5" outlineLevel="1" x14ac:dyDescent="0.3">
      <c r="A1236" s="15" t="s">
        <v>5271</v>
      </c>
      <c r="B1236" s="15" t="s">
        <v>5046</v>
      </c>
      <c r="D1236" s="15" t="s">
        <v>9239</v>
      </c>
      <c r="E1236" t="s">
        <v>8630</v>
      </c>
    </row>
    <row r="1237" spans="1:5" outlineLevel="1" x14ac:dyDescent="0.3">
      <c r="A1237" s="15" t="s">
        <v>5273</v>
      </c>
      <c r="B1237" s="15" t="s">
        <v>5046</v>
      </c>
      <c r="D1237" s="15" t="s">
        <v>9273</v>
      </c>
      <c r="E1237" t="s">
        <v>9276</v>
      </c>
    </row>
    <row r="1238" spans="1:5" outlineLevel="1" x14ac:dyDescent="0.3">
      <c r="A1238" s="15" t="s">
        <v>5270</v>
      </c>
      <c r="B1238" s="15" t="s">
        <v>5046</v>
      </c>
      <c r="D1238" s="15" t="s">
        <v>9249</v>
      </c>
      <c r="E1238" t="s">
        <v>8653</v>
      </c>
    </row>
    <row r="1239" spans="1:5" outlineLevel="1" x14ac:dyDescent="0.3">
      <c r="A1239" s="15" t="s">
        <v>5272</v>
      </c>
      <c r="B1239" s="15" t="s">
        <v>5046</v>
      </c>
      <c r="D1239" s="15" t="s">
        <v>9237</v>
      </c>
      <c r="E1239" t="s">
        <v>8658</v>
      </c>
    </row>
    <row r="1240" spans="1:5" outlineLevel="1" x14ac:dyDescent="0.3">
      <c r="A1240" s="15" t="s">
        <v>5274</v>
      </c>
      <c r="B1240" s="15" t="s">
        <v>5046</v>
      </c>
      <c r="D1240" s="15" t="s">
        <v>9273</v>
      </c>
      <c r="E1240" t="s">
        <v>9276</v>
      </c>
    </row>
    <row r="1241" spans="1:5" outlineLevel="1" x14ac:dyDescent="0.3">
      <c r="A1241" s="15" t="s">
        <v>5098</v>
      </c>
      <c r="B1241" s="15" t="s">
        <v>5099</v>
      </c>
      <c r="D1241" t="s">
        <v>1535</v>
      </c>
      <c r="E1241" t="s">
        <v>8773</v>
      </c>
    </row>
    <row r="1242" spans="1:5" outlineLevel="1" x14ac:dyDescent="0.3">
      <c r="A1242" s="15" t="s">
        <v>5100</v>
      </c>
      <c r="B1242" s="15" t="s">
        <v>5099</v>
      </c>
      <c r="D1242" t="s">
        <v>1535</v>
      </c>
      <c r="E1242" t="s">
        <v>8773</v>
      </c>
    </row>
    <row r="1243" spans="1:5" outlineLevel="1" x14ac:dyDescent="0.3">
      <c r="A1243" s="15" t="s">
        <v>5101</v>
      </c>
      <c r="B1243" s="15" t="s">
        <v>5099</v>
      </c>
      <c r="D1243" t="s">
        <v>1535</v>
      </c>
      <c r="E1243" t="s">
        <v>8773</v>
      </c>
    </row>
    <row r="1244" spans="1:5" outlineLevel="1" x14ac:dyDescent="0.3">
      <c r="A1244" s="15" t="s">
        <v>5102</v>
      </c>
      <c r="B1244" s="15" t="s">
        <v>5099</v>
      </c>
      <c r="D1244" t="s">
        <v>1535</v>
      </c>
      <c r="E1244" t="s">
        <v>8773</v>
      </c>
    </row>
    <row r="1245" spans="1:5" outlineLevel="1" x14ac:dyDescent="0.3">
      <c r="A1245" s="15" t="s">
        <v>5103</v>
      </c>
      <c r="B1245" s="15" t="s">
        <v>5099</v>
      </c>
      <c r="D1245" t="s">
        <v>9272</v>
      </c>
      <c r="E1245" t="s">
        <v>8759</v>
      </c>
    </row>
    <row r="1246" spans="1:5" outlineLevel="1" x14ac:dyDescent="0.3">
      <c r="A1246" s="15" t="s">
        <v>5280</v>
      </c>
      <c r="B1246" s="15" t="s">
        <v>5049</v>
      </c>
      <c r="D1246" t="s">
        <v>9269</v>
      </c>
      <c r="E1246" t="s">
        <v>8993</v>
      </c>
    </row>
    <row r="1247" spans="1:5" outlineLevel="1" x14ac:dyDescent="0.3">
      <c r="A1247" s="15" t="s">
        <v>5281</v>
      </c>
      <c r="B1247" s="15" t="s">
        <v>5049</v>
      </c>
      <c r="D1247" t="s">
        <v>1507</v>
      </c>
      <c r="E1247" t="s">
        <v>8614</v>
      </c>
    </row>
    <row r="1248" spans="1:5" outlineLevel="1" x14ac:dyDescent="0.3">
      <c r="A1248" s="15" t="s">
        <v>5282</v>
      </c>
      <c r="B1248" s="15" t="s">
        <v>5049</v>
      </c>
      <c r="D1248" t="s">
        <v>9265</v>
      </c>
      <c r="E1248" t="s">
        <v>9277</v>
      </c>
    </row>
    <row r="1249" spans="1:13" outlineLevel="1" x14ac:dyDescent="0.3">
      <c r="A1249" s="15" t="s">
        <v>5283</v>
      </c>
      <c r="B1249" s="15" t="s">
        <v>5049</v>
      </c>
      <c r="D1249" t="s">
        <v>9254</v>
      </c>
      <c r="E1249" t="s">
        <v>8662</v>
      </c>
      <c r="J1249" t="inlineStr">
        <is>
          <t>Loading Area (north-west grey band)</t>
        </is>
      </c>
      <c r="K1249" t="inlineStr">
        <is>
          <t>QNL/BF-4.jpg</t>
        </is>
      </c>
      <c r="L1249" t="inlineStr">
        <is>
          <t>SAME - screen and column D name the same room</t>
        </is>
      </c>
    </row>
    <row r="1250" spans="1:5" outlineLevel="1" x14ac:dyDescent="0.3">
      <c r="A1250" s="15" t="s">
        <v>5284</v>
      </c>
      <c r="B1250" s="15" t="s">
        <v>5049</v>
      </c>
      <c r="D1250" t="s">
        <v>9254</v>
      </c>
      <c r="E1250" t="s">
        <v>8662</v>
      </c>
    </row>
    <row r="1251" spans="1:5" outlineLevel="1" x14ac:dyDescent="0.3">
      <c r="A1251" s="15" t="s">
        <v>5285</v>
      </c>
      <c r="B1251" s="15" t="s">
        <v>5049</v>
      </c>
      <c r="D1251" t="s">
        <v>9253</v>
      </c>
      <c r="E1251" t="s">
        <v>8603</v>
      </c>
    </row>
    <row r="1252" spans="1:5" outlineLevel="1" x14ac:dyDescent="0.3">
      <c r="A1252" s="15" t="s">
        <v>5286</v>
      </c>
      <c r="B1252" s="15" t="s">
        <v>5049</v>
      </c>
      <c r="D1252" t="s">
        <v>9266</v>
      </c>
      <c r="E1252" t="s">
        <v>8634</v>
      </c>
    </row>
    <row r="1253" spans="1:5" outlineLevel="1" x14ac:dyDescent="0.3">
      <c r="A1253" s="15" t="s">
        <v>5287</v>
      </c>
      <c r="B1253" s="15" t="s">
        <v>5049</v>
      </c>
      <c r="D1253" t="s">
        <v>9267</v>
      </c>
      <c r="E1253" t="s">
        <v>8627</v>
      </c>
    </row>
    <row r="1254" spans="1:5" outlineLevel="1" x14ac:dyDescent="0.3">
      <c r="A1254" s="15" t="s">
        <v>5288</v>
      </c>
      <c r="B1254" s="15" t="s">
        <v>5049</v>
      </c>
      <c r="D1254" t="s">
        <v>9268</v>
      </c>
      <c r="E1254" t="s">
        <v>9278</v>
      </c>
    </row>
    <row r="1255" spans="1:11" outlineLevel="1" x14ac:dyDescent="0.3">
      <c r="A1255" s="46" t="s">
        <v>5289</v>
      </c>
      <c r="B1255" s="46" t="s">
        <v>5049</v>
      </c>
      <c r="C1255" s="45"/>
      <c s="45" r="D1255" t="s">
        <v>9255</v>
      </c>
      <c s="45" r="E1255" t="s">
        <v>8600</v>
      </c>
      <c r="F1255" s="45"/>
      <c r="G1255" s="45"/>
      <c r="H1255" s="45"/>
      <c r="I1255" s="45"/>
      <c s="45" r="J1255" t="inlineStr">
        <is>
          <t>Plant Rm 2</t>
        </is>
      </c>
      <c s="45" r="K1255" t="inlineStr">
        <is>
          <t>QNL/BF-2.jpg</t>
        </is>
      </c>
      <c r="L1255" t="inlineStr">
        <is>
          <t>CHECK - read, but with a caveat; see the reason</t>
        </is>
      </c>
      <c r="M1255" t="inlineStr">
        <is>
          <t>the dot is inside Plant Rm 2 with the AHUs, which is where the fan sits; column D names Sprinklers Pumps B.072, a room drawn on BF-3, so the two are answering different questions</t>
        </is>
      </c>
    </row>
    <row r="1256" spans="1:11" outlineLevel="1" x14ac:dyDescent="0.3">
      <c r="A1256" s="46" t="s">
        <v>5290</v>
      </c>
      <c r="B1256" s="46" t="s">
        <v>5049</v>
      </c>
      <c r="C1256" s="45"/>
      <c s="45" r="D1256" t="s">
        <v>1972</v>
      </c>
      <c s="45" r="E1256" t="s">
        <v>8597</v>
      </c>
      <c r="F1256" s="45"/>
      <c r="G1256" s="45"/>
      <c r="H1256" s="45"/>
      <c r="I1256" s="45"/>
      <c s="45" r="J1256" t="inlineStr">
        <is>
          <t>Plant Rm 2</t>
        </is>
      </c>
      <c s="45" r="K1256" t="inlineStr">
        <is>
          <t>QNL/BF-2.jpg</t>
        </is>
      </c>
      <c r="L1256" t="inlineStr">
        <is>
          <t>CHECK - read, but with a caveat; see the reason</t>
        </is>
      </c>
      <c r="M1256" t="inlineStr">
        <is>
          <t>the dot is inside Plant Rm 2 with the AHUs, which is where the fan sits; column D names Fire Command B.071, a room drawn on BF-3</t>
        </is>
      </c>
    </row>
    <row r="1257" spans="1:5" outlineLevel="1" x14ac:dyDescent="0.3">
      <c r="A1257" s="15" t="s">
        <v>5291</v>
      </c>
      <c r="B1257" s="15" t="s">
        <v>5049</v>
      </c>
      <c r="D1257" t="s">
        <v>9254</v>
      </c>
      <c r="E1257" t="s">
        <v>8662</v>
      </c>
    </row>
    <row r="1258" spans="1:5" outlineLevel="1" x14ac:dyDescent="0.3">
      <c r="A1258" s="15" t="s">
        <v>5292</v>
      </c>
      <c r="B1258" s="15" t="s">
        <v>5049</v>
      </c>
      <c r="D1258" t="s">
        <v>9254</v>
      </c>
      <c r="E1258" t="s">
        <v>8662</v>
      </c>
    </row>
    <row r="1259" spans="1:5" outlineLevel="1" x14ac:dyDescent="0.3">
      <c r="A1259" s="15" t="s">
        <v>5293</v>
      </c>
      <c r="B1259" s="15" t="s">
        <v>5049</v>
      </c>
      <c r="D1259" t="s">
        <v>1528</v>
      </c>
      <c r="E1259" t="s">
        <v>8594</v>
      </c>
    </row>
    <row r="1260" spans="1:13" outlineLevel="1" x14ac:dyDescent="0.3">
      <c r="A1260" s="15" t="s">
        <v>5294</v>
      </c>
      <c r="B1260" s="15" t="s">
        <v>5049</v>
      </c>
      <c r="D1260" t="s">
        <v>1528</v>
      </c>
      <c r="E1260" t="s">
        <v>8594</v>
      </c>
      <c r="J1260" t="inlineStr">
        <is>
          <t>Plant Rm 2</t>
        </is>
      </c>
      <c r="K1260" t="inlineStr">
        <is>
          <t>QNL/BF-2.jpg</t>
        </is>
      </c>
      <c r="L1260" t="inlineStr">
        <is>
          <t>SAME - screen and column D name the same room</t>
        </is>
      </c>
    </row>
    <row r="1261" spans="1:5" outlineLevel="1" x14ac:dyDescent="0.3">
      <c r="A1261" s="15" t="s">
        <v>5295</v>
      </c>
      <c r="B1261" s="15" t="s">
        <v>5049</v>
      </c>
      <c r="D1261" t="s">
        <v>9256</v>
      </c>
      <c r="E1261" t="s">
        <v>9279</v>
      </c>
    </row>
    <row r="1262" spans="1:5" outlineLevel="1" x14ac:dyDescent="0.3">
      <c r="A1262" s="15" t="s">
        <v>5296</v>
      </c>
      <c r="B1262" s="15" t="s">
        <v>5049</v>
      </c>
      <c r="D1262" t="s">
        <v>9257</v>
      </c>
      <c r="E1262" t="s">
        <v>9276</v>
      </c>
    </row>
    <row r="1263" spans="1:13" outlineLevel="1" x14ac:dyDescent="0.3">
      <c r="A1263" s="15" t="s">
        <v>5297</v>
      </c>
      <c r="B1263" s="15" t="s">
        <v>5049</v>
      </c>
      <c r="D1263" t="s">
        <v>9259</v>
      </c>
      <c r="E1263" t="s">
        <v>9280</v>
      </c>
      <c r="J1263" t="inlineStr">
        <is>
          <t>Plant Zone</t>
        </is>
      </c>
      <c r="K1263" t="inlineStr">
        <is>
          <t>QNL/RF-3.jpg</t>
        </is>
      </c>
      <c r="L1263" t="inlineStr">
        <is>
          <t>SAME - screen and column D name the same room</t>
        </is>
      </c>
      <c r="M1263" t="inlineStr">
        <is>
          <t>the screen prints Plant Zone with no P-number, so which plant zone it is cannot be checked from it</t>
        </is>
      </c>
    </row>
    <row r="1264" spans="1:5" outlineLevel="1" x14ac:dyDescent="0.3">
      <c r="A1264" s="15" t="s">
        <v>5298</v>
      </c>
      <c r="B1264" s="15" t="s">
        <v>5232</v>
      </c>
      <c r="D1264" t="s">
        <v>9270</v>
      </c>
      <c r="E1264" t="s">
        <v>9281</v>
      </c>
    </row>
    <row r="1265" spans="1:5" outlineLevel="1" x14ac:dyDescent="0.3">
      <c r="A1265" s="15" t="s">
        <v>5299</v>
      </c>
      <c r="B1265" s="15" t="s">
        <v>5232</v>
      </c>
      <c r="D1265" t="s">
        <v>9271</v>
      </c>
      <c r="E1265" t="s">
        <v>8562</v>
      </c>
    </row>
    <row r="1266" spans="1:5" outlineLevel="1" x14ac:dyDescent="0.3">
      <c r="A1266" s="15" t="s">
        <v>5300</v>
      </c>
      <c r="B1266" s="15" t="s">
        <v>5232</v>
      </c>
      <c r="D1266" t="s">
        <v>1988</v>
      </c>
      <c r="E1266" t="s">
        <v>9155</v>
      </c>
    </row>
    <row r="1267" spans="1:13" outlineLevel="1" x14ac:dyDescent="0.3">
      <c r="A1267" s="15" t="s">
        <v>5301</v>
      </c>
      <c r="B1267" s="15" t="s">
        <v>5232</v>
      </c>
      <c r="D1267" t="s">
        <v>9264</v>
      </c>
      <c r="E1267" t="s">
        <v>9130</v>
      </c>
      <c r="J1267" t="inlineStr">
        <is>
          <t>Break Out Area / Tech.Services &amp; Collections Office (open plan)</t>
        </is>
      </c>
      <c r="K1267" t="inlineStr">
        <is>
          <t>QNL/BF.jpg</t>
        </is>
      </c>
      <c r="L1267" t="inlineStr">
        <is>
          <t>OPEN - one space, two or more labels; the screen cannot split them</t>
        </is>
      </c>
      <c r="M1267" t="inlineStr">
        <is>
          <t>open plan - west end</t>
        </is>
      </c>
    </row>
    <row r="1268" spans="1:5" outlineLevel="1" x14ac:dyDescent="0.3">
      <c r="A1268" s="15" t="s">
        <v>5302</v>
      </c>
      <c r="B1268" s="15" t="s">
        <v>5230</v>
      </c>
      <c r="D1268" t="s">
        <v>9256</v>
      </c>
      <c r="E1268" t="s">
        <v>9279</v>
      </c>
    </row>
    <row r="1269" spans="1:5" outlineLevel="1" x14ac:dyDescent="0.3">
      <c r="A1269" s="15" t="s">
        <v>5303</v>
      </c>
      <c r="B1269" s="15" t="s">
        <v>5230</v>
      </c>
      <c r="D1269" t="s">
        <v>9256</v>
      </c>
      <c r="E1269" t="s">
        <v>9279</v>
      </c>
    </row>
    <row r="1270" spans="1:5" outlineLevel="1" x14ac:dyDescent="0.3">
      <c r="A1270" s="15" t="s">
        <v>5304</v>
      </c>
      <c r="B1270" s="15" t="s">
        <v>5230</v>
      </c>
      <c r="D1270" t="s">
        <v>9256</v>
      </c>
      <c r="E1270" t="s">
        <v>9279</v>
      </c>
    </row>
    <row r="1271" spans="1:5" outlineLevel="1" x14ac:dyDescent="0.3">
      <c r="A1271" s="15" t="s">
        <v>5305</v>
      </c>
      <c r="B1271" s="15" t="s">
        <v>5230</v>
      </c>
      <c r="D1271" t="s">
        <v>9257</v>
      </c>
      <c r="E1271" t="s">
        <v>9276</v>
      </c>
    </row>
    <row r="1272" spans="1:5" outlineLevel="1" x14ac:dyDescent="0.3">
      <c r="A1272" s="15" t="s">
        <v>5306</v>
      </c>
      <c r="B1272" s="15" t="s">
        <v>5230</v>
      </c>
      <c r="D1272" t="s">
        <v>9257</v>
      </c>
      <c r="E1272" t="s">
        <v>9276</v>
      </c>
    </row>
    <row r="1273" spans="1:5" outlineLevel="1" x14ac:dyDescent="0.3">
      <c r="A1273" s="15" t="s">
        <v>5307</v>
      </c>
      <c r="B1273" s="15" t="s">
        <v>5230</v>
      </c>
      <c r="D1273" t="s">
        <v>9257</v>
      </c>
      <c r="E1273" t="s">
        <v>9276</v>
      </c>
    </row>
    <row r="1274" spans="1:13" outlineLevel="1" x14ac:dyDescent="0.3">
      <c r="A1274" s="15" t="s">
        <v>5308</v>
      </c>
      <c r="B1274" s="15" t="s">
        <v>5230</v>
      </c>
      <c r="D1274" t="s">
        <v>9259</v>
      </c>
      <c r="E1274" t="s">
        <v>9280</v>
      </c>
      <c r="J1274" t="inlineStr">
        <is>
          <t>Plant Zone</t>
        </is>
      </c>
      <c r="K1274" t="inlineStr">
        <is>
          <t>QNL/RF-3.jpg</t>
        </is>
      </c>
      <c r="L1274" t="inlineStr">
        <is>
          <t>SAME - screen and column D name the same room</t>
        </is>
      </c>
      <c r="M1274" t="inlineStr">
        <is>
          <t>the screen prints Plant Zone with no P-number, so which plant zone it is cannot be checked from it</t>
        </is>
      </c>
    </row>
    <row r="1275" spans="1:13" outlineLevel="1" x14ac:dyDescent="0.3">
      <c r="A1275" s="15" t="s">
        <v>5309</v>
      </c>
      <c r="B1275" s="15" t="s">
        <v>5230</v>
      </c>
      <c r="D1275" t="s">
        <v>9258</v>
      </c>
      <c r="E1275" t="s">
        <v>9282</v>
      </c>
      <c r="J1275" t="inlineStr">
        <is>
          <t>Plant Zone</t>
        </is>
      </c>
      <c r="K1275" t="inlineStr">
        <is>
          <t>QNL/RF-3.jpg</t>
        </is>
      </c>
      <c r="L1275" t="inlineStr">
        <is>
          <t>SAME - screen and column D name the same room</t>
        </is>
      </c>
      <c r="M1275" t="inlineStr">
        <is>
          <t>the screen prints Plant Zone with no P-number, so which plant zone it is cannot be checked from it</t>
        </is>
      </c>
    </row>
    <row r="1276" spans="1:13" outlineLevel="1" x14ac:dyDescent="0.3">
      <c r="A1276" s="15" t="s">
        <v>5310</v>
      </c>
      <c r="B1276" s="15" t="s">
        <v>5230</v>
      </c>
      <c r="D1276" t="s">
        <v>9258</v>
      </c>
      <c r="E1276" t="s">
        <v>9282</v>
      </c>
      <c r="J1276" t="inlineStr">
        <is>
          <t>Plant Zone</t>
        </is>
      </c>
      <c r="K1276" t="inlineStr">
        <is>
          <t>QNL/RF-3.jpg</t>
        </is>
      </c>
      <c r="L1276" t="inlineStr">
        <is>
          <t>SAME - screen and column D name the same room</t>
        </is>
      </c>
      <c r="M1276" t="inlineStr">
        <is>
          <t>the screen prints Plant Zone with no P-number, so which plant zone it is cannot be checked from it</t>
        </is>
      </c>
    </row>
    <row r="1277" spans="1:5" outlineLevel="1" x14ac:dyDescent="0.3">
      <c r="A1277" s="15" t="s">
        <v>5311</v>
      </c>
      <c r="B1277" s="15" t="s">
        <v>5230</v>
      </c>
      <c r="D1277" t="s">
        <v>9256</v>
      </c>
      <c r="E1277" t="s">
        <v>9279</v>
      </c>
    </row>
    <row r="1278" spans="1:5" outlineLevel="1" x14ac:dyDescent="0.3">
      <c r="A1278" s="15" t="s">
        <v>5312</v>
      </c>
      <c r="B1278" s="15" t="s">
        <v>5230</v>
      </c>
      <c r="D1278" t="s">
        <v>9257</v>
      </c>
      <c r="E1278" t="s">
        <v>9276</v>
      </c>
    </row>
    <row r="1279" spans="1:5" outlineLevel="1" x14ac:dyDescent="0.3">
      <c r="A1279" s="15" t="s">
        <v>5313</v>
      </c>
      <c r="B1279" s="15" t="s">
        <v>5230</v>
      </c>
      <c r="D1279" t="s">
        <v>9259</v>
      </c>
      <c r="E1279" t="s">
        <v>9280</v>
      </c>
    </row>
    <row r="1280" spans="1:5" outlineLevel="1" x14ac:dyDescent="0.3">
      <c r="A1280" s="15" t="s">
        <v>5314</v>
      </c>
      <c r="B1280" s="15" t="s">
        <v>5051</v>
      </c>
      <c r="D1280" t="s">
        <v>9260</v>
      </c>
      <c r="E1280" t="s">
        <v>9283</v>
      </c>
    </row>
    <row r="1281" spans="1:5" outlineLevel="1" x14ac:dyDescent="0.3">
      <c r="A1281" s="15" t="s">
        <v>5315</v>
      </c>
      <c r="B1281" s="15" t="s">
        <v>5051</v>
      </c>
      <c r="D1281" t="s">
        <v>9261</v>
      </c>
      <c r="E1281" t="s">
        <v>9284</v>
      </c>
    </row>
    <row r="1282" spans="1:5" outlineLevel="1" x14ac:dyDescent="0.3">
      <c r="A1282" s="15" t="s">
        <v>5316</v>
      </c>
      <c r="B1282" s="15" t="s">
        <v>5051</v>
      </c>
      <c r="D1282" t="s">
        <v>1990</v>
      </c>
      <c r="E1282" t="s">
        <v>8665</v>
      </c>
    </row>
    <row r="1283" spans="1:5" outlineLevel="1" x14ac:dyDescent="0.3">
      <c r="A1283" s="15" t="s">
        <v>5317</v>
      </c>
      <c r="B1283" s="15" t="s">
        <v>5051</v>
      </c>
      <c r="D1283" t="s">
        <v>1990</v>
      </c>
      <c r="E1283" t="s">
        <v>8665</v>
      </c>
    </row>
    <row r="1284" spans="1:5" outlineLevel="1" x14ac:dyDescent="0.3">
      <c r="A1284" s="15" t="s">
        <v>5318</v>
      </c>
      <c r="B1284" s="15" t="s">
        <v>5051</v>
      </c>
      <c r="D1284" t="s">
        <v>9262</v>
      </c>
      <c r="E1284" t="s">
        <v>8594</v>
      </c>
    </row>
    <row r="1285" spans="1:5" outlineLevel="1" x14ac:dyDescent="0.3">
      <c r="A1285" s="15" t="s">
        <v>5319</v>
      </c>
      <c r="B1285" s="15" t="s">
        <v>5051</v>
      </c>
      <c r="D1285" t="s">
        <v>9262</v>
      </c>
      <c r="E1285" t="s">
        <v>8594</v>
      </c>
    </row>
    <row r="1286" spans="1:5" outlineLevel="1" x14ac:dyDescent="0.3">
      <c r="A1286" s="15" t="s">
        <v>5320</v>
      </c>
      <c r="B1286" s="15" t="s">
        <v>5051</v>
      </c>
      <c r="D1286" t="s">
        <v>9263</v>
      </c>
      <c r="E1286" t="s">
        <v>8674</v>
      </c>
    </row>
    <row r="1287" spans="1:5" outlineLevel="1" x14ac:dyDescent="0.3">
      <c r="A1287" s="15" t="s">
        <v>5321</v>
      </c>
      <c r="B1287" s="15" t="s">
        <v>5051</v>
      </c>
      <c r="D1287" t="s">
        <v>9263</v>
      </c>
      <c r="E1287" t="s">
        <v>8674</v>
      </c>
    </row>
    <row r="1288" spans="1:5" outlineLevel="1" x14ac:dyDescent="0.3">
      <c r="A1288" s="15" t="s">
        <v>5322</v>
      </c>
      <c r="B1288" s="15" t="s">
        <v>5048</v>
      </c>
      <c r="D1288" t="s">
        <v>9240</v>
      </c>
      <c r="E1288" t="s">
        <v>8559</v>
      </c>
    </row>
    <row r="1289" spans="1:5" outlineLevel="1" x14ac:dyDescent="0.3">
      <c r="A1289" s="15" t="s">
        <v>5323</v>
      </c>
      <c r="B1289" s="15" t="s">
        <v>5048</v>
      </c>
      <c r="D1289" t="s">
        <v>9240</v>
      </c>
      <c r="E1289" t="s">
        <v>8559</v>
      </c>
    </row>
    <row r="1290" spans="1:5" outlineLevel="1" x14ac:dyDescent="0.3">
      <c r="A1290" s="15" t="s">
        <v>5324</v>
      </c>
      <c r="B1290" s="15" t="s">
        <v>5048</v>
      </c>
      <c r="D1290" t="s">
        <v>9241</v>
      </c>
      <c r="E1290" t="s">
        <v>8567</v>
      </c>
    </row>
    <row r="1291" spans="1:5" outlineLevel="1" x14ac:dyDescent="0.3">
      <c r="A1291" s="15" t="s">
        <v>5325</v>
      </c>
      <c r="B1291" s="15" t="s">
        <v>5048</v>
      </c>
      <c r="D1291" t="s">
        <v>9241</v>
      </c>
      <c r="E1291" t="s">
        <v>8567</v>
      </c>
    </row>
    <row r="1292" spans="1:5" outlineLevel="1" x14ac:dyDescent="0.3">
      <c r="A1292" s="15" t="s">
        <v>5326</v>
      </c>
      <c r="B1292" s="15" t="s">
        <v>5048</v>
      </c>
      <c r="D1292" t="s">
        <v>9242</v>
      </c>
      <c r="E1292" t="s">
        <v>8625</v>
      </c>
    </row>
    <row r="1293" spans="1:5" outlineLevel="1" x14ac:dyDescent="0.3">
      <c r="A1293" s="15" t="s">
        <v>5327</v>
      </c>
      <c r="B1293" s="15" t="s">
        <v>5048</v>
      </c>
      <c r="D1293" t="s">
        <v>9242</v>
      </c>
      <c r="E1293" t="s">
        <v>8625</v>
      </c>
    </row>
    <row r="1294" spans="1:5" outlineLevel="1" x14ac:dyDescent="0.3">
      <c r="A1294" s="15" t="s">
        <v>5328</v>
      </c>
      <c r="B1294" s="15" t="s">
        <v>5048</v>
      </c>
      <c r="D1294" t="s">
        <v>9242</v>
      </c>
      <c r="E1294" t="s">
        <v>8625</v>
      </c>
    </row>
    <row r="1295" spans="1:5" outlineLevel="1" x14ac:dyDescent="0.3">
      <c r="A1295" s="15" t="s">
        <v>5329</v>
      </c>
      <c r="B1295" s="15" t="s">
        <v>5048</v>
      </c>
      <c r="D1295" t="s">
        <v>9250</v>
      </c>
      <c r="E1295" t="s">
        <v>8688</v>
      </c>
    </row>
    <row r="1296" spans="1:5" outlineLevel="1" x14ac:dyDescent="0.3">
      <c r="A1296" s="15" t="s">
        <v>5330</v>
      </c>
      <c r="B1296" s="15" t="s">
        <v>5048</v>
      </c>
      <c r="D1296" t="s">
        <v>9250</v>
      </c>
      <c r="E1296" t="s">
        <v>8688</v>
      </c>
    </row>
    <row r="1297" spans="1:5" outlineLevel="1" x14ac:dyDescent="0.3">
      <c r="A1297" s="15" t="s">
        <v>5331</v>
      </c>
      <c r="B1297" s="15" t="s">
        <v>5048</v>
      </c>
      <c r="D1297" t="s">
        <v>9243</v>
      </c>
      <c r="E1297" t="s">
        <v>8777</v>
      </c>
    </row>
    <row r="1298" spans="1:5" outlineLevel="1" x14ac:dyDescent="0.3">
      <c r="A1298" s="15" t="s">
        <v>5332</v>
      </c>
      <c r="B1298" s="15" t="s">
        <v>5048</v>
      </c>
      <c r="D1298" t="s">
        <v>9243</v>
      </c>
      <c r="E1298" t="s">
        <v>8777</v>
      </c>
    </row>
    <row r="1299" spans="1:5" outlineLevel="1" x14ac:dyDescent="0.3">
      <c r="A1299" s="15" t="s">
        <v>5333</v>
      </c>
      <c r="B1299" s="15" t="s">
        <v>5048</v>
      </c>
    </row>
    <row r="1300" spans="1:5" outlineLevel="1" x14ac:dyDescent="0.3">
      <c r="A1300" s="15" t="s">
        <v>5334</v>
      </c>
      <c r="B1300" s="15" t="s">
        <v>5048</v>
      </c>
    </row>
    <row r="1301" spans="1:5" outlineLevel="1" x14ac:dyDescent="0.3">
      <c r="A1301" s="15" t="s">
        <v>5335</v>
      </c>
      <c r="B1301" s="15" t="s">
        <v>5048</v>
      </c>
    </row>
    <row r="1302" spans="1:5" outlineLevel="1" x14ac:dyDescent="0.3">
      <c r="A1302" s="15" t="s">
        <v>5336</v>
      </c>
      <c r="B1302" s="15" t="s">
        <v>5048</v>
      </c>
    </row>
    <row r="1303" spans="1:5" outlineLevel="1" x14ac:dyDescent="0.3">
      <c r="A1303" s="15" t="s">
        <v>5337</v>
      </c>
      <c r="B1303" s="15" t="s">
        <v>5048</v>
      </c>
    </row>
    <row r="1304" spans="1:5" outlineLevel="1" x14ac:dyDescent="0.3">
      <c r="A1304" s="15" t="s">
        <v>5338</v>
      </c>
      <c r="B1304" s="15" t="s">
        <v>5048</v>
      </c>
    </row>
    <row r="1305" spans="1:5" outlineLevel="1" x14ac:dyDescent="0.3">
      <c r="A1305" s="15" t="s">
        <v>5339</v>
      </c>
      <c r="B1305" s="15" t="s">
        <v>5048</v>
      </c>
    </row>
    <row r="1306" spans="1:5" outlineLevel="1" x14ac:dyDescent="0.3">
      <c r="A1306" s="15" t="s">
        <v>5340</v>
      </c>
      <c r="B1306" s="15" t="s">
        <v>5048</v>
      </c>
    </row>
    <row r="1307" spans="1:5" outlineLevel="1" x14ac:dyDescent="0.3">
      <c r="A1307" s="15" t="s">
        <v>5341</v>
      </c>
      <c r="B1307" s="15" t="s">
        <v>5048</v>
      </c>
    </row>
    <row r="1308" spans="1:5" outlineLevel="1" x14ac:dyDescent="0.3">
      <c r="A1308" s="15" t="s">
        <v>5277</v>
      </c>
      <c r="B1308" s="15" t="s">
        <v>5048</v>
      </c>
    </row>
    <row r="1309" spans="1:5" outlineLevel="1" x14ac:dyDescent="0.3">
      <c r="A1309" s="15" t="s">
        <v>5343</v>
      </c>
      <c r="B1309" s="15" t="s">
        <v>5048</v>
      </c>
    </row>
    <row r="1310" spans="1:5" outlineLevel="1" x14ac:dyDescent="0.3">
      <c r="A1310" s="15" t="s">
        <v>5344</v>
      </c>
      <c r="B1310" s="15" t="s">
        <v>5044</v>
      </c>
      <c r="D1310" t="s">
        <v>1535</v>
      </c>
      <c r="E1310" t="s">
        <v>8773</v>
      </c>
    </row>
    <row r="1311" spans="1:5" outlineLevel="1" x14ac:dyDescent="0.3">
      <c r="A1311" s="15" t="s">
        <v>5346</v>
      </c>
      <c r="B1311" s="15" t="s">
        <v>5044</v>
      </c>
      <c r="D1311" t="s">
        <v>1535</v>
      </c>
      <c r="E1311" t="s">
        <v>8773</v>
      </c>
    </row>
    <row r="1312" spans="1:5" outlineLevel="1" x14ac:dyDescent="0.3">
      <c r="A1312" s="15" t="s">
        <v>5347</v>
      </c>
      <c r="B1312" s="15" t="s">
        <v>5044</v>
      </c>
      <c r="D1312" t="s">
        <v>1535</v>
      </c>
      <c r="E1312" t="s">
        <v>8773</v>
      </c>
    </row>
    <row r="1313" spans="1:10" outlineLevel="1" x14ac:dyDescent="0.3">
      <c r="A1313" s="15" t="s">
        <v>5348</v>
      </c>
      <c r="B1313" s="15" t="s">
        <v>5044</v>
      </c>
      <c r="D1313" t="s">
        <v>1535</v>
      </c>
      <c r="E1313" t="s">
        <v>8773</v>
      </c>
    </row>
    <row r="1314" spans="1:10" outlineLevel="1" x14ac:dyDescent="0.3">
      <c r="A1314" s="15" t="s">
        <v>5349</v>
      </c>
      <c r="B1314" s="15" t="s">
        <v>5044</v>
      </c>
      <c r="D1314" t="s">
        <v>1535</v>
      </c>
      <c r="E1314" t="s">
        <v>8773</v>
      </c>
    </row>
    <row r="1315" spans="1:10" outlineLevel="1" x14ac:dyDescent="0.3">
      <c r="A1315" s="15" t="s">
        <v>5351</v>
      </c>
      <c r="B1315" s="15" t="s">
        <v>5044</v>
      </c>
    </row>
    <row r="1316" spans="1:10" outlineLevel="1" x14ac:dyDescent="0.3">
      <c r="A1316" s="15" t="s">
        <v>5352</v>
      </c>
      <c r="B1316" s="15" t="s">
        <v>5054</v>
      </c>
      <c r="D1316" t="s">
        <v>9253</v>
      </c>
      <c r="E1316" t="s">
        <v>8603</v>
      </c>
    </row>
    <row r="1317" spans="1:10" x14ac:dyDescent="0.3">
      <c r="A1317" s="22" t="s">
        <v>2001</v>
      </c>
      <c r="B1317" s="22"/>
      <c r="C1317" s="22"/>
      <c r="D1317" s="22"/>
    </row>
    <row r="1318" spans="1:11" outlineLevel="1" x14ac:dyDescent="0.3">
      <c r="A1318" t="s">
        <v>28</v>
      </c>
      <c r="B1318" t="s">
        <v>7</v>
      </c>
      <c r="C1318" t="s">
        <v>8</v>
      </c>
      <c r="D1318" s="15" t="s">
        <v>2002</v>
      </c>
      <c r="E1318" t="s">
        <v>2003</v>
      </c>
      <c r="J1318" t="s">
        <v>9777</v>
      </c>
      <c r="K1318" t="inlineStr">
        <is>
          <t>SSC/BF-part1.jpg</t>
        </is>
      </c>
    </row>
    <row r="1319" spans="1:11" outlineLevel="1" x14ac:dyDescent="0.3">
      <c r="A1319" t="s">
        <v>30</v>
      </c>
      <c r="B1319" t="s">
        <v>7</v>
      </c>
      <c r="C1319" t="s">
        <v>8</v>
      </c>
      <c r="D1319" s="15" t="s">
        <v>2004</v>
      </c>
      <c r="E1319" t="s">
        <v>2005</v>
      </c>
      <c r="J1319" t="s">
        <v>9778</v>
      </c>
      <c r="K1319" t="inlineStr">
        <is>
          <t>SSC/BF-part1.jpg</t>
        </is>
      </c>
    </row>
    <row r="1320" spans="1:11" outlineLevel="1" x14ac:dyDescent="0.3">
      <c r="A1320" t="s">
        <v>31</v>
      </c>
      <c r="B1320" t="s">
        <v>7</v>
      </c>
      <c r="C1320" t="s">
        <v>8</v>
      </c>
      <c r="D1320" s="15" t="s">
        <v>2004</v>
      </c>
      <c r="E1320" t="s">
        <v>2005</v>
      </c>
      <c r="J1320" t="s">
        <v>9778</v>
      </c>
      <c r="K1320" t="inlineStr">
        <is>
          <t>SSC/BF-part1.jpg</t>
        </is>
      </c>
    </row>
    <row r="1321" spans="1:11" outlineLevel="1" x14ac:dyDescent="0.3">
      <c r="A1321" t="s">
        <v>33</v>
      </c>
      <c r="B1321" t="s">
        <v>7</v>
      </c>
      <c r="C1321" t="s">
        <v>8</v>
      </c>
      <c r="D1321" s="15" t="s">
        <v>2006</v>
      </c>
      <c r="E1321" t="s">
        <v>2007</v>
      </c>
      <c r="J1321" t="s">
        <v>9779</v>
      </c>
      <c r="K1321" t="inlineStr">
        <is>
          <t>SSC/BF-part2.jpg</t>
        </is>
      </c>
    </row>
    <row r="1322" spans="1:11" outlineLevel="1" x14ac:dyDescent="0.3">
      <c r="A1322" s="30" t="s">
        <v>34</v>
      </c>
      <c r="B1322" s="30" t="s">
        <v>7</v>
      </c>
      <c r="C1322" s="30" t="s">
        <v>8</v>
      </c>
      <c r="D1322" s="33" t="s">
        <v>2002</v>
      </c>
      <c r="E1322" s="30" t="s">
        <v>2003</v>
      </c>
      <c r="F1322" s="30"/>
      <c r="G1322" s="30"/>
      <c r="H1322" s="30"/>
      <c r="I1322" s="30"/>
      <c r="J1322" s="30" t="s">
        <v>9778</v>
      </c>
      <c r="K1322" t="inlineStr">
        <is>
          <t>SSC/BF-part1.jpg</t>
        </is>
      </c>
    </row>
    <row r="1323" spans="1:11" outlineLevel="1" x14ac:dyDescent="0.3">
      <c r="A1323" t="s">
        <v>44</v>
      </c>
      <c r="B1323" t="s">
        <v>45</v>
      </c>
      <c r="C1323" t="s">
        <v>8</v>
      </c>
      <c r="D1323" t="s">
        <v>2008</v>
      </c>
      <c r="E1323" t="s">
        <v>2009</v>
      </c>
      <c r="H1323" t="s">
        <v>9751</v>
      </c>
      <c r="J1323" t="s">
        <v>9780</v>
      </c>
      <c r="K1323" t="inlineStr">
        <is>
          <t>SSC/BF-part1.jpg</t>
        </is>
      </c>
    </row>
    <row r="1324" spans="1:11" outlineLevel="1" x14ac:dyDescent="0.3">
      <c r="A1324" t="s">
        <v>47</v>
      </c>
      <c r="B1324" t="s">
        <v>45</v>
      </c>
      <c r="C1324" t="s">
        <v>8</v>
      </c>
      <c r="D1324" t="s">
        <v>2010</v>
      </c>
      <c r="E1324" t="s">
        <v>2011</v>
      </c>
      <c r="J1324" t="s">
        <v>9781</v>
      </c>
      <c r="K1324" t="inlineStr">
        <is>
          <t>SSC/BF-part1.jpg</t>
        </is>
      </c>
    </row>
    <row r="1325" spans="1:11" outlineLevel="1" x14ac:dyDescent="0.3">
      <c r="A1325" s="30" t="s">
        <v>49</v>
      </c>
      <c r="B1325" s="30" t="s">
        <v>45</v>
      </c>
      <c r="C1325" s="30" t="s">
        <v>8</v>
      </c>
      <c r="D1325" s="30" t="s">
        <v>2012</v>
      </c>
      <c r="E1325" s="30" t="s">
        <v>2013</v>
      </c>
      <c r="F1325" s="30"/>
      <c r="G1325" s="30"/>
      <c r="H1325" s="30" t="s">
        <v>9752</v>
      </c>
      <c r="I1325" s="30"/>
      <c r="J1325" s="30" t="s">
        <v>9782</v>
      </c>
      <c r="K1325" t="inlineStr">
        <is>
          <t>SSC/BF-part1.jpg</t>
        </is>
      </c>
    </row>
    <row r="1326" spans="1:10" outlineLevel="1" x14ac:dyDescent="0.3">
      <c r="A1326" t="s">
        <v>51</v>
      </c>
      <c r="B1326" t="s">
        <v>45</v>
      </c>
      <c r="C1326" t="s">
        <v>8</v>
      </c>
      <c r="D1326" t="s">
        <v>2014</v>
      </c>
      <c r="E1326" t="s">
        <v>2015</v>
      </c>
      <c r="H1326" t="s">
        <v>9753</v>
      </c>
    </row>
    <row r="1327" spans="1:11" outlineLevel="1" x14ac:dyDescent="0.3">
      <c r="A1327" t="s">
        <v>53</v>
      </c>
      <c r="B1327" t="s">
        <v>45</v>
      </c>
      <c r="C1327" t="s">
        <v>8</v>
      </c>
      <c r="D1327" t="s">
        <v>2016</v>
      </c>
      <c r="E1327" t="s">
        <v>2017</v>
      </c>
      <c r="J1327" t="s">
        <v>9783</v>
      </c>
      <c r="K1327" t="inlineStr">
        <is>
          <t>SSC/FF-part2.jpg</t>
        </is>
      </c>
    </row>
    <row r="1328" spans="1:10" outlineLevel="1" x14ac:dyDescent="0.3">
      <c r="A1328" t="s">
        <v>55</v>
      </c>
      <c r="B1328" t="s">
        <v>45</v>
      </c>
      <c r="C1328" t="s">
        <v>8</v>
      </c>
      <c r="D1328" t="s">
        <v>2016</v>
      </c>
      <c r="E1328" t="s">
        <v>2017</v>
      </c>
    </row>
    <row r="1329" spans="1:11" outlineLevel="1" x14ac:dyDescent="0.3">
      <c r="A1329" t="s">
        <v>57</v>
      </c>
      <c r="B1329" t="s">
        <v>45</v>
      </c>
      <c r="C1329" t="s">
        <v>8</v>
      </c>
      <c r="D1329" t="s">
        <v>2018</v>
      </c>
      <c r="E1329" t="s">
        <v>2019</v>
      </c>
      <c r="J1329" t="s">
        <v>9784</v>
      </c>
      <c r="K1329" t="inlineStr">
        <is>
          <t>SSC/FF-part2.jpg</t>
        </is>
      </c>
    </row>
    <row r="1330" spans="1:10" outlineLevel="1" x14ac:dyDescent="0.3">
      <c r="A1330" t="s">
        <v>59</v>
      </c>
      <c r="B1330" t="s">
        <v>45</v>
      </c>
      <c r="C1330" t="s">
        <v>8</v>
      </c>
      <c r="D1330" t="s">
        <v>2018</v>
      </c>
      <c r="E1330" t="s">
        <v>2019</v>
      </c>
    </row>
    <row r="1331" spans="1:10" outlineLevel="1" x14ac:dyDescent="0.3">
      <c r="A1331" s="30" t="s">
        <v>61</v>
      </c>
      <c r="B1331" s="30" t="s">
        <v>45</v>
      </c>
      <c r="C1331" s="30" t="s">
        <v>10</v>
      </c>
      <c r="D1331" s="30" t="s">
        <v>2020</v>
      </c>
      <c r="E1331" s="30" t="s">
        <v>2021</v>
      </c>
      <c r="F1331" s="30"/>
      <c r="G1331" s="30"/>
      <c r="H1331" s="30" t="s">
        <v>9754</v>
      </c>
    </row>
    <row r="1332" spans="1:11" outlineLevel="1" x14ac:dyDescent="0.3">
      <c r="A1332" s="30" t="s">
        <v>62</v>
      </c>
      <c r="B1332" s="30" t="s">
        <v>45</v>
      </c>
      <c r="C1332" s="30" t="s">
        <v>10</v>
      </c>
      <c r="D1332" s="30" t="s">
        <v>2022</v>
      </c>
      <c r="E1332" s="30" t="s">
        <v>2023</v>
      </c>
      <c r="F1332" s="30"/>
      <c r="G1332" s="30"/>
      <c r="H1332" s="30" t="s">
        <v>9755</v>
      </c>
      <c r="I1332" s="30"/>
      <c r="J1332" s="30" t="s">
        <v>9785</v>
      </c>
      <c r="K1332" t="inlineStr">
        <is>
          <t>SSC/FF-part1.jpg</t>
        </is>
      </c>
    </row>
    <row r="1333" spans="1:10" outlineLevel="1" x14ac:dyDescent="0.3">
      <c r="A1333" t="s">
        <v>64</v>
      </c>
      <c r="B1333" t="s">
        <v>45</v>
      </c>
      <c r="C1333" t="s">
        <v>10</v>
      </c>
      <c r="D1333" t="s">
        <v>2024</v>
      </c>
      <c r="E1333" t="s">
        <v>2025</v>
      </c>
      <c r="H1333" t="s">
        <v>9756</v>
      </c>
    </row>
    <row r="1334" spans="1:11" outlineLevel="1" x14ac:dyDescent="0.3">
      <c r="A1334" t="s">
        <v>265</v>
      </c>
      <c r="B1334" t="s">
        <v>266</v>
      </c>
      <c r="C1334" t="s">
        <v>10</v>
      </c>
      <c r="D1334" t="s">
        <v>2026</v>
      </c>
      <c r="E1334" t="s">
        <v>2027</v>
      </c>
      <c r="J1334" t="s">
        <v>9786</v>
      </c>
      <c r="K1334" t="inlineStr">
        <is>
          <t>SSC/BF-part1.jpg</t>
        </is>
      </c>
    </row>
    <row r="1335" spans="1:11" outlineLevel="1" x14ac:dyDescent="0.3">
      <c r="A1335" t="s">
        <v>268</v>
      </c>
      <c r="B1335" t="s">
        <v>266</v>
      </c>
      <c r="C1335" t="s">
        <v>10</v>
      </c>
      <c r="D1335" t="s">
        <v>2028</v>
      </c>
      <c r="E1335" t="s">
        <v>2029</v>
      </c>
      <c r="H1335" t="s">
        <v>9757</v>
      </c>
      <c r="J1335" t="s">
        <v>9787</v>
      </c>
      <c r="K1335" t="inlineStr">
        <is>
          <t>SSC/FF-part1.jpg</t>
        </is>
      </c>
    </row>
    <row r="1336" spans="1:11" outlineLevel="1" x14ac:dyDescent="0.3">
      <c r="A1336" t="s">
        <v>270</v>
      </c>
      <c r="B1336" t="s">
        <v>266</v>
      </c>
      <c r="C1336" t="s">
        <v>10</v>
      </c>
      <c r="D1336" t="s">
        <v>2028</v>
      </c>
      <c r="E1336" t="s">
        <v>2029</v>
      </c>
      <c r="J1336" t="s">
        <v>9787</v>
      </c>
      <c r="K1336" t="inlineStr">
        <is>
          <t>SSC/FF-part1.jpg</t>
        </is>
      </c>
    </row>
    <row r="1337" spans="1:11" outlineLevel="1" x14ac:dyDescent="0.3">
      <c r="A1337" t="s">
        <v>271</v>
      </c>
      <c r="B1337" t="s">
        <v>266</v>
      </c>
      <c r="C1337" t="s">
        <v>10</v>
      </c>
      <c r="D1337" t="s">
        <v>2028</v>
      </c>
      <c r="E1337" t="s">
        <v>2029</v>
      </c>
      <c r="J1337" t="s">
        <v>9787</v>
      </c>
      <c r="K1337" t="inlineStr">
        <is>
          <t>SSC/FF-part1.jpg</t>
        </is>
      </c>
    </row>
    <row r="1338" spans="1:11" outlineLevel="1" x14ac:dyDescent="0.3">
      <c r="A1338" t="s">
        <v>273</v>
      </c>
      <c r="B1338" t="s">
        <v>266</v>
      </c>
      <c r="C1338" t="s">
        <v>10</v>
      </c>
      <c r="D1338" t="s">
        <v>2030</v>
      </c>
      <c r="E1338" t="s">
        <v>2031</v>
      </c>
      <c r="H1338" t="s">
        <v>9758</v>
      </c>
      <c r="J1338" t="s">
        <v>9788</v>
      </c>
      <c r="K1338" t="inlineStr">
        <is>
          <t>SSC/FF-part1.jpg</t>
        </is>
      </c>
    </row>
    <row r="1339" spans="1:11" outlineLevel="1" x14ac:dyDescent="0.3">
      <c r="A1339" t="s">
        <v>275</v>
      </c>
      <c r="B1339" t="s">
        <v>266</v>
      </c>
      <c r="C1339" t="s">
        <v>10</v>
      </c>
      <c r="D1339" t="s">
        <v>2030</v>
      </c>
      <c r="E1339" t="s">
        <v>2031</v>
      </c>
      <c r="J1339" t="s">
        <v>9788</v>
      </c>
      <c r="K1339" t="inlineStr">
        <is>
          <t>SSC/FF-part1.jpg</t>
        </is>
      </c>
    </row>
    <row r="1340" spans="1:11" outlineLevel="1" x14ac:dyDescent="0.3">
      <c r="A1340" t="s">
        <v>276</v>
      </c>
      <c r="B1340" t="s">
        <v>266</v>
      </c>
      <c r="C1340" t="s">
        <v>10</v>
      </c>
      <c r="D1340" t="s">
        <v>2030</v>
      </c>
      <c r="E1340" t="s">
        <v>2031</v>
      </c>
      <c r="J1340" t="s">
        <v>9788</v>
      </c>
      <c r="K1340" t="inlineStr">
        <is>
          <t>SSC/FF-part1.jpg</t>
        </is>
      </c>
    </row>
    <row r="1341" spans="1:11" outlineLevel="1" x14ac:dyDescent="0.3">
      <c r="A1341" t="s">
        <v>278</v>
      </c>
      <c r="B1341" t="s">
        <v>266</v>
      </c>
      <c r="C1341" t="s">
        <v>10</v>
      </c>
      <c r="D1341" t="s">
        <v>2032</v>
      </c>
      <c r="E1341" t="s">
        <v>2033</v>
      </c>
      <c r="H1341" t="s">
        <v>9759</v>
      </c>
      <c r="J1341" t="s">
        <v>9789</v>
      </c>
      <c r="K1341" t="inlineStr">
        <is>
          <t>SSC/FF-part2.jpg</t>
        </is>
      </c>
    </row>
    <row r="1342" spans="1:11" outlineLevel="1" x14ac:dyDescent="0.3">
      <c r="A1342" s="30" t="s">
        <v>280</v>
      </c>
      <c r="B1342" s="30" t="s">
        <v>266</v>
      </c>
      <c r="C1342" s="30" t="s">
        <v>10</v>
      </c>
      <c r="D1342" s="30" t="s">
        <v>2034</v>
      </c>
      <c r="E1342" s="30" t="s">
        <v>2035</v>
      </c>
      <c r="F1342" s="30"/>
      <c r="G1342" s="30"/>
      <c r="H1342" s="30"/>
      <c r="I1342" s="30"/>
      <c r="J1342" s="30" t="s">
        <v>9790</v>
      </c>
      <c r="K1342" t="inlineStr">
        <is>
          <t>SSC/FF-part1.jpg</t>
        </is>
      </c>
    </row>
    <row r="1343" spans="1:11" outlineLevel="1" x14ac:dyDescent="0.3">
      <c r="A1343" t="s">
        <v>2036</v>
      </c>
      <c r="B1343" t="s">
        <v>266</v>
      </c>
      <c r="C1343" t="s">
        <v>10</v>
      </c>
      <c r="D1343" t="s">
        <v>2034</v>
      </c>
      <c r="E1343" t="s">
        <v>2035</v>
      </c>
      <c r="J1343" t="s">
        <v>9791</v>
      </c>
      <c r="K1343" t="inlineStr">
        <is>
          <t>SSC/FF-part1.jpg</t>
        </is>
      </c>
    </row>
    <row r="1344" spans="1:10" outlineLevel="1" x14ac:dyDescent="0.3">
      <c r="A1344" t="s">
        <v>282</v>
      </c>
      <c r="B1344" t="s">
        <v>266</v>
      </c>
      <c r="C1344" t="s">
        <v>10</v>
      </c>
      <c r="D1344" t="s">
        <v>2034</v>
      </c>
      <c r="E1344" t="s">
        <v>2035</v>
      </c>
    </row>
    <row r="1345" spans="1:11" outlineLevel="1" x14ac:dyDescent="0.3">
      <c r="A1345" t="s">
        <v>284</v>
      </c>
      <c r="B1345" t="s">
        <v>266</v>
      </c>
      <c r="C1345" t="s">
        <v>10</v>
      </c>
      <c r="D1345" t="s">
        <v>2034</v>
      </c>
      <c r="E1345" t="s">
        <v>2035</v>
      </c>
      <c r="J1345" t="s">
        <v>9791</v>
      </c>
      <c r="K1345" t="inlineStr">
        <is>
          <t>SSC/FF-part1.jpg</t>
        </is>
      </c>
    </row>
    <row r="1346" spans="1:11" outlineLevel="1" x14ac:dyDescent="0.3">
      <c r="A1346" t="s">
        <v>286</v>
      </c>
      <c r="B1346" t="s">
        <v>266</v>
      </c>
      <c r="C1346" t="s">
        <v>10</v>
      </c>
      <c r="D1346" t="s">
        <v>2034</v>
      </c>
      <c r="E1346" t="s">
        <v>2035</v>
      </c>
      <c r="J1346" t="s">
        <v>9791</v>
      </c>
      <c r="K1346" t="inlineStr">
        <is>
          <t>SSC/FF-part2.jpg</t>
        </is>
      </c>
    </row>
    <row r="1347" spans="1:11" outlineLevel="1" x14ac:dyDescent="0.3">
      <c r="A1347" t="s">
        <v>288</v>
      </c>
      <c r="B1347" t="s">
        <v>266</v>
      </c>
      <c r="C1347" t="s">
        <v>10</v>
      </c>
      <c r="D1347" t="s">
        <v>2034</v>
      </c>
      <c r="E1347" t="s">
        <v>2035</v>
      </c>
      <c r="J1347" t="s">
        <v>9791</v>
      </c>
      <c r="K1347" t="inlineStr">
        <is>
          <t>SSC/FF-part2.jpg</t>
        </is>
      </c>
    </row>
    <row r="1348" spans="1:11" outlineLevel="1" x14ac:dyDescent="0.3">
      <c r="A1348" t="s">
        <v>290</v>
      </c>
      <c r="B1348" t="s">
        <v>266</v>
      </c>
      <c r="C1348" t="s">
        <v>10</v>
      </c>
      <c r="D1348" t="s">
        <v>2037</v>
      </c>
      <c r="E1348" t="s">
        <v>2038</v>
      </c>
      <c r="H1348" t="s">
        <v>9760</v>
      </c>
      <c r="J1348" t="s">
        <v>9792</v>
      </c>
      <c r="K1348" t="inlineStr">
        <is>
          <t>SSC/FF-part2.jpg</t>
        </is>
      </c>
    </row>
    <row r="1349" spans="1:11" outlineLevel="1" x14ac:dyDescent="0.3">
      <c r="A1349" t="s">
        <v>292</v>
      </c>
      <c r="B1349" t="s">
        <v>266</v>
      </c>
      <c r="C1349" t="s">
        <v>10</v>
      </c>
      <c r="D1349" t="s">
        <v>2039</v>
      </c>
      <c r="E1349" t="s">
        <v>9828</v>
      </c>
      <c r="J1349" t="s">
        <v>9792</v>
      </c>
      <c r="K1349" t="inlineStr">
        <is>
          <t>SSC/FF-part2.jpg</t>
        </is>
      </c>
    </row>
    <row r="1350" spans="1:11" outlineLevel="1" x14ac:dyDescent="0.3">
      <c r="A1350" t="s">
        <v>294</v>
      </c>
      <c r="B1350" t="s">
        <v>266</v>
      </c>
      <c r="C1350" t="s">
        <v>10</v>
      </c>
      <c r="D1350" t="s">
        <v>2040</v>
      </c>
      <c r="E1350" t="s">
        <v>9829</v>
      </c>
      <c r="J1350" t="s">
        <v>9792</v>
      </c>
      <c r="K1350" t="inlineStr">
        <is>
          <t>SSC/FF-part2.jpg</t>
        </is>
      </c>
    </row>
    <row r="1351" spans="1:11" outlineLevel="1" x14ac:dyDescent="0.3">
      <c r="A1351" t="s">
        <v>296</v>
      </c>
      <c r="B1351" t="s">
        <v>266</v>
      </c>
      <c r="C1351" t="s">
        <v>10</v>
      </c>
      <c r="D1351" t="s">
        <v>2041</v>
      </c>
      <c r="E1351" t="s">
        <v>2042</v>
      </c>
      <c r="J1351" t="s">
        <v>9792</v>
      </c>
      <c r="K1351" t="inlineStr">
        <is>
          <t>SSC/FF-part2.jpg</t>
        </is>
      </c>
    </row>
    <row r="1352" spans="1:11" outlineLevel="1" x14ac:dyDescent="0.3">
      <c r="A1352" t="s">
        <v>298</v>
      </c>
      <c r="B1352" t="s">
        <v>266</v>
      </c>
      <c r="C1352" t="s">
        <v>10</v>
      </c>
      <c r="D1352" t="s">
        <v>2041</v>
      </c>
      <c r="E1352" t="s">
        <v>2042</v>
      </c>
      <c r="J1352" t="s">
        <v>9792</v>
      </c>
      <c r="K1352" t="inlineStr">
        <is>
          <t>SSC/FF-part2.jpg</t>
        </is>
      </c>
    </row>
    <row r="1353" spans="1:10" outlineLevel="1" x14ac:dyDescent="0.3">
      <c r="A1353" t="s">
        <v>300</v>
      </c>
      <c r="B1353" t="s">
        <v>266</v>
      </c>
      <c r="C1353" t="s">
        <v>10</v>
      </c>
      <c r="D1353" t="s">
        <v>2041</v>
      </c>
      <c r="E1353" t="s">
        <v>2042</v>
      </c>
    </row>
    <row r="1354" spans="1:11" outlineLevel="1" x14ac:dyDescent="0.3">
      <c r="A1354" t="s">
        <v>302</v>
      </c>
      <c r="B1354" t="s">
        <v>266</v>
      </c>
      <c r="C1354" t="s">
        <v>10</v>
      </c>
      <c r="D1354" t="s">
        <v>2043</v>
      </c>
      <c r="E1354" t="s">
        <v>2044</v>
      </c>
      <c r="H1354" t="s">
        <v>9761</v>
      </c>
      <c r="J1354" t="s">
        <v>9785</v>
      </c>
      <c r="K1354" t="inlineStr">
        <is>
          <t>SSC/FF-part1.jpg</t>
        </is>
      </c>
    </row>
    <row r="1355" spans="1:10" outlineLevel="1" x14ac:dyDescent="0.3">
      <c r="A1355" t="s">
        <v>304</v>
      </c>
      <c r="B1355" t="s">
        <v>266</v>
      </c>
      <c r="C1355" t="s">
        <v>10</v>
      </c>
      <c r="D1355" t="s">
        <v>2045</v>
      </c>
      <c r="E1355" t="s">
        <v>2046</v>
      </c>
      <c r="H1355" t="s">
        <v>9762</v>
      </c>
    </row>
    <row r="1356" spans="1:10" outlineLevel="1" x14ac:dyDescent="0.3">
      <c r="A1356" t="s">
        <v>305</v>
      </c>
      <c r="B1356" t="s">
        <v>266</v>
      </c>
      <c r="C1356" t="s">
        <v>10</v>
      </c>
      <c r="D1356" t="s">
        <v>2045</v>
      </c>
      <c r="E1356" t="s">
        <v>2046</v>
      </c>
    </row>
    <row r="1357" spans="1:11" outlineLevel="1" x14ac:dyDescent="0.3">
      <c r="A1357" s="30" t="s">
        <v>307</v>
      </c>
      <c r="B1357" s="30" t="s">
        <v>266</v>
      </c>
      <c r="C1357" s="30" t="s">
        <v>10</v>
      </c>
      <c r="D1357" s="30" t="s">
        <v>2047</v>
      </c>
      <c r="E1357" s="30" t="s">
        <v>2048</v>
      </c>
      <c r="F1357" s="34"/>
      <c r="G1357" s="30"/>
      <c r="H1357" s="30" t="s">
        <v>9763</v>
      </c>
      <c r="I1357" s="30"/>
      <c r="J1357" s="30" t="s">
        <v>9793</v>
      </c>
      <c r="K1357" t="inlineStr">
        <is>
          <t>SSC/FF-part1.jpg</t>
        </is>
      </c>
    </row>
    <row r="1358" spans="1:11" outlineLevel="1" x14ac:dyDescent="0.3">
      <c r="A1358" t="s">
        <v>309</v>
      </c>
      <c r="B1358" t="s">
        <v>266</v>
      </c>
      <c r="C1358" t="s">
        <v>10</v>
      </c>
      <c r="D1358" t="s">
        <v>2049</v>
      </c>
      <c r="E1358" t="s">
        <v>2050</v>
      </c>
      <c r="J1358" t="s">
        <v>9790</v>
      </c>
      <c r="K1358" t="inlineStr">
        <is>
          <t>SSC/FF-part1.jpg</t>
        </is>
      </c>
    </row>
    <row r="1359" spans="1:10" outlineLevel="1" x14ac:dyDescent="0.3">
      <c r="A1359" t="s">
        <v>310</v>
      </c>
      <c r="B1359" t="s">
        <v>266</v>
      </c>
      <c r="C1359" t="s">
        <v>10</v>
      </c>
      <c r="D1359" t="s">
        <v>2049</v>
      </c>
      <c r="E1359" t="s">
        <v>2050</v>
      </c>
      <c r="H1359" t="s">
        <v>9764</v>
      </c>
    </row>
    <row r="1360" spans="1:11" outlineLevel="1" x14ac:dyDescent="0.3">
      <c r="A1360" t="s">
        <v>312</v>
      </c>
      <c r="B1360" t="s">
        <v>266</v>
      </c>
      <c r="C1360" t="s">
        <v>10</v>
      </c>
      <c r="D1360" t="s">
        <v>2049</v>
      </c>
      <c r="E1360" t="s">
        <v>2050</v>
      </c>
      <c r="J1360" t="s">
        <v>9790</v>
      </c>
      <c r="K1360" t="inlineStr">
        <is>
          <t>SSC/FF-part2.jpg</t>
        </is>
      </c>
    </row>
    <row r="1361" spans="1:11" outlineLevel="1" x14ac:dyDescent="0.3">
      <c r="A1361" s="30" t="s">
        <v>314</v>
      </c>
      <c r="B1361" s="30" t="s">
        <v>266</v>
      </c>
      <c r="C1361" s="30" t="s">
        <v>10</v>
      </c>
      <c r="D1361" s="30" t="s">
        <v>2049</v>
      </c>
      <c r="E1361" s="30" t="s">
        <v>2050</v>
      </c>
      <c r="F1361" s="30"/>
      <c r="G1361" s="30"/>
      <c r="H1361" s="30" t="s">
        <v>9762</v>
      </c>
      <c r="I1361" s="30"/>
      <c r="J1361" s="30" t="s">
        <v>9790</v>
      </c>
      <c r="K1361" t="inlineStr">
        <is>
          <t>SSC/FF-part2.jpg</t>
        </is>
      </c>
    </row>
    <row r="1362" spans="1:11" outlineLevel="1" x14ac:dyDescent="0.3">
      <c r="A1362" s="30" t="s">
        <v>316</v>
      </c>
      <c r="B1362" s="30" t="s">
        <v>266</v>
      </c>
      <c r="C1362" s="30" t="s">
        <v>10</v>
      </c>
      <c r="D1362" s="30" t="s">
        <v>2047</v>
      </c>
      <c r="E1362" s="30" t="s">
        <v>2048</v>
      </c>
      <c r="F1362" s="34"/>
      <c r="G1362" s="30"/>
      <c r="H1362" s="30"/>
      <c r="I1362" s="30"/>
      <c r="J1362" s="30" t="s">
        <v>9793</v>
      </c>
      <c r="K1362" t="inlineStr">
        <is>
          <t>SSC/FF-part2.jpg</t>
        </is>
      </c>
    </row>
    <row r="1363" spans="1:11" outlineLevel="1" x14ac:dyDescent="0.3">
      <c r="A1363" t="s">
        <v>318</v>
      </c>
      <c r="B1363" t="s">
        <v>266</v>
      </c>
      <c r="C1363" t="s">
        <v>10</v>
      </c>
      <c r="D1363" t="s">
        <v>2051</v>
      </c>
      <c r="E1363" t="s">
        <v>2052</v>
      </c>
      <c r="H1363" t="s">
        <v>9765</v>
      </c>
      <c r="J1363" t="s">
        <v>9794</v>
      </c>
      <c r="K1363" t="inlineStr">
        <is>
          <t>SSC/FF-part1.jpg</t>
        </is>
      </c>
    </row>
    <row r="1364" spans="1:11" outlineLevel="1" x14ac:dyDescent="0.3">
      <c r="A1364" s="30" t="s">
        <v>320</v>
      </c>
      <c r="B1364" s="30" t="s">
        <v>266</v>
      </c>
      <c r="C1364" s="30" t="s">
        <v>10</v>
      </c>
      <c r="D1364" s="30" t="s">
        <v>2047</v>
      </c>
      <c r="E1364" s="30" t="s">
        <v>2048</v>
      </c>
      <c r="F1364" s="34"/>
      <c r="G1364" s="30"/>
      <c r="H1364" s="30"/>
      <c r="I1364" s="30"/>
      <c r="J1364" s="30" t="s">
        <v>9793</v>
      </c>
      <c r="K1364" t="inlineStr">
        <is>
          <t>SSC/FF-part1.jpg</t>
        </is>
      </c>
    </row>
    <row r="1365" spans="1:11" outlineLevel="1" x14ac:dyDescent="0.3">
      <c r="A1365" t="s">
        <v>322</v>
      </c>
      <c r="B1365" t="s">
        <v>266</v>
      </c>
      <c r="C1365" t="s">
        <v>10</v>
      </c>
      <c r="D1365" t="s">
        <v>2053</v>
      </c>
      <c r="E1365" t="s">
        <v>2054</v>
      </c>
      <c r="H1365" t="s">
        <v>9766</v>
      </c>
      <c r="J1365" t="s">
        <v>9795</v>
      </c>
      <c r="K1365" t="inlineStr">
        <is>
          <t>SSC/FF-part1.jpg</t>
        </is>
      </c>
    </row>
    <row r="1366" spans="1:11" outlineLevel="1" x14ac:dyDescent="0.3">
      <c r="A1366" s="30" t="s">
        <v>324</v>
      </c>
      <c r="B1366" s="30" t="s">
        <v>266</v>
      </c>
      <c r="C1366" s="30" t="s">
        <v>10</v>
      </c>
      <c r="D1366" s="30" t="s">
        <v>2055</v>
      </c>
      <c r="E1366" s="30" t="s">
        <v>2021</v>
      </c>
      <c r="F1366" s="30"/>
      <c r="G1366" s="30"/>
      <c r="H1366" s="30" t="s">
        <v>9767</v>
      </c>
      <c r="I1366" s="30"/>
      <c r="J1366" s="30" t="s">
        <v>9796</v>
      </c>
      <c r="K1366" t="inlineStr">
        <is>
          <t>SSC/FF-part2.jpg</t>
        </is>
      </c>
    </row>
    <row r="1367" spans="1:11" outlineLevel="1" x14ac:dyDescent="0.3">
      <c r="A1367" s="30" t="s">
        <v>326</v>
      </c>
      <c r="B1367" s="30" t="s">
        <v>266</v>
      </c>
      <c r="C1367" s="30" t="s">
        <v>10</v>
      </c>
      <c r="D1367" s="30" t="s">
        <v>2045</v>
      </c>
      <c r="E1367" s="30" t="s">
        <v>2046</v>
      </c>
      <c r="F1367" s="30"/>
      <c r="G1367" s="30"/>
      <c r="H1367" s="30" t="s">
        <v>9768</v>
      </c>
      <c r="I1367" s="30"/>
      <c r="J1367" s="30" t="s">
        <v>9793</v>
      </c>
      <c r="K1367" t="inlineStr">
        <is>
          <t>SSC/FF-part1.jpg</t>
        </is>
      </c>
    </row>
    <row r="1368" spans="1:11" outlineLevel="1" x14ac:dyDescent="0.3">
      <c r="A1368" s="30" t="s">
        <v>328</v>
      </c>
      <c r="B1368" s="30" t="s">
        <v>266</v>
      </c>
      <c r="C1368" s="30" t="s">
        <v>10</v>
      </c>
      <c r="D1368" s="30" t="s">
        <v>2056</v>
      </c>
      <c r="E1368" s="30" t="s">
        <v>2023</v>
      </c>
      <c r="F1368" s="30"/>
      <c r="G1368" s="30"/>
      <c r="H1368" s="30" t="s">
        <v>9769</v>
      </c>
      <c r="I1368" s="30"/>
      <c r="J1368" s="30" t="s">
        <v>9797</v>
      </c>
      <c r="K1368" t="inlineStr">
        <is>
          <t>SSC/FF-part2.jpg</t>
        </is>
      </c>
    </row>
    <row r="1369" spans="1:11" outlineLevel="1" x14ac:dyDescent="0.3">
      <c r="A1369" s="30" t="s">
        <v>330</v>
      </c>
      <c r="B1369" s="30" t="s">
        <v>266</v>
      </c>
      <c r="C1369" s="30" t="s">
        <v>10</v>
      </c>
      <c r="D1369" s="30" t="s">
        <v>2057</v>
      </c>
      <c r="E1369" s="30" t="s">
        <v>2058</v>
      </c>
      <c r="F1369" s="30"/>
      <c r="G1369" s="30"/>
      <c r="H1369" s="30" t="s">
        <v>9770</v>
      </c>
      <c r="I1369" s="30"/>
      <c r="J1369" s="30" t="s">
        <v>9791</v>
      </c>
      <c r="K1369" t="inlineStr">
        <is>
          <t>SSC/FF-part2.jpg</t>
        </is>
      </c>
    </row>
    <row r="1370" spans="1:10" outlineLevel="1" x14ac:dyDescent="0.3">
      <c r="A1370" t="s">
        <v>332</v>
      </c>
      <c r="B1370" t="s">
        <v>266</v>
      </c>
      <c r="C1370" t="s">
        <v>8</v>
      </c>
      <c r="D1370" t="s">
        <v>2014</v>
      </c>
      <c r="E1370" t="s">
        <v>2015</v>
      </c>
      <c r="H1370" t="s">
        <v>9771</v>
      </c>
    </row>
    <row r="1371" spans="1:10" outlineLevel="1" x14ac:dyDescent="0.3">
      <c r="A1371" s="30" t="s">
        <v>334</v>
      </c>
      <c r="B1371" s="30" t="s">
        <v>266</v>
      </c>
      <c r="C1371" s="30" t="s">
        <v>10</v>
      </c>
      <c r="D1371" s="30" t="s">
        <v>2059</v>
      </c>
      <c r="E1371" s="30" t="s">
        <v>2060</v>
      </c>
      <c r="F1371" s="30"/>
      <c r="G1371" s="30"/>
      <c r="H1371" s="30" t="s">
        <v>9772</v>
      </c>
    </row>
    <row r="1372" spans="1:11" outlineLevel="1" x14ac:dyDescent="0.3">
      <c r="A1372" s="30" t="s">
        <v>336</v>
      </c>
      <c r="B1372" s="30" t="s">
        <v>266</v>
      </c>
      <c r="C1372" s="30" t="s">
        <v>10</v>
      </c>
      <c r="D1372" s="30" t="s">
        <v>2045</v>
      </c>
      <c r="E1372" s="30" t="s">
        <v>2046</v>
      </c>
      <c r="F1372" s="30"/>
      <c r="G1372" s="30"/>
      <c r="H1372" s="30" t="s">
        <v>9773</v>
      </c>
      <c r="I1372" s="30"/>
      <c r="J1372" s="30" t="s">
        <v>9797</v>
      </c>
      <c r="K1372" t="inlineStr">
        <is>
          <t>SSC/FF-part2.jpg</t>
        </is>
      </c>
    </row>
    <row r="1373" spans="1:11" outlineLevel="1" x14ac:dyDescent="0.3">
      <c r="A1373" t="s">
        <v>338</v>
      </c>
      <c r="B1373" t="s">
        <v>266</v>
      </c>
      <c r="C1373" t="s">
        <v>10</v>
      </c>
      <c r="D1373" t="s">
        <v>2061</v>
      </c>
      <c r="E1373" t="s">
        <v>2062</v>
      </c>
      <c r="J1373" t="s">
        <v>9798</v>
      </c>
      <c r="K1373" t="inlineStr">
        <is>
          <t>SSC/Second Floor.jpg</t>
        </is>
      </c>
    </row>
    <row r="1374" spans="1:11" outlineLevel="1" x14ac:dyDescent="0.3">
      <c r="A1374" t="s">
        <v>340</v>
      </c>
      <c r="B1374" t="s">
        <v>266</v>
      </c>
      <c r="C1374" t="s">
        <v>8</v>
      </c>
      <c r="D1374" t="s">
        <v>2063</v>
      </c>
      <c r="E1374" t="s">
        <v>2064</v>
      </c>
      <c r="J1374" t="s">
        <v>9799</v>
      </c>
      <c r="K1374" t="inlineStr">
        <is>
          <t>SSC/Second Floor.jpg</t>
        </is>
      </c>
    </row>
    <row r="1375" spans="1:11" outlineLevel="1" x14ac:dyDescent="0.3">
      <c r="A1375" t="s">
        <v>341</v>
      </c>
      <c r="B1375" t="s">
        <v>266</v>
      </c>
      <c r="C1375" t="s">
        <v>8</v>
      </c>
      <c r="D1375" t="s">
        <v>2063</v>
      </c>
      <c r="E1375" t="s">
        <v>2064</v>
      </c>
      <c r="J1375" t="s">
        <v>9799</v>
      </c>
      <c r="K1375" t="inlineStr">
        <is>
          <t>SSC/Second Floor.jpg</t>
        </is>
      </c>
    </row>
    <row r="1376" spans="1:10" outlineLevel="1" x14ac:dyDescent="0.3">
      <c r="A1376" t="s">
        <v>343</v>
      </c>
      <c r="B1376" t="s">
        <v>266</v>
      </c>
      <c r="C1376" t="s">
        <v>10</v>
      </c>
      <c r="D1376" t="s">
        <v>2065</v>
      </c>
      <c r="E1376" t="s">
        <v>2066</v>
      </c>
    </row>
    <row r="1377" spans="1:10" outlineLevel="1" x14ac:dyDescent="0.3">
      <c r="A1377" t="s">
        <v>345</v>
      </c>
      <c r="B1377" t="s">
        <v>266</v>
      </c>
      <c r="C1377" t="s">
        <v>10</v>
      </c>
      <c r="D1377" t="s">
        <v>2067</v>
      </c>
      <c r="E1377" t="s">
        <v>2068</v>
      </c>
    </row>
    <row r="1378" spans="1:10" outlineLevel="1" x14ac:dyDescent="0.3">
      <c r="A1378" t="s">
        <v>347</v>
      </c>
      <c r="B1378" t="s">
        <v>266</v>
      </c>
      <c r="C1378" t="s">
        <v>10</v>
      </c>
      <c r="D1378" t="s">
        <v>2067</v>
      </c>
      <c r="E1378" t="s">
        <v>2068</v>
      </c>
    </row>
    <row r="1379" spans="1:11" outlineLevel="1" x14ac:dyDescent="0.3">
      <c r="A1379" t="s">
        <v>349</v>
      </c>
      <c r="B1379" t="s">
        <v>266</v>
      </c>
      <c r="C1379" t="s">
        <v>10</v>
      </c>
      <c r="D1379" t="s">
        <v>2069</v>
      </c>
      <c r="E1379" t="s">
        <v>2070</v>
      </c>
      <c r="J1379" t="s">
        <v>9800</v>
      </c>
      <c r="K1379" t="inlineStr">
        <is>
          <t>SSC/Second Floor.jpg</t>
        </is>
      </c>
    </row>
    <row r="1380" spans="1:11" outlineLevel="1" x14ac:dyDescent="0.3">
      <c r="A1380" t="s">
        <v>351</v>
      </c>
      <c r="B1380" t="s">
        <v>266</v>
      </c>
      <c r="C1380" t="s">
        <v>10</v>
      </c>
      <c r="D1380" t="s">
        <v>2069</v>
      </c>
      <c r="E1380" t="s">
        <v>2070</v>
      </c>
      <c r="J1380" t="s">
        <v>9800</v>
      </c>
      <c r="K1380" t="inlineStr">
        <is>
          <t>SSC/Second Floor.jpg</t>
        </is>
      </c>
    </row>
    <row r="1381" spans="1:11" outlineLevel="1" x14ac:dyDescent="0.3">
      <c r="A1381" t="s">
        <v>353</v>
      </c>
      <c r="B1381" t="s">
        <v>266</v>
      </c>
      <c r="C1381" t="s">
        <v>10</v>
      </c>
      <c r="D1381" t="s">
        <v>2069</v>
      </c>
      <c r="E1381" t="s">
        <v>2070</v>
      </c>
      <c r="J1381" t="s">
        <v>9800</v>
      </c>
      <c r="K1381" t="inlineStr">
        <is>
          <t>SSC/Second Floor.jpg</t>
        </is>
      </c>
    </row>
    <row r="1382" spans="1:11" outlineLevel="1" x14ac:dyDescent="0.3">
      <c r="A1382" s="30" t="s">
        <v>355</v>
      </c>
      <c r="B1382" s="30" t="s">
        <v>266</v>
      </c>
      <c r="C1382" s="30" t="s">
        <v>10</v>
      </c>
      <c r="D1382" s="30" t="s">
        <v>2069</v>
      </c>
      <c r="E1382" s="30" t="s">
        <v>2070</v>
      </c>
      <c r="F1382" s="30"/>
      <c r="G1382" s="30"/>
      <c r="H1382" s="30"/>
      <c r="I1382" s="30"/>
      <c r="J1382" s="30" t="s">
        <v>9801</v>
      </c>
      <c r="K1382" t="inlineStr">
        <is>
          <t>SSC/Second Floor.jpg</t>
        </is>
      </c>
    </row>
    <row r="1383" spans="1:11" outlineLevel="1" x14ac:dyDescent="0.3">
      <c r="A1383" s="30" t="s">
        <v>356</v>
      </c>
      <c r="B1383" s="30" t="s">
        <v>266</v>
      </c>
      <c r="C1383" s="30" t="s">
        <v>10</v>
      </c>
      <c r="D1383" s="30" t="s">
        <v>2071</v>
      </c>
      <c r="E1383" s="30" t="s">
        <v>2072</v>
      </c>
      <c r="F1383" s="30"/>
      <c r="G1383" s="30"/>
      <c r="H1383" s="30"/>
      <c r="I1383" s="30"/>
      <c r="J1383" s="30" t="s">
        <v>9800</v>
      </c>
      <c r="K1383" t="inlineStr">
        <is>
          <t>SSC/Second Floor.jpg</t>
        </is>
      </c>
    </row>
    <row r="1384" spans="1:11" outlineLevel="1" x14ac:dyDescent="0.3">
      <c r="A1384" t="s">
        <v>357</v>
      </c>
      <c r="B1384" t="s">
        <v>266</v>
      </c>
      <c r="C1384" t="s">
        <v>8</v>
      </c>
      <c r="D1384" t="s">
        <v>2063</v>
      </c>
      <c r="E1384" t="s">
        <v>2064</v>
      </c>
      <c r="J1384" t="s">
        <v>9799</v>
      </c>
      <c r="K1384" t="inlineStr">
        <is>
          <t>SSC/Second Floor.jpg</t>
        </is>
      </c>
    </row>
    <row r="1385" spans="1:11" outlineLevel="1" x14ac:dyDescent="0.3">
      <c r="A1385" t="s">
        <v>358</v>
      </c>
      <c r="B1385" t="s">
        <v>266</v>
      </c>
      <c r="C1385" t="s">
        <v>10</v>
      </c>
      <c r="D1385" t="s">
        <v>2061</v>
      </c>
      <c r="E1385" t="s">
        <v>2062</v>
      </c>
      <c r="J1385" t="s">
        <v>9798</v>
      </c>
      <c r="K1385" t="inlineStr">
        <is>
          <t>SSC/Second Floor.jpg</t>
        </is>
      </c>
    </row>
    <row r="1386" spans="1:11" outlineLevel="1" x14ac:dyDescent="0.3">
      <c r="A1386" t="s">
        <v>360</v>
      </c>
      <c r="B1386" t="s">
        <v>266</v>
      </c>
      <c r="C1386" t="s">
        <v>10</v>
      </c>
      <c r="D1386" t="s">
        <v>2073</v>
      </c>
      <c r="E1386" t="s">
        <v>2074</v>
      </c>
      <c r="F1386" s="13" t="s">
        <v>2075</v>
      </c>
      <c r="J1386" t="s">
        <v>9802</v>
      </c>
      <c r="K1386" t="inlineStr">
        <is>
          <t>SSC/TF-part1.jpg</t>
        </is>
      </c>
    </row>
    <row r="1387" spans="1:11" outlineLevel="1" x14ac:dyDescent="0.3">
      <c r="A1387" t="s">
        <v>361</v>
      </c>
      <c r="B1387" t="s">
        <v>266</v>
      </c>
      <c r="C1387" t="s">
        <v>10</v>
      </c>
      <c r="D1387" t="s">
        <v>2076</v>
      </c>
      <c r="E1387" t="s">
        <v>2077</v>
      </c>
      <c r="F1387" s="13" t="s">
        <v>2075</v>
      </c>
      <c r="J1387" t="s">
        <v>9803</v>
      </c>
      <c r="K1387" t="inlineStr">
        <is>
          <t>SSC/TF-part1.jpg</t>
        </is>
      </c>
    </row>
    <row r="1388" spans="1:11" outlineLevel="1" x14ac:dyDescent="0.3">
      <c r="A1388" t="s">
        <v>363</v>
      </c>
      <c r="B1388" t="s">
        <v>266</v>
      </c>
      <c r="C1388" t="s">
        <v>10</v>
      </c>
      <c r="D1388" t="s">
        <v>2078</v>
      </c>
      <c r="E1388" t="s">
        <v>2079</v>
      </c>
      <c r="F1388" s="13" t="s">
        <v>2075</v>
      </c>
      <c r="J1388" t="s">
        <v>9804</v>
      </c>
      <c r="K1388" t="inlineStr">
        <is>
          <t>SSC/TF-part1.jpg</t>
        </is>
      </c>
    </row>
    <row r="1389" spans="1:11" outlineLevel="1" x14ac:dyDescent="0.3">
      <c r="A1389" t="s">
        <v>365</v>
      </c>
      <c r="B1389" t="s">
        <v>266</v>
      </c>
      <c r="C1389" t="s">
        <v>10</v>
      </c>
      <c r="D1389" t="s">
        <v>2080</v>
      </c>
      <c r="E1389" t="s">
        <v>2081</v>
      </c>
      <c r="F1389" s="13" t="s">
        <v>2075</v>
      </c>
      <c r="J1389" t="s">
        <v>9805</v>
      </c>
      <c r="K1389" t="inlineStr">
        <is>
          <t>SSC/TF-part1.jpg</t>
        </is>
      </c>
    </row>
    <row r="1390" spans="1:11" outlineLevel="1" x14ac:dyDescent="0.3">
      <c r="A1390" t="s">
        <v>367</v>
      </c>
      <c r="B1390" t="s">
        <v>266</v>
      </c>
      <c r="C1390" t="s">
        <v>10</v>
      </c>
      <c r="D1390" t="s">
        <v>2082</v>
      </c>
      <c r="E1390" t="s">
        <v>2083</v>
      </c>
      <c r="F1390" s="13" t="s">
        <v>2075</v>
      </c>
      <c r="J1390" t="s">
        <v>9806</v>
      </c>
      <c r="K1390" t="inlineStr">
        <is>
          <t>SSC/TF-part1.jpg</t>
        </is>
      </c>
    </row>
    <row r="1391" spans="1:11" outlineLevel="1" x14ac:dyDescent="0.3">
      <c r="A1391" t="s">
        <v>369</v>
      </c>
      <c r="B1391" t="s">
        <v>266</v>
      </c>
      <c r="C1391" t="s">
        <v>10</v>
      </c>
      <c r="D1391" t="s">
        <v>2084</v>
      </c>
      <c r="E1391" t="s">
        <v>2085</v>
      </c>
      <c r="F1391" s="13" t="s">
        <v>2075</v>
      </c>
      <c r="J1391" t="s">
        <v>9807</v>
      </c>
      <c r="K1391" t="inlineStr">
        <is>
          <t>SSC/TF-part1.jpg</t>
        </is>
      </c>
    </row>
    <row r="1392" spans="1:11" outlineLevel="1" x14ac:dyDescent="0.3">
      <c r="A1392" t="s">
        <v>371</v>
      </c>
      <c r="B1392" t="s">
        <v>266</v>
      </c>
      <c r="C1392" t="s">
        <v>10</v>
      </c>
      <c r="D1392" t="s">
        <v>2086</v>
      </c>
      <c r="E1392" t="s">
        <v>2087</v>
      </c>
      <c r="F1392" s="13" t="s">
        <v>2075</v>
      </c>
      <c r="J1392" t="s">
        <v>9808</v>
      </c>
      <c r="K1392" t="inlineStr">
        <is>
          <t>SSC/TF-part1.jpg</t>
        </is>
      </c>
    </row>
    <row r="1393" spans="1:11" outlineLevel="1" x14ac:dyDescent="0.3">
      <c r="A1393" t="s">
        <v>373</v>
      </c>
      <c r="B1393" t="s">
        <v>266</v>
      </c>
      <c r="C1393" t="s">
        <v>10</v>
      </c>
      <c r="D1393" t="s">
        <v>2088</v>
      </c>
      <c r="E1393" t="s">
        <v>2089</v>
      </c>
      <c r="F1393" s="13" t="s">
        <v>2075</v>
      </c>
      <c r="J1393" t="s">
        <v>9809</v>
      </c>
      <c r="K1393" t="inlineStr">
        <is>
          <t>SSC/TF-part1.jpg</t>
        </is>
      </c>
    </row>
    <row r="1394" spans="1:11" outlineLevel="1" x14ac:dyDescent="0.3">
      <c r="A1394" t="s">
        <v>375</v>
      </c>
      <c r="B1394" t="s">
        <v>266</v>
      </c>
      <c r="C1394" t="s">
        <v>10</v>
      </c>
      <c r="D1394" t="s">
        <v>2090</v>
      </c>
      <c r="E1394" t="s">
        <v>2091</v>
      </c>
      <c r="F1394" s="13" t="s">
        <v>2075</v>
      </c>
      <c r="J1394" t="s">
        <v>9810</v>
      </c>
      <c r="K1394" t="inlineStr">
        <is>
          <t>SSC/TF-part1.jpg</t>
        </is>
      </c>
    </row>
    <row r="1395" spans="1:11" outlineLevel="1" x14ac:dyDescent="0.3">
      <c r="A1395" s="30" t="s">
        <v>377</v>
      </c>
      <c r="B1395" s="30" t="s">
        <v>266</v>
      </c>
      <c r="C1395" s="30" t="s">
        <v>10</v>
      </c>
      <c r="D1395" s="30" t="s">
        <v>2092</v>
      </c>
      <c r="E1395" s="30" t="s">
        <v>2093</v>
      </c>
      <c r="F1395" s="34" t="s">
        <v>2075</v>
      </c>
      <c r="G1395" s="30"/>
      <c r="H1395" s="30"/>
      <c r="I1395" s="30"/>
      <c r="J1395" s="30" t="s">
        <v>9811</v>
      </c>
      <c r="K1395" t="inlineStr">
        <is>
          <t>SSC/TF-part2.jpg</t>
        </is>
      </c>
    </row>
    <row r="1396" spans="1:10" outlineLevel="1" x14ac:dyDescent="0.3">
      <c r="A1396" t="s">
        <v>379</v>
      </c>
      <c r="B1396" t="s">
        <v>266</v>
      </c>
      <c r="C1396" s="26"/>
      <c r="D1396" s="11" t="s">
        <v>2094</v>
      </c>
      <c r="E1396" s="11" t="e">
        <v>#N/A</v>
      </c>
      <c r="F1396" s="13" t="s">
        <v>2075</v>
      </c>
    </row>
    <row r="1397" spans="1:10" outlineLevel="1" x14ac:dyDescent="0.3">
      <c r="A1397" t="s">
        <v>381</v>
      </c>
      <c r="B1397" t="s">
        <v>266</v>
      </c>
      <c r="C1397" t="s">
        <v>10</v>
      </c>
      <c r="D1397" t="s">
        <v>2095</v>
      </c>
      <c r="E1397" t="s">
        <v>2093</v>
      </c>
      <c r="F1397" s="13" t="s">
        <v>2075</v>
      </c>
    </row>
    <row r="1398" spans="1:10" outlineLevel="1" x14ac:dyDescent="0.3">
      <c r="A1398" t="s">
        <v>383</v>
      </c>
      <c r="B1398" t="s">
        <v>266</v>
      </c>
      <c r="C1398" t="s">
        <v>10</v>
      </c>
      <c r="D1398" t="s">
        <v>2096</v>
      </c>
      <c r="E1398" t="s">
        <v>2097</v>
      </c>
      <c r="F1398" s="13" t="s">
        <v>2075</v>
      </c>
    </row>
    <row r="1399" spans="1:10" outlineLevel="1" x14ac:dyDescent="0.3">
      <c r="A1399" t="s">
        <v>385</v>
      </c>
      <c r="B1399" t="s">
        <v>266</v>
      </c>
      <c r="C1399" t="s">
        <v>10</v>
      </c>
      <c r="D1399" t="s">
        <v>2098</v>
      </c>
      <c r="E1399" t="s">
        <v>2099</v>
      </c>
      <c r="F1399" s="13" t="s">
        <v>2075</v>
      </c>
    </row>
    <row r="1400" spans="1:10" outlineLevel="1" x14ac:dyDescent="0.3">
      <c r="A1400" t="s">
        <v>387</v>
      </c>
      <c r="B1400" t="s">
        <v>266</v>
      </c>
      <c r="C1400" t="s">
        <v>10</v>
      </c>
      <c r="D1400" t="s">
        <v>2100</v>
      </c>
      <c r="E1400" t="s">
        <v>2101</v>
      </c>
      <c r="F1400" s="13" t="s">
        <v>2075</v>
      </c>
    </row>
    <row r="1401" spans="1:10" outlineLevel="1" x14ac:dyDescent="0.3">
      <c r="A1401" t="s">
        <v>389</v>
      </c>
      <c r="B1401" t="s">
        <v>266</v>
      </c>
      <c r="C1401" t="s">
        <v>8</v>
      </c>
      <c r="D1401" t="s">
        <v>2102</v>
      </c>
      <c r="E1401" t="s">
        <v>2103</v>
      </c>
      <c r="F1401" s="13" t="s">
        <v>2075</v>
      </c>
    </row>
    <row r="1402" spans="1:10" outlineLevel="1" x14ac:dyDescent="0.3">
      <c r="A1402" t="s">
        <v>391</v>
      </c>
      <c r="B1402" t="s">
        <v>266</v>
      </c>
      <c r="C1402" t="s">
        <v>8</v>
      </c>
      <c r="D1402" t="s">
        <v>2102</v>
      </c>
      <c r="E1402" t="s">
        <v>2103</v>
      </c>
      <c r="F1402" s="13" t="s">
        <v>2075</v>
      </c>
    </row>
    <row r="1403" spans="1:10" outlineLevel="1" x14ac:dyDescent="0.3">
      <c r="A1403" t="s">
        <v>393</v>
      </c>
      <c r="B1403" t="s">
        <v>266</v>
      </c>
      <c r="C1403" t="s">
        <v>8</v>
      </c>
      <c r="D1403" t="s">
        <v>2104</v>
      </c>
      <c r="E1403" t="s">
        <v>2105</v>
      </c>
      <c r="F1403" s="13" t="s">
        <v>2075</v>
      </c>
    </row>
    <row r="1404" spans="1:11" outlineLevel="1" x14ac:dyDescent="0.3">
      <c r="A1404" s="30" t="s">
        <v>395</v>
      </c>
      <c r="B1404" s="30" t="s">
        <v>266</v>
      </c>
      <c r="C1404" s="30" t="s">
        <v>10</v>
      </c>
      <c r="D1404" s="30" t="s">
        <v>2106</v>
      </c>
      <c r="E1404" s="30" t="s">
        <v>2103</v>
      </c>
      <c r="F1404" s="34" t="s">
        <v>2075</v>
      </c>
      <c r="G1404" s="30"/>
      <c r="H1404" s="30"/>
      <c r="I1404" s="30"/>
      <c r="J1404" s="30" t="s">
        <v>9812</v>
      </c>
      <c r="K1404" t="inlineStr">
        <is>
          <t>SSC/TF-part2.jpg</t>
        </is>
      </c>
    </row>
    <row r="1405" spans="1:11" outlineLevel="1" x14ac:dyDescent="0.3">
      <c r="A1405" s="30" t="s">
        <v>397</v>
      </c>
      <c r="B1405" s="30" t="s">
        <v>266</v>
      </c>
      <c r="C1405" s="30" t="s">
        <v>10</v>
      </c>
      <c r="D1405" s="30" t="s">
        <v>2106</v>
      </c>
      <c r="E1405" s="30" t="s">
        <v>2103</v>
      </c>
      <c r="F1405" s="34" t="s">
        <v>2075</v>
      </c>
      <c r="G1405" s="30"/>
      <c r="H1405" s="30"/>
      <c r="I1405" s="30"/>
      <c r="J1405" s="30" t="s">
        <v>9812</v>
      </c>
      <c r="K1405" t="inlineStr">
        <is>
          <t>SSC/TF-part2.jpg</t>
        </is>
      </c>
    </row>
    <row r="1406" spans="1:10" outlineLevel="1" x14ac:dyDescent="0.3">
      <c r="A1406" t="s">
        <v>399</v>
      </c>
      <c r="B1406" t="s">
        <v>266</v>
      </c>
      <c r="C1406" t="s">
        <v>10</v>
      </c>
      <c r="D1406" t="s">
        <v>2106</v>
      </c>
      <c r="E1406" t="s">
        <v>2103</v>
      </c>
      <c r="F1406" s="13" t="s">
        <v>2075</v>
      </c>
    </row>
    <row r="1407" spans="1:10" outlineLevel="1" x14ac:dyDescent="0.3">
      <c r="A1407" t="s">
        <v>401</v>
      </c>
      <c r="B1407" t="s">
        <v>266</v>
      </c>
      <c r="C1407" t="s">
        <v>10</v>
      </c>
      <c r="D1407" t="s">
        <v>2106</v>
      </c>
      <c r="E1407" t="s">
        <v>2103</v>
      </c>
      <c r="F1407" s="13" t="s">
        <v>2075</v>
      </c>
    </row>
    <row r="1408" spans="1:11" outlineLevel="1" x14ac:dyDescent="0.3">
      <c r="A1408" s="30" t="s">
        <v>403</v>
      </c>
      <c r="B1408" s="30" t="s">
        <v>266</v>
      </c>
      <c r="C1408" s="30" t="s">
        <v>10</v>
      </c>
      <c r="D1408" s="30" t="s">
        <v>2106</v>
      </c>
      <c r="E1408" s="30" t="s">
        <v>2103</v>
      </c>
      <c r="F1408" s="34" t="s">
        <v>2075</v>
      </c>
      <c r="G1408" s="30"/>
      <c r="H1408" s="30"/>
      <c r="I1408" s="30"/>
      <c r="J1408" s="30" t="s">
        <v>9812</v>
      </c>
      <c r="K1408" t="inlineStr">
        <is>
          <t>SSC/TF-part2.jpg</t>
        </is>
      </c>
    </row>
    <row r="1409" spans="1:10" outlineLevel="1" x14ac:dyDescent="0.3">
      <c r="A1409" t="s">
        <v>405</v>
      </c>
      <c r="B1409" t="s">
        <v>266</v>
      </c>
      <c r="C1409" t="s">
        <v>10</v>
      </c>
      <c r="D1409" t="s">
        <v>2106</v>
      </c>
      <c r="E1409" t="s">
        <v>2103</v>
      </c>
      <c r="F1409" s="13" t="s">
        <v>2075</v>
      </c>
    </row>
    <row r="1410" spans="1:11" outlineLevel="1" x14ac:dyDescent="0.3">
      <c r="A1410" s="30" t="s">
        <v>407</v>
      </c>
      <c r="B1410" s="30" t="s">
        <v>266</v>
      </c>
      <c r="C1410" s="30" t="s">
        <v>10</v>
      </c>
      <c r="D1410" s="30" t="s">
        <v>2106</v>
      </c>
      <c r="E1410" s="30" t="s">
        <v>2103</v>
      </c>
      <c r="F1410" s="34" t="s">
        <v>2075</v>
      </c>
      <c r="G1410" s="30"/>
      <c r="H1410" s="30"/>
      <c r="I1410" s="30"/>
      <c r="J1410" s="30" t="s">
        <v>9812</v>
      </c>
      <c r="K1410" t="inlineStr">
        <is>
          <t>SSC/TF-part2.jpg</t>
        </is>
      </c>
    </row>
    <row r="1411" spans="1:11" outlineLevel="1" x14ac:dyDescent="0.3">
      <c r="A1411" t="s">
        <v>409</v>
      </c>
      <c r="B1411" t="s">
        <v>266</v>
      </c>
      <c r="C1411" t="s">
        <v>10</v>
      </c>
      <c r="D1411" t="s">
        <v>2107</v>
      </c>
      <c r="E1411" t="s">
        <v>2108</v>
      </c>
      <c r="J1411" t="s">
        <v>9813</v>
      </c>
      <c r="K1411" t="inlineStr">
        <is>
          <t>SSC/TF-part2.jpg</t>
        </is>
      </c>
    </row>
    <row r="1412" spans="1:10" outlineLevel="1" x14ac:dyDescent="0.3">
      <c r="A1412" t="s">
        <v>411</v>
      </c>
      <c r="B1412" t="s">
        <v>266</v>
      </c>
      <c r="C1412" t="s">
        <v>8</v>
      </c>
      <c r="D1412" t="s">
        <v>2109</v>
      </c>
      <c r="E1412" t="s">
        <v>2110</v>
      </c>
    </row>
    <row r="1413" spans="1:11" outlineLevel="1" x14ac:dyDescent="0.3">
      <c r="A1413" t="s">
        <v>413</v>
      </c>
      <c r="B1413" t="s">
        <v>266</v>
      </c>
      <c r="C1413" t="s">
        <v>8</v>
      </c>
      <c r="D1413" t="s">
        <v>2109</v>
      </c>
      <c r="E1413" t="s">
        <v>2110</v>
      </c>
      <c r="J1413" t="s">
        <v>9814</v>
      </c>
      <c r="K1413" t="inlineStr">
        <is>
          <t>SSC/TF-part2.jpg</t>
        </is>
      </c>
    </row>
    <row r="1414" spans="1:11" outlineLevel="1" x14ac:dyDescent="0.3">
      <c r="A1414" t="s">
        <v>415</v>
      </c>
      <c r="B1414" t="s">
        <v>266</v>
      </c>
      <c r="C1414" t="s">
        <v>10</v>
      </c>
      <c r="D1414" t="s">
        <v>2111</v>
      </c>
      <c r="E1414" t="s">
        <v>2112</v>
      </c>
      <c r="J1414" t="s">
        <v>9815</v>
      </c>
      <c r="K1414" t="inlineStr">
        <is>
          <t>SSC/TF-part2.jpg</t>
        </is>
      </c>
    </row>
    <row r="1415" spans="1:11" outlineLevel="1" x14ac:dyDescent="0.3">
      <c r="A1415" t="s">
        <v>416</v>
      </c>
      <c r="B1415" t="s">
        <v>266</v>
      </c>
      <c r="C1415" t="s">
        <v>10</v>
      </c>
      <c r="D1415" t="s">
        <v>2113</v>
      </c>
      <c r="E1415" t="s">
        <v>2114</v>
      </c>
      <c r="J1415" t="s">
        <v>9816</v>
      </c>
      <c r="K1415" t="inlineStr">
        <is>
          <t>SSC/TF-part2.jpg</t>
        </is>
      </c>
    </row>
    <row r="1416" spans="1:11" outlineLevel="1" x14ac:dyDescent="0.3">
      <c r="A1416" t="s">
        <v>417</v>
      </c>
      <c r="B1416" t="s">
        <v>266</v>
      </c>
      <c r="C1416" t="s">
        <v>10</v>
      </c>
      <c r="D1416" t="s">
        <v>2115</v>
      </c>
      <c r="E1416" t="s">
        <v>2116</v>
      </c>
      <c r="J1416" t="s">
        <v>9817</v>
      </c>
      <c r="K1416" t="inlineStr">
        <is>
          <t>SSC/TF-part2.jpg</t>
        </is>
      </c>
    </row>
    <row r="1417" spans="1:10" outlineLevel="1" x14ac:dyDescent="0.3">
      <c r="A1417" t="s">
        <v>419</v>
      </c>
      <c r="B1417" t="s">
        <v>266</v>
      </c>
      <c r="C1417" t="s">
        <v>10</v>
      </c>
      <c r="D1417" t="s">
        <v>2117</v>
      </c>
      <c r="E1417" t="s">
        <v>2118</v>
      </c>
    </row>
    <row r="1418" spans="1:11" outlineLevel="1" x14ac:dyDescent="0.3">
      <c r="A1418" t="s">
        <v>420</v>
      </c>
      <c r="B1418" t="s">
        <v>266</v>
      </c>
      <c r="C1418" t="s">
        <v>10</v>
      </c>
      <c r="D1418" t="s">
        <v>2117</v>
      </c>
      <c r="E1418" t="s">
        <v>2118</v>
      </c>
      <c r="J1418" t="s">
        <v>9818</v>
      </c>
      <c r="K1418" t="inlineStr">
        <is>
          <t>SSC/TF-part2.jpg</t>
        </is>
      </c>
    </row>
    <row r="1419" spans="1:11" outlineLevel="1" x14ac:dyDescent="0.3">
      <c r="A1419" t="s">
        <v>421</v>
      </c>
      <c r="B1419" t="s">
        <v>266</v>
      </c>
      <c r="C1419" t="s">
        <v>10</v>
      </c>
      <c r="D1419" t="s">
        <v>2117</v>
      </c>
      <c r="E1419" t="s">
        <v>2118</v>
      </c>
      <c r="J1419" t="s">
        <v>9818</v>
      </c>
      <c r="K1419" t="inlineStr">
        <is>
          <t>SSC/TF-part2.jpg</t>
        </is>
      </c>
    </row>
    <row r="1420" spans="1:11" outlineLevel="1" x14ac:dyDescent="0.3">
      <c r="A1420" t="s">
        <v>422</v>
      </c>
      <c r="B1420" t="s">
        <v>266</v>
      </c>
      <c r="C1420" t="s">
        <v>10</v>
      </c>
      <c r="D1420" t="s">
        <v>2119</v>
      </c>
      <c r="E1420" t="s">
        <v>2120</v>
      </c>
      <c r="J1420" t="s">
        <v>9819</v>
      </c>
      <c r="K1420" t="inlineStr">
        <is>
          <t>SSC/TF-part1.jpg</t>
        </is>
      </c>
    </row>
    <row r="1421" spans="1:11" outlineLevel="1" x14ac:dyDescent="0.3">
      <c r="A1421" t="s">
        <v>424</v>
      </c>
      <c r="B1421" t="s">
        <v>266</v>
      </c>
      <c r="C1421" t="s">
        <v>10</v>
      </c>
      <c r="D1421" t="s">
        <v>2121</v>
      </c>
      <c r="E1421" t="s">
        <v>2122</v>
      </c>
      <c r="J1421" t="s">
        <v>9820</v>
      </c>
      <c r="K1421" t="inlineStr">
        <is>
          <t>SSC/TF-part1.jpg</t>
        </is>
      </c>
    </row>
    <row r="1422" spans="1:11" outlineLevel="1" x14ac:dyDescent="0.3">
      <c r="A1422" t="s">
        <v>426</v>
      </c>
      <c r="B1422" t="s">
        <v>266</v>
      </c>
      <c r="C1422" t="s">
        <v>10</v>
      </c>
      <c r="D1422" t="s">
        <v>2123</v>
      </c>
      <c r="E1422" t="s">
        <v>2124</v>
      </c>
      <c r="J1422" t="s">
        <v>9821</v>
      </c>
      <c r="K1422" t="inlineStr">
        <is>
          <t>SSC/TF-part1.jpg</t>
        </is>
      </c>
    </row>
    <row r="1423" spans="1:11" outlineLevel="1" x14ac:dyDescent="0.3">
      <c r="A1423" t="s">
        <v>427</v>
      </c>
      <c r="B1423" t="s">
        <v>266</v>
      </c>
      <c r="C1423" t="s">
        <v>10</v>
      </c>
      <c r="D1423" t="s">
        <v>2125</v>
      </c>
      <c r="E1423" t="s">
        <v>2126</v>
      </c>
      <c r="J1423" t="s">
        <v>9822</v>
      </c>
      <c r="K1423" t="inlineStr">
        <is>
          <t>SSC/TF-part1.jpg</t>
        </is>
      </c>
    </row>
    <row r="1424" spans="1:11" outlineLevel="1" x14ac:dyDescent="0.3">
      <c r="A1424" t="s">
        <v>429</v>
      </c>
      <c r="B1424" t="s">
        <v>266</v>
      </c>
      <c r="C1424" t="s">
        <v>10</v>
      </c>
      <c r="D1424" t="s">
        <v>2127</v>
      </c>
      <c r="E1424" t="s">
        <v>2128</v>
      </c>
      <c r="J1424" t="s">
        <v>9823</v>
      </c>
      <c r="K1424" t="inlineStr">
        <is>
          <t>SSC/TF-part1.jpg</t>
        </is>
      </c>
    </row>
    <row r="1425" spans="1:11" outlineLevel="1" x14ac:dyDescent="0.3">
      <c r="A1425" t="s">
        <v>431</v>
      </c>
      <c r="B1425" t="s">
        <v>266</v>
      </c>
      <c r="C1425" t="s">
        <v>10</v>
      </c>
      <c r="D1425" t="s">
        <v>2129</v>
      </c>
      <c r="E1425" t="s">
        <v>2130</v>
      </c>
      <c r="J1425" t="s">
        <v>9824</v>
      </c>
      <c r="K1425" t="inlineStr">
        <is>
          <t>SSC/TF-part1.jpg</t>
        </is>
      </c>
    </row>
    <row r="1426" spans="1:11" outlineLevel="1" x14ac:dyDescent="0.3">
      <c r="A1426" t="s">
        <v>433</v>
      </c>
      <c r="B1426" t="s">
        <v>266</v>
      </c>
      <c r="C1426" t="s">
        <v>10</v>
      </c>
      <c r="D1426" t="s">
        <v>2131</v>
      </c>
      <c r="E1426" t="s">
        <v>2132</v>
      </c>
      <c r="J1426" t="s">
        <v>9825</v>
      </c>
      <c r="K1426" t="inlineStr">
        <is>
          <t>SSC/TF-part1.jpg</t>
        </is>
      </c>
    </row>
    <row r="1427" spans="1:11" outlineLevel="1" x14ac:dyDescent="0.3">
      <c r="A1427" t="s">
        <v>435</v>
      </c>
      <c r="B1427" t="s">
        <v>266</v>
      </c>
      <c r="C1427" t="s">
        <v>10</v>
      </c>
      <c r="D1427" t="s">
        <v>2133</v>
      </c>
      <c r="E1427" t="s">
        <v>2134</v>
      </c>
      <c r="J1427" t="s">
        <v>9826</v>
      </c>
      <c r="K1427" t="inlineStr">
        <is>
          <t>SSC/TF-part1.jpg</t>
        </is>
      </c>
    </row>
    <row r="1428" spans="1:11" outlineLevel="1" x14ac:dyDescent="0.3">
      <c r="A1428" t="s">
        <v>437</v>
      </c>
      <c r="B1428" t="s">
        <v>266</v>
      </c>
      <c r="C1428" t="s">
        <v>10</v>
      </c>
      <c r="D1428" t="s">
        <v>2135</v>
      </c>
      <c r="E1428" t="s">
        <v>2136</v>
      </c>
      <c r="J1428" t="s">
        <v>9827</v>
      </c>
      <c r="K1428" t="inlineStr">
        <is>
          <t>SSC/TF-part1.jpg</t>
        </is>
      </c>
    </row>
    <row r="1429" spans="1:10" outlineLevel="1" x14ac:dyDescent="0.3">
      <c r="A1429" t="s">
        <v>439</v>
      </c>
      <c r="B1429" t="s">
        <v>266</v>
      </c>
      <c r="C1429" t="s">
        <v>10</v>
      </c>
      <c r="D1429" t="s">
        <v>2137</v>
      </c>
      <c r="E1429" t="s">
        <v>2138</v>
      </c>
    </row>
    <row r="1430" spans="1:10" outlineLevel="1" x14ac:dyDescent="0.3">
      <c r="A1430" t="s">
        <v>440</v>
      </c>
      <c r="B1430" t="s">
        <v>266</v>
      </c>
      <c r="C1430" t="s">
        <v>10</v>
      </c>
      <c r="D1430" t="s">
        <v>2137</v>
      </c>
      <c r="E1430" t="s">
        <v>2138</v>
      </c>
    </row>
    <row r="1431" spans="1:10" outlineLevel="1" x14ac:dyDescent="0.3">
      <c r="A1431" t="s">
        <v>442</v>
      </c>
      <c r="B1431" t="s">
        <v>266</v>
      </c>
      <c r="C1431" t="s">
        <v>10</v>
      </c>
      <c r="D1431" t="s">
        <v>2139</v>
      </c>
      <c r="E1431" t="s">
        <v>2140</v>
      </c>
    </row>
    <row r="1432" spans="1:10" outlineLevel="1" x14ac:dyDescent="0.3">
      <c r="A1432" t="s">
        <v>443</v>
      </c>
      <c r="B1432" t="s">
        <v>266</v>
      </c>
      <c r="C1432" t="s">
        <v>10</v>
      </c>
      <c r="D1432" t="s">
        <v>2141</v>
      </c>
      <c r="E1432" t="s">
        <v>2142</v>
      </c>
    </row>
    <row r="1433" spans="1:10" outlineLevel="1" x14ac:dyDescent="0.3">
      <c r="A1433" t="s">
        <v>445</v>
      </c>
      <c r="B1433" t="s">
        <v>266</v>
      </c>
      <c r="C1433" t="s">
        <v>10</v>
      </c>
      <c r="D1433" t="s">
        <v>2143</v>
      </c>
      <c r="E1433" t="s">
        <v>2144</v>
      </c>
    </row>
    <row r="1434" spans="1:10" outlineLevel="1" x14ac:dyDescent="0.3">
      <c r="A1434" t="s">
        <v>447</v>
      </c>
      <c r="B1434" t="s">
        <v>266</v>
      </c>
      <c r="C1434" t="s">
        <v>10</v>
      </c>
      <c r="D1434" t="s">
        <v>2145</v>
      </c>
      <c r="E1434" t="s">
        <v>2146</v>
      </c>
    </row>
    <row r="1435" spans="1:11" outlineLevel="1" x14ac:dyDescent="0.3">
      <c r="A1435" s="30" t="s">
        <v>449</v>
      </c>
      <c r="B1435" s="30" t="s">
        <v>266</v>
      </c>
      <c r="C1435" s="30" t="s">
        <v>10</v>
      </c>
      <c r="D1435" s="30" t="s">
        <v>2147</v>
      </c>
      <c r="E1435" s="30" t="s">
        <v>2148</v>
      </c>
      <c r="F1435" s="30"/>
      <c r="G1435" s="30"/>
      <c r="H1435" s="30" t="s">
        <v>9774</v>
      </c>
      <c r="J1435" t="s">
        <v>9868</v>
      </c>
      <c r="K1435" t="inlineStr">
        <is>
          <t>SSC/TF-part1.jpg</t>
        </is>
      </c>
    </row>
    <row r="1436" spans="1:10" outlineLevel="1" x14ac:dyDescent="0.3">
      <c r="A1436" t="s">
        <v>451</v>
      </c>
      <c r="B1436" t="s">
        <v>266</v>
      </c>
      <c r="C1436" t="s">
        <v>10</v>
      </c>
      <c r="D1436" t="s">
        <v>2147</v>
      </c>
      <c r="E1436" t="s">
        <v>2148</v>
      </c>
    </row>
    <row r="1437" spans="1:10" outlineLevel="1" x14ac:dyDescent="0.3">
      <c r="A1437" t="s">
        <v>453</v>
      </c>
      <c r="B1437" t="s">
        <v>266</v>
      </c>
      <c r="C1437" t="s">
        <v>10</v>
      </c>
      <c r="D1437" t="s">
        <v>2147</v>
      </c>
      <c r="E1437" t="s">
        <v>2148</v>
      </c>
    </row>
    <row r="1438" spans="1:10" outlineLevel="1" x14ac:dyDescent="0.3">
      <c r="A1438" t="s">
        <v>454</v>
      </c>
      <c r="B1438" t="s">
        <v>266</v>
      </c>
      <c r="C1438" t="s">
        <v>10</v>
      </c>
      <c r="D1438" t="s">
        <v>2147</v>
      </c>
      <c r="E1438" t="s">
        <v>2148</v>
      </c>
    </row>
    <row r="1439" spans="1:10" outlineLevel="1" x14ac:dyDescent="0.3">
      <c r="A1439" t="s">
        <v>455</v>
      </c>
      <c r="B1439" t="s">
        <v>266</v>
      </c>
      <c r="C1439" t="s">
        <v>10</v>
      </c>
      <c r="D1439" t="s">
        <v>2141</v>
      </c>
      <c r="E1439" t="s">
        <v>2142</v>
      </c>
    </row>
    <row r="1440" spans="1:11" outlineLevel="1" x14ac:dyDescent="0.3">
      <c r="A1440" s="30" t="s">
        <v>456</v>
      </c>
      <c r="B1440" s="30" t="s">
        <v>266</v>
      </c>
      <c r="C1440" s="30" t="s">
        <v>10</v>
      </c>
      <c r="D1440" s="30" t="s">
        <v>2106</v>
      </c>
      <c r="E1440" s="30" t="s">
        <v>2103</v>
      </c>
      <c r="F1440" s="30"/>
      <c r="G1440" s="30"/>
      <c r="H1440" s="30" t="s">
        <v>9775</v>
      </c>
      <c r="I1440" s="30"/>
      <c r="J1440" s="30" t="s">
        <v>9812</v>
      </c>
      <c r="K1440" t="inlineStr">
        <is>
          <t>SSC/TF-part2.jpg</t>
        </is>
      </c>
    </row>
    <row r="1441" spans="1:11" outlineLevel="1" x14ac:dyDescent="0.3">
      <c r="A1441" s="30" t="s">
        <v>458</v>
      </c>
      <c r="B1441" s="30" t="s">
        <v>266</v>
      </c>
      <c r="C1441" s="30" t="s">
        <v>10</v>
      </c>
      <c r="D1441" s="30" t="s">
        <v>2106</v>
      </c>
      <c r="E1441" s="30" t="s">
        <v>2103</v>
      </c>
      <c r="F1441" s="30"/>
      <c r="G1441" s="30"/>
      <c r="H1441" s="30" t="s">
        <v>9775</v>
      </c>
      <c r="I1441" s="30"/>
      <c r="J1441" s="30" t="s">
        <v>9812</v>
      </c>
      <c r="K1441" t="inlineStr">
        <is>
          <t>SSC/TF-part2.jpg</t>
        </is>
      </c>
    </row>
    <row r="1442" spans="1:10" x14ac:dyDescent="0.3">
      <c r="A1442" s="23" t="s">
        <v>2149</v>
      </c>
      <c r="B1442" s="23"/>
      <c r="C1442" s="23"/>
      <c r="D1442" s="23"/>
    </row>
    <row r="1443" spans="1:10" hidden="1" outlineLevel="2" x14ac:dyDescent="0.3">
      <c r="A1443" t="s">
        <v>2150</v>
      </c>
      <c r="B1443" t="s">
        <v>7</v>
      </c>
      <c r="C1443" t="s">
        <v>8</v>
      </c>
      <c r="D1443" t="s">
        <v>2151</v>
      </c>
    </row>
    <row r="1444" spans="1:10" hidden="1" outlineLevel="2" x14ac:dyDescent="0.3">
      <c r="A1444" t="s">
        <v>2152</v>
      </c>
      <c r="B1444" t="s">
        <v>7</v>
      </c>
      <c r="C1444" t="s">
        <v>8</v>
      </c>
      <c r="D1444" t="s">
        <v>2151</v>
      </c>
    </row>
    <row r="1445" spans="1:10" hidden="1" outlineLevel="2" x14ac:dyDescent="0.3">
      <c r="A1445" t="s">
        <v>2153</v>
      </c>
      <c r="B1445" t="s">
        <v>7</v>
      </c>
      <c r="C1445" t="s">
        <v>8</v>
      </c>
      <c r="D1445" t="s">
        <v>2151</v>
      </c>
    </row>
    <row r="1446" spans="1:10" hidden="1" outlineLevel="2" x14ac:dyDescent="0.3">
      <c r="A1446" t="s">
        <v>2154</v>
      </c>
      <c r="B1446" t="s">
        <v>7</v>
      </c>
      <c r="C1446" t="s">
        <v>8</v>
      </c>
      <c r="D1446" t="s">
        <v>2151</v>
      </c>
    </row>
    <row r="1447" spans="1:10" hidden="1" outlineLevel="2" x14ac:dyDescent="0.3">
      <c r="A1447" t="s">
        <v>2155</v>
      </c>
      <c r="B1447" t="s">
        <v>7</v>
      </c>
      <c r="C1447" t="s">
        <v>8</v>
      </c>
      <c r="D1447" t="s">
        <v>2151</v>
      </c>
    </row>
    <row r="1448" spans="1:10" hidden="1" outlineLevel="2" x14ac:dyDescent="0.3">
      <c r="A1448" t="s">
        <v>2156</v>
      </c>
      <c r="B1448" t="s">
        <v>7</v>
      </c>
      <c r="C1448" t="s">
        <v>8</v>
      </c>
      <c r="D1448" t="s">
        <v>2151</v>
      </c>
    </row>
    <row r="1449" spans="1:10" hidden="1" outlineLevel="2" x14ac:dyDescent="0.3">
      <c r="A1449" t="s">
        <v>2157</v>
      </c>
      <c r="B1449" t="s">
        <v>7</v>
      </c>
      <c r="C1449" t="s">
        <v>8</v>
      </c>
      <c r="D1449" t="s">
        <v>2151</v>
      </c>
    </row>
    <row r="1450" spans="1:10" hidden="1" outlineLevel="2" x14ac:dyDescent="0.3">
      <c r="A1450" t="s">
        <v>2158</v>
      </c>
      <c r="B1450" t="s">
        <v>7</v>
      </c>
      <c r="C1450" t="s">
        <v>8</v>
      </c>
      <c r="D1450" t="s">
        <v>2151</v>
      </c>
    </row>
    <row r="1451" spans="1:10" hidden="1" outlineLevel="2" x14ac:dyDescent="0.3">
      <c r="A1451" t="s">
        <v>2159</v>
      </c>
      <c r="B1451" t="s">
        <v>7</v>
      </c>
      <c r="C1451" t="s">
        <v>8</v>
      </c>
      <c r="D1451" t="s">
        <v>2151</v>
      </c>
    </row>
    <row r="1452" spans="1:10" hidden="1" outlineLevel="2" x14ac:dyDescent="0.3">
      <c r="A1452" t="s">
        <v>2160</v>
      </c>
      <c r="B1452" t="s">
        <v>7</v>
      </c>
      <c r="C1452" t="s">
        <v>8</v>
      </c>
      <c r="D1452" t="s">
        <v>2151</v>
      </c>
    </row>
    <row r="1453" spans="1:10" hidden="1" outlineLevel="2" x14ac:dyDescent="0.3">
      <c r="A1453" t="s">
        <v>2161</v>
      </c>
      <c r="B1453" t="s">
        <v>7</v>
      </c>
      <c r="C1453" t="s">
        <v>8</v>
      </c>
      <c r="D1453" t="s">
        <v>2151</v>
      </c>
    </row>
    <row r="1454" spans="1:10" hidden="1" outlineLevel="2" x14ac:dyDescent="0.3">
      <c r="A1454" t="s">
        <v>2162</v>
      </c>
      <c r="B1454" t="s">
        <v>7</v>
      </c>
      <c r="C1454" t="s">
        <v>8</v>
      </c>
      <c r="D1454" t="s">
        <v>2163</v>
      </c>
    </row>
    <row r="1455" spans="1:10" hidden="1" outlineLevel="2" x14ac:dyDescent="0.3">
      <c r="A1455" t="s">
        <v>2164</v>
      </c>
      <c r="B1455" t="s">
        <v>7</v>
      </c>
      <c r="C1455" t="s">
        <v>8</v>
      </c>
      <c r="D1455" t="s">
        <v>2163</v>
      </c>
    </row>
    <row r="1456" spans="1:10" hidden="1" outlineLevel="2" x14ac:dyDescent="0.3">
      <c r="A1456" t="s">
        <v>2165</v>
      </c>
      <c r="B1456" t="s">
        <v>7</v>
      </c>
      <c r="C1456" t="s">
        <v>8</v>
      </c>
      <c r="D1456" t="s">
        <v>2163</v>
      </c>
    </row>
    <row r="1457" spans="1:4" hidden="1" outlineLevel="2" x14ac:dyDescent="0.3">
      <c r="A1457" t="s">
        <v>2166</v>
      </c>
      <c r="B1457" t="s">
        <v>7</v>
      </c>
      <c r="C1457" t="s">
        <v>8</v>
      </c>
      <c r="D1457" t="s">
        <v>2163</v>
      </c>
    </row>
    <row r="1458" spans="1:4" hidden="1" outlineLevel="2" x14ac:dyDescent="0.3">
      <c r="A1458" t="s">
        <v>2167</v>
      </c>
      <c r="B1458" t="s">
        <v>7</v>
      </c>
      <c r="C1458" t="s">
        <v>8</v>
      </c>
      <c r="D1458" t="s">
        <v>2163</v>
      </c>
    </row>
    <row r="1459" spans="1:4" hidden="1" outlineLevel="2" x14ac:dyDescent="0.3">
      <c r="A1459" t="s">
        <v>2168</v>
      </c>
      <c r="B1459" t="s">
        <v>7</v>
      </c>
      <c r="C1459" t="s">
        <v>8</v>
      </c>
      <c r="D1459" t="s">
        <v>2163</v>
      </c>
    </row>
    <row r="1460" spans="1:4" hidden="1" outlineLevel="2" x14ac:dyDescent="0.3">
      <c r="A1460" t="s">
        <v>2169</v>
      </c>
      <c r="B1460" t="s">
        <v>7</v>
      </c>
      <c r="C1460" t="s">
        <v>8</v>
      </c>
      <c r="D1460" t="s">
        <v>2163</v>
      </c>
    </row>
    <row r="1461" spans="1:4" hidden="1" outlineLevel="2" x14ac:dyDescent="0.3">
      <c r="A1461" t="s">
        <v>2170</v>
      </c>
      <c r="B1461" t="s">
        <v>7</v>
      </c>
      <c r="C1461" t="s">
        <v>8</v>
      </c>
      <c r="D1461" t="s">
        <v>2163</v>
      </c>
    </row>
    <row r="1462" spans="1:4" hidden="1" outlineLevel="2" x14ac:dyDescent="0.3">
      <c r="A1462" t="s">
        <v>2171</v>
      </c>
      <c r="B1462" t="s">
        <v>7</v>
      </c>
      <c r="C1462" t="s">
        <v>8</v>
      </c>
      <c r="D1462" t="s">
        <v>2172</v>
      </c>
    </row>
    <row r="1463" spans="1:4" hidden="1" outlineLevel="2" x14ac:dyDescent="0.3">
      <c r="A1463" t="s">
        <v>2173</v>
      </c>
      <c r="B1463" t="s">
        <v>7</v>
      </c>
      <c r="C1463" t="s">
        <v>8</v>
      </c>
      <c r="D1463" t="s">
        <v>2172</v>
      </c>
    </row>
    <row r="1464" spans="1:4" hidden="1" outlineLevel="2" x14ac:dyDescent="0.3">
      <c r="A1464" t="s">
        <v>2174</v>
      </c>
      <c r="B1464" t="s">
        <v>7</v>
      </c>
      <c r="C1464" t="s">
        <v>8</v>
      </c>
      <c r="D1464" t="s">
        <v>2172</v>
      </c>
    </row>
    <row r="1465" spans="1:4" hidden="1" outlineLevel="2" x14ac:dyDescent="0.3">
      <c r="A1465" t="s">
        <v>2175</v>
      </c>
      <c r="B1465" t="s">
        <v>7</v>
      </c>
      <c r="C1465" t="s">
        <v>8</v>
      </c>
      <c r="D1465" t="s">
        <v>2172</v>
      </c>
    </row>
    <row r="1466" spans="1:4" hidden="1" outlineLevel="2" x14ac:dyDescent="0.3">
      <c r="A1466" t="s">
        <v>2176</v>
      </c>
      <c r="B1466" t="s">
        <v>7</v>
      </c>
      <c r="C1466" t="s">
        <v>8</v>
      </c>
      <c r="D1466" t="s">
        <v>2172</v>
      </c>
    </row>
    <row r="1467" spans="1:4" hidden="1" outlineLevel="2" x14ac:dyDescent="0.3">
      <c r="A1467" t="s">
        <v>2177</v>
      </c>
      <c r="B1467" t="s">
        <v>7</v>
      </c>
      <c r="C1467" t="s">
        <v>8</v>
      </c>
      <c r="D1467" t="s">
        <v>2172</v>
      </c>
    </row>
    <row r="1468" spans="1:4" hidden="1" outlineLevel="2" x14ac:dyDescent="0.3">
      <c r="A1468" t="s">
        <v>2178</v>
      </c>
      <c r="B1468" t="s">
        <v>7</v>
      </c>
      <c r="C1468" t="s">
        <v>8</v>
      </c>
      <c r="D1468" t="s">
        <v>2172</v>
      </c>
    </row>
    <row r="1469" spans="1:4" hidden="1" outlineLevel="2" x14ac:dyDescent="0.3">
      <c r="A1469" t="s">
        <v>2179</v>
      </c>
      <c r="B1469" t="s">
        <v>7</v>
      </c>
      <c r="C1469" t="s">
        <v>8</v>
      </c>
      <c r="D1469" t="s">
        <v>2180</v>
      </c>
    </row>
    <row r="1470" spans="1:4" hidden="1" outlineLevel="2" x14ac:dyDescent="0.3">
      <c r="A1470" t="s">
        <v>2181</v>
      </c>
      <c r="B1470" t="s">
        <v>7</v>
      </c>
      <c r="C1470" t="s">
        <v>8</v>
      </c>
      <c r="D1470" t="s">
        <v>2180</v>
      </c>
    </row>
    <row r="1471" spans="1:4" hidden="1" outlineLevel="2" x14ac:dyDescent="0.3">
      <c r="A1471" t="s">
        <v>2182</v>
      </c>
      <c r="B1471" t="s">
        <v>7</v>
      </c>
      <c r="C1471" t="s">
        <v>8</v>
      </c>
      <c r="D1471" t="s">
        <v>2183</v>
      </c>
    </row>
    <row r="1472" spans="1:4" hidden="1" outlineLevel="2" x14ac:dyDescent="0.3">
      <c r="A1472" t="s">
        <v>2184</v>
      </c>
      <c r="B1472" t="s">
        <v>7</v>
      </c>
      <c r="C1472" t="s">
        <v>8</v>
      </c>
      <c r="D1472" t="s">
        <v>2183</v>
      </c>
    </row>
    <row r="1473" spans="1:4" hidden="1" outlineLevel="2" x14ac:dyDescent="0.3">
      <c r="A1473" t="s">
        <v>2185</v>
      </c>
      <c r="B1473" t="s">
        <v>7</v>
      </c>
      <c r="C1473" t="s">
        <v>8</v>
      </c>
      <c r="D1473" t="s">
        <v>2183</v>
      </c>
    </row>
    <row r="1474" spans="1:4" hidden="1" outlineLevel="2" x14ac:dyDescent="0.3">
      <c r="A1474" t="s">
        <v>2186</v>
      </c>
      <c r="B1474" t="s">
        <v>7</v>
      </c>
      <c r="C1474" t="s">
        <v>8</v>
      </c>
      <c r="D1474" t="s">
        <v>2183</v>
      </c>
    </row>
    <row r="1475" spans="1:4" hidden="1" outlineLevel="2" x14ac:dyDescent="0.3">
      <c r="A1475" t="s">
        <v>2187</v>
      </c>
      <c r="B1475" t="s">
        <v>7</v>
      </c>
      <c r="C1475" t="s">
        <v>8</v>
      </c>
      <c r="D1475" t="s">
        <v>2183</v>
      </c>
    </row>
    <row r="1476" spans="1:4" hidden="1" outlineLevel="2" x14ac:dyDescent="0.3">
      <c r="A1476" t="s">
        <v>2188</v>
      </c>
      <c r="B1476" t="s">
        <v>7</v>
      </c>
      <c r="C1476" t="s">
        <v>8</v>
      </c>
      <c r="D1476" t="s">
        <v>2183</v>
      </c>
    </row>
    <row r="1477" spans="1:4" hidden="1" outlineLevel="2" x14ac:dyDescent="0.3">
      <c r="A1477" t="s">
        <v>2189</v>
      </c>
      <c r="B1477" t="s">
        <v>7</v>
      </c>
      <c r="C1477" t="s">
        <v>8</v>
      </c>
      <c r="D1477" t="s">
        <v>2183</v>
      </c>
    </row>
    <row r="1478" spans="1:4" hidden="1" outlineLevel="2" x14ac:dyDescent="0.3">
      <c r="A1478" t="s">
        <v>2190</v>
      </c>
      <c r="B1478" t="s">
        <v>7</v>
      </c>
      <c r="C1478" t="s">
        <v>8</v>
      </c>
      <c r="D1478" t="s">
        <v>2183</v>
      </c>
    </row>
    <row r="1479" spans="1:4" hidden="1" outlineLevel="2" x14ac:dyDescent="0.3">
      <c r="A1479" t="s">
        <v>2191</v>
      </c>
      <c r="B1479" t="s">
        <v>7</v>
      </c>
      <c r="C1479" t="s">
        <v>8</v>
      </c>
      <c r="D1479" t="s">
        <v>2183</v>
      </c>
    </row>
    <row r="1480" spans="1:4" hidden="1" outlineLevel="2" x14ac:dyDescent="0.3">
      <c r="A1480" t="s">
        <v>2192</v>
      </c>
      <c r="B1480" t="s">
        <v>266</v>
      </c>
      <c r="C1480" t="s">
        <v>10</v>
      </c>
      <c r="D1480" t="s">
        <v>2193</v>
      </c>
    </row>
    <row r="1481" spans="1:4" hidden="1" outlineLevel="2" x14ac:dyDescent="0.3">
      <c r="A1481" t="s">
        <v>2194</v>
      </c>
      <c r="B1481" t="s">
        <v>3825</v>
      </c>
      <c r="C1481" t="s">
        <v>8</v>
      </c>
      <c r="D1481" t="s">
        <v>2195</v>
      </c>
    </row>
    <row r="1482" spans="1:4" hidden="1" outlineLevel="2" x14ac:dyDescent="0.3">
      <c r="A1482" t="s">
        <v>2196</v>
      </c>
      <c r="B1482" t="s">
        <v>266</v>
      </c>
      <c r="C1482" t="s">
        <v>8</v>
      </c>
      <c r="D1482" t="s">
        <v>2197</v>
      </c>
    </row>
    <row r="1483" spans="1:4" hidden="1" outlineLevel="2" x14ac:dyDescent="0.3">
      <c r="A1483" t="s">
        <v>2198</v>
      </c>
      <c r="B1483" t="s">
        <v>3891</v>
      </c>
      <c r="C1483" t="s">
        <v>8</v>
      </c>
      <c r="D1483" t="s">
        <v>2199</v>
      </c>
    </row>
    <row r="1484" spans="1:4" hidden="1" outlineLevel="2" x14ac:dyDescent="0.3">
      <c r="A1484" t="s">
        <v>2200</v>
      </c>
      <c r="B1484" t="s">
        <v>3891</v>
      </c>
      <c r="C1484" t="s">
        <v>8</v>
      </c>
      <c r="D1484" t="s">
        <v>2201</v>
      </c>
    </row>
    <row r="1485" spans="1:4" hidden="1" outlineLevel="2" x14ac:dyDescent="0.3">
      <c r="A1485" t="s">
        <v>2202</v>
      </c>
      <c r="B1485" t="s">
        <v>266</v>
      </c>
      <c r="C1485" t="s">
        <v>8</v>
      </c>
      <c r="D1485" t="s">
        <v>2203</v>
      </c>
    </row>
    <row r="1486" spans="1:4" hidden="1" outlineLevel="2" x14ac:dyDescent="0.3">
      <c r="A1486" t="s">
        <v>2204</v>
      </c>
      <c r="B1486" t="s">
        <v>266</v>
      </c>
      <c r="C1486" t="s">
        <v>8</v>
      </c>
      <c r="D1486" t="s">
        <v>2203</v>
      </c>
    </row>
    <row r="1487" spans="1:4" hidden="1" outlineLevel="2" x14ac:dyDescent="0.3">
      <c r="A1487" t="s">
        <v>2205</v>
      </c>
      <c r="B1487" t="s">
        <v>266</v>
      </c>
      <c r="C1487" t="s">
        <v>8</v>
      </c>
      <c r="D1487" t="s">
        <v>2203</v>
      </c>
    </row>
    <row r="1488" spans="1:4" hidden="1" outlineLevel="2" x14ac:dyDescent="0.3">
      <c r="A1488" t="s">
        <v>2206</v>
      </c>
      <c r="B1488" t="s">
        <v>266</v>
      </c>
      <c r="C1488" t="s">
        <v>8</v>
      </c>
      <c r="D1488" t="s">
        <v>2203</v>
      </c>
    </row>
    <row r="1489" spans="1:4" hidden="1" outlineLevel="2" x14ac:dyDescent="0.3">
      <c r="A1489" t="s">
        <v>2207</v>
      </c>
      <c r="B1489" t="s">
        <v>266</v>
      </c>
      <c r="C1489" t="s">
        <v>8</v>
      </c>
      <c r="D1489" t="s">
        <v>2203</v>
      </c>
    </row>
    <row r="1490" spans="1:4" hidden="1" outlineLevel="2" x14ac:dyDescent="0.3">
      <c r="A1490" t="s">
        <v>2208</v>
      </c>
      <c r="B1490" t="s">
        <v>266</v>
      </c>
      <c r="C1490" t="s">
        <v>8</v>
      </c>
      <c r="D1490" t="s">
        <v>2203</v>
      </c>
    </row>
    <row r="1491" spans="1:4" hidden="1" outlineLevel="2" x14ac:dyDescent="0.3">
      <c r="A1491" t="s">
        <v>2209</v>
      </c>
      <c r="B1491" t="s">
        <v>266</v>
      </c>
      <c r="C1491" t="s">
        <v>8</v>
      </c>
      <c r="D1491" t="s">
        <v>2210</v>
      </c>
    </row>
    <row r="1492" spans="1:4" hidden="1" outlineLevel="2" x14ac:dyDescent="0.3">
      <c r="A1492" t="s">
        <v>2211</v>
      </c>
      <c r="B1492" t="s">
        <v>266</v>
      </c>
      <c r="C1492" t="s">
        <v>8</v>
      </c>
      <c r="D1492" t="s">
        <v>2210</v>
      </c>
    </row>
    <row r="1493" spans="1:4" hidden="1" outlineLevel="2" x14ac:dyDescent="0.3">
      <c r="A1493" t="s">
        <v>2212</v>
      </c>
      <c r="B1493" t="s">
        <v>266</v>
      </c>
      <c r="C1493" t="s">
        <v>8</v>
      </c>
      <c r="D1493" t="s">
        <v>2210</v>
      </c>
    </row>
    <row r="1494" spans="1:4" hidden="1" outlineLevel="2" x14ac:dyDescent="0.3">
      <c r="A1494" t="s">
        <v>2213</v>
      </c>
      <c r="B1494" t="s">
        <v>266</v>
      </c>
      <c r="C1494" t="s">
        <v>8</v>
      </c>
      <c r="D1494" t="s">
        <v>2210</v>
      </c>
    </row>
    <row r="1495" spans="1:4" hidden="1" outlineLevel="2" x14ac:dyDescent="0.3">
      <c r="A1495" t="s">
        <v>2214</v>
      </c>
      <c r="B1495" t="s">
        <v>3891</v>
      </c>
      <c r="C1495" t="s">
        <v>8</v>
      </c>
      <c r="D1495" t="s">
        <v>2215</v>
      </c>
    </row>
    <row r="1496" spans="1:4" hidden="1" outlineLevel="2" x14ac:dyDescent="0.3">
      <c r="A1496" t="s">
        <v>2216</v>
      </c>
      <c r="B1496" t="s">
        <v>3825</v>
      </c>
      <c r="C1496" t="s">
        <v>8</v>
      </c>
      <c r="D1496" t="s">
        <v>2217</v>
      </c>
    </row>
    <row r="1497" spans="1:4" hidden="1" outlineLevel="2" x14ac:dyDescent="0.3">
      <c r="A1497" t="s">
        <v>2218</v>
      </c>
      <c r="B1497" t="s">
        <v>3825</v>
      </c>
      <c r="C1497" t="s">
        <v>8</v>
      </c>
      <c r="D1497" t="s">
        <v>2219</v>
      </c>
    </row>
    <row r="1498" spans="1:4" hidden="1" outlineLevel="2" x14ac:dyDescent="0.3">
      <c r="A1498" t="s">
        <v>2220</v>
      </c>
      <c r="B1498" t="s">
        <v>3825</v>
      </c>
      <c r="C1498" t="s">
        <v>10</v>
      </c>
      <c r="D1498" t="s">
        <v>2221</v>
      </c>
    </row>
    <row r="1499" spans="1:4" hidden="1" outlineLevel="2" x14ac:dyDescent="0.3">
      <c r="A1499" t="s">
        <v>2222</v>
      </c>
      <c r="B1499" t="s">
        <v>3825</v>
      </c>
      <c r="C1499" t="s">
        <v>10</v>
      </c>
      <c r="D1499" t="s">
        <v>2223</v>
      </c>
    </row>
    <row r="1500" spans="1:4" hidden="1" outlineLevel="2" x14ac:dyDescent="0.3">
      <c r="A1500" t="s">
        <v>2224</v>
      </c>
      <c r="B1500" t="s">
        <v>3825</v>
      </c>
      <c r="C1500" t="s">
        <v>10</v>
      </c>
      <c r="D1500" t="s">
        <v>2225</v>
      </c>
    </row>
    <row r="1501" spans="1:4" hidden="1" outlineLevel="2" x14ac:dyDescent="0.3">
      <c r="A1501" t="s">
        <v>2226</v>
      </c>
      <c r="B1501" t="s">
        <v>3825</v>
      </c>
      <c r="C1501" t="s">
        <v>10</v>
      </c>
      <c r="D1501" t="s">
        <v>2227</v>
      </c>
    </row>
    <row r="1502" spans="1:4" hidden="1" outlineLevel="2" x14ac:dyDescent="0.3">
      <c r="A1502" t="s">
        <v>2228</v>
      </c>
      <c r="B1502" t="s">
        <v>3825</v>
      </c>
      <c r="C1502" t="s">
        <v>10</v>
      </c>
      <c r="D1502" t="s">
        <v>2229</v>
      </c>
    </row>
    <row r="1503" spans="1:4" hidden="1" outlineLevel="2" x14ac:dyDescent="0.3">
      <c r="A1503" t="s">
        <v>2230</v>
      </c>
      <c r="B1503" t="s">
        <v>3825</v>
      </c>
      <c r="C1503" t="s">
        <v>10</v>
      </c>
      <c r="D1503" t="s">
        <v>2231</v>
      </c>
    </row>
    <row r="1504" spans="1:4" hidden="1" outlineLevel="2" x14ac:dyDescent="0.3">
      <c r="A1504" t="s">
        <v>2232</v>
      </c>
      <c r="B1504" t="s">
        <v>3825</v>
      </c>
      <c r="C1504" t="s">
        <v>10</v>
      </c>
      <c r="D1504" t="s">
        <v>2233</v>
      </c>
    </row>
    <row r="1505" spans="1:4" hidden="1" outlineLevel="2" x14ac:dyDescent="0.3">
      <c r="A1505" t="s">
        <v>2234</v>
      </c>
      <c r="B1505" t="s">
        <v>3825</v>
      </c>
      <c r="C1505" t="s">
        <v>10</v>
      </c>
      <c r="D1505" t="s">
        <v>2235</v>
      </c>
    </row>
    <row r="1506" spans="1:4" hidden="1" outlineLevel="2" x14ac:dyDescent="0.3">
      <c r="A1506" t="s">
        <v>2236</v>
      </c>
      <c r="B1506" t="s">
        <v>3825</v>
      </c>
      <c r="C1506" t="s">
        <v>10</v>
      </c>
      <c r="D1506" t="s">
        <v>2237</v>
      </c>
    </row>
    <row r="1507" spans="1:4" hidden="1" outlineLevel="2" x14ac:dyDescent="0.3">
      <c r="A1507" t="s">
        <v>2238</v>
      </c>
      <c r="B1507" t="s">
        <v>3891</v>
      </c>
      <c r="C1507" t="s">
        <v>8</v>
      </c>
      <c r="D1507" t="s">
        <v>2239</v>
      </c>
    </row>
    <row r="1508" spans="1:4" hidden="1" outlineLevel="2" x14ac:dyDescent="0.3">
      <c r="A1508" t="s">
        <v>2240</v>
      </c>
      <c r="B1508" t="s">
        <v>3891</v>
      </c>
      <c r="C1508" t="s">
        <v>8</v>
      </c>
      <c r="D1508" t="s">
        <v>2241</v>
      </c>
    </row>
    <row r="1509" spans="1:4" hidden="1" outlineLevel="2" x14ac:dyDescent="0.3">
      <c r="A1509" t="s">
        <v>2242</v>
      </c>
      <c r="B1509" t="s">
        <v>266</v>
      </c>
      <c r="C1509" t="s">
        <v>8</v>
      </c>
      <c r="D1509" t="s">
        <v>2241</v>
      </c>
    </row>
    <row r="1510" spans="1:4" hidden="1" outlineLevel="2" x14ac:dyDescent="0.3">
      <c r="A1510" t="s">
        <v>2243</v>
      </c>
      <c r="B1510" t="s">
        <v>3891</v>
      </c>
      <c r="C1510" t="s">
        <v>8</v>
      </c>
      <c r="D1510" t="s">
        <v>2244</v>
      </c>
    </row>
    <row r="1511" spans="1:4" hidden="1" outlineLevel="2" x14ac:dyDescent="0.3">
      <c r="A1511" t="s">
        <v>2245</v>
      </c>
      <c r="B1511" t="s">
        <v>266</v>
      </c>
      <c r="C1511" t="s">
        <v>8</v>
      </c>
      <c r="D1511" t="s">
        <v>2246</v>
      </c>
    </row>
    <row r="1512" spans="1:4" hidden="1" outlineLevel="2" x14ac:dyDescent="0.3">
      <c r="A1512" t="s">
        <v>2247</v>
      </c>
      <c r="B1512" t="s">
        <v>266</v>
      </c>
      <c r="C1512" t="s">
        <v>8</v>
      </c>
      <c r="D1512" t="s">
        <v>2246</v>
      </c>
    </row>
    <row r="1513" spans="1:4" hidden="1" outlineLevel="2" x14ac:dyDescent="0.3">
      <c r="A1513" t="s">
        <v>2248</v>
      </c>
      <c r="B1513" t="s">
        <v>266</v>
      </c>
      <c r="C1513" t="s">
        <v>8</v>
      </c>
      <c r="D1513" t="s">
        <v>2246</v>
      </c>
    </row>
    <row r="1514" spans="1:4" hidden="1" outlineLevel="2" x14ac:dyDescent="0.3">
      <c r="A1514" t="s">
        <v>2249</v>
      </c>
      <c r="B1514" t="s">
        <v>266</v>
      </c>
      <c r="C1514" t="s">
        <v>10</v>
      </c>
      <c r="D1514" t="s">
        <v>2250</v>
      </c>
    </row>
    <row r="1515" spans="1:4" hidden="1" outlineLevel="2" x14ac:dyDescent="0.3">
      <c r="A1515" t="s">
        <v>2251</v>
      </c>
      <c r="B1515" t="s">
        <v>266</v>
      </c>
      <c r="C1515" t="s">
        <v>10</v>
      </c>
      <c r="D1515" t="s">
        <v>2252</v>
      </c>
    </row>
    <row r="1516" spans="1:4" hidden="1" outlineLevel="2" x14ac:dyDescent="0.3">
      <c r="A1516" t="s">
        <v>2253</v>
      </c>
      <c r="B1516" t="s">
        <v>266</v>
      </c>
      <c r="C1516" t="s">
        <v>10</v>
      </c>
      <c r="D1516" t="s">
        <v>2254</v>
      </c>
    </row>
    <row r="1517" spans="1:4" hidden="1" outlineLevel="2" x14ac:dyDescent="0.3">
      <c r="A1517" t="s">
        <v>2255</v>
      </c>
      <c r="B1517" t="s">
        <v>266</v>
      </c>
      <c r="C1517" t="s">
        <v>10</v>
      </c>
      <c r="D1517" t="s">
        <v>2256</v>
      </c>
    </row>
    <row r="1518" spans="1:4" hidden="1" outlineLevel="2" x14ac:dyDescent="0.3">
      <c r="A1518" t="s">
        <v>2257</v>
      </c>
      <c r="B1518" t="s">
        <v>266</v>
      </c>
      <c r="C1518" t="s">
        <v>10</v>
      </c>
      <c r="D1518" t="s">
        <v>2258</v>
      </c>
    </row>
    <row r="1519" spans="1:4" hidden="1" outlineLevel="2" x14ac:dyDescent="0.3">
      <c r="A1519" t="s">
        <v>2259</v>
      </c>
      <c r="B1519" t="s">
        <v>266</v>
      </c>
      <c r="C1519" t="s">
        <v>10</v>
      </c>
      <c r="D1519" t="s">
        <v>2260</v>
      </c>
    </row>
    <row r="1520" spans="1:4" hidden="1" outlineLevel="2" x14ac:dyDescent="0.3">
      <c r="A1520" t="s">
        <v>2261</v>
      </c>
      <c r="B1520" t="s">
        <v>266</v>
      </c>
      <c r="C1520" t="s">
        <v>10</v>
      </c>
      <c r="D1520" t="s">
        <v>2262</v>
      </c>
    </row>
    <row r="1521" spans="1:4" hidden="1" outlineLevel="2" x14ac:dyDescent="0.3">
      <c r="A1521" t="s">
        <v>2263</v>
      </c>
      <c r="B1521" t="s">
        <v>266</v>
      </c>
      <c r="C1521" t="s">
        <v>10</v>
      </c>
      <c r="D1521" t="s">
        <v>2264</v>
      </c>
    </row>
    <row r="1522" spans="1:4" hidden="1" outlineLevel="2" x14ac:dyDescent="0.3">
      <c r="A1522" t="s">
        <v>2265</v>
      </c>
      <c r="B1522" t="s">
        <v>266</v>
      </c>
      <c r="C1522" t="s">
        <v>10</v>
      </c>
      <c r="D1522" t="s">
        <v>2266</v>
      </c>
    </row>
    <row r="1523" spans="1:4" hidden="1" outlineLevel="2" x14ac:dyDescent="0.3">
      <c r="A1523" t="s">
        <v>2267</v>
      </c>
      <c r="B1523" t="s">
        <v>266</v>
      </c>
      <c r="C1523" t="s">
        <v>10</v>
      </c>
      <c r="D1523" t="s">
        <v>2268</v>
      </c>
    </row>
    <row r="1524" spans="1:4" hidden="1" outlineLevel="2" x14ac:dyDescent="0.3">
      <c r="A1524" t="s">
        <v>2269</v>
      </c>
      <c r="B1524" t="s">
        <v>266</v>
      </c>
      <c r="C1524" t="s">
        <v>10</v>
      </c>
      <c r="D1524" t="s">
        <v>2270</v>
      </c>
    </row>
    <row r="1525" spans="1:4" hidden="1" outlineLevel="2" x14ac:dyDescent="0.3">
      <c r="A1525" t="s">
        <v>2271</v>
      </c>
      <c r="B1525" t="s">
        <v>266</v>
      </c>
      <c r="C1525" t="s">
        <v>10</v>
      </c>
      <c r="D1525" t="s">
        <v>2272</v>
      </c>
    </row>
    <row r="1526" spans="1:4" hidden="1" outlineLevel="2" x14ac:dyDescent="0.3">
      <c r="A1526" t="s">
        <v>2273</v>
      </c>
      <c r="B1526" t="s">
        <v>266</v>
      </c>
      <c r="C1526" t="s">
        <v>10</v>
      </c>
      <c r="D1526" t="s">
        <v>2274</v>
      </c>
    </row>
    <row r="1527" spans="1:4" hidden="1" outlineLevel="2" x14ac:dyDescent="0.3">
      <c r="A1527" t="s">
        <v>2275</v>
      </c>
      <c r="B1527" t="s">
        <v>266</v>
      </c>
      <c r="C1527" t="s">
        <v>10</v>
      </c>
      <c r="D1527" t="s">
        <v>2276</v>
      </c>
    </row>
    <row r="1528" spans="1:4" hidden="1" outlineLevel="2" x14ac:dyDescent="0.3">
      <c r="A1528" t="s">
        <v>2277</v>
      </c>
      <c r="B1528" t="s">
        <v>266</v>
      </c>
      <c r="C1528" t="s">
        <v>10</v>
      </c>
      <c r="D1528" t="s">
        <v>2278</v>
      </c>
    </row>
    <row r="1529" spans="1:4" hidden="1" outlineLevel="2" x14ac:dyDescent="0.3">
      <c r="A1529" t="s">
        <v>2279</v>
      </c>
      <c r="B1529" t="s">
        <v>266</v>
      </c>
      <c r="C1529" t="s">
        <v>10</v>
      </c>
      <c r="D1529" t="s">
        <v>2280</v>
      </c>
    </row>
    <row r="1530" spans="1:4" hidden="1" outlineLevel="2" x14ac:dyDescent="0.3">
      <c r="A1530" t="s">
        <v>2281</v>
      </c>
      <c r="B1530" t="s">
        <v>266</v>
      </c>
      <c r="C1530" t="s">
        <v>10</v>
      </c>
      <c r="D1530" t="s">
        <v>2282</v>
      </c>
    </row>
    <row r="1531" spans="1:4" hidden="1" outlineLevel="2" x14ac:dyDescent="0.3">
      <c r="A1531" t="s">
        <v>2283</v>
      </c>
      <c r="B1531" t="s">
        <v>266</v>
      </c>
      <c r="C1531" t="s">
        <v>10</v>
      </c>
      <c r="D1531" t="s">
        <v>2284</v>
      </c>
    </row>
    <row r="1532" spans="1:4" hidden="1" outlineLevel="2" x14ac:dyDescent="0.3">
      <c r="A1532" t="s">
        <v>2285</v>
      </c>
      <c r="B1532" t="s">
        <v>266</v>
      </c>
      <c r="C1532" t="s">
        <v>10</v>
      </c>
      <c r="D1532" t="s">
        <v>2286</v>
      </c>
    </row>
    <row r="1533" spans="1:4" hidden="1" outlineLevel="2" x14ac:dyDescent="0.3">
      <c r="A1533" t="s">
        <v>2287</v>
      </c>
      <c r="B1533" t="s">
        <v>3825</v>
      </c>
      <c r="C1533" t="s">
        <v>10</v>
      </c>
      <c r="D1533" t="s">
        <v>2288</v>
      </c>
    </row>
    <row r="1534" spans="1:4" hidden="1" outlineLevel="2" x14ac:dyDescent="0.3">
      <c r="A1534" t="s">
        <v>2289</v>
      </c>
      <c r="B1534" t="s">
        <v>3825</v>
      </c>
      <c r="C1534" t="s">
        <v>10</v>
      </c>
      <c r="D1534" t="s">
        <v>2288</v>
      </c>
    </row>
    <row r="1535" spans="1:4" hidden="1" outlineLevel="2" x14ac:dyDescent="0.3">
      <c r="A1535" t="s">
        <v>2290</v>
      </c>
      <c r="B1535" t="s">
        <v>3825</v>
      </c>
      <c r="C1535" t="s">
        <v>10</v>
      </c>
      <c r="D1535" t="s">
        <v>2291</v>
      </c>
    </row>
    <row r="1536" spans="1:4" hidden="1" outlineLevel="2" x14ac:dyDescent="0.3">
      <c r="A1536" t="s">
        <v>2292</v>
      </c>
      <c r="B1536" t="s">
        <v>3825</v>
      </c>
      <c r="C1536" t="s">
        <v>10</v>
      </c>
      <c r="D1536" t="s">
        <v>2293</v>
      </c>
    </row>
    <row r="1537" spans="1:4" hidden="1" outlineLevel="2" x14ac:dyDescent="0.3">
      <c r="A1537" t="s">
        <v>2294</v>
      </c>
      <c r="B1537" t="s">
        <v>266</v>
      </c>
      <c r="C1537" t="s">
        <v>10</v>
      </c>
      <c r="D1537" t="s">
        <v>2295</v>
      </c>
    </row>
    <row r="1538" spans="1:4" hidden="1" outlineLevel="2" x14ac:dyDescent="0.3">
      <c r="A1538" t="s">
        <v>2296</v>
      </c>
      <c r="B1538" t="s">
        <v>3825</v>
      </c>
      <c r="C1538" t="s">
        <v>10</v>
      </c>
      <c r="D1538" t="s">
        <v>2297</v>
      </c>
    </row>
    <row r="1539" spans="1:4" hidden="1" outlineLevel="2" x14ac:dyDescent="0.3">
      <c r="A1539" t="s">
        <v>2298</v>
      </c>
      <c r="B1539" t="s">
        <v>3825</v>
      </c>
      <c r="C1539" t="s">
        <v>8</v>
      </c>
      <c r="D1539" t="s">
        <v>2299</v>
      </c>
    </row>
    <row r="1540" spans="1:4" hidden="1" outlineLevel="2" x14ac:dyDescent="0.3">
      <c r="A1540" t="s">
        <v>2300</v>
      </c>
      <c r="B1540" t="s">
        <v>3825</v>
      </c>
      <c r="C1540" t="s">
        <v>8</v>
      </c>
      <c r="D1540" t="s">
        <v>2301</v>
      </c>
    </row>
    <row r="1541" spans="1:4" hidden="1" outlineLevel="2" x14ac:dyDescent="0.3">
      <c r="A1541" t="s">
        <v>2302</v>
      </c>
      <c r="B1541" t="s">
        <v>266</v>
      </c>
      <c r="C1541" t="s">
        <v>8</v>
      </c>
      <c r="D1541" t="s">
        <v>2303</v>
      </c>
    </row>
    <row r="1542" spans="1:4" hidden="1" outlineLevel="2" x14ac:dyDescent="0.3">
      <c r="A1542" t="s">
        <v>2304</v>
      </c>
      <c r="B1542" t="s">
        <v>266</v>
      </c>
      <c r="C1542" t="s">
        <v>8</v>
      </c>
      <c r="D1542" t="s">
        <v>2303</v>
      </c>
    </row>
    <row r="1543" spans="1:4" hidden="1" outlineLevel="2" x14ac:dyDescent="0.3">
      <c r="A1543" t="s">
        <v>2305</v>
      </c>
      <c r="B1543" t="s">
        <v>266</v>
      </c>
      <c r="C1543" t="s">
        <v>8</v>
      </c>
      <c r="D1543" t="s">
        <v>2306</v>
      </c>
    </row>
    <row r="1544" spans="1:4" hidden="1" outlineLevel="2" x14ac:dyDescent="0.3">
      <c r="A1544" t="s">
        <v>2307</v>
      </c>
      <c r="B1544" t="s">
        <v>3880</v>
      </c>
      <c r="C1544" t="s">
        <v>8</v>
      </c>
      <c r="D1544" t="s">
        <v>2306</v>
      </c>
    </row>
    <row r="1545" spans="1:4" hidden="1" outlineLevel="2" x14ac:dyDescent="0.3">
      <c r="A1545" t="s">
        <v>2308</v>
      </c>
      <c r="B1545" t="s">
        <v>266</v>
      </c>
      <c r="C1545" t="s">
        <v>8</v>
      </c>
      <c r="D1545" t="s">
        <v>2309</v>
      </c>
    </row>
    <row r="1546" spans="1:4" hidden="1" outlineLevel="2" x14ac:dyDescent="0.3">
      <c r="A1546" t="s">
        <v>2310</v>
      </c>
      <c r="B1546" t="s">
        <v>3891</v>
      </c>
      <c r="C1546" t="s">
        <v>8</v>
      </c>
      <c r="D1546" t="s">
        <v>2311</v>
      </c>
    </row>
    <row r="1547" spans="1:4" hidden="1" outlineLevel="2" x14ac:dyDescent="0.3">
      <c r="A1547" t="s">
        <v>2312</v>
      </c>
      <c r="B1547" t="s">
        <v>266</v>
      </c>
      <c r="C1547" t="s">
        <v>8</v>
      </c>
      <c r="D1547" t="s">
        <v>2313</v>
      </c>
    </row>
    <row r="1548" spans="1:4" hidden="1" outlineLevel="2" x14ac:dyDescent="0.3">
      <c r="A1548" t="s">
        <v>2314</v>
      </c>
      <c r="B1548" t="s">
        <v>266</v>
      </c>
      <c r="C1548" t="s">
        <v>8</v>
      </c>
      <c r="D1548" t="s">
        <v>2313</v>
      </c>
    </row>
    <row r="1549" spans="1:4" hidden="1" outlineLevel="2" x14ac:dyDescent="0.3">
      <c r="A1549" t="s">
        <v>2315</v>
      </c>
      <c r="B1549" t="s">
        <v>3825</v>
      </c>
      <c r="C1549" t="s">
        <v>10</v>
      </c>
      <c r="D1549" t="s">
        <v>2316</v>
      </c>
    </row>
    <row r="1550" spans="1:4" hidden="1" outlineLevel="2" x14ac:dyDescent="0.3">
      <c r="A1550" t="s">
        <v>2317</v>
      </c>
      <c r="B1550" t="s">
        <v>266</v>
      </c>
      <c r="C1550" t="s">
        <v>10</v>
      </c>
      <c r="D1550" t="s">
        <v>2318</v>
      </c>
    </row>
    <row r="1551" spans="1:4" hidden="1" outlineLevel="2" x14ac:dyDescent="0.3">
      <c r="A1551" t="s">
        <v>2319</v>
      </c>
      <c r="B1551" t="s">
        <v>266</v>
      </c>
      <c r="C1551" t="s">
        <v>10</v>
      </c>
      <c r="D1551" t="s">
        <v>2320</v>
      </c>
    </row>
    <row r="1552" spans="1:4" hidden="1" outlineLevel="2" x14ac:dyDescent="0.3">
      <c r="A1552" t="s">
        <v>2321</v>
      </c>
      <c r="B1552" t="s">
        <v>266</v>
      </c>
      <c r="C1552" t="s">
        <v>10</v>
      </c>
      <c r="D1552" t="s">
        <v>2322</v>
      </c>
    </row>
    <row r="1553" spans="1:4" hidden="1" outlineLevel="2" x14ac:dyDescent="0.3">
      <c r="A1553" t="s">
        <v>2323</v>
      </c>
      <c r="B1553" t="s">
        <v>266</v>
      </c>
      <c r="C1553" t="s">
        <v>10</v>
      </c>
      <c r="D1553" t="s">
        <v>2324</v>
      </c>
    </row>
    <row r="1554" spans="1:4" hidden="1" outlineLevel="2" x14ac:dyDescent="0.3">
      <c r="A1554" t="s">
        <v>2325</v>
      </c>
      <c r="B1554" t="s">
        <v>266</v>
      </c>
      <c r="C1554" t="s">
        <v>10</v>
      </c>
      <c r="D1554" t="s">
        <v>2326</v>
      </c>
    </row>
    <row r="1555" spans="1:4" hidden="1" outlineLevel="2" x14ac:dyDescent="0.3">
      <c r="A1555" t="s">
        <v>2327</v>
      </c>
      <c r="B1555" t="s">
        <v>266</v>
      </c>
      <c r="C1555" t="s">
        <v>10</v>
      </c>
      <c r="D1555" t="s">
        <v>2328</v>
      </c>
    </row>
    <row r="1556" spans="1:4" hidden="1" outlineLevel="2" x14ac:dyDescent="0.3">
      <c r="A1556" t="s">
        <v>2329</v>
      </c>
      <c r="B1556" t="s">
        <v>266</v>
      </c>
      <c r="C1556" t="s">
        <v>10</v>
      </c>
      <c r="D1556" t="s">
        <v>2330</v>
      </c>
    </row>
    <row r="1557" spans="1:4" hidden="1" outlineLevel="2" x14ac:dyDescent="0.3">
      <c r="A1557" t="s">
        <v>2331</v>
      </c>
      <c r="B1557" t="s">
        <v>266</v>
      </c>
      <c r="C1557" t="s">
        <v>10</v>
      </c>
      <c r="D1557" t="s">
        <v>2332</v>
      </c>
    </row>
    <row r="1558" spans="1:4" hidden="1" outlineLevel="2" x14ac:dyDescent="0.3">
      <c r="A1558" t="s">
        <v>2333</v>
      </c>
      <c r="B1558" t="s">
        <v>266</v>
      </c>
      <c r="C1558" t="s">
        <v>10</v>
      </c>
      <c r="D1558" t="s">
        <v>2334</v>
      </c>
    </row>
    <row r="1559" spans="1:4" hidden="1" outlineLevel="2" x14ac:dyDescent="0.3">
      <c r="A1559" t="s">
        <v>2335</v>
      </c>
      <c r="B1559" t="s">
        <v>266</v>
      </c>
      <c r="C1559" t="s">
        <v>10</v>
      </c>
      <c r="D1559" t="s">
        <v>2336</v>
      </c>
    </row>
    <row r="1560" spans="1:4" hidden="1" outlineLevel="2" x14ac:dyDescent="0.3">
      <c r="A1560" t="s">
        <v>2337</v>
      </c>
      <c r="B1560" t="s">
        <v>266</v>
      </c>
      <c r="C1560" t="s">
        <v>10</v>
      </c>
      <c r="D1560" t="s">
        <v>2338</v>
      </c>
    </row>
    <row r="1561" spans="1:4" hidden="1" outlineLevel="2" x14ac:dyDescent="0.3">
      <c r="A1561" t="s">
        <v>2339</v>
      </c>
      <c r="B1561" t="s">
        <v>266</v>
      </c>
      <c r="C1561" t="s">
        <v>10</v>
      </c>
      <c r="D1561" t="s">
        <v>2340</v>
      </c>
    </row>
    <row r="1562" spans="1:4" hidden="1" outlineLevel="2" x14ac:dyDescent="0.3">
      <c r="A1562" t="s">
        <v>2341</v>
      </c>
      <c r="B1562" t="s">
        <v>266</v>
      </c>
      <c r="C1562" t="s">
        <v>10</v>
      </c>
      <c r="D1562" t="s">
        <v>2342</v>
      </c>
    </row>
    <row r="1563" spans="1:4" hidden="1" outlineLevel="2" x14ac:dyDescent="0.3">
      <c r="A1563" t="s">
        <v>2343</v>
      </c>
      <c r="B1563" t="s">
        <v>3825</v>
      </c>
      <c r="C1563" t="s">
        <v>10</v>
      </c>
      <c r="D1563" t="s">
        <v>2344</v>
      </c>
    </row>
    <row r="1564" spans="1:4" hidden="1" outlineLevel="2" x14ac:dyDescent="0.3">
      <c r="A1564" t="s">
        <v>2345</v>
      </c>
      <c r="B1564" t="s">
        <v>266</v>
      </c>
      <c r="C1564" t="s">
        <v>8</v>
      </c>
      <c r="D1564" t="s">
        <v>2346</v>
      </c>
    </row>
    <row r="1565" spans="1:4" hidden="1" outlineLevel="2" x14ac:dyDescent="0.3">
      <c r="A1565" t="s">
        <v>2347</v>
      </c>
      <c r="B1565" t="s">
        <v>266</v>
      </c>
      <c r="C1565" t="s">
        <v>8</v>
      </c>
      <c r="D1565" t="s">
        <v>2346</v>
      </c>
    </row>
    <row r="1566" spans="1:4" hidden="1" outlineLevel="2" x14ac:dyDescent="0.3">
      <c r="A1566" t="s">
        <v>2348</v>
      </c>
      <c r="B1566" t="s">
        <v>266</v>
      </c>
      <c r="C1566" t="s">
        <v>8</v>
      </c>
      <c r="D1566" t="s">
        <v>2349</v>
      </c>
    </row>
    <row r="1567" spans="1:4" hidden="1" outlineLevel="2" x14ac:dyDescent="0.3">
      <c r="A1567" t="s">
        <v>2350</v>
      </c>
      <c r="B1567" t="s">
        <v>266</v>
      </c>
      <c r="C1567" t="s">
        <v>8</v>
      </c>
      <c r="D1567" t="s">
        <v>2351</v>
      </c>
    </row>
    <row r="1568" spans="1:4" hidden="1" outlineLevel="2" x14ac:dyDescent="0.3">
      <c r="A1568" t="s">
        <v>2352</v>
      </c>
      <c r="B1568" t="s">
        <v>266</v>
      </c>
      <c r="C1568" t="s">
        <v>8</v>
      </c>
      <c r="D1568" t="s">
        <v>2353</v>
      </c>
    </row>
    <row r="1569" spans="1:4" hidden="1" outlineLevel="2" x14ac:dyDescent="0.3">
      <c r="A1569" t="s">
        <v>2354</v>
      </c>
      <c r="B1569" t="s">
        <v>266</v>
      </c>
      <c r="C1569" t="s">
        <v>8</v>
      </c>
      <c r="D1569" t="s">
        <v>2355</v>
      </c>
    </row>
    <row r="1570" spans="1:4" hidden="1" outlineLevel="2" x14ac:dyDescent="0.3">
      <c r="A1570" t="s">
        <v>2356</v>
      </c>
      <c r="B1570" t="s">
        <v>266</v>
      </c>
      <c r="C1570" t="s">
        <v>8</v>
      </c>
      <c r="D1570" t="s">
        <v>2357</v>
      </c>
    </row>
    <row r="1571" spans="1:4" hidden="1" outlineLevel="2" x14ac:dyDescent="0.3">
      <c r="A1571" t="s">
        <v>2358</v>
      </c>
      <c r="B1571" t="s">
        <v>3891</v>
      </c>
      <c r="C1571" t="s">
        <v>10</v>
      </c>
      <c r="D1571" t="s">
        <v>2359</v>
      </c>
    </row>
    <row r="1572" spans="1:4" hidden="1" outlineLevel="2" x14ac:dyDescent="0.3">
      <c r="A1572" t="s">
        <v>2360</v>
      </c>
      <c r="B1572" t="s">
        <v>3891</v>
      </c>
      <c r="C1572" t="s">
        <v>8</v>
      </c>
      <c r="D1572" t="s">
        <v>2361</v>
      </c>
    </row>
    <row r="1573" spans="1:4" hidden="1" outlineLevel="2" x14ac:dyDescent="0.3">
      <c r="A1573" t="s">
        <v>2362</v>
      </c>
      <c r="B1573" t="s">
        <v>266</v>
      </c>
      <c r="C1573" t="s">
        <v>8</v>
      </c>
      <c r="D1573" t="s">
        <v>2363</v>
      </c>
    </row>
    <row r="1574" spans="1:4" hidden="1" outlineLevel="2" x14ac:dyDescent="0.3">
      <c r="A1574" t="s">
        <v>2364</v>
      </c>
      <c r="B1574" t="s">
        <v>266</v>
      </c>
      <c r="C1574" t="s">
        <v>8</v>
      </c>
      <c r="D1574" t="s">
        <v>2365</v>
      </c>
    </row>
    <row r="1575" spans="1:4" hidden="1" outlineLevel="2" x14ac:dyDescent="0.3">
      <c r="A1575" t="s">
        <v>2366</v>
      </c>
      <c r="B1575" t="s">
        <v>3825</v>
      </c>
      <c r="C1575" t="s">
        <v>10</v>
      </c>
      <c r="D1575" t="s">
        <v>2367</v>
      </c>
    </row>
    <row r="1576" spans="1:4" hidden="1" outlineLevel="2" x14ac:dyDescent="0.3">
      <c r="A1576" t="s">
        <v>2368</v>
      </c>
      <c r="B1576" t="s">
        <v>266</v>
      </c>
      <c r="C1576" t="s">
        <v>10</v>
      </c>
      <c r="D1576" t="s">
        <v>2369</v>
      </c>
    </row>
    <row r="1577" spans="1:4" hidden="1" outlineLevel="2" x14ac:dyDescent="0.3">
      <c r="A1577" t="s">
        <v>2370</v>
      </c>
      <c r="B1577" t="s">
        <v>266</v>
      </c>
      <c r="C1577" t="s">
        <v>10</v>
      </c>
      <c r="D1577" t="s">
        <v>2371</v>
      </c>
    </row>
    <row r="1578" spans="1:4" hidden="1" outlineLevel="2" x14ac:dyDescent="0.3">
      <c r="A1578" t="s">
        <v>2372</v>
      </c>
      <c r="B1578" t="s">
        <v>266</v>
      </c>
      <c r="C1578" t="s">
        <v>10</v>
      </c>
      <c r="D1578" t="s">
        <v>2373</v>
      </c>
    </row>
    <row r="1579" spans="1:4" hidden="1" outlineLevel="2" x14ac:dyDescent="0.3">
      <c r="A1579" t="s">
        <v>2374</v>
      </c>
      <c r="B1579" t="s">
        <v>266</v>
      </c>
      <c r="C1579" t="s">
        <v>10</v>
      </c>
      <c r="D1579" t="s">
        <v>2375</v>
      </c>
    </row>
    <row r="1580" spans="1:4" hidden="1" outlineLevel="2" x14ac:dyDescent="0.3">
      <c r="A1580" t="s">
        <v>2376</v>
      </c>
      <c r="B1580" t="s">
        <v>266</v>
      </c>
      <c r="C1580" t="s">
        <v>10</v>
      </c>
      <c r="D1580" t="s">
        <v>2377</v>
      </c>
    </row>
    <row r="1581" spans="1:4" hidden="1" outlineLevel="2" x14ac:dyDescent="0.3">
      <c r="A1581" t="s">
        <v>2378</v>
      </c>
      <c r="B1581" t="s">
        <v>266</v>
      </c>
      <c r="C1581" t="s">
        <v>10</v>
      </c>
      <c r="D1581" t="s">
        <v>2379</v>
      </c>
    </row>
    <row r="1582" spans="1:4" hidden="1" outlineLevel="2" x14ac:dyDescent="0.3">
      <c r="A1582" t="s">
        <v>2380</v>
      </c>
      <c r="B1582" t="s">
        <v>266</v>
      </c>
      <c r="C1582" t="s">
        <v>10</v>
      </c>
      <c r="D1582" t="s">
        <v>2381</v>
      </c>
    </row>
    <row r="1583" spans="1:4" hidden="1" outlineLevel="2" x14ac:dyDescent="0.3">
      <c r="A1583" t="s">
        <v>2382</v>
      </c>
      <c r="B1583" t="s">
        <v>266</v>
      </c>
      <c r="C1583" t="s">
        <v>10</v>
      </c>
      <c r="D1583" t="s">
        <v>2383</v>
      </c>
    </row>
    <row r="1584" spans="1:4" hidden="1" outlineLevel="2" x14ac:dyDescent="0.3">
      <c r="A1584" t="s">
        <v>2384</v>
      </c>
      <c r="B1584" t="s">
        <v>266</v>
      </c>
      <c r="C1584" t="s">
        <v>10</v>
      </c>
      <c r="D1584" t="s">
        <v>2385</v>
      </c>
    </row>
    <row r="1585" spans="1:4" hidden="1" outlineLevel="2" x14ac:dyDescent="0.3">
      <c r="A1585" t="s">
        <v>2386</v>
      </c>
      <c r="B1585" t="s">
        <v>266</v>
      </c>
      <c r="C1585" t="s">
        <v>10</v>
      </c>
      <c r="D1585" t="s">
        <v>2387</v>
      </c>
    </row>
    <row r="1586" spans="1:4" hidden="1" outlineLevel="2" x14ac:dyDescent="0.3">
      <c r="A1586" t="s">
        <v>2388</v>
      </c>
      <c r="B1586" t="s">
        <v>266</v>
      </c>
      <c r="C1586" t="s">
        <v>10</v>
      </c>
      <c r="D1586" t="s">
        <v>2389</v>
      </c>
    </row>
    <row r="1587" spans="1:4" hidden="1" outlineLevel="2" x14ac:dyDescent="0.3">
      <c r="A1587" t="s">
        <v>2390</v>
      </c>
      <c r="B1587" t="s">
        <v>266</v>
      </c>
      <c r="C1587" t="s">
        <v>10</v>
      </c>
      <c r="D1587" t="s">
        <v>2391</v>
      </c>
    </row>
    <row r="1588" spans="1:4" hidden="1" outlineLevel="2" x14ac:dyDescent="0.3">
      <c r="A1588" t="s">
        <v>2392</v>
      </c>
      <c r="B1588" t="s">
        <v>266</v>
      </c>
      <c r="C1588" t="s">
        <v>10</v>
      </c>
      <c r="D1588" t="s">
        <v>2393</v>
      </c>
    </row>
    <row r="1589" spans="1:4" hidden="1" outlineLevel="2" x14ac:dyDescent="0.3">
      <c r="A1589" t="s">
        <v>2394</v>
      </c>
      <c r="B1589" t="s">
        <v>266</v>
      </c>
      <c r="C1589" t="s">
        <v>10</v>
      </c>
      <c r="D1589" t="s">
        <v>2395</v>
      </c>
    </row>
    <row r="1590" spans="1:4" hidden="1" outlineLevel="2" x14ac:dyDescent="0.3">
      <c r="A1590" t="s">
        <v>2396</v>
      </c>
      <c r="B1590" t="s">
        <v>266</v>
      </c>
      <c r="C1590" t="s">
        <v>10</v>
      </c>
      <c r="D1590" t="s">
        <v>2397</v>
      </c>
    </row>
    <row r="1591" spans="1:4" hidden="1" outlineLevel="2" x14ac:dyDescent="0.3">
      <c r="A1591" t="s">
        <v>2398</v>
      </c>
      <c r="B1591" t="s">
        <v>266</v>
      </c>
      <c r="C1591" t="s">
        <v>10</v>
      </c>
      <c r="D1591" t="s">
        <v>2399</v>
      </c>
    </row>
    <row r="1592" spans="1:4" hidden="1" outlineLevel="2" x14ac:dyDescent="0.3">
      <c r="A1592" t="s">
        <v>2400</v>
      </c>
      <c r="B1592" t="s">
        <v>266</v>
      </c>
      <c r="C1592" t="s">
        <v>10</v>
      </c>
      <c r="D1592" t="s">
        <v>2401</v>
      </c>
    </row>
    <row r="1593" spans="1:4" hidden="1" outlineLevel="2" x14ac:dyDescent="0.3">
      <c r="A1593" t="s">
        <v>2402</v>
      </c>
      <c r="B1593" t="s">
        <v>266</v>
      </c>
      <c r="C1593" t="s">
        <v>10</v>
      </c>
      <c r="D1593" t="s">
        <v>2403</v>
      </c>
    </row>
    <row r="1594" spans="1:4" hidden="1" outlineLevel="2" x14ac:dyDescent="0.3">
      <c r="A1594" t="s">
        <v>2404</v>
      </c>
      <c r="B1594" t="s">
        <v>266</v>
      </c>
      <c r="C1594" t="s">
        <v>10</v>
      </c>
      <c r="D1594" t="s">
        <v>2405</v>
      </c>
    </row>
    <row r="1595" spans="1:4" hidden="1" outlineLevel="2" x14ac:dyDescent="0.3">
      <c r="A1595" t="s">
        <v>2406</v>
      </c>
      <c r="B1595" t="s">
        <v>3825</v>
      </c>
      <c r="C1595" t="s">
        <v>10</v>
      </c>
      <c r="D1595" t="s">
        <v>2407</v>
      </c>
    </row>
    <row r="1596" spans="1:4" hidden="1" outlineLevel="2" x14ac:dyDescent="0.3">
      <c r="A1596" t="s">
        <v>2408</v>
      </c>
      <c r="B1596" t="s">
        <v>266</v>
      </c>
      <c r="C1596" t="s">
        <v>10</v>
      </c>
      <c r="D1596" t="s">
        <v>2409</v>
      </c>
    </row>
    <row r="1597" spans="1:4" hidden="1" outlineLevel="2" x14ac:dyDescent="0.3">
      <c r="A1597" t="s">
        <v>2410</v>
      </c>
      <c r="B1597" t="s">
        <v>3825</v>
      </c>
      <c r="C1597" t="s">
        <v>10</v>
      </c>
      <c r="D1597" t="s">
        <v>2411</v>
      </c>
    </row>
    <row r="1598" spans="1:4" hidden="1" outlineLevel="2" x14ac:dyDescent="0.3">
      <c r="A1598" t="s">
        <v>2412</v>
      </c>
      <c r="B1598" t="s">
        <v>3825</v>
      </c>
      <c r="C1598" t="s">
        <v>10</v>
      </c>
      <c r="D1598" t="s">
        <v>2413</v>
      </c>
    </row>
    <row r="1599" spans="1:4" hidden="1" outlineLevel="2" x14ac:dyDescent="0.3">
      <c r="A1599" t="s">
        <v>2414</v>
      </c>
      <c r="B1599" t="s">
        <v>3825</v>
      </c>
      <c r="C1599" t="s">
        <v>8</v>
      </c>
      <c r="D1599" t="s">
        <v>2415</v>
      </c>
    </row>
    <row r="1600" spans="1:4" hidden="1" outlineLevel="2" x14ac:dyDescent="0.3">
      <c r="A1600" t="s">
        <v>2416</v>
      </c>
      <c r="B1600" t="s">
        <v>3825</v>
      </c>
      <c r="C1600" t="s">
        <v>10</v>
      </c>
      <c r="D1600" t="s">
        <v>2417</v>
      </c>
    </row>
    <row r="1601" spans="1:4" hidden="1" outlineLevel="2" x14ac:dyDescent="0.3">
      <c r="A1601" t="s">
        <v>2418</v>
      </c>
      <c r="B1601" t="s">
        <v>266</v>
      </c>
      <c r="C1601" t="s">
        <v>10</v>
      </c>
      <c r="D1601" t="s">
        <v>2419</v>
      </c>
    </row>
    <row r="1602" spans="1:4" hidden="1" outlineLevel="2" x14ac:dyDescent="0.3">
      <c r="A1602" t="s">
        <v>2420</v>
      </c>
      <c r="B1602" t="s">
        <v>266</v>
      </c>
      <c r="C1602" t="s">
        <v>10</v>
      </c>
      <c r="D1602" t="s">
        <v>2421</v>
      </c>
    </row>
    <row r="1603" spans="1:4" hidden="1" outlineLevel="2" x14ac:dyDescent="0.3">
      <c r="A1603" t="s">
        <v>2422</v>
      </c>
      <c r="B1603" t="s">
        <v>266</v>
      </c>
      <c r="C1603" t="s">
        <v>10</v>
      </c>
      <c r="D1603" t="s">
        <v>2423</v>
      </c>
    </row>
    <row r="1604" spans="1:4" hidden="1" outlineLevel="2" x14ac:dyDescent="0.3">
      <c r="A1604" t="s">
        <v>2424</v>
      </c>
      <c r="B1604" t="s">
        <v>266</v>
      </c>
      <c r="C1604" t="s">
        <v>10</v>
      </c>
      <c r="D1604" t="s">
        <v>2425</v>
      </c>
    </row>
    <row r="1605" spans="1:4" hidden="1" outlineLevel="2" x14ac:dyDescent="0.3">
      <c r="A1605" t="s">
        <v>2426</v>
      </c>
      <c r="B1605" t="s">
        <v>266</v>
      </c>
      <c r="C1605" t="s">
        <v>10</v>
      </c>
      <c r="D1605" t="s">
        <v>2427</v>
      </c>
    </row>
    <row r="1606" spans="1:4" hidden="1" outlineLevel="2" x14ac:dyDescent="0.3">
      <c r="A1606" t="s">
        <v>2428</v>
      </c>
      <c r="B1606" t="s">
        <v>266</v>
      </c>
      <c r="C1606" t="s">
        <v>10</v>
      </c>
      <c r="D1606" t="s">
        <v>2429</v>
      </c>
    </row>
    <row r="1607" spans="1:4" hidden="1" outlineLevel="2" x14ac:dyDescent="0.3">
      <c r="A1607" t="s">
        <v>2430</v>
      </c>
      <c r="B1607" t="s">
        <v>266</v>
      </c>
      <c r="C1607" t="s">
        <v>10</v>
      </c>
      <c r="D1607" t="s">
        <v>2431</v>
      </c>
    </row>
    <row r="1608" spans="1:4" hidden="1" outlineLevel="2" x14ac:dyDescent="0.3">
      <c r="A1608" t="s">
        <v>2432</v>
      </c>
      <c r="B1608" t="s">
        <v>266</v>
      </c>
      <c r="C1608" t="s">
        <v>10</v>
      </c>
      <c r="D1608" t="s">
        <v>2433</v>
      </c>
    </row>
    <row r="1609" spans="1:4" hidden="1" outlineLevel="2" x14ac:dyDescent="0.3">
      <c r="A1609" t="s">
        <v>2434</v>
      </c>
      <c r="B1609" t="s">
        <v>266</v>
      </c>
      <c r="C1609" t="s">
        <v>10</v>
      </c>
      <c r="D1609" t="s">
        <v>2435</v>
      </c>
    </row>
    <row r="1610" spans="1:4" hidden="1" outlineLevel="2" x14ac:dyDescent="0.3">
      <c r="A1610" t="s">
        <v>2436</v>
      </c>
      <c r="B1610" t="s">
        <v>3825</v>
      </c>
      <c r="C1610" t="s">
        <v>10</v>
      </c>
      <c r="D1610" t="s">
        <v>2437</v>
      </c>
    </row>
    <row r="1611" spans="1:4" hidden="1" outlineLevel="2" x14ac:dyDescent="0.3">
      <c r="A1611" t="s">
        <v>2438</v>
      </c>
      <c r="B1611" t="s">
        <v>3825</v>
      </c>
      <c r="C1611" t="s">
        <v>8</v>
      </c>
      <c r="D1611" t="s">
        <v>2439</v>
      </c>
    </row>
    <row r="1612" spans="1:4" hidden="1" outlineLevel="2" x14ac:dyDescent="0.3">
      <c r="A1612" t="s">
        <v>2440</v>
      </c>
      <c r="B1612" t="s">
        <v>266</v>
      </c>
      <c r="C1612" t="s">
        <v>10</v>
      </c>
      <c r="D1612" t="s">
        <v>2441</v>
      </c>
    </row>
    <row r="1613" spans="1:4" hidden="1" outlineLevel="2" x14ac:dyDescent="0.3">
      <c r="A1613" t="s">
        <v>2442</v>
      </c>
      <c r="B1613" t="s">
        <v>3825</v>
      </c>
      <c r="C1613" t="s">
        <v>10</v>
      </c>
      <c r="D1613" t="s">
        <v>2443</v>
      </c>
    </row>
    <row r="1614" spans="1:4" hidden="1" outlineLevel="2" x14ac:dyDescent="0.3">
      <c r="A1614" t="s">
        <v>2444</v>
      </c>
      <c r="B1614" t="s">
        <v>3825</v>
      </c>
      <c r="C1614" t="s">
        <v>10</v>
      </c>
      <c r="D1614" t="s">
        <v>2445</v>
      </c>
    </row>
    <row r="1615" spans="1:4" hidden="1" outlineLevel="2" x14ac:dyDescent="0.3">
      <c r="A1615" t="s">
        <v>2446</v>
      </c>
      <c r="B1615" t="s">
        <v>266</v>
      </c>
      <c r="C1615" t="s">
        <v>10</v>
      </c>
      <c r="D1615" t="s">
        <v>2447</v>
      </c>
    </row>
    <row r="1616" spans="1:4" hidden="1" outlineLevel="2" x14ac:dyDescent="0.3">
      <c r="A1616" t="s">
        <v>2448</v>
      </c>
      <c r="B1616" t="s">
        <v>3825</v>
      </c>
      <c r="C1616" t="s">
        <v>8</v>
      </c>
      <c r="D1616" t="s">
        <v>2449</v>
      </c>
    </row>
    <row r="1617" spans="1:4" hidden="1" outlineLevel="2" x14ac:dyDescent="0.3">
      <c r="A1617" t="s">
        <v>2450</v>
      </c>
      <c r="B1617" t="s">
        <v>3825</v>
      </c>
      <c r="C1617" t="s">
        <v>8</v>
      </c>
      <c r="D1617" t="s">
        <v>2451</v>
      </c>
    </row>
    <row r="1618" spans="1:4" hidden="1" outlineLevel="2" x14ac:dyDescent="0.3">
      <c r="A1618" t="s">
        <v>2452</v>
      </c>
      <c r="B1618" t="s">
        <v>3825</v>
      </c>
      <c r="C1618" t="s">
        <v>10</v>
      </c>
      <c r="D1618" t="s">
        <v>2453</v>
      </c>
    </row>
    <row r="1619" spans="1:4" hidden="1" outlineLevel="2" x14ac:dyDescent="0.3">
      <c r="A1619" t="s">
        <v>2454</v>
      </c>
      <c r="B1619" t="s">
        <v>3825</v>
      </c>
      <c r="C1619" t="s">
        <v>10</v>
      </c>
      <c r="D1619" t="s">
        <v>2455</v>
      </c>
    </row>
    <row r="1620" spans="1:4" hidden="1" outlineLevel="2" x14ac:dyDescent="0.3">
      <c r="A1620" t="s">
        <v>2456</v>
      </c>
      <c r="B1620" t="s">
        <v>266</v>
      </c>
      <c r="C1620" t="s">
        <v>10</v>
      </c>
      <c r="D1620" t="s">
        <v>2457</v>
      </c>
    </row>
    <row r="1621" spans="1:4" hidden="1" outlineLevel="2" x14ac:dyDescent="0.3">
      <c r="A1621" t="s">
        <v>2458</v>
      </c>
      <c r="B1621" t="s">
        <v>266</v>
      </c>
      <c r="C1621" t="s">
        <v>10</v>
      </c>
      <c r="D1621" t="s">
        <v>2459</v>
      </c>
    </row>
    <row r="1622" spans="1:4" hidden="1" outlineLevel="2" x14ac:dyDescent="0.3">
      <c r="A1622" t="s">
        <v>2460</v>
      </c>
      <c r="B1622" t="s">
        <v>266</v>
      </c>
      <c r="C1622" t="s">
        <v>10</v>
      </c>
      <c r="D1622" t="s">
        <v>2461</v>
      </c>
    </row>
    <row r="1623" spans="1:4" hidden="1" outlineLevel="2" x14ac:dyDescent="0.3">
      <c r="A1623" t="s">
        <v>2462</v>
      </c>
      <c r="B1623" t="s">
        <v>3825</v>
      </c>
      <c r="C1623" t="s">
        <v>10</v>
      </c>
      <c r="D1623" t="s">
        <v>2463</v>
      </c>
    </row>
    <row r="1624" spans="1:4" hidden="1" outlineLevel="2" x14ac:dyDescent="0.3">
      <c r="A1624" t="s">
        <v>2464</v>
      </c>
      <c r="B1624" t="s">
        <v>266</v>
      </c>
      <c r="C1624" t="s">
        <v>10</v>
      </c>
      <c r="D1624" t="s">
        <v>2465</v>
      </c>
    </row>
    <row r="1625" spans="1:4" hidden="1" outlineLevel="2" x14ac:dyDescent="0.3">
      <c r="A1625" t="s">
        <v>2466</v>
      </c>
      <c r="B1625" t="s">
        <v>266</v>
      </c>
      <c r="C1625" t="s">
        <v>10</v>
      </c>
      <c r="D1625" t="s">
        <v>2467</v>
      </c>
    </row>
    <row r="1626" spans="1:4" hidden="1" outlineLevel="2" x14ac:dyDescent="0.3">
      <c r="A1626" t="s">
        <v>2468</v>
      </c>
      <c r="B1626" t="s">
        <v>266</v>
      </c>
      <c r="C1626" t="s">
        <v>10</v>
      </c>
      <c r="D1626" t="s">
        <v>2469</v>
      </c>
    </row>
    <row r="1627" spans="1:4" hidden="1" outlineLevel="2" x14ac:dyDescent="0.3">
      <c r="A1627" t="s">
        <v>2470</v>
      </c>
      <c r="B1627" t="s">
        <v>266</v>
      </c>
      <c r="C1627" t="s">
        <v>10</v>
      </c>
      <c r="D1627" t="s">
        <v>2471</v>
      </c>
    </row>
    <row r="1628" spans="1:4" hidden="1" outlineLevel="2" x14ac:dyDescent="0.3">
      <c r="A1628" t="s">
        <v>2472</v>
      </c>
      <c r="B1628" t="s">
        <v>266</v>
      </c>
      <c r="C1628" t="s">
        <v>10</v>
      </c>
      <c r="D1628" t="s">
        <v>2473</v>
      </c>
    </row>
    <row r="1629" spans="1:4" hidden="1" outlineLevel="2" x14ac:dyDescent="0.3">
      <c r="A1629" t="s">
        <v>2474</v>
      </c>
      <c r="B1629" t="s">
        <v>266</v>
      </c>
      <c r="C1629" t="s">
        <v>10</v>
      </c>
      <c r="D1629" t="s">
        <v>2475</v>
      </c>
    </row>
    <row r="1630" spans="1:4" hidden="1" outlineLevel="2" x14ac:dyDescent="0.3">
      <c r="A1630" t="s">
        <v>2476</v>
      </c>
      <c r="B1630" t="s">
        <v>266</v>
      </c>
      <c r="C1630" t="s">
        <v>10</v>
      </c>
      <c r="D1630" t="s">
        <v>2477</v>
      </c>
    </row>
    <row r="1631" spans="1:4" hidden="1" outlineLevel="2" x14ac:dyDescent="0.3">
      <c r="A1631" t="s">
        <v>2478</v>
      </c>
      <c r="B1631" t="s">
        <v>266</v>
      </c>
      <c r="C1631" t="s">
        <v>10</v>
      </c>
      <c r="D1631" t="s">
        <v>2479</v>
      </c>
    </row>
    <row r="1632" spans="1:4" hidden="1" outlineLevel="2" x14ac:dyDescent="0.3">
      <c r="A1632" t="s">
        <v>2480</v>
      </c>
      <c r="B1632" t="s">
        <v>266</v>
      </c>
      <c r="C1632" t="s">
        <v>10</v>
      </c>
      <c r="D1632" t="s">
        <v>2481</v>
      </c>
    </row>
    <row r="1633" spans="1:4" hidden="1" outlineLevel="2" x14ac:dyDescent="0.3">
      <c r="A1633" t="s">
        <v>2482</v>
      </c>
      <c r="B1633" t="s">
        <v>266</v>
      </c>
      <c r="C1633" t="s">
        <v>10</v>
      </c>
      <c r="D1633" t="s">
        <v>2483</v>
      </c>
    </row>
    <row r="1634" spans="1:4" hidden="1" outlineLevel="2" x14ac:dyDescent="0.3">
      <c r="A1634" t="s">
        <v>2484</v>
      </c>
      <c r="B1634" t="s">
        <v>266</v>
      </c>
      <c r="C1634" t="s">
        <v>10</v>
      </c>
      <c r="D1634" t="s">
        <v>2485</v>
      </c>
    </row>
    <row r="1635" spans="1:4" hidden="1" outlineLevel="2" x14ac:dyDescent="0.3">
      <c r="A1635" t="s">
        <v>2486</v>
      </c>
      <c r="B1635" t="s">
        <v>266</v>
      </c>
      <c r="C1635" t="s">
        <v>10</v>
      </c>
      <c r="D1635" t="s">
        <v>2487</v>
      </c>
    </row>
    <row r="1636" spans="1:4" hidden="1" outlineLevel="2" x14ac:dyDescent="0.3">
      <c r="A1636" t="s">
        <v>2488</v>
      </c>
      <c r="B1636" t="s">
        <v>266</v>
      </c>
      <c r="C1636" t="s">
        <v>10</v>
      </c>
      <c r="D1636" t="s">
        <v>2489</v>
      </c>
    </row>
    <row r="1637" spans="1:4" hidden="1" outlineLevel="2" x14ac:dyDescent="0.3">
      <c r="A1637" t="s">
        <v>2490</v>
      </c>
      <c r="B1637" t="s">
        <v>266</v>
      </c>
      <c r="C1637" t="s">
        <v>10</v>
      </c>
      <c r="D1637" t="s">
        <v>2491</v>
      </c>
    </row>
    <row r="1638" spans="1:4" hidden="1" outlineLevel="2" x14ac:dyDescent="0.3">
      <c r="A1638" t="s">
        <v>2492</v>
      </c>
      <c r="B1638" t="s">
        <v>266</v>
      </c>
      <c r="C1638" t="s">
        <v>10</v>
      </c>
      <c r="D1638" t="s">
        <v>2493</v>
      </c>
    </row>
    <row r="1639" spans="1:4" hidden="1" outlineLevel="2" x14ac:dyDescent="0.3">
      <c r="A1639" t="s">
        <v>2494</v>
      </c>
      <c r="B1639" t="s">
        <v>266</v>
      </c>
      <c r="C1639" t="s">
        <v>10</v>
      </c>
      <c r="D1639" t="s">
        <v>2495</v>
      </c>
    </row>
    <row r="1640" spans="1:4" hidden="1" outlineLevel="2" x14ac:dyDescent="0.3">
      <c r="A1640" t="s">
        <v>2496</v>
      </c>
      <c r="B1640" t="s">
        <v>266</v>
      </c>
      <c r="C1640" t="s">
        <v>10</v>
      </c>
      <c r="D1640" t="s">
        <v>2497</v>
      </c>
    </row>
    <row r="1641" spans="1:4" hidden="1" outlineLevel="2" x14ac:dyDescent="0.3">
      <c r="A1641" t="s">
        <v>2498</v>
      </c>
      <c r="B1641" t="s">
        <v>266</v>
      </c>
      <c r="C1641" t="s">
        <v>10</v>
      </c>
      <c r="D1641" t="s">
        <v>2499</v>
      </c>
    </row>
    <row r="1642" spans="1:4" hidden="1" outlineLevel="2" x14ac:dyDescent="0.3">
      <c r="A1642" t="s">
        <v>2500</v>
      </c>
      <c r="B1642" t="s">
        <v>266</v>
      </c>
      <c r="C1642" t="s">
        <v>10</v>
      </c>
      <c r="D1642" t="s">
        <v>2501</v>
      </c>
    </row>
    <row r="1643" spans="1:4" hidden="1" outlineLevel="2" x14ac:dyDescent="0.3">
      <c r="A1643" t="s">
        <v>2502</v>
      </c>
      <c r="B1643" t="s">
        <v>266</v>
      </c>
      <c r="C1643" t="s">
        <v>8</v>
      </c>
      <c r="D1643" t="s">
        <v>2503</v>
      </c>
    </row>
    <row r="1644" spans="1:4" hidden="1" outlineLevel="2" x14ac:dyDescent="0.3">
      <c r="A1644" t="s">
        <v>2504</v>
      </c>
      <c r="B1644" t="s">
        <v>266</v>
      </c>
      <c r="C1644" t="s">
        <v>8</v>
      </c>
      <c r="D1644" t="s">
        <v>2503</v>
      </c>
    </row>
    <row r="1645" spans="1:4" hidden="1" outlineLevel="2" x14ac:dyDescent="0.3">
      <c r="A1645" t="s">
        <v>2505</v>
      </c>
      <c r="B1645" t="s">
        <v>266</v>
      </c>
      <c r="C1645" t="s">
        <v>8</v>
      </c>
      <c r="D1645" t="s">
        <v>2503</v>
      </c>
    </row>
    <row r="1646" spans="1:4" hidden="1" outlineLevel="2" x14ac:dyDescent="0.3">
      <c r="A1646" t="s">
        <v>2506</v>
      </c>
      <c r="B1646" t="s">
        <v>266</v>
      </c>
      <c r="C1646" t="s">
        <v>8</v>
      </c>
      <c r="D1646" t="s">
        <v>2503</v>
      </c>
    </row>
    <row r="1647" spans="1:4" hidden="1" outlineLevel="2" x14ac:dyDescent="0.3">
      <c r="A1647" t="s">
        <v>2507</v>
      </c>
      <c r="B1647" t="s">
        <v>3891</v>
      </c>
      <c r="C1647" t="s">
        <v>8</v>
      </c>
      <c r="D1647" t="s">
        <v>2508</v>
      </c>
    </row>
    <row r="1648" spans="1:4" hidden="1" outlineLevel="2" x14ac:dyDescent="0.3">
      <c r="A1648" t="s">
        <v>2509</v>
      </c>
      <c r="B1648" t="s">
        <v>266</v>
      </c>
      <c r="C1648" t="s">
        <v>8</v>
      </c>
      <c r="D1648" t="s">
        <v>2510</v>
      </c>
    </row>
    <row r="1649" spans="1:4" hidden="1" outlineLevel="2" x14ac:dyDescent="0.3">
      <c r="A1649" t="s">
        <v>2511</v>
      </c>
      <c r="B1649" t="s">
        <v>3891</v>
      </c>
      <c r="C1649" t="s">
        <v>8</v>
      </c>
      <c r="D1649" t="s">
        <v>2512</v>
      </c>
    </row>
    <row r="1650" spans="1:4" hidden="1" outlineLevel="2" x14ac:dyDescent="0.3">
      <c r="A1650" t="s">
        <v>2513</v>
      </c>
      <c r="B1650" t="s">
        <v>3891</v>
      </c>
      <c r="C1650" t="s">
        <v>8</v>
      </c>
      <c r="D1650" t="s">
        <v>2514</v>
      </c>
    </row>
    <row r="1651" spans="1:4" hidden="1" outlineLevel="2" x14ac:dyDescent="0.3">
      <c r="A1651" t="s">
        <v>2515</v>
      </c>
      <c r="B1651" t="s">
        <v>266</v>
      </c>
      <c r="C1651" t="s">
        <v>8</v>
      </c>
      <c r="D1651" t="s">
        <v>2516</v>
      </c>
    </row>
    <row r="1652" spans="1:4" hidden="1" outlineLevel="2" x14ac:dyDescent="0.3">
      <c r="A1652" t="s">
        <v>2517</v>
      </c>
      <c r="B1652" t="s">
        <v>266</v>
      </c>
      <c r="C1652" t="s">
        <v>8</v>
      </c>
      <c r="D1652" t="s">
        <v>2516</v>
      </c>
    </row>
    <row r="1653" spans="1:4" hidden="1" outlineLevel="2" x14ac:dyDescent="0.3">
      <c r="A1653" t="s">
        <v>2518</v>
      </c>
      <c r="B1653" t="s">
        <v>266</v>
      </c>
      <c r="C1653" t="s">
        <v>8</v>
      </c>
      <c r="D1653" t="s">
        <v>2516</v>
      </c>
    </row>
    <row r="1654" spans="1:4" hidden="1" outlineLevel="2" x14ac:dyDescent="0.3">
      <c r="A1654" t="s">
        <v>2519</v>
      </c>
      <c r="B1654" t="s">
        <v>266</v>
      </c>
      <c r="C1654" t="s">
        <v>8</v>
      </c>
      <c r="D1654" t="s">
        <v>2516</v>
      </c>
    </row>
    <row r="1655" spans="1:4" hidden="1" outlineLevel="2" x14ac:dyDescent="0.3">
      <c r="A1655" t="s">
        <v>2520</v>
      </c>
      <c r="B1655" t="s">
        <v>266</v>
      </c>
      <c r="C1655" t="s">
        <v>10</v>
      </c>
      <c r="D1655" t="s">
        <v>2521</v>
      </c>
    </row>
    <row r="1656" spans="1:4" hidden="1" outlineLevel="2" x14ac:dyDescent="0.3">
      <c r="A1656" t="s">
        <v>2522</v>
      </c>
      <c r="B1656" t="s">
        <v>266</v>
      </c>
      <c r="C1656" t="s">
        <v>10</v>
      </c>
      <c r="D1656" t="s">
        <v>2523</v>
      </c>
    </row>
    <row r="1657" spans="1:4" hidden="1" outlineLevel="2" x14ac:dyDescent="0.3">
      <c r="A1657" t="s">
        <v>2524</v>
      </c>
      <c r="B1657" t="s">
        <v>266</v>
      </c>
      <c r="C1657" t="s">
        <v>10</v>
      </c>
      <c r="D1657" t="s">
        <v>2525</v>
      </c>
    </row>
    <row r="1658" spans="1:4" hidden="1" outlineLevel="2" x14ac:dyDescent="0.3">
      <c r="A1658" t="s">
        <v>2526</v>
      </c>
      <c r="B1658" t="s">
        <v>266</v>
      </c>
      <c r="C1658" t="s">
        <v>10</v>
      </c>
      <c r="D1658" t="s">
        <v>2527</v>
      </c>
    </row>
    <row r="1659" spans="1:4" hidden="1" outlineLevel="2" x14ac:dyDescent="0.3">
      <c r="A1659" t="s">
        <v>2528</v>
      </c>
      <c r="B1659" t="s">
        <v>266</v>
      </c>
      <c r="C1659" t="s">
        <v>10</v>
      </c>
      <c r="D1659" t="s">
        <v>2529</v>
      </c>
    </row>
    <row r="1660" spans="1:4" hidden="1" outlineLevel="2" x14ac:dyDescent="0.3">
      <c r="A1660" t="s">
        <v>2530</v>
      </c>
      <c r="B1660" t="s">
        <v>266</v>
      </c>
      <c r="C1660" t="s">
        <v>10</v>
      </c>
      <c r="D1660" t="s">
        <v>2531</v>
      </c>
    </row>
    <row r="1661" spans="1:4" hidden="1" outlineLevel="2" x14ac:dyDescent="0.3">
      <c r="A1661" t="s">
        <v>2532</v>
      </c>
      <c r="B1661" t="s">
        <v>266</v>
      </c>
      <c r="C1661" t="s">
        <v>10</v>
      </c>
      <c r="D1661" t="s">
        <v>2533</v>
      </c>
    </row>
    <row r="1662" spans="1:4" hidden="1" outlineLevel="2" x14ac:dyDescent="0.3">
      <c r="A1662" t="s">
        <v>2534</v>
      </c>
      <c r="B1662" t="s">
        <v>266</v>
      </c>
      <c r="C1662" t="s">
        <v>10</v>
      </c>
      <c r="D1662" t="s">
        <v>2535</v>
      </c>
    </row>
    <row r="1663" spans="1:4" hidden="1" outlineLevel="2" x14ac:dyDescent="0.3">
      <c r="A1663" t="s">
        <v>2536</v>
      </c>
      <c r="B1663" t="s">
        <v>266</v>
      </c>
      <c r="C1663" t="s">
        <v>10</v>
      </c>
      <c r="D1663" t="s">
        <v>2537</v>
      </c>
    </row>
    <row r="1664" spans="1:4" hidden="1" outlineLevel="2" x14ac:dyDescent="0.3">
      <c r="A1664" t="s">
        <v>2538</v>
      </c>
      <c r="B1664" t="s">
        <v>3825</v>
      </c>
      <c r="C1664" t="s">
        <v>8</v>
      </c>
      <c r="D1664" t="s">
        <v>2539</v>
      </c>
    </row>
    <row r="1665" spans="1:4" hidden="1" outlineLevel="2" x14ac:dyDescent="0.3">
      <c r="A1665" t="s">
        <v>2540</v>
      </c>
      <c r="B1665" t="s">
        <v>266</v>
      </c>
      <c r="C1665" t="s">
        <v>10</v>
      </c>
      <c r="D1665" t="s">
        <v>2541</v>
      </c>
    </row>
    <row r="1666" spans="1:4" hidden="1" outlineLevel="2" x14ac:dyDescent="0.3">
      <c r="A1666" t="s">
        <v>2542</v>
      </c>
      <c r="B1666" t="s">
        <v>266</v>
      </c>
      <c r="C1666" t="s">
        <v>10</v>
      </c>
      <c r="D1666" t="s">
        <v>2543</v>
      </c>
    </row>
    <row r="1667" spans="1:4" hidden="1" outlineLevel="2" x14ac:dyDescent="0.3">
      <c r="A1667" t="s">
        <v>2544</v>
      </c>
      <c r="B1667" t="s">
        <v>3825</v>
      </c>
      <c r="C1667" t="s">
        <v>10</v>
      </c>
      <c r="D1667" t="s">
        <v>2545</v>
      </c>
    </row>
    <row r="1668" spans="1:4" hidden="1" outlineLevel="2" x14ac:dyDescent="0.3">
      <c r="A1668" t="s">
        <v>2546</v>
      </c>
      <c r="B1668" t="s">
        <v>266</v>
      </c>
      <c r="C1668" t="s">
        <v>10</v>
      </c>
      <c r="D1668" t="s">
        <v>2547</v>
      </c>
    </row>
    <row r="1669" spans="1:4" hidden="1" outlineLevel="2" x14ac:dyDescent="0.3">
      <c r="A1669" t="s">
        <v>2548</v>
      </c>
      <c r="B1669" t="s">
        <v>266</v>
      </c>
      <c r="C1669" t="s">
        <v>10</v>
      </c>
      <c r="D1669" t="s">
        <v>2549</v>
      </c>
    </row>
    <row r="1670" spans="1:4" hidden="1" outlineLevel="2" x14ac:dyDescent="0.3">
      <c r="A1670" t="s">
        <v>2550</v>
      </c>
      <c r="B1670" t="s">
        <v>266</v>
      </c>
      <c r="C1670" t="s">
        <v>10</v>
      </c>
      <c r="D1670" t="s">
        <v>2551</v>
      </c>
    </row>
    <row r="1671" spans="1:4" hidden="1" outlineLevel="2" x14ac:dyDescent="0.3">
      <c r="A1671" t="s">
        <v>2552</v>
      </c>
      <c r="B1671" t="s">
        <v>266</v>
      </c>
      <c r="C1671" t="s">
        <v>10</v>
      </c>
      <c r="D1671" t="s">
        <v>2553</v>
      </c>
    </row>
    <row r="1672" spans="1:4" hidden="1" outlineLevel="2" x14ac:dyDescent="0.3">
      <c r="A1672" t="s">
        <v>2554</v>
      </c>
      <c r="B1672" t="s">
        <v>266</v>
      </c>
      <c r="C1672" t="s">
        <v>10</v>
      </c>
      <c r="D1672" t="s">
        <v>2553</v>
      </c>
    </row>
    <row r="1673" spans="1:4" hidden="1" outlineLevel="2" x14ac:dyDescent="0.3">
      <c r="A1673" t="s">
        <v>2555</v>
      </c>
      <c r="B1673" t="s">
        <v>266</v>
      </c>
      <c r="C1673" t="s">
        <v>10</v>
      </c>
      <c r="D1673" t="s">
        <v>2556</v>
      </c>
    </row>
    <row r="1674" spans="1:4" hidden="1" outlineLevel="2" x14ac:dyDescent="0.3">
      <c r="A1674" t="s">
        <v>2557</v>
      </c>
      <c r="B1674" t="s">
        <v>3825</v>
      </c>
      <c r="C1674" t="s">
        <v>8</v>
      </c>
      <c r="D1674" t="s">
        <v>2558</v>
      </c>
    </row>
    <row r="1675" spans="1:4" hidden="1" outlineLevel="2" x14ac:dyDescent="0.3">
      <c r="A1675" t="s">
        <v>2559</v>
      </c>
      <c r="B1675" t="s">
        <v>266</v>
      </c>
      <c r="C1675" t="s">
        <v>10</v>
      </c>
      <c r="D1675" t="s">
        <v>2560</v>
      </c>
    </row>
    <row r="1676" spans="1:4" hidden="1" outlineLevel="2" x14ac:dyDescent="0.3">
      <c r="A1676" t="s">
        <v>2561</v>
      </c>
      <c r="B1676" t="s">
        <v>266</v>
      </c>
      <c r="C1676" t="s">
        <v>10</v>
      </c>
      <c r="D1676" t="s">
        <v>2562</v>
      </c>
    </row>
    <row r="1677" spans="1:4" hidden="1" outlineLevel="2" x14ac:dyDescent="0.3">
      <c r="A1677" t="s">
        <v>2563</v>
      </c>
      <c r="B1677" t="s">
        <v>3825</v>
      </c>
      <c r="C1677" t="s">
        <v>10</v>
      </c>
      <c r="D1677" t="s">
        <v>2564</v>
      </c>
    </row>
    <row r="1678" spans="1:4" hidden="1" outlineLevel="2" x14ac:dyDescent="0.3">
      <c r="A1678" t="s">
        <v>2565</v>
      </c>
      <c r="B1678" t="s">
        <v>3880</v>
      </c>
      <c r="C1678" t="s">
        <v>10</v>
      </c>
      <c r="D1678" t="s">
        <v>2566</v>
      </c>
    </row>
    <row r="1679" spans="1:4" hidden="1" outlineLevel="2" x14ac:dyDescent="0.3">
      <c r="A1679" t="s">
        <v>2567</v>
      </c>
      <c r="B1679" t="s">
        <v>3891</v>
      </c>
      <c r="C1679" t="s">
        <v>8</v>
      </c>
      <c r="D1679" t="s">
        <v>2568</v>
      </c>
    </row>
    <row r="1680" spans="1:4" hidden="1" outlineLevel="2" x14ac:dyDescent="0.3">
      <c r="A1680" t="s">
        <v>2569</v>
      </c>
      <c r="B1680" t="s">
        <v>266</v>
      </c>
      <c r="C1680" t="s">
        <v>8</v>
      </c>
      <c r="D1680" t="s">
        <v>2570</v>
      </c>
    </row>
    <row r="1681" spans="1:4" hidden="1" outlineLevel="2" x14ac:dyDescent="0.3">
      <c r="A1681" t="s">
        <v>2571</v>
      </c>
      <c r="B1681" t="s">
        <v>3891</v>
      </c>
      <c r="C1681" t="s">
        <v>10</v>
      </c>
      <c r="D1681" t="s">
        <v>2572</v>
      </c>
    </row>
    <row r="1682" spans="1:4" hidden="1" outlineLevel="2" x14ac:dyDescent="0.3">
      <c r="A1682" t="s">
        <v>2573</v>
      </c>
      <c r="B1682" t="s">
        <v>3891</v>
      </c>
      <c r="C1682" t="s">
        <v>8</v>
      </c>
      <c r="D1682" t="s">
        <v>2574</v>
      </c>
    </row>
    <row r="1683" spans="1:4" hidden="1" outlineLevel="2" x14ac:dyDescent="0.3">
      <c r="A1683" t="s">
        <v>2575</v>
      </c>
      <c r="B1683" t="s">
        <v>3891</v>
      </c>
      <c r="C1683" t="s">
        <v>8</v>
      </c>
      <c r="D1683" t="s">
        <v>2576</v>
      </c>
    </row>
    <row r="1684" spans="1:4" hidden="1" outlineLevel="2" x14ac:dyDescent="0.3">
      <c r="A1684" t="s">
        <v>2577</v>
      </c>
      <c r="B1684" t="s">
        <v>3891</v>
      </c>
      <c r="C1684" t="s">
        <v>8</v>
      </c>
      <c r="D1684" t="s">
        <v>2578</v>
      </c>
    </row>
    <row r="1685" spans="1:4" hidden="1" outlineLevel="2" x14ac:dyDescent="0.3">
      <c r="A1685" t="s">
        <v>2579</v>
      </c>
      <c r="B1685" t="s">
        <v>3891</v>
      </c>
      <c r="C1685" t="s">
        <v>8</v>
      </c>
      <c r="D1685" t="s">
        <v>2580</v>
      </c>
    </row>
    <row r="1686" spans="1:4" hidden="1" outlineLevel="2" x14ac:dyDescent="0.3">
      <c r="A1686" t="s">
        <v>2581</v>
      </c>
      <c r="B1686" t="s">
        <v>266</v>
      </c>
      <c r="C1686" t="s">
        <v>8</v>
      </c>
      <c r="D1686" t="s">
        <v>2582</v>
      </c>
    </row>
    <row r="1687" spans="1:4" hidden="1" outlineLevel="2" x14ac:dyDescent="0.3">
      <c r="A1687" t="s">
        <v>2583</v>
      </c>
      <c r="B1687" t="s">
        <v>3891</v>
      </c>
      <c r="C1687" t="s">
        <v>8</v>
      </c>
      <c r="D1687" t="s">
        <v>2584</v>
      </c>
    </row>
    <row r="1688" spans="1:4" hidden="1" outlineLevel="2" x14ac:dyDescent="0.3">
      <c r="A1688" t="s">
        <v>2585</v>
      </c>
      <c r="B1688" t="s">
        <v>3891</v>
      </c>
      <c r="C1688" t="s">
        <v>8</v>
      </c>
      <c r="D1688" t="s">
        <v>2586</v>
      </c>
    </row>
    <row r="1689" spans="1:4" hidden="1" outlineLevel="2" x14ac:dyDescent="0.3">
      <c r="A1689" t="s">
        <v>2587</v>
      </c>
      <c r="B1689" t="s">
        <v>3891</v>
      </c>
      <c r="C1689" t="s">
        <v>8</v>
      </c>
      <c r="D1689" t="s">
        <v>2588</v>
      </c>
    </row>
    <row r="1690" spans="1:4" hidden="1" outlineLevel="2" x14ac:dyDescent="0.3">
      <c r="A1690" t="s">
        <v>2589</v>
      </c>
      <c r="B1690" t="s">
        <v>3891</v>
      </c>
      <c r="C1690" t="s">
        <v>8</v>
      </c>
      <c r="D1690" t="s">
        <v>2590</v>
      </c>
    </row>
    <row r="1691" spans="1:4" hidden="1" outlineLevel="2" x14ac:dyDescent="0.3">
      <c r="A1691" t="s">
        <v>2591</v>
      </c>
      <c r="B1691" t="s">
        <v>3891</v>
      </c>
      <c r="C1691" t="s">
        <v>8</v>
      </c>
      <c r="D1691" t="s">
        <v>2592</v>
      </c>
    </row>
    <row r="1692" spans="1:4" hidden="1" outlineLevel="2" x14ac:dyDescent="0.3">
      <c r="A1692" t="s">
        <v>2593</v>
      </c>
      <c r="B1692" t="s">
        <v>3891</v>
      </c>
      <c r="C1692" t="s">
        <v>8</v>
      </c>
      <c r="D1692" t="s">
        <v>2594</v>
      </c>
    </row>
    <row r="1693" spans="1:4" hidden="1" outlineLevel="2" x14ac:dyDescent="0.3">
      <c r="A1693" t="s">
        <v>2595</v>
      </c>
      <c r="B1693" t="s">
        <v>3891</v>
      </c>
      <c r="C1693" t="s">
        <v>8</v>
      </c>
      <c r="D1693" t="s">
        <v>2596</v>
      </c>
    </row>
    <row r="1694" spans="1:4" hidden="1" outlineLevel="2" x14ac:dyDescent="0.3">
      <c r="A1694" t="s">
        <v>2597</v>
      </c>
      <c r="B1694" t="s">
        <v>266</v>
      </c>
      <c r="C1694" t="s">
        <v>10</v>
      </c>
      <c r="D1694" t="s">
        <v>2598</v>
      </c>
    </row>
    <row r="1695" spans="1:4" hidden="1" outlineLevel="2" x14ac:dyDescent="0.3">
      <c r="A1695" t="s">
        <v>2599</v>
      </c>
      <c r="B1695" t="s">
        <v>266</v>
      </c>
      <c r="C1695" t="s">
        <v>10</v>
      </c>
      <c r="D1695" t="s">
        <v>2600</v>
      </c>
    </row>
    <row r="1696" spans="1:4" hidden="1" outlineLevel="2" x14ac:dyDescent="0.3">
      <c r="A1696" t="s">
        <v>2601</v>
      </c>
      <c r="B1696" t="s">
        <v>266</v>
      </c>
      <c r="C1696" t="s">
        <v>10</v>
      </c>
      <c r="D1696" t="s">
        <v>2602</v>
      </c>
    </row>
    <row r="1697" spans="1:4" hidden="1" outlineLevel="2" x14ac:dyDescent="0.3">
      <c r="A1697" t="s">
        <v>2603</v>
      </c>
      <c r="B1697" t="s">
        <v>266</v>
      </c>
      <c r="C1697" t="s">
        <v>10</v>
      </c>
      <c r="D1697" t="s">
        <v>2604</v>
      </c>
    </row>
    <row r="1698" spans="1:4" hidden="1" outlineLevel="2" x14ac:dyDescent="0.3">
      <c r="A1698" t="s">
        <v>2605</v>
      </c>
      <c r="B1698" t="s">
        <v>266</v>
      </c>
      <c r="C1698" t="s">
        <v>10</v>
      </c>
      <c r="D1698" t="s">
        <v>2606</v>
      </c>
    </row>
    <row r="1699" spans="1:4" hidden="1" outlineLevel="2" x14ac:dyDescent="0.3">
      <c r="A1699" t="s">
        <v>2607</v>
      </c>
      <c r="B1699" t="s">
        <v>266</v>
      </c>
      <c r="C1699" t="s">
        <v>10</v>
      </c>
      <c r="D1699" t="s">
        <v>2608</v>
      </c>
    </row>
    <row r="1700" spans="1:4" hidden="1" outlineLevel="2" x14ac:dyDescent="0.3">
      <c r="A1700" t="s">
        <v>2609</v>
      </c>
      <c r="B1700" t="s">
        <v>266</v>
      </c>
      <c r="C1700" t="s">
        <v>10</v>
      </c>
      <c r="D1700" t="s">
        <v>2610</v>
      </c>
    </row>
    <row r="1701" spans="1:4" hidden="1" outlineLevel="2" x14ac:dyDescent="0.3">
      <c r="A1701" t="s">
        <v>2611</v>
      </c>
      <c r="B1701" t="s">
        <v>266</v>
      </c>
      <c r="C1701" t="s">
        <v>10</v>
      </c>
      <c r="D1701" t="s">
        <v>2612</v>
      </c>
    </row>
    <row r="1702" spans="1:4" hidden="1" outlineLevel="2" x14ac:dyDescent="0.3">
      <c r="A1702" t="s">
        <v>2613</v>
      </c>
      <c r="B1702" t="s">
        <v>266</v>
      </c>
      <c r="C1702" t="s">
        <v>10</v>
      </c>
      <c r="D1702" t="s">
        <v>2614</v>
      </c>
    </row>
    <row r="1703" spans="1:4" hidden="1" outlineLevel="2" x14ac:dyDescent="0.3">
      <c r="A1703" t="s">
        <v>2615</v>
      </c>
      <c r="B1703" t="s">
        <v>266</v>
      </c>
      <c r="C1703" t="s">
        <v>10</v>
      </c>
      <c r="D1703" t="s">
        <v>2616</v>
      </c>
    </row>
    <row r="1704" spans="1:4" hidden="1" outlineLevel="2" x14ac:dyDescent="0.3">
      <c r="A1704" t="s">
        <v>2617</v>
      </c>
      <c r="B1704" t="s">
        <v>266</v>
      </c>
      <c r="C1704" t="s">
        <v>10</v>
      </c>
      <c r="D1704" t="s">
        <v>2618</v>
      </c>
    </row>
    <row r="1705" spans="1:4" hidden="1" outlineLevel="2" x14ac:dyDescent="0.3">
      <c r="A1705" t="s">
        <v>2619</v>
      </c>
      <c r="B1705" t="s">
        <v>266</v>
      </c>
      <c r="C1705" t="s">
        <v>10</v>
      </c>
      <c r="D1705" t="s">
        <v>2620</v>
      </c>
    </row>
    <row r="1706" spans="1:4" hidden="1" outlineLevel="2" x14ac:dyDescent="0.3">
      <c r="A1706" t="s">
        <v>2621</v>
      </c>
      <c r="B1706" t="s">
        <v>266</v>
      </c>
      <c r="C1706" t="s">
        <v>10</v>
      </c>
      <c r="D1706" t="s">
        <v>2622</v>
      </c>
    </row>
    <row r="1707" spans="1:4" hidden="1" outlineLevel="2" x14ac:dyDescent="0.3">
      <c r="A1707" t="s">
        <v>2623</v>
      </c>
      <c r="B1707" t="s">
        <v>266</v>
      </c>
      <c r="C1707" t="s">
        <v>10</v>
      </c>
      <c r="D1707" t="s">
        <v>2624</v>
      </c>
    </row>
    <row r="1708" spans="1:4" hidden="1" outlineLevel="2" x14ac:dyDescent="0.3">
      <c r="A1708" t="s">
        <v>2625</v>
      </c>
      <c r="B1708" t="s">
        <v>266</v>
      </c>
      <c r="C1708" t="s">
        <v>10</v>
      </c>
      <c r="D1708" t="s">
        <v>2626</v>
      </c>
    </row>
    <row r="1709" spans="1:4" hidden="1" outlineLevel="2" x14ac:dyDescent="0.3">
      <c r="A1709" t="s">
        <v>2627</v>
      </c>
      <c r="B1709" t="s">
        <v>266</v>
      </c>
      <c r="C1709" t="s">
        <v>10</v>
      </c>
      <c r="D1709" t="s">
        <v>2628</v>
      </c>
    </row>
    <row r="1710" spans="1:4" hidden="1" outlineLevel="2" x14ac:dyDescent="0.3">
      <c r="A1710" t="s">
        <v>2629</v>
      </c>
      <c r="B1710" t="s">
        <v>266</v>
      </c>
      <c r="C1710" t="s">
        <v>10</v>
      </c>
      <c r="D1710" t="s">
        <v>2630</v>
      </c>
    </row>
    <row r="1711" spans="1:4" hidden="1" outlineLevel="2" x14ac:dyDescent="0.3">
      <c r="A1711" t="s">
        <v>2631</v>
      </c>
      <c r="B1711" t="s">
        <v>266</v>
      </c>
      <c r="C1711" t="s">
        <v>10</v>
      </c>
      <c r="D1711" t="s">
        <v>2632</v>
      </c>
    </row>
    <row r="1712" spans="1:4" hidden="1" outlineLevel="2" x14ac:dyDescent="0.3">
      <c r="A1712" t="s">
        <v>2633</v>
      </c>
      <c r="B1712" t="s">
        <v>3825</v>
      </c>
      <c r="C1712" t="s">
        <v>10</v>
      </c>
      <c r="D1712" t="s">
        <v>2634</v>
      </c>
    </row>
    <row r="1713" spans="1:4" hidden="1" outlineLevel="2" x14ac:dyDescent="0.3">
      <c r="A1713" t="s">
        <v>2635</v>
      </c>
      <c r="B1713" t="s">
        <v>266</v>
      </c>
      <c r="C1713" t="s">
        <v>10</v>
      </c>
      <c r="D1713" t="s">
        <v>2636</v>
      </c>
    </row>
    <row r="1714" spans="1:4" hidden="1" outlineLevel="2" x14ac:dyDescent="0.3">
      <c r="A1714" t="s">
        <v>2637</v>
      </c>
      <c r="B1714" t="s">
        <v>266</v>
      </c>
      <c r="C1714" t="s">
        <v>10</v>
      </c>
      <c r="D1714" t="s">
        <v>2638</v>
      </c>
    </row>
    <row r="1715" spans="1:4" hidden="1" outlineLevel="2" x14ac:dyDescent="0.3">
      <c r="A1715" t="s">
        <v>2639</v>
      </c>
      <c r="B1715" t="s">
        <v>266</v>
      </c>
      <c r="C1715" t="s">
        <v>10</v>
      </c>
      <c r="D1715" t="s">
        <v>2640</v>
      </c>
    </row>
    <row r="1716" spans="1:4" hidden="1" outlineLevel="2" x14ac:dyDescent="0.3">
      <c r="A1716" t="s">
        <v>2641</v>
      </c>
      <c r="B1716" t="s">
        <v>266</v>
      </c>
      <c r="C1716" t="s">
        <v>10</v>
      </c>
      <c r="D1716" t="s">
        <v>2642</v>
      </c>
    </row>
    <row r="1717" spans="1:4" hidden="1" outlineLevel="2" x14ac:dyDescent="0.3">
      <c r="A1717" t="s">
        <v>2643</v>
      </c>
      <c r="B1717" t="s">
        <v>266</v>
      </c>
      <c r="C1717" t="s">
        <v>8</v>
      </c>
      <c r="D1717" t="s">
        <v>2644</v>
      </c>
    </row>
    <row r="1718" spans="1:4" hidden="1" outlineLevel="2" x14ac:dyDescent="0.3">
      <c r="A1718" t="s">
        <v>2645</v>
      </c>
      <c r="B1718" t="s">
        <v>266</v>
      </c>
      <c r="C1718" t="s">
        <v>10</v>
      </c>
      <c r="D1718" t="s">
        <v>2646</v>
      </c>
    </row>
    <row r="1719" spans="1:4" hidden="1" outlineLevel="2" x14ac:dyDescent="0.3">
      <c r="A1719" t="s">
        <v>2647</v>
      </c>
      <c r="B1719" t="s">
        <v>266</v>
      </c>
      <c r="C1719" t="s">
        <v>10</v>
      </c>
      <c r="D1719" t="s">
        <v>2648</v>
      </c>
    </row>
    <row r="1720" spans="1:4" hidden="1" outlineLevel="2" x14ac:dyDescent="0.3">
      <c r="A1720" t="s">
        <v>2649</v>
      </c>
      <c r="B1720" t="s">
        <v>266</v>
      </c>
      <c r="C1720" t="s">
        <v>10</v>
      </c>
      <c r="D1720" t="s">
        <v>2650</v>
      </c>
    </row>
    <row r="1721" spans="1:4" hidden="1" outlineLevel="2" x14ac:dyDescent="0.3">
      <c r="A1721" t="s">
        <v>2651</v>
      </c>
      <c r="B1721" t="s">
        <v>266</v>
      </c>
      <c r="C1721" t="s">
        <v>10</v>
      </c>
      <c r="D1721" t="s">
        <v>2652</v>
      </c>
    </row>
    <row r="1722" spans="1:4" hidden="1" outlineLevel="2" x14ac:dyDescent="0.3">
      <c r="A1722" t="s">
        <v>2653</v>
      </c>
      <c r="B1722" t="s">
        <v>266</v>
      </c>
      <c r="C1722" t="s">
        <v>10</v>
      </c>
      <c r="D1722" t="s">
        <v>2654</v>
      </c>
    </row>
    <row r="1723" spans="1:4" hidden="1" outlineLevel="2" x14ac:dyDescent="0.3">
      <c r="A1723" t="s">
        <v>2655</v>
      </c>
      <c r="B1723" t="s">
        <v>266</v>
      </c>
      <c r="C1723" t="s">
        <v>10</v>
      </c>
      <c r="D1723" t="s">
        <v>2656</v>
      </c>
    </row>
    <row r="1724" spans="1:4" hidden="1" outlineLevel="2" x14ac:dyDescent="0.3">
      <c r="A1724" t="s">
        <v>2657</v>
      </c>
      <c r="B1724" t="s">
        <v>266</v>
      </c>
      <c r="C1724" t="s">
        <v>10</v>
      </c>
      <c r="D1724" t="s">
        <v>2658</v>
      </c>
    </row>
    <row r="1725" spans="1:4" hidden="1" outlineLevel="2" x14ac:dyDescent="0.3">
      <c r="A1725" t="s">
        <v>2659</v>
      </c>
      <c r="B1725" t="s">
        <v>266</v>
      </c>
      <c r="C1725" t="s">
        <v>10</v>
      </c>
      <c r="D1725" t="s">
        <v>2660</v>
      </c>
    </row>
    <row r="1726" spans="1:4" hidden="1" outlineLevel="2" x14ac:dyDescent="0.3">
      <c r="A1726" t="s">
        <v>2661</v>
      </c>
      <c r="B1726" t="s">
        <v>266</v>
      </c>
      <c r="C1726" t="s">
        <v>10</v>
      </c>
      <c r="D1726" t="s">
        <v>2662</v>
      </c>
    </row>
    <row r="1727" spans="1:4" hidden="1" outlineLevel="2" x14ac:dyDescent="0.3">
      <c r="A1727" t="s">
        <v>2663</v>
      </c>
      <c r="B1727" t="s">
        <v>266</v>
      </c>
      <c r="C1727" t="s">
        <v>10</v>
      </c>
      <c r="D1727" t="s">
        <v>2664</v>
      </c>
    </row>
    <row r="1728" spans="1:4" hidden="1" outlineLevel="2" x14ac:dyDescent="0.3">
      <c r="A1728" t="s">
        <v>2665</v>
      </c>
      <c r="B1728" t="s">
        <v>266</v>
      </c>
      <c r="C1728" t="s">
        <v>10</v>
      </c>
      <c r="D1728" t="s">
        <v>2666</v>
      </c>
    </row>
    <row r="1729" spans="1:4" hidden="1" outlineLevel="2" x14ac:dyDescent="0.3">
      <c r="A1729" t="s">
        <v>2667</v>
      </c>
      <c r="B1729" t="s">
        <v>266</v>
      </c>
      <c r="C1729" t="s">
        <v>10</v>
      </c>
      <c r="D1729" t="s">
        <v>2668</v>
      </c>
    </row>
    <row r="1730" spans="1:4" hidden="1" outlineLevel="2" x14ac:dyDescent="0.3">
      <c r="A1730" t="s">
        <v>2669</v>
      </c>
      <c r="B1730" t="s">
        <v>266</v>
      </c>
      <c r="C1730" t="s">
        <v>10</v>
      </c>
      <c r="D1730" t="s">
        <v>2670</v>
      </c>
    </row>
    <row r="1731" spans="1:4" hidden="1" outlineLevel="2" x14ac:dyDescent="0.3">
      <c r="A1731" t="s">
        <v>2671</v>
      </c>
      <c r="B1731" t="s">
        <v>266</v>
      </c>
      <c r="C1731" t="s">
        <v>10</v>
      </c>
      <c r="D1731" t="s">
        <v>2672</v>
      </c>
    </row>
    <row r="1732" spans="1:4" hidden="1" outlineLevel="2" x14ac:dyDescent="0.3">
      <c r="A1732" t="s">
        <v>2673</v>
      </c>
      <c r="B1732" t="s">
        <v>266</v>
      </c>
      <c r="C1732" t="s">
        <v>10</v>
      </c>
      <c r="D1732" t="s">
        <v>2674</v>
      </c>
    </row>
    <row r="1733" spans="1:4" hidden="1" outlineLevel="2" x14ac:dyDescent="0.3">
      <c r="A1733" t="s">
        <v>2675</v>
      </c>
      <c r="B1733" t="s">
        <v>266</v>
      </c>
      <c r="C1733" t="s">
        <v>10</v>
      </c>
      <c r="D1733" t="s">
        <v>2676</v>
      </c>
    </row>
    <row r="1734" spans="1:4" hidden="1" outlineLevel="2" x14ac:dyDescent="0.3">
      <c r="A1734" t="s">
        <v>2677</v>
      </c>
      <c r="B1734" t="s">
        <v>266</v>
      </c>
      <c r="C1734" t="s">
        <v>10</v>
      </c>
      <c r="D1734" t="s">
        <v>2678</v>
      </c>
    </row>
    <row r="1735" spans="1:4" hidden="1" outlineLevel="2" x14ac:dyDescent="0.3">
      <c r="A1735" t="s">
        <v>2679</v>
      </c>
      <c r="B1735" t="s">
        <v>266</v>
      </c>
      <c r="C1735" t="s">
        <v>10</v>
      </c>
      <c r="D1735" t="s">
        <v>2680</v>
      </c>
    </row>
    <row r="1736" spans="1:4" hidden="1" outlineLevel="2" x14ac:dyDescent="0.3">
      <c r="A1736" t="s">
        <v>2681</v>
      </c>
      <c r="B1736" t="s">
        <v>266</v>
      </c>
      <c r="C1736" t="s">
        <v>8</v>
      </c>
      <c r="D1736" t="s">
        <v>2682</v>
      </c>
    </row>
    <row r="1737" spans="1:4" hidden="1" outlineLevel="2" x14ac:dyDescent="0.3">
      <c r="A1737" t="s">
        <v>2683</v>
      </c>
      <c r="B1737" t="s">
        <v>266</v>
      </c>
      <c r="C1737" t="s">
        <v>10</v>
      </c>
      <c r="D1737" t="s">
        <v>2684</v>
      </c>
    </row>
    <row r="1738" spans="1:4" hidden="1" outlineLevel="2" x14ac:dyDescent="0.3">
      <c r="A1738" t="s">
        <v>2685</v>
      </c>
      <c r="B1738" t="s">
        <v>266</v>
      </c>
      <c r="C1738" t="s">
        <v>10</v>
      </c>
      <c r="D1738" t="s">
        <v>2686</v>
      </c>
    </row>
    <row r="1739" spans="1:4" hidden="1" outlineLevel="2" x14ac:dyDescent="0.3">
      <c r="A1739" t="s">
        <v>2687</v>
      </c>
      <c r="B1739" t="s">
        <v>266</v>
      </c>
      <c r="C1739" t="s">
        <v>10</v>
      </c>
      <c r="D1739" t="s">
        <v>2688</v>
      </c>
    </row>
    <row r="1740" spans="1:4" hidden="1" outlineLevel="2" x14ac:dyDescent="0.3">
      <c r="A1740" t="s">
        <v>2689</v>
      </c>
      <c r="B1740" t="s">
        <v>266</v>
      </c>
      <c r="C1740" t="s">
        <v>10</v>
      </c>
      <c r="D1740" t="s">
        <v>2690</v>
      </c>
    </row>
    <row r="1741" spans="1:4" hidden="1" outlineLevel="2" x14ac:dyDescent="0.3">
      <c r="A1741" t="s">
        <v>2691</v>
      </c>
      <c r="B1741" t="s">
        <v>266</v>
      </c>
      <c r="C1741" t="s">
        <v>10</v>
      </c>
      <c r="D1741" t="s">
        <v>2692</v>
      </c>
    </row>
    <row r="1742" spans="1:4" hidden="1" outlineLevel="2" x14ac:dyDescent="0.3">
      <c r="A1742" t="s">
        <v>2693</v>
      </c>
      <c r="B1742" t="s">
        <v>266</v>
      </c>
      <c r="C1742" t="s">
        <v>10</v>
      </c>
      <c r="D1742" t="s">
        <v>2694</v>
      </c>
    </row>
    <row r="1743" spans="1:4" hidden="1" outlineLevel="2" x14ac:dyDescent="0.3">
      <c r="A1743" t="s">
        <v>2695</v>
      </c>
      <c r="B1743" t="s">
        <v>266</v>
      </c>
      <c r="C1743" t="s">
        <v>10</v>
      </c>
      <c r="D1743" t="s">
        <v>2696</v>
      </c>
    </row>
    <row r="1744" spans="1:4" hidden="1" outlineLevel="2" x14ac:dyDescent="0.3">
      <c r="A1744" t="s">
        <v>2697</v>
      </c>
      <c r="B1744" t="s">
        <v>266</v>
      </c>
      <c r="C1744" t="s">
        <v>10</v>
      </c>
      <c r="D1744" t="s">
        <v>2698</v>
      </c>
    </row>
    <row r="1745" spans="1:4" hidden="1" outlineLevel="2" x14ac:dyDescent="0.3">
      <c r="A1745" t="s">
        <v>2699</v>
      </c>
      <c r="B1745" t="s">
        <v>266</v>
      </c>
      <c r="C1745" t="s">
        <v>10</v>
      </c>
      <c r="D1745" t="s">
        <v>2700</v>
      </c>
    </row>
    <row r="1746" spans="1:4" hidden="1" outlineLevel="2" x14ac:dyDescent="0.3">
      <c r="A1746" t="s">
        <v>2701</v>
      </c>
      <c r="B1746" t="s">
        <v>266</v>
      </c>
      <c r="C1746" t="s">
        <v>10</v>
      </c>
      <c r="D1746" t="s">
        <v>2702</v>
      </c>
    </row>
    <row r="1747" spans="1:4" hidden="1" outlineLevel="2" x14ac:dyDescent="0.3">
      <c r="A1747" t="s">
        <v>2703</v>
      </c>
      <c r="B1747" t="s">
        <v>266</v>
      </c>
      <c r="C1747" t="s">
        <v>10</v>
      </c>
      <c r="D1747" t="s">
        <v>2704</v>
      </c>
    </row>
    <row r="1748" spans="1:4" hidden="1" outlineLevel="2" x14ac:dyDescent="0.3">
      <c r="A1748" t="s">
        <v>2705</v>
      </c>
      <c r="B1748" t="s">
        <v>266</v>
      </c>
      <c r="C1748" t="s">
        <v>10</v>
      </c>
      <c r="D1748" t="s">
        <v>2706</v>
      </c>
    </row>
    <row r="1749" spans="1:4" hidden="1" outlineLevel="2" x14ac:dyDescent="0.3">
      <c r="A1749" t="s">
        <v>2707</v>
      </c>
      <c r="B1749" t="s">
        <v>266</v>
      </c>
      <c r="C1749" t="s">
        <v>10</v>
      </c>
      <c r="D1749" t="s">
        <v>2708</v>
      </c>
    </row>
    <row r="1750" spans="1:4" hidden="1" outlineLevel="2" x14ac:dyDescent="0.3">
      <c r="A1750" t="s">
        <v>2709</v>
      </c>
      <c r="B1750" t="s">
        <v>266</v>
      </c>
      <c r="C1750" t="s">
        <v>10</v>
      </c>
      <c r="D1750" t="s">
        <v>2710</v>
      </c>
    </row>
    <row r="1751" spans="1:4" hidden="1" outlineLevel="2" x14ac:dyDescent="0.3">
      <c r="A1751" t="s">
        <v>2711</v>
      </c>
      <c r="B1751" t="s">
        <v>266</v>
      </c>
      <c r="C1751" t="s">
        <v>10</v>
      </c>
      <c r="D1751" t="s">
        <v>2712</v>
      </c>
    </row>
    <row r="1752" spans="1:4" hidden="1" outlineLevel="2" x14ac:dyDescent="0.3">
      <c r="A1752" t="s">
        <v>2713</v>
      </c>
      <c r="B1752" t="s">
        <v>266</v>
      </c>
      <c r="C1752" t="s">
        <v>10</v>
      </c>
      <c r="D1752" t="s">
        <v>2714</v>
      </c>
    </row>
    <row r="1753" spans="1:4" hidden="1" outlineLevel="2" x14ac:dyDescent="0.3">
      <c r="A1753" t="s">
        <v>2715</v>
      </c>
      <c r="B1753" t="s">
        <v>266</v>
      </c>
      <c r="C1753" t="s">
        <v>10</v>
      </c>
      <c r="D1753" t="s">
        <v>2716</v>
      </c>
    </row>
    <row r="1754" spans="1:4" hidden="1" outlineLevel="2" x14ac:dyDescent="0.3">
      <c r="A1754" t="s">
        <v>2717</v>
      </c>
      <c r="B1754" t="s">
        <v>266</v>
      </c>
      <c r="C1754" t="s">
        <v>10</v>
      </c>
      <c r="D1754" t="s">
        <v>2718</v>
      </c>
    </row>
    <row r="1755" spans="1:4" hidden="1" outlineLevel="2" x14ac:dyDescent="0.3">
      <c r="A1755" t="s">
        <v>2719</v>
      </c>
      <c r="B1755" t="s">
        <v>266</v>
      </c>
      <c r="C1755" t="s">
        <v>10</v>
      </c>
      <c r="D1755" t="s">
        <v>2720</v>
      </c>
    </row>
    <row r="1756" spans="1:4" hidden="1" outlineLevel="2" x14ac:dyDescent="0.3">
      <c r="A1756" t="s">
        <v>2721</v>
      </c>
      <c r="B1756" t="s">
        <v>266</v>
      </c>
      <c r="C1756" t="s">
        <v>10</v>
      </c>
      <c r="D1756" t="s">
        <v>2722</v>
      </c>
    </row>
    <row r="1757" spans="1:4" hidden="1" outlineLevel="2" x14ac:dyDescent="0.3">
      <c r="A1757" t="s">
        <v>2723</v>
      </c>
      <c r="B1757" t="s">
        <v>266</v>
      </c>
      <c r="C1757" t="s">
        <v>10</v>
      </c>
      <c r="D1757" t="s">
        <v>2724</v>
      </c>
    </row>
    <row r="1758" spans="1:4" hidden="1" outlineLevel="2" x14ac:dyDescent="0.3">
      <c r="A1758" t="s">
        <v>2725</v>
      </c>
      <c r="B1758" t="s">
        <v>266</v>
      </c>
      <c r="C1758" t="s">
        <v>8</v>
      </c>
      <c r="D1758" t="s">
        <v>2726</v>
      </c>
    </row>
    <row r="1759" spans="1:4" hidden="1" outlineLevel="2" x14ac:dyDescent="0.3">
      <c r="A1759" t="s">
        <v>2727</v>
      </c>
      <c r="B1759" t="s">
        <v>266</v>
      </c>
      <c r="C1759" t="s">
        <v>8</v>
      </c>
      <c r="D1759" t="s">
        <v>2728</v>
      </c>
    </row>
    <row r="1760" spans="1:4" hidden="1" outlineLevel="2" x14ac:dyDescent="0.3">
      <c r="A1760" t="s">
        <v>2729</v>
      </c>
      <c r="B1760" t="s">
        <v>266</v>
      </c>
      <c r="C1760" t="s">
        <v>10</v>
      </c>
      <c r="D1760" t="s">
        <v>2730</v>
      </c>
    </row>
    <row r="1761" spans="1:4" hidden="1" outlineLevel="2" x14ac:dyDescent="0.3">
      <c r="A1761" t="s">
        <v>2731</v>
      </c>
      <c r="B1761" t="s">
        <v>266</v>
      </c>
      <c r="C1761" t="s">
        <v>8</v>
      </c>
      <c r="D1761" t="s">
        <v>2732</v>
      </c>
    </row>
    <row r="1762" spans="1:4" hidden="1" outlineLevel="2" x14ac:dyDescent="0.3">
      <c r="A1762" t="s">
        <v>2733</v>
      </c>
      <c r="B1762" t="s">
        <v>266</v>
      </c>
      <c r="C1762" t="s">
        <v>8</v>
      </c>
      <c r="D1762" t="s">
        <v>2734</v>
      </c>
    </row>
    <row r="1763" spans="1:4" hidden="1" outlineLevel="2" x14ac:dyDescent="0.3">
      <c r="A1763" t="s">
        <v>2735</v>
      </c>
      <c r="B1763" t="s">
        <v>266</v>
      </c>
      <c r="C1763" t="s">
        <v>10</v>
      </c>
      <c r="D1763" t="s">
        <v>2736</v>
      </c>
    </row>
    <row r="1764" spans="1:4" hidden="1" outlineLevel="2" x14ac:dyDescent="0.3">
      <c r="A1764" t="s">
        <v>2737</v>
      </c>
      <c r="B1764" t="s">
        <v>266</v>
      </c>
      <c r="C1764" t="s">
        <v>10</v>
      </c>
      <c r="D1764" t="s">
        <v>2738</v>
      </c>
    </row>
    <row r="1765" spans="1:4" hidden="1" outlineLevel="2" x14ac:dyDescent="0.3">
      <c r="A1765" t="s">
        <v>2739</v>
      </c>
      <c r="B1765" t="s">
        <v>266</v>
      </c>
      <c r="C1765" t="s">
        <v>10</v>
      </c>
      <c r="D1765" t="s">
        <v>2740</v>
      </c>
    </row>
    <row r="1766" spans="1:4" hidden="1" outlineLevel="2" x14ac:dyDescent="0.3">
      <c r="A1766" t="s">
        <v>2741</v>
      </c>
      <c r="B1766" t="s">
        <v>266</v>
      </c>
      <c r="C1766" t="s">
        <v>10</v>
      </c>
      <c r="D1766" t="s">
        <v>2742</v>
      </c>
    </row>
    <row r="1767" spans="1:4" hidden="1" outlineLevel="2" x14ac:dyDescent="0.3">
      <c r="A1767" t="s">
        <v>2743</v>
      </c>
      <c r="B1767" t="s">
        <v>266</v>
      </c>
      <c r="C1767" t="s">
        <v>10</v>
      </c>
      <c r="D1767" t="s">
        <v>2744</v>
      </c>
    </row>
    <row r="1768" spans="1:4" hidden="1" outlineLevel="2" x14ac:dyDescent="0.3">
      <c r="A1768" t="s">
        <v>2745</v>
      </c>
      <c r="B1768" t="s">
        <v>266</v>
      </c>
      <c r="C1768" t="s">
        <v>10</v>
      </c>
      <c r="D1768" t="s">
        <v>2746</v>
      </c>
    </row>
    <row r="1769" spans="1:4" hidden="1" outlineLevel="2" x14ac:dyDescent="0.3">
      <c r="A1769" t="s">
        <v>2747</v>
      </c>
      <c r="B1769" t="s">
        <v>266</v>
      </c>
      <c r="C1769" t="s">
        <v>10</v>
      </c>
      <c r="D1769" t="s">
        <v>2748</v>
      </c>
    </row>
    <row r="1770" spans="1:4" hidden="1" outlineLevel="2" x14ac:dyDescent="0.3">
      <c r="A1770" t="s">
        <v>2749</v>
      </c>
      <c r="B1770" t="s">
        <v>266</v>
      </c>
      <c r="C1770" t="s">
        <v>10</v>
      </c>
      <c r="D1770" t="s">
        <v>2750</v>
      </c>
    </row>
    <row r="1771" spans="1:4" hidden="1" outlineLevel="2" x14ac:dyDescent="0.3">
      <c r="A1771" t="s">
        <v>2751</v>
      </c>
      <c r="B1771" t="s">
        <v>266</v>
      </c>
      <c r="C1771" t="s">
        <v>10</v>
      </c>
      <c r="D1771" t="s">
        <v>2752</v>
      </c>
    </row>
    <row r="1772" spans="1:4" hidden="1" outlineLevel="2" x14ac:dyDescent="0.3">
      <c r="A1772" t="s">
        <v>2753</v>
      </c>
      <c r="B1772" t="s">
        <v>266</v>
      </c>
      <c r="C1772" t="s">
        <v>10</v>
      </c>
      <c r="D1772" t="s">
        <v>2754</v>
      </c>
    </row>
    <row r="1773" spans="1:4" hidden="1" outlineLevel="2" x14ac:dyDescent="0.3">
      <c r="A1773" t="s">
        <v>2755</v>
      </c>
      <c r="B1773" t="s">
        <v>266</v>
      </c>
      <c r="C1773" t="s">
        <v>10</v>
      </c>
      <c r="D1773" t="s">
        <v>2756</v>
      </c>
    </row>
    <row r="1774" spans="1:4" hidden="1" outlineLevel="2" x14ac:dyDescent="0.3">
      <c r="A1774" t="s">
        <v>2757</v>
      </c>
      <c r="B1774" t="s">
        <v>266</v>
      </c>
      <c r="C1774" t="s">
        <v>10</v>
      </c>
      <c r="D1774" t="s">
        <v>2758</v>
      </c>
    </row>
    <row r="1775" spans="1:4" hidden="1" outlineLevel="2" x14ac:dyDescent="0.3">
      <c r="A1775" t="s">
        <v>2759</v>
      </c>
      <c r="B1775" t="s">
        <v>266</v>
      </c>
      <c r="C1775" t="s">
        <v>10</v>
      </c>
      <c r="D1775" t="s">
        <v>2760</v>
      </c>
    </row>
    <row r="1776" spans="1:4" hidden="1" outlineLevel="2" x14ac:dyDescent="0.3">
      <c r="A1776" t="s">
        <v>2761</v>
      </c>
      <c r="B1776" t="s">
        <v>266</v>
      </c>
      <c r="C1776" t="s">
        <v>10</v>
      </c>
      <c r="D1776" t="s">
        <v>2762</v>
      </c>
    </row>
    <row r="1777" spans="1:4" hidden="1" outlineLevel="2" x14ac:dyDescent="0.3">
      <c r="A1777" t="s">
        <v>2763</v>
      </c>
      <c r="B1777" t="s">
        <v>266</v>
      </c>
      <c r="C1777" t="s">
        <v>10</v>
      </c>
      <c r="D1777" t="s">
        <v>2764</v>
      </c>
    </row>
    <row r="1778" spans="1:4" hidden="1" outlineLevel="2" x14ac:dyDescent="0.3">
      <c r="A1778" t="s">
        <v>2765</v>
      </c>
      <c r="B1778" t="s">
        <v>266</v>
      </c>
      <c r="C1778" t="s">
        <v>10</v>
      </c>
      <c r="D1778" t="s">
        <v>2766</v>
      </c>
    </row>
    <row r="1779" spans="1:4" hidden="1" outlineLevel="2" x14ac:dyDescent="0.3">
      <c r="A1779" t="s">
        <v>2767</v>
      </c>
      <c r="B1779" t="s">
        <v>266</v>
      </c>
      <c r="C1779" t="s">
        <v>10</v>
      </c>
      <c r="D1779" t="s">
        <v>2768</v>
      </c>
    </row>
    <row r="1780" spans="1:4" hidden="1" outlineLevel="2" x14ac:dyDescent="0.3">
      <c r="A1780" t="s">
        <v>2769</v>
      </c>
      <c r="B1780" t="s">
        <v>266</v>
      </c>
      <c r="C1780" t="s">
        <v>10</v>
      </c>
      <c r="D1780" t="s">
        <v>2770</v>
      </c>
    </row>
    <row r="1781" spans="1:4" hidden="1" outlineLevel="2" x14ac:dyDescent="0.3">
      <c r="A1781" t="s">
        <v>2771</v>
      </c>
      <c r="B1781" t="s">
        <v>266</v>
      </c>
      <c r="C1781" t="s">
        <v>10</v>
      </c>
      <c r="D1781" t="s">
        <v>2772</v>
      </c>
    </row>
    <row r="1782" spans="1:4" hidden="1" outlineLevel="2" x14ac:dyDescent="0.3">
      <c r="A1782" t="s">
        <v>2773</v>
      </c>
      <c r="B1782" t="s">
        <v>266</v>
      </c>
      <c r="C1782" t="s">
        <v>10</v>
      </c>
      <c r="D1782" t="s">
        <v>2774</v>
      </c>
    </row>
    <row r="1783" spans="1:4" hidden="1" outlineLevel="2" x14ac:dyDescent="0.3">
      <c r="A1783" t="s">
        <v>2775</v>
      </c>
      <c r="B1783" t="s">
        <v>266</v>
      </c>
      <c r="C1783" t="s">
        <v>10</v>
      </c>
      <c r="D1783" t="s">
        <v>2776</v>
      </c>
    </row>
    <row r="1784" spans="1:4" hidden="1" outlineLevel="2" x14ac:dyDescent="0.3">
      <c r="A1784" t="s">
        <v>2777</v>
      </c>
      <c r="B1784" t="s">
        <v>266</v>
      </c>
      <c r="C1784" t="s">
        <v>10</v>
      </c>
      <c r="D1784" t="s">
        <v>2778</v>
      </c>
    </row>
    <row r="1785" spans="1:4" hidden="1" outlineLevel="2" x14ac:dyDescent="0.3">
      <c r="A1785" t="s">
        <v>2779</v>
      </c>
      <c r="B1785" t="s">
        <v>266</v>
      </c>
      <c r="C1785" t="s">
        <v>10</v>
      </c>
      <c r="D1785" t="s">
        <v>2780</v>
      </c>
    </row>
    <row r="1786" spans="1:4" hidden="1" outlineLevel="2" x14ac:dyDescent="0.3">
      <c r="A1786" t="s">
        <v>2781</v>
      </c>
      <c r="B1786" t="s">
        <v>266</v>
      </c>
      <c r="C1786" t="s">
        <v>10</v>
      </c>
      <c r="D1786" t="s">
        <v>2782</v>
      </c>
    </row>
    <row r="1787" spans="1:4" hidden="1" outlineLevel="2" x14ac:dyDescent="0.3">
      <c r="A1787" t="s">
        <v>2783</v>
      </c>
      <c r="B1787" t="s">
        <v>266</v>
      </c>
      <c r="C1787" t="s">
        <v>10</v>
      </c>
      <c r="D1787" t="s">
        <v>2784</v>
      </c>
    </row>
    <row r="1788" spans="1:4" hidden="1" outlineLevel="2" x14ac:dyDescent="0.3">
      <c r="A1788" t="s">
        <v>2785</v>
      </c>
      <c r="B1788" t="s">
        <v>266</v>
      </c>
      <c r="C1788" t="s">
        <v>10</v>
      </c>
      <c r="D1788" t="s">
        <v>2786</v>
      </c>
    </row>
    <row r="1789" spans="1:4" hidden="1" outlineLevel="2" x14ac:dyDescent="0.3">
      <c r="A1789" t="s">
        <v>2787</v>
      </c>
      <c r="B1789" t="s">
        <v>266</v>
      </c>
      <c r="C1789" t="s">
        <v>10</v>
      </c>
      <c r="D1789" t="s">
        <v>2788</v>
      </c>
    </row>
    <row r="1790" spans="1:4" hidden="1" outlineLevel="2" x14ac:dyDescent="0.3">
      <c r="A1790" t="s">
        <v>2789</v>
      </c>
      <c r="B1790" t="s">
        <v>266</v>
      </c>
      <c r="C1790" t="s">
        <v>10</v>
      </c>
      <c r="D1790" t="s">
        <v>2790</v>
      </c>
    </row>
    <row r="1791" spans="1:4" hidden="1" outlineLevel="2" x14ac:dyDescent="0.3">
      <c r="A1791" t="s">
        <v>2791</v>
      </c>
      <c r="B1791" t="s">
        <v>266</v>
      </c>
      <c r="C1791" t="s">
        <v>10</v>
      </c>
      <c r="D1791" t="s">
        <v>2792</v>
      </c>
    </row>
    <row r="1792" spans="1:4" hidden="1" outlineLevel="2" x14ac:dyDescent="0.3">
      <c r="A1792" t="s">
        <v>2793</v>
      </c>
      <c r="B1792" t="s">
        <v>266</v>
      </c>
      <c r="C1792" t="s">
        <v>10</v>
      </c>
      <c r="D1792" t="s">
        <v>2794</v>
      </c>
    </row>
    <row r="1793" spans="1:4" hidden="1" outlineLevel="2" x14ac:dyDescent="0.3">
      <c r="A1793" t="s">
        <v>2795</v>
      </c>
      <c r="B1793" t="s">
        <v>266</v>
      </c>
      <c r="C1793" t="s">
        <v>10</v>
      </c>
      <c r="D1793" t="s">
        <v>2796</v>
      </c>
    </row>
    <row r="1794" spans="1:4" hidden="1" outlineLevel="2" x14ac:dyDescent="0.3">
      <c r="A1794" t="s">
        <v>2797</v>
      </c>
      <c r="B1794" t="s">
        <v>266</v>
      </c>
      <c r="C1794" t="s">
        <v>10</v>
      </c>
      <c r="D1794" t="s">
        <v>2798</v>
      </c>
    </row>
    <row r="1795" spans="1:4" hidden="1" outlineLevel="2" x14ac:dyDescent="0.3">
      <c r="A1795" t="s">
        <v>2799</v>
      </c>
      <c r="B1795" t="s">
        <v>266</v>
      </c>
      <c r="C1795" t="s">
        <v>10</v>
      </c>
      <c r="D1795" t="s">
        <v>2800</v>
      </c>
    </row>
    <row r="1796" spans="1:4" hidden="1" outlineLevel="2" x14ac:dyDescent="0.3">
      <c r="A1796" t="s">
        <v>2801</v>
      </c>
      <c r="B1796" t="s">
        <v>266</v>
      </c>
      <c r="C1796" t="s">
        <v>10</v>
      </c>
      <c r="D1796" t="s">
        <v>2802</v>
      </c>
    </row>
    <row r="1797" spans="1:4" hidden="1" outlineLevel="2" x14ac:dyDescent="0.3">
      <c r="A1797" t="s">
        <v>2803</v>
      </c>
      <c r="B1797" t="s">
        <v>266</v>
      </c>
      <c r="C1797" t="s">
        <v>10</v>
      </c>
      <c r="D1797" t="s">
        <v>2804</v>
      </c>
    </row>
    <row r="1798" spans="1:4" hidden="1" outlineLevel="2" x14ac:dyDescent="0.3">
      <c r="A1798" t="s">
        <v>2805</v>
      </c>
      <c r="B1798" t="s">
        <v>266</v>
      </c>
      <c r="C1798" t="s">
        <v>10</v>
      </c>
      <c r="D1798" t="s">
        <v>2804</v>
      </c>
    </row>
    <row r="1799" spans="1:4" hidden="1" outlineLevel="2" x14ac:dyDescent="0.3">
      <c r="A1799" t="s">
        <v>2806</v>
      </c>
      <c r="B1799" t="s">
        <v>266</v>
      </c>
      <c r="C1799" t="s">
        <v>10</v>
      </c>
      <c r="D1799" t="s">
        <v>2804</v>
      </c>
    </row>
    <row r="1800" spans="1:4" hidden="1" outlineLevel="2" x14ac:dyDescent="0.3">
      <c r="A1800" t="s">
        <v>2807</v>
      </c>
      <c r="B1800" t="s">
        <v>266</v>
      </c>
      <c r="C1800" t="s">
        <v>10</v>
      </c>
      <c r="D1800" t="s">
        <v>2804</v>
      </c>
    </row>
    <row r="1801" spans="1:4" hidden="1" outlineLevel="2" x14ac:dyDescent="0.3">
      <c r="A1801" t="s">
        <v>2808</v>
      </c>
      <c r="B1801" t="s">
        <v>266</v>
      </c>
      <c r="C1801" t="s">
        <v>10</v>
      </c>
      <c r="D1801" t="s">
        <v>2804</v>
      </c>
    </row>
    <row r="1802" spans="1:4" hidden="1" outlineLevel="2" x14ac:dyDescent="0.3">
      <c r="A1802" t="s">
        <v>2809</v>
      </c>
      <c r="B1802" t="s">
        <v>266</v>
      </c>
      <c r="C1802" t="s">
        <v>10</v>
      </c>
      <c r="D1802" t="s">
        <v>2810</v>
      </c>
    </row>
    <row r="1803" spans="1:4" hidden="1" outlineLevel="2" x14ac:dyDescent="0.3">
      <c r="A1803" t="s">
        <v>2811</v>
      </c>
      <c r="B1803" t="s">
        <v>266</v>
      </c>
      <c r="C1803" t="s">
        <v>10</v>
      </c>
      <c r="D1803" t="s">
        <v>2812</v>
      </c>
    </row>
    <row r="1804" spans="1:4" hidden="1" outlineLevel="2" x14ac:dyDescent="0.3">
      <c r="A1804" t="s">
        <v>2813</v>
      </c>
      <c r="B1804" t="s">
        <v>266</v>
      </c>
      <c r="C1804" t="s">
        <v>8</v>
      </c>
      <c r="D1804" t="s">
        <v>2814</v>
      </c>
    </row>
    <row r="1805" spans="1:4" hidden="1" outlineLevel="2" x14ac:dyDescent="0.3">
      <c r="A1805" t="s">
        <v>2815</v>
      </c>
      <c r="B1805" t="s">
        <v>266</v>
      </c>
      <c r="C1805" t="s">
        <v>10</v>
      </c>
      <c r="D1805" t="s">
        <v>2816</v>
      </c>
    </row>
    <row r="1806" spans="1:4" hidden="1" outlineLevel="2" x14ac:dyDescent="0.3">
      <c r="A1806" t="s">
        <v>2817</v>
      </c>
      <c r="B1806" t="s">
        <v>266</v>
      </c>
      <c r="C1806" t="s">
        <v>10</v>
      </c>
      <c r="D1806" t="s">
        <v>2818</v>
      </c>
    </row>
    <row r="1807" spans="1:4" hidden="1" outlineLevel="2" x14ac:dyDescent="0.3">
      <c r="A1807" t="s">
        <v>2819</v>
      </c>
      <c r="B1807" t="s">
        <v>266</v>
      </c>
      <c r="C1807" t="s">
        <v>10</v>
      </c>
      <c r="D1807" t="s">
        <v>2820</v>
      </c>
    </row>
    <row r="1808" spans="1:4" hidden="1" outlineLevel="2" x14ac:dyDescent="0.3">
      <c r="A1808" t="s">
        <v>2821</v>
      </c>
      <c r="B1808" t="s">
        <v>266</v>
      </c>
      <c r="C1808" t="s">
        <v>10</v>
      </c>
      <c r="D1808" t="s">
        <v>2822</v>
      </c>
    </row>
    <row r="1809" spans="1:4" hidden="1" outlineLevel="2" x14ac:dyDescent="0.3">
      <c r="A1809" t="s">
        <v>2823</v>
      </c>
      <c r="B1809" t="s">
        <v>266</v>
      </c>
      <c r="C1809" t="s">
        <v>10</v>
      </c>
      <c r="D1809" t="s">
        <v>2824</v>
      </c>
    </row>
    <row r="1810" spans="1:4" hidden="1" outlineLevel="2" x14ac:dyDescent="0.3">
      <c r="A1810" t="s">
        <v>2825</v>
      </c>
      <c r="B1810" t="s">
        <v>266</v>
      </c>
      <c r="C1810" t="s">
        <v>8</v>
      </c>
      <c r="D1810" t="s">
        <v>2826</v>
      </c>
    </row>
    <row r="1811" spans="1:4" hidden="1" outlineLevel="2" x14ac:dyDescent="0.3">
      <c r="A1811" t="s">
        <v>2827</v>
      </c>
      <c r="B1811" t="s">
        <v>266</v>
      </c>
      <c r="C1811" t="s">
        <v>8</v>
      </c>
      <c r="D1811" t="s">
        <v>2828</v>
      </c>
    </row>
    <row r="1812" spans="1:4" hidden="1" outlineLevel="2" x14ac:dyDescent="0.3">
      <c r="A1812" t="s">
        <v>2829</v>
      </c>
      <c r="B1812" t="s">
        <v>266</v>
      </c>
      <c r="C1812" t="s">
        <v>10</v>
      </c>
      <c r="D1812" t="s">
        <v>2830</v>
      </c>
    </row>
    <row r="1813" spans="1:4" hidden="1" outlineLevel="2" x14ac:dyDescent="0.3">
      <c r="A1813" t="s">
        <v>2831</v>
      </c>
      <c r="B1813" t="s">
        <v>266</v>
      </c>
      <c r="C1813" t="s">
        <v>10</v>
      </c>
      <c r="D1813" t="s">
        <v>2832</v>
      </c>
    </row>
    <row r="1814" spans="1:4" hidden="1" outlineLevel="2" x14ac:dyDescent="0.3">
      <c r="A1814" t="s">
        <v>2833</v>
      </c>
      <c r="B1814" t="s">
        <v>266</v>
      </c>
      <c r="C1814" t="s">
        <v>10</v>
      </c>
      <c r="D1814" t="s">
        <v>2834</v>
      </c>
    </row>
    <row r="1815" spans="1:4" hidden="1" outlineLevel="2" x14ac:dyDescent="0.3">
      <c r="A1815" t="s">
        <v>2835</v>
      </c>
      <c r="B1815" t="s">
        <v>266</v>
      </c>
      <c r="C1815" t="s">
        <v>10</v>
      </c>
      <c r="D1815" t="s">
        <v>2836</v>
      </c>
    </row>
    <row r="1816" spans="1:4" hidden="1" outlineLevel="2" x14ac:dyDescent="0.3">
      <c r="A1816" t="s">
        <v>2837</v>
      </c>
      <c r="B1816" t="s">
        <v>266</v>
      </c>
      <c r="C1816" t="s">
        <v>10</v>
      </c>
      <c r="D1816" t="s">
        <v>2838</v>
      </c>
    </row>
    <row r="1817" spans="1:4" hidden="1" outlineLevel="2" x14ac:dyDescent="0.3">
      <c r="A1817" t="s">
        <v>2839</v>
      </c>
      <c r="B1817" t="s">
        <v>266</v>
      </c>
      <c r="C1817" t="s">
        <v>10</v>
      </c>
      <c r="D1817" t="s">
        <v>2840</v>
      </c>
    </row>
    <row r="1818" spans="1:4" hidden="1" outlineLevel="2" x14ac:dyDescent="0.3">
      <c r="A1818" t="s">
        <v>2841</v>
      </c>
      <c r="B1818" t="s">
        <v>266</v>
      </c>
      <c r="C1818" t="s">
        <v>10</v>
      </c>
      <c r="D1818" t="s">
        <v>2842</v>
      </c>
    </row>
    <row r="1819" spans="1:4" hidden="1" outlineLevel="2" x14ac:dyDescent="0.3">
      <c r="A1819" t="s">
        <v>2843</v>
      </c>
      <c r="B1819" t="s">
        <v>266</v>
      </c>
      <c r="C1819" t="s">
        <v>10</v>
      </c>
      <c r="D1819" t="s">
        <v>2844</v>
      </c>
    </row>
    <row r="1820" spans="1:4" hidden="1" outlineLevel="2" x14ac:dyDescent="0.3">
      <c r="A1820" t="s">
        <v>2845</v>
      </c>
      <c r="B1820" t="s">
        <v>266</v>
      </c>
      <c r="C1820" t="s">
        <v>10</v>
      </c>
      <c r="D1820" t="s">
        <v>2846</v>
      </c>
    </row>
    <row r="1821" spans="1:4" hidden="1" outlineLevel="2" x14ac:dyDescent="0.3">
      <c r="A1821" t="s">
        <v>2847</v>
      </c>
      <c r="B1821" t="s">
        <v>266</v>
      </c>
      <c r="C1821" t="s">
        <v>8</v>
      </c>
      <c r="D1821" t="s">
        <v>2848</v>
      </c>
    </row>
    <row r="1822" spans="1:4" hidden="1" outlineLevel="2" x14ac:dyDescent="0.3">
      <c r="A1822" t="s">
        <v>2849</v>
      </c>
      <c r="B1822" t="s">
        <v>266</v>
      </c>
      <c r="C1822" t="s">
        <v>8</v>
      </c>
      <c r="D1822" t="s">
        <v>2850</v>
      </c>
    </row>
    <row r="1823" spans="1:4" hidden="1" outlineLevel="2" x14ac:dyDescent="0.3">
      <c r="A1823" t="s">
        <v>2851</v>
      </c>
      <c r="B1823" t="s">
        <v>266</v>
      </c>
      <c r="C1823" t="s">
        <v>10</v>
      </c>
      <c r="D1823" t="s">
        <v>2852</v>
      </c>
    </row>
    <row r="1824" spans="1:4" hidden="1" outlineLevel="2" x14ac:dyDescent="0.3">
      <c r="A1824" t="s">
        <v>2853</v>
      </c>
      <c r="B1824" t="s">
        <v>266</v>
      </c>
      <c r="C1824" t="s">
        <v>10</v>
      </c>
      <c r="D1824" t="s">
        <v>2854</v>
      </c>
    </row>
    <row r="1825" spans="1:4" hidden="1" outlineLevel="2" x14ac:dyDescent="0.3">
      <c r="A1825" t="s">
        <v>2855</v>
      </c>
      <c r="B1825" t="s">
        <v>266</v>
      </c>
      <c r="C1825" t="s">
        <v>8</v>
      </c>
      <c r="D1825" t="s">
        <v>2856</v>
      </c>
    </row>
    <row r="1826" spans="1:4" hidden="1" outlineLevel="2" x14ac:dyDescent="0.3">
      <c r="A1826" t="s">
        <v>2857</v>
      </c>
      <c r="B1826" t="s">
        <v>266</v>
      </c>
      <c r="C1826" t="s">
        <v>10</v>
      </c>
      <c r="D1826" t="s">
        <v>2858</v>
      </c>
    </row>
    <row r="1827" spans="1:4" hidden="1" outlineLevel="2" x14ac:dyDescent="0.3">
      <c r="A1827" t="s">
        <v>2859</v>
      </c>
      <c r="B1827" t="s">
        <v>266</v>
      </c>
      <c r="C1827" t="s">
        <v>10</v>
      </c>
      <c r="D1827" t="s">
        <v>2860</v>
      </c>
    </row>
    <row r="1828" spans="1:4" hidden="1" outlineLevel="2" x14ac:dyDescent="0.3">
      <c r="A1828" t="s">
        <v>2861</v>
      </c>
      <c r="B1828" t="s">
        <v>266</v>
      </c>
      <c r="C1828" t="s">
        <v>10</v>
      </c>
      <c r="D1828" t="s">
        <v>2862</v>
      </c>
    </row>
    <row r="1829" spans="1:4" hidden="1" outlineLevel="2" x14ac:dyDescent="0.3">
      <c r="A1829" t="s">
        <v>2863</v>
      </c>
      <c r="B1829" t="s">
        <v>266</v>
      </c>
      <c r="C1829" t="s">
        <v>10</v>
      </c>
      <c r="D1829" t="s">
        <v>2864</v>
      </c>
    </row>
    <row r="1830" spans="1:4" hidden="1" outlineLevel="2" x14ac:dyDescent="0.3">
      <c r="A1830" t="s">
        <v>2865</v>
      </c>
      <c r="B1830" t="s">
        <v>266</v>
      </c>
      <c r="C1830" t="s">
        <v>8</v>
      </c>
      <c r="D1830" t="s">
        <v>2866</v>
      </c>
    </row>
    <row r="1831" spans="1:4" hidden="1" outlineLevel="2" x14ac:dyDescent="0.3">
      <c r="A1831" t="s">
        <v>2867</v>
      </c>
      <c r="B1831" t="s">
        <v>266</v>
      </c>
      <c r="C1831" t="s">
        <v>10</v>
      </c>
      <c r="D1831" t="s">
        <v>2868</v>
      </c>
    </row>
    <row r="1832" spans="1:4" hidden="1" outlineLevel="2" x14ac:dyDescent="0.3">
      <c r="A1832" t="s">
        <v>2869</v>
      </c>
      <c r="B1832" t="s">
        <v>266</v>
      </c>
      <c r="C1832" t="s">
        <v>10</v>
      </c>
      <c r="D1832" t="s">
        <v>2870</v>
      </c>
    </row>
    <row r="1833" spans="1:4" hidden="1" outlineLevel="2" x14ac:dyDescent="0.3">
      <c r="A1833" t="s">
        <v>2871</v>
      </c>
      <c r="B1833" t="s">
        <v>266</v>
      </c>
      <c r="C1833" t="s">
        <v>8</v>
      </c>
      <c r="D1833" t="s">
        <v>2872</v>
      </c>
    </row>
    <row r="1834" spans="1:4" hidden="1" outlineLevel="2" x14ac:dyDescent="0.3">
      <c r="A1834" t="s">
        <v>2873</v>
      </c>
      <c r="B1834" t="s">
        <v>266</v>
      </c>
      <c r="C1834" t="s">
        <v>10</v>
      </c>
      <c r="D1834" t="s">
        <v>2874</v>
      </c>
    </row>
    <row r="1835" spans="1:4" hidden="1" outlineLevel="2" x14ac:dyDescent="0.3">
      <c r="A1835" t="s">
        <v>2875</v>
      </c>
      <c r="B1835" t="s">
        <v>266</v>
      </c>
      <c r="C1835" t="s">
        <v>10</v>
      </c>
      <c r="D1835" t="s">
        <v>2876</v>
      </c>
    </row>
    <row r="1836" spans="1:4" hidden="1" outlineLevel="2" x14ac:dyDescent="0.3">
      <c r="A1836" t="s">
        <v>2877</v>
      </c>
      <c r="B1836" t="s">
        <v>266</v>
      </c>
      <c r="C1836" t="s">
        <v>10</v>
      </c>
      <c r="D1836" t="s">
        <v>2878</v>
      </c>
    </row>
    <row r="1837" spans="1:4" hidden="1" outlineLevel="2" x14ac:dyDescent="0.3">
      <c r="A1837" t="s">
        <v>2879</v>
      </c>
      <c r="B1837" t="s">
        <v>266</v>
      </c>
      <c r="C1837" t="s">
        <v>10</v>
      </c>
      <c r="D1837" t="s">
        <v>2880</v>
      </c>
    </row>
    <row r="1838" spans="1:4" hidden="1" outlineLevel="2" x14ac:dyDescent="0.3">
      <c r="A1838" t="s">
        <v>2881</v>
      </c>
      <c r="B1838" t="s">
        <v>266</v>
      </c>
      <c r="C1838" t="s">
        <v>10</v>
      </c>
      <c r="D1838" t="s">
        <v>2882</v>
      </c>
    </row>
    <row r="1839" spans="1:4" hidden="1" outlineLevel="2" x14ac:dyDescent="0.3">
      <c r="A1839" t="s">
        <v>2883</v>
      </c>
      <c r="B1839" t="s">
        <v>266</v>
      </c>
      <c r="C1839" t="s">
        <v>10</v>
      </c>
      <c r="D1839" t="s">
        <v>2884</v>
      </c>
    </row>
    <row r="1840" spans="1:4" hidden="1" outlineLevel="2" x14ac:dyDescent="0.3">
      <c r="A1840" t="s">
        <v>2885</v>
      </c>
      <c r="B1840" t="s">
        <v>266</v>
      </c>
      <c r="C1840" t="s">
        <v>10</v>
      </c>
      <c r="D1840" t="s">
        <v>2886</v>
      </c>
    </row>
    <row r="1841" spans="1:4" hidden="1" outlineLevel="2" x14ac:dyDescent="0.3">
      <c r="A1841" t="s">
        <v>2887</v>
      </c>
      <c r="B1841" t="s">
        <v>266</v>
      </c>
      <c r="C1841" t="s">
        <v>10</v>
      </c>
      <c r="D1841" t="s">
        <v>2888</v>
      </c>
    </row>
    <row r="1842" spans="1:4" hidden="1" outlineLevel="2" x14ac:dyDescent="0.3">
      <c r="A1842" t="s">
        <v>2889</v>
      </c>
      <c r="B1842" t="s">
        <v>266</v>
      </c>
      <c r="C1842" t="s">
        <v>10</v>
      </c>
      <c r="D1842" t="s">
        <v>2890</v>
      </c>
    </row>
    <row r="1843" spans="1:4" hidden="1" outlineLevel="2" x14ac:dyDescent="0.3">
      <c r="A1843" t="s">
        <v>2891</v>
      </c>
      <c r="B1843" t="s">
        <v>266</v>
      </c>
      <c r="C1843" t="s">
        <v>10</v>
      </c>
      <c r="D1843" t="s">
        <v>2892</v>
      </c>
    </row>
    <row r="1844" spans="1:4" hidden="1" outlineLevel="2" x14ac:dyDescent="0.3">
      <c r="A1844" t="s">
        <v>2893</v>
      </c>
      <c r="B1844" t="s">
        <v>266</v>
      </c>
      <c r="C1844" t="s">
        <v>10</v>
      </c>
      <c r="D1844" t="s">
        <v>2894</v>
      </c>
    </row>
    <row r="1845" spans="1:4" hidden="1" outlineLevel="2" x14ac:dyDescent="0.3">
      <c r="A1845" t="s">
        <v>2895</v>
      </c>
      <c r="B1845" t="s">
        <v>266</v>
      </c>
      <c r="C1845" t="s">
        <v>10</v>
      </c>
      <c r="D1845" t="s">
        <v>2896</v>
      </c>
    </row>
    <row r="1846" spans="1:4" hidden="1" outlineLevel="2" x14ac:dyDescent="0.3">
      <c r="A1846" t="s">
        <v>2897</v>
      </c>
      <c r="B1846" t="s">
        <v>266</v>
      </c>
      <c r="C1846" t="s">
        <v>10</v>
      </c>
      <c r="D1846" t="s">
        <v>2898</v>
      </c>
    </row>
    <row r="1847" spans="1:4" hidden="1" outlineLevel="2" x14ac:dyDescent="0.3">
      <c r="A1847" t="s">
        <v>2899</v>
      </c>
      <c r="B1847" t="s">
        <v>266</v>
      </c>
      <c r="C1847" t="s">
        <v>10</v>
      </c>
      <c r="D1847" t="s">
        <v>2900</v>
      </c>
    </row>
    <row r="1848" spans="1:4" hidden="1" outlineLevel="2" x14ac:dyDescent="0.3">
      <c r="A1848" t="s">
        <v>2901</v>
      </c>
      <c r="B1848" t="s">
        <v>266</v>
      </c>
      <c r="C1848" t="s">
        <v>10</v>
      </c>
      <c r="D1848" t="s">
        <v>2900</v>
      </c>
    </row>
    <row r="1849" spans="1:4" hidden="1" outlineLevel="2" x14ac:dyDescent="0.3">
      <c r="A1849" t="s">
        <v>2902</v>
      </c>
      <c r="B1849" t="s">
        <v>266</v>
      </c>
      <c r="C1849" t="s">
        <v>10</v>
      </c>
      <c r="D1849" t="s">
        <v>2903</v>
      </c>
    </row>
    <row r="1850" spans="1:4" hidden="1" outlineLevel="2" x14ac:dyDescent="0.3">
      <c r="A1850" t="s">
        <v>2904</v>
      </c>
      <c r="B1850" t="s">
        <v>266</v>
      </c>
      <c r="C1850" t="s">
        <v>10</v>
      </c>
      <c r="D1850" t="s">
        <v>2905</v>
      </c>
    </row>
    <row r="1851" spans="1:4" hidden="1" outlineLevel="2" x14ac:dyDescent="0.3">
      <c r="A1851" t="s">
        <v>2906</v>
      </c>
      <c r="B1851" t="s">
        <v>266</v>
      </c>
      <c r="C1851" t="s">
        <v>10</v>
      </c>
      <c r="D1851" t="s">
        <v>2907</v>
      </c>
    </row>
    <row r="1852" spans="1:4" hidden="1" outlineLevel="2" x14ac:dyDescent="0.3">
      <c r="A1852" t="s">
        <v>2908</v>
      </c>
      <c r="B1852" t="s">
        <v>266</v>
      </c>
      <c r="C1852" t="s">
        <v>8</v>
      </c>
      <c r="D1852" t="s">
        <v>2909</v>
      </c>
    </row>
    <row r="1853" spans="1:4" hidden="1" outlineLevel="2" x14ac:dyDescent="0.3">
      <c r="A1853" t="s">
        <v>2910</v>
      </c>
      <c r="B1853" t="s">
        <v>266</v>
      </c>
      <c r="C1853" t="s">
        <v>8</v>
      </c>
      <c r="D1853" t="s">
        <v>2911</v>
      </c>
    </row>
    <row r="1854" spans="1:4" hidden="1" outlineLevel="2" x14ac:dyDescent="0.3">
      <c r="A1854" t="s">
        <v>2912</v>
      </c>
      <c r="B1854" t="s">
        <v>266</v>
      </c>
      <c r="C1854" t="s">
        <v>10</v>
      </c>
      <c r="D1854" t="s">
        <v>2913</v>
      </c>
    </row>
    <row r="1855" spans="1:4" hidden="1" outlineLevel="2" x14ac:dyDescent="0.3">
      <c r="A1855" t="s">
        <v>2914</v>
      </c>
      <c r="B1855" t="s">
        <v>266</v>
      </c>
      <c r="C1855" t="s">
        <v>10</v>
      </c>
      <c r="D1855" t="s">
        <v>2915</v>
      </c>
    </row>
    <row r="1856" spans="1:4" hidden="1" outlineLevel="2" x14ac:dyDescent="0.3">
      <c r="A1856" t="s">
        <v>2916</v>
      </c>
      <c r="B1856" t="s">
        <v>266</v>
      </c>
      <c r="C1856" t="s">
        <v>10</v>
      </c>
      <c r="D1856" t="s">
        <v>2917</v>
      </c>
    </row>
    <row r="1857" spans="1:4" hidden="1" outlineLevel="2" x14ac:dyDescent="0.3">
      <c r="A1857" t="s">
        <v>2918</v>
      </c>
      <c r="B1857" t="s">
        <v>266</v>
      </c>
      <c r="C1857" t="s">
        <v>10</v>
      </c>
      <c r="D1857" t="s">
        <v>2919</v>
      </c>
    </row>
    <row r="1858" spans="1:4" hidden="1" outlineLevel="2" x14ac:dyDescent="0.3">
      <c r="A1858" t="s">
        <v>2920</v>
      </c>
      <c r="B1858" t="s">
        <v>266</v>
      </c>
      <c r="C1858" t="s">
        <v>8</v>
      </c>
      <c r="D1858" t="s">
        <v>2921</v>
      </c>
    </row>
    <row r="1859" spans="1:4" hidden="1" outlineLevel="2" x14ac:dyDescent="0.3">
      <c r="A1859" t="s">
        <v>2922</v>
      </c>
      <c r="B1859" t="s">
        <v>266</v>
      </c>
      <c r="C1859" t="s">
        <v>10</v>
      </c>
      <c r="D1859" t="s">
        <v>2923</v>
      </c>
    </row>
    <row r="1860" spans="1:4" hidden="1" outlineLevel="2" x14ac:dyDescent="0.3">
      <c r="A1860" t="s">
        <v>2924</v>
      </c>
      <c r="B1860" t="s">
        <v>266</v>
      </c>
      <c r="C1860" t="s">
        <v>10</v>
      </c>
      <c r="D1860" t="s">
        <v>2925</v>
      </c>
    </row>
    <row r="1861" spans="1:4" hidden="1" outlineLevel="2" x14ac:dyDescent="0.3">
      <c r="A1861" t="s">
        <v>2926</v>
      </c>
      <c r="B1861" t="s">
        <v>266</v>
      </c>
      <c r="C1861" t="s">
        <v>10</v>
      </c>
      <c r="D1861" t="s">
        <v>2927</v>
      </c>
    </row>
    <row r="1862" spans="1:4" hidden="1" outlineLevel="2" x14ac:dyDescent="0.3">
      <c r="A1862" t="s">
        <v>2928</v>
      </c>
      <c r="B1862" t="s">
        <v>266</v>
      </c>
      <c r="C1862" t="s">
        <v>10</v>
      </c>
      <c r="D1862" t="s">
        <v>2929</v>
      </c>
    </row>
    <row r="1863" spans="1:4" hidden="1" outlineLevel="2" x14ac:dyDescent="0.3">
      <c r="A1863" t="s">
        <v>2930</v>
      </c>
      <c r="B1863" t="s">
        <v>266</v>
      </c>
      <c r="C1863" t="s">
        <v>10</v>
      </c>
      <c r="D1863" t="s">
        <v>2931</v>
      </c>
    </row>
    <row r="1864" spans="1:4" hidden="1" outlineLevel="2" x14ac:dyDescent="0.3">
      <c r="A1864" t="s">
        <v>2932</v>
      </c>
      <c r="B1864" t="s">
        <v>266</v>
      </c>
      <c r="C1864" t="s">
        <v>10</v>
      </c>
      <c r="D1864" t="s">
        <v>2933</v>
      </c>
    </row>
    <row r="1865" spans="1:4" hidden="1" outlineLevel="2" x14ac:dyDescent="0.3">
      <c r="A1865" t="s">
        <v>2934</v>
      </c>
      <c r="B1865" t="s">
        <v>266</v>
      </c>
      <c r="C1865" t="s">
        <v>10</v>
      </c>
      <c r="D1865" t="s">
        <v>2935</v>
      </c>
    </row>
    <row r="1866" spans="1:4" hidden="1" outlineLevel="2" x14ac:dyDescent="0.3">
      <c r="A1866" t="s">
        <v>2936</v>
      </c>
      <c r="B1866" t="s">
        <v>266</v>
      </c>
      <c r="C1866" t="s">
        <v>10</v>
      </c>
      <c r="D1866" t="s">
        <v>2937</v>
      </c>
    </row>
    <row r="1867" spans="1:4" hidden="1" outlineLevel="2" x14ac:dyDescent="0.3">
      <c r="A1867" t="s">
        <v>2938</v>
      </c>
      <c r="B1867" t="s">
        <v>266</v>
      </c>
      <c r="C1867" t="s">
        <v>8</v>
      </c>
      <c r="D1867" t="s">
        <v>2939</v>
      </c>
    </row>
    <row r="1868" spans="1:4" hidden="1" outlineLevel="2" x14ac:dyDescent="0.3">
      <c r="A1868" t="s">
        <v>2940</v>
      </c>
      <c r="B1868" t="s">
        <v>266</v>
      </c>
      <c r="C1868" t="s">
        <v>10</v>
      </c>
      <c r="D1868" t="s">
        <v>2941</v>
      </c>
    </row>
    <row r="1869" spans="1:4" hidden="1" outlineLevel="2" x14ac:dyDescent="0.3">
      <c r="A1869" t="s">
        <v>2942</v>
      </c>
      <c r="B1869" t="s">
        <v>266</v>
      </c>
      <c r="C1869" t="s">
        <v>10</v>
      </c>
      <c r="D1869" t="s">
        <v>2943</v>
      </c>
    </row>
    <row r="1870" spans="1:4" hidden="1" outlineLevel="2" x14ac:dyDescent="0.3">
      <c r="A1870" t="s">
        <v>2944</v>
      </c>
      <c r="B1870" t="s">
        <v>266</v>
      </c>
      <c r="C1870" t="s">
        <v>10</v>
      </c>
      <c r="D1870" t="s">
        <v>2945</v>
      </c>
    </row>
    <row r="1871" spans="1:4" hidden="1" outlineLevel="2" x14ac:dyDescent="0.3">
      <c r="A1871" t="s">
        <v>2946</v>
      </c>
      <c r="B1871" t="s">
        <v>266</v>
      </c>
      <c r="C1871" t="s">
        <v>10</v>
      </c>
      <c r="D1871" t="s">
        <v>2947</v>
      </c>
    </row>
    <row r="1872" spans="1:4" hidden="1" outlineLevel="2" x14ac:dyDescent="0.3">
      <c r="A1872" t="s">
        <v>2948</v>
      </c>
      <c r="B1872" t="s">
        <v>266</v>
      </c>
      <c r="C1872" t="s">
        <v>8</v>
      </c>
      <c r="D1872" t="s">
        <v>2949</v>
      </c>
    </row>
    <row r="1873" spans="1:4" hidden="1" outlineLevel="2" x14ac:dyDescent="0.3">
      <c r="A1873" t="s">
        <v>2950</v>
      </c>
      <c r="B1873" t="s">
        <v>266</v>
      </c>
      <c r="C1873" t="s">
        <v>10</v>
      </c>
      <c r="D1873" t="s">
        <v>2951</v>
      </c>
    </row>
    <row r="1874" spans="1:4" hidden="1" outlineLevel="2" x14ac:dyDescent="0.3">
      <c r="A1874" t="s">
        <v>2952</v>
      </c>
      <c r="B1874" t="s">
        <v>266</v>
      </c>
      <c r="C1874" t="s">
        <v>10</v>
      </c>
      <c r="D1874" t="s">
        <v>2953</v>
      </c>
    </row>
    <row r="1875" spans="1:4" hidden="1" outlineLevel="2" x14ac:dyDescent="0.3">
      <c r="A1875" t="s">
        <v>2954</v>
      </c>
      <c r="B1875" t="s">
        <v>266</v>
      </c>
      <c r="C1875" t="s">
        <v>10</v>
      </c>
      <c r="D1875" t="s">
        <v>2955</v>
      </c>
    </row>
    <row r="1876" spans="1:4" hidden="1" outlineLevel="2" x14ac:dyDescent="0.3">
      <c r="A1876" t="s">
        <v>2956</v>
      </c>
      <c r="B1876" t="s">
        <v>266</v>
      </c>
      <c r="C1876" t="s">
        <v>8</v>
      </c>
      <c r="D1876" t="s">
        <v>2957</v>
      </c>
    </row>
    <row r="1877" spans="1:4" hidden="1" outlineLevel="2" x14ac:dyDescent="0.3">
      <c r="A1877" t="s">
        <v>2958</v>
      </c>
      <c r="B1877" t="s">
        <v>266</v>
      </c>
      <c r="C1877" t="s">
        <v>10</v>
      </c>
      <c r="D1877" t="s">
        <v>2959</v>
      </c>
    </row>
    <row r="1878" spans="1:4" hidden="1" outlineLevel="2" x14ac:dyDescent="0.3">
      <c r="A1878" t="s">
        <v>2960</v>
      </c>
      <c r="B1878" t="s">
        <v>266</v>
      </c>
      <c r="C1878" t="s">
        <v>10</v>
      </c>
      <c r="D1878" t="s">
        <v>2961</v>
      </c>
    </row>
    <row r="1879" spans="1:4" hidden="1" outlineLevel="2" x14ac:dyDescent="0.3">
      <c r="A1879" t="s">
        <v>2962</v>
      </c>
      <c r="B1879" t="s">
        <v>266</v>
      </c>
      <c r="C1879" t="s">
        <v>10</v>
      </c>
      <c r="D1879" t="s">
        <v>2963</v>
      </c>
    </row>
    <row r="1880" spans="1:4" hidden="1" outlineLevel="2" x14ac:dyDescent="0.3">
      <c r="A1880" t="s">
        <v>2964</v>
      </c>
      <c r="B1880" t="s">
        <v>266</v>
      </c>
      <c r="C1880" t="s">
        <v>8</v>
      </c>
      <c r="D1880" t="s">
        <v>2965</v>
      </c>
    </row>
    <row r="1881" spans="1:4" hidden="1" outlineLevel="2" x14ac:dyDescent="0.3">
      <c r="A1881" t="s">
        <v>2966</v>
      </c>
      <c r="B1881" t="s">
        <v>266</v>
      </c>
      <c r="C1881" t="s">
        <v>10</v>
      </c>
      <c r="D1881" t="s">
        <v>2967</v>
      </c>
    </row>
    <row r="1882" spans="1:4" hidden="1" outlineLevel="2" x14ac:dyDescent="0.3">
      <c r="A1882" t="s">
        <v>2968</v>
      </c>
      <c r="B1882" t="s">
        <v>266</v>
      </c>
      <c r="C1882" t="s">
        <v>10</v>
      </c>
      <c r="D1882" t="s">
        <v>2967</v>
      </c>
    </row>
    <row r="1883" spans="1:4" hidden="1" outlineLevel="2" x14ac:dyDescent="0.3">
      <c r="A1883" t="s">
        <v>2969</v>
      </c>
      <c r="B1883" t="s">
        <v>266</v>
      </c>
      <c r="C1883" t="s">
        <v>10</v>
      </c>
      <c r="D1883" t="s">
        <v>2970</v>
      </c>
    </row>
    <row r="1884" spans="1:4" hidden="1" outlineLevel="2" x14ac:dyDescent="0.3">
      <c r="A1884" t="s">
        <v>2971</v>
      </c>
      <c r="B1884" t="s">
        <v>3891</v>
      </c>
      <c r="C1884" t="s">
        <v>8</v>
      </c>
      <c r="D1884" t="s">
        <v>2972</v>
      </c>
    </row>
    <row r="1885" spans="1:4" hidden="1" outlineLevel="2" x14ac:dyDescent="0.3">
      <c r="A1885" t="s">
        <v>2973</v>
      </c>
      <c r="B1885" t="s">
        <v>266</v>
      </c>
      <c r="C1885" t="s">
        <v>10</v>
      </c>
      <c r="D1885" t="s">
        <v>2974</v>
      </c>
    </row>
    <row r="1886" spans="1:4" hidden="1" outlineLevel="2" x14ac:dyDescent="0.3">
      <c r="A1886" t="s">
        <v>2975</v>
      </c>
      <c r="B1886" t="s">
        <v>266</v>
      </c>
      <c r="C1886" t="s">
        <v>10</v>
      </c>
      <c r="D1886" t="s">
        <v>2976</v>
      </c>
    </row>
    <row r="1887" spans="1:4" hidden="1" outlineLevel="2" x14ac:dyDescent="0.3">
      <c r="A1887" t="s">
        <v>2977</v>
      </c>
      <c r="B1887" t="s">
        <v>266</v>
      </c>
      <c r="C1887" t="s">
        <v>10</v>
      </c>
      <c r="D1887" t="s">
        <v>2978</v>
      </c>
    </row>
    <row r="1888" spans="1:4" hidden="1" outlineLevel="2" x14ac:dyDescent="0.3">
      <c r="A1888" t="s">
        <v>2979</v>
      </c>
      <c r="B1888" t="s">
        <v>266</v>
      </c>
      <c r="C1888" t="s">
        <v>10</v>
      </c>
      <c r="D1888" t="s">
        <v>2980</v>
      </c>
    </row>
    <row r="1889" spans="1:4" hidden="1" outlineLevel="2" x14ac:dyDescent="0.3">
      <c r="A1889" t="s">
        <v>2981</v>
      </c>
      <c r="B1889" t="s">
        <v>266</v>
      </c>
      <c r="C1889" t="s">
        <v>10</v>
      </c>
      <c r="D1889" t="s">
        <v>2980</v>
      </c>
    </row>
    <row r="1890" spans="1:4" hidden="1" outlineLevel="2" x14ac:dyDescent="0.3">
      <c r="A1890" t="s">
        <v>2982</v>
      </c>
      <c r="B1890" t="s">
        <v>266</v>
      </c>
      <c r="C1890" t="s">
        <v>10</v>
      </c>
      <c r="D1890" t="s">
        <v>2983</v>
      </c>
    </row>
    <row r="1891" spans="1:4" hidden="1" outlineLevel="2" x14ac:dyDescent="0.3">
      <c r="A1891" t="s">
        <v>2984</v>
      </c>
      <c r="B1891" t="s">
        <v>266</v>
      </c>
      <c r="C1891" t="s">
        <v>10</v>
      </c>
      <c r="D1891" t="s">
        <v>2985</v>
      </c>
    </row>
    <row r="1892" spans="1:4" hidden="1" outlineLevel="2" x14ac:dyDescent="0.3">
      <c r="A1892" t="s">
        <v>2986</v>
      </c>
      <c r="B1892" t="s">
        <v>266</v>
      </c>
      <c r="C1892" t="s">
        <v>10</v>
      </c>
      <c r="D1892" t="s">
        <v>2987</v>
      </c>
    </row>
    <row r="1893" spans="1:4" hidden="1" outlineLevel="2" x14ac:dyDescent="0.3">
      <c r="A1893" t="s">
        <v>2988</v>
      </c>
      <c r="B1893" t="s">
        <v>266</v>
      </c>
      <c r="C1893" t="s">
        <v>10</v>
      </c>
      <c r="D1893" t="s">
        <v>2989</v>
      </c>
    </row>
    <row r="1894" spans="1:4" hidden="1" outlineLevel="2" x14ac:dyDescent="0.3">
      <c r="A1894" t="s">
        <v>2990</v>
      </c>
      <c r="B1894" t="s">
        <v>266</v>
      </c>
      <c r="C1894" t="s">
        <v>10</v>
      </c>
      <c r="D1894" t="s">
        <v>2991</v>
      </c>
    </row>
    <row r="1895" spans="1:4" hidden="1" outlineLevel="2" x14ac:dyDescent="0.3">
      <c r="A1895" t="s">
        <v>2992</v>
      </c>
      <c r="B1895" t="s">
        <v>266</v>
      </c>
      <c r="C1895" t="s">
        <v>10</v>
      </c>
      <c r="D1895" t="s">
        <v>2993</v>
      </c>
    </row>
    <row r="1896" spans="1:4" hidden="1" outlineLevel="2" x14ac:dyDescent="0.3">
      <c r="A1896" t="s">
        <v>2994</v>
      </c>
      <c r="B1896" t="s">
        <v>266</v>
      </c>
      <c r="C1896" t="s">
        <v>10</v>
      </c>
      <c r="D1896" t="s">
        <v>2995</v>
      </c>
    </row>
    <row r="1897" spans="1:4" hidden="1" outlineLevel="2" x14ac:dyDescent="0.3">
      <c r="A1897" t="s">
        <v>2996</v>
      </c>
      <c r="B1897" t="s">
        <v>266</v>
      </c>
      <c r="C1897" t="s">
        <v>8</v>
      </c>
      <c r="D1897" t="s">
        <v>2997</v>
      </c>
    </row>
    <row r="1898" spans="1:4" hidden="1" outlineLevel="2" x14ac:dyDescent="0.3">
      <c r="A1898" t="s">
        <v>2998</v>
      </c>
      <c r="B1898" t="s">
        <v>266</v>
      </c>
      <c r="C1898" t="s">
        <v>10</v>
      </c>
      <c r="D1898" t="s">
        <v>2999</v>
      </c>
    </row>
    <row r="1899" spans="1:4" hidden="1" outlineLevel="2" x14ac:dyDescent="0.3">
      <c r="A1899" t="s">
        <v>3000</v>
      </c>
      <c r="B1899" t="s">
        <v>266</v>
      </c>
      <c r="C1899" t="s">
        <v>10</v>
      </c>
      <c r="D1899" t="s">
        <v>3001</v>
      </c>
    </row>
    <row r="1900" spans="1:4" hidden="1" outlineLevel="2" x14ac:dyDescent="0.3">
      <c r="A1900" t="s">
        <v>3002</v>
      </c>
      <c r="B1900" t="s">
        <v>266</v>
      </c>
      <c r="C1900" t="s">
        <v>8</v>
      </c>
      <c r="D1900" t="s">
        <v>3003</v>
      </c>
    </row>
    <row r="1901" spans="1:4" hidden="1" outlineLevel="2" x14ac:dyDescent="0.3">
      <c r="A1901" t="s">
        <v>3004</v>
      </c>
      <c r="B1901" t="s">
        <v>266</v>
      </c>
      <c r="C1901" t="s">
        <v>8</v>
      </c>
      <c r="D1901" t="s">
        <v>3005</v>
      </c>
    </row>
    <row r="1902" spans="1:4" hidden="1" outlineLevel="2" x14ac:dyDescent="0.3">
      <c r="A1902" t="s">
        <v>3006</v>
      </c>
      <c r="B1902" t="s">
        <v>266</v>
      </c>
      <c r="C1902" t="s">
        <v>10</v>
      </c>
      <c r="D1902" t="s">
        <v>3007</v>
      </c>
    </row>
    <row r="1903" spans="1:4" hidden="1" outlineLevel="2" x14ac:dyDescent="0.3">
      <c r="A1903" t="s">
        <v>3008</v>
      </c>
      <c r="B1903" t="s">
        <v>266</v>
      </c>
      <c r="C1903" t="s">
        <v>10</v>
      </c>
      <c r="D1903" t="s">
        <v>3009</v>
      </c>
    </row>
    <row r="1904" spans="1:4" hidden="1" outlineLevel="2" x14ac:dyDescent="0.3">
      <c r="A1904" t="s">
        <v>3010</v>
      </c>
      <c r="B1904" t="s">
        <v>266</v>
      </c>
      <c r="C1904" t="s">
        <v>10</v>
      </c>
      <c r="D1904" t="s">
        <v>3011</v>
      </c>
    </row>
    <row r="1905" spans="1:4" hidden="1" outlineLevel="2" x14ac:dyDescent="0.3">
      <c r="A1905" t="s">
        <v>3012</v>
      </c>
      <c r="B1905" t="s">
        <v>266</v>
      </c>
      <c r="C1905" t="s">
        <v>10</v>
      </c>
      <c r="D1905" t="s">
        <v>3013</v>
      </c>
    </row>
    <row r="1906" spans="1:4" hidden="1" outlineLevel="2" x14ac:dyDescent="0.3">
      <c r="A1906" t="s">
        <v>3014</v>
      </c>
      <c r="B1906" t="s">
        <v>266</v>
      </c>
      <c r="C1906" t="s">
        <v>10</v>
      </c>
      <c r="D1906" t="s">
        <v>3015</v>
      </c>
    </row>
    <row r="1907" spans="1:4" hidden="1" outlineLevel="2" x14ac:dyDescent="0.3">
      <c r="A1907" t="s">
        <v>3016</v>
      </c>
      <c r="B1907" t="s">
        <v>266</v>
      </c>
      <c r="C1907" t="s">
        <v>8</v>
      </c>
      <c r="D1907" t="s">
        <v>3017</v>
      </c>
    </row>
    <row r="1908" spans="1:4" hidden="1" outlineLevel="2" x14ac:dyDescent="0.3">
      <c r="A1908" t="s">
        <v>3018</v>
      </c>
      <c r="B1908" t="s">
        <v>266</v>
      </c>
      <c r="C1908" t="s">
        <v>10</v>
      </c>
      <c r="D1908" t="s">
        <v>3019</v>
      </c>
    </row>
    <row r="1909" spans="1:4" hidden="1" outlineLevel="2" x14ac:dyDescent="0.3">
      <c r="A1909" t="s">
        <v>3020</v>
      </c>
      <c r="B1909" t="s">
        <v>266</v>
      </c>
      <c r="C1909" t="s">
        <v>8</v>
      </c>
      <c r="D1909" t="s">
        <v>3021</v>
      </c>
    </row>
    <row r="1910" spans="1:4" hidden="1" outlineLevel="2" x14ac:dyDescent="0.3">
      <c r="A1910" t="s">
        <v>3022</v>
      </c>
      <c r="B1910" t="s">
        <v>266</v>
      </c>
      <c r="C1910" t="s">
        <v>8</v>
      </c>
      <c r="D1910" t="s">
        <v>3023</v>
      </c>
    </row>
    <row r="1911" spans="1:4" hidden="1" outlineLevel="2" x14ac:dyDescent="0.3">
      <c r="A1911" t="s">
        <v>3024</v>
      </c>
      <c r="B1911" t="s">
        <v>266</v>
      </c>
      <c r="C1911" t="s">
        <v>10</v>
      </c>
      <c r="D1911" t="s">
        <v>3025</v>
      </c>
    </row>
    <row r="1912" spans="1:4" hidden="1" outlineLevel="2" x14ac:dyDescent="0.3">
      <c r="A1912" t="s">
        <v>3026</v>
      </c>
      <c r="B1912" t="s">
        <v>266</v>
      </c>
      <c r="C1912" t="s">
        <v>10</v>
      </c>
      <c r="D1912" t="s">
        <v>3027</v>
      </c>
    </row>
    <row r="1913" spans="1:4" hidden="1" outlineLevel="2" x14ac:dyDescent="0.3">
      <c r="A1913" t="s">
        <v>3028</v>
      </c>
      <c r="B1913" t="s">
        <v>266</v>
      </c>
      <c r="C1913" t="s">
        <v>10</v>
      </c>
      <c r="D1913" t="s">
        <v>3029</v>
      </c>
    </row>
    <row r="1914" spans="1:4" hidden="1" outlineLevel="2" x14ac:dyDescent="0.3">
      <c r="A1914" t="s">
        <v>3030</v>
      </c>
      <c r="B1914" t="s">
        <v>266</v>
      </c>
      <c r="C1914" t="s">
        <v>10</v>
      </c>
      <c r="D1914" t="s">
        <v>3031</v>
      </c>
    </row>
    <row r="1915" spans="1:4" hidden="1" outlineLevel="2" x14ac:dyDescent="0.3">
      <c r="A1915" t="s">
        <v>3032</v>
      </c>
      <c r="B1915" t="s">
        <v>266</v>
      </c>
      <c r="C1915" t="s">
        <v>10</v>
      </c>
      <c r="D1915" t="s">
        <v>3033</v>
      </c>
    </row>
    <row r="1916" spans="1:4" hidden="1" outlineLevel="2" x14ac:dyDescent="0.3">
      <c r="A1916" t="s">
        <v>3034</v>
      </c>
      <c r="B1916" t="s">
        <v>266</v>
      </c>
      <c r="C1916" t="s">
        <v>10</v>
      </c>
      <c r="D1916" t="s">
        <v>3035</v>
      </c>
    </row>
    <row r="1917" spans="1:4" hidden="1" outlineLevel="2" x14ac:dyDescent="0.3">
      <c r="A1917" t="s">
        <v>3036</v>
      </c>
      <c r="B1917" t="s">
        <v>266</v>
      </c>
      <c r="C1917" t="s">
        <v>10</v>
      </c>
      <c r="D1917" t="s">
        <v>3037</v>
      </c>
    </row>
    <row r="1918" spans="1:4" hidden="1" outlineLevel="2" x14ac:dyDescent="0.3">
      <c r="A1918" t="s">
        <v>3038</v>
      </c>
      <c r="B1918" t="s">
        <v>266</v>
      </c>
      <c r="C1918" t="s">
        <v>10</v>
      </c>
      <c r="D1918" t="s">
        <v>3039</v>
      </c>
    </row>
    <row r="1919" spans="1:4" hidden="1" outlineLevel="2" x14ac:dyDescent="0.3">
      <c r="A1919" t="s">
        <v>3040</v>
      </c>
      <c r="B1919" t="s">
        <v>266</v>
      </c>
      <c r="C1919" t="s">
        <v>10</v>
      </c>
      <c r="D1919" t="s">
        <v>3041</v>
      </c>
    </row>
    <row r="1920" spans="1:4" hidden="1" outlineLevel="2" x14ac:dyDescent="0.3">
      <c r="A1920" t="s">
        <v>3042</v>
      </c>
      <c r="B1920" t="s">
        <v>266</v>
      </c>
      <c r="C1920" t="s">
        <v>10</v>
      </c>
      <c r="D1920" t="s">
        <v>3043</v>
      </c>
    </row>
    <row r="1921" spans="1:4" hidden="1" outlineLevel="2" x14ac:dyDescent="0.3">
      <c r="A1921" t="s">
        <v>3044</v>
      </c>
      <c r="B1921" t="s">
        <v>266</v>
      </c>
      <c r="C1921" t="s">
        <v>8</v>
      </c>
      <c r="D1921" t="s">
        <v>3045</v>
      </c>
    </row>
    <row r="1922" spans="1:4" hidden="1" outlineLevel="2" x14ac:dyDescent="0.3">
      <c r="A1922" t="s">
        <v>3046</v>
      </c>
      <c r="B1922" t="s">
        <v>266</v>
      </c>
      <c r="C1922" t="s">
        <v>10</v>
      </c>
      <c r="D1922" t="s">
        <v>3047</v>
      </c>
    </row>
    <row r="1923" spans="1:4" hidden="1" outlineLevel="2" x14ac:dyDescent="0.3">
      <c r="A1923" t="s">
        <v>3048</v>
      </c>
      <c r="B1923" t="s">
        <v>266</v>
      </c>
      <c r="C1923" t="s">
        <v>10</v>
      </c>
      <c r="D1923" t="s">
        <v>3049</v>
      </c>
    </row>
    <row r="1924" spans="1:4" hidden="1" outlineLevel="2" x14ac:dyDescent="0.3">
      <c r="A1924" t="s">
        <v>3050</v>
      </c>
      <c r="B1924" t="s">
        <v>266</v>
      </c>
      <c r="C1924" t="s">
        <v>10</v>
      </c>
      <c r="D1924" t="s">
        <v>3051</v>
      </c>
    </row>
    <row r="1925" spans="1:4" hidden="1" outlineLevel="2" x14ac:dyDescent="0.3">
      <c r="A1925" t="s">
        <v>3052</v>
      </c>
      <c r="B1925" t="s">
        <v>266</v>
      </c>
      <c r="C1925" t="s">
        <v>10</v>
      </c>
      <c r="D1925" t="s">
        <v>3053</v>
      </c>
    </row>
    <row r="1926" spans="1:4" hidden="1" outlineLevel="2" x14ac:dyDescent="0.3">
      <c r="A1926" t="s">
        <v>3054</v>
      </c>
      <c r="B1926" t="s">
        <v>266</v>
      </c>
      <c r="C1926" t="s">
        <v>10</v>
      </c>
      <c r="D1926" t="s">
        <v>3053</v>
      </c>
    </row>
    <row r="1927" spans="1:4" hidden="1" outlineLevel="2" x14ac:dyDescent="0.3">
      <c r="A1927" t="s">
        <v>3055</v>
      </c>
      <c r="B1927" t="s">
        <v>266</v>
      </c>
      <c r="C1927" t="s">
        <v>10</v>
      </c>
      <c r="D1927" t="s">
        <v>3056</v>
      </c>
    </row>
    <row r="1928" spans="1:4" hidden="1" outlineLevel="2" x14ac:dyDescent="0.3">
      <c r="A1928" t="s">
        <v>3057</v>
      </c>
      <c r="B1928" t="s">
        <v>266</v>
      </c>
      <c r="C1928" t="s">
        <v>10</v>
      </c>
      <c r="D1928" t="s">
        <v>3058</v>
      </c>
    </row>
    <row r="1929" spans="1:4" hidden="1" outlineLevel="2" x14ac:dyDescent="0.3">
      <c r="A1929" t="s">
        <v>3059</v>
      </c>
      <c r="B1929" t="s">
        <v>266</v>
      </c>
      <c r="C1929" t="s">
        <v>10</v>
      </c>
      <c r="D1929" t="s">
        <v>3060</v>
      </c>
    </row>
    <row r="1930" spans="1:4" hidden="1" outlineLevel="2" x14ac:dyDescent="0.3">
      <c r="A1930" t="s">
        <v>3061</v>
      </c>
      <c r="B1930" t="s">
        <v>266</v>
      </c>
      <c r="C1930" t="s">
        <v>10</v>
      </c>
      <c r="D1930" t="s">
        <v>3060</v>
      </c>
    </row>
    <row r="1931" spans="1:4" hidden="1" outlineLevel="2" x14ac:dyDescent="0.3">
      <c r="A1931" t="s">
        <v>3062</v>
      </c>
      <c r="B1931" t="s">
        <v>266</v>
      </c>
      <c r="C1931" t="s">
        <v>10</v>
      </c>
      <c r="D1931" t="s">
        <v>3060</v>
      </c>
    </row>
    <row r="1932" spans="1:4" hidden="1" outlineLevel="2" x14ac:dyDescent="0.3">
      <c r="A1932" t="s">
        <v>3063</v>
      </c>
      <c r="B1932" t="s">
        <v>266</v>
      </c>
      <c r="C1932" t="s">
        <v>10</v>
      </c>
      <c r="D1932" t="s">
        <v>3060</v>
      </c>
    </row>
    <row r="1933" spans="1:4" hidden="1" outlineLevel="2" x14ac:dyDescent="0.3">
      <c r="A1933" t="s">
        <v>3064</v>
      </c>
      <c r="B1933" t="s">
        <v>266</v>
      </c>
      <c r="C1933" t="s">
        <v>8</v>
      </c>
      <c r="D1933" t="s">
        <v>3065</v>
      </c>
    </row>
    <row r="1934" spans="1:4" hidden="1" outlineLevel="2" x14ac:dyDescent="0.3">
      <c r="A1934" t="s">
        <v>3066</v>
      </c>
      <c r="B1934" t="s">
        <v>266</v>
      </c>
      <c r="C1934" t="s">
        <v>10</v>
      </c>
      <c r="D1934" t="s">
        <v>3067</v>
      </c>
    </row>
    <row r="1935" spans="1:4" hidden="1" outlineLevel="2" x14ac:dyDescent="0.3">
      <c r="A1935" t="s">
        <v>3068</v>
      </c>
      <c r="B1935" t="s">
        <v>266</v>
      </c>
      <c r="C1935" t="s">
        <v>10</v>
      </c>
      <c r="D1935" t="s">
        <v>3069</v>
      </c>
    </row>
    <row r="1936" spans="1:4" hidden="1" outlineLevel="2" x14ac:dyDescent="0.3">
      <c r="A1936" t="s">
        <v>3070</v>
      </c>
      <c r="B1936" t="s">
        <v>266</v>
      </c>
      <c r="C1936" t="s">
        <v>10</v>
      </c>
      <c r="D1936" t="s">
        <v>3071</v>
      </c>
    </row>
    <row r="1937" spans="1:4" hidden="1" outlineLevel="2" x14ac:dyDescent="0.3">
      <c r="A1937" t="s">
        <v>3072</v>
      </c>
      <c r="B1937" t="s">
        <v>266</v>
      </c>
      <c r="C1937" t="s">
        <v>10</v>
      </c>
      <c r="D1937" t="s">
        <v>3073</v>
      </c>
    </row>
    <row r="1938" spans="1:4" hidden="1" outlineLevel="2" x14ac:dyDescent="0.3">
      <c r="A1938" t="s">
        <v>3074</v>
      </c>
      <c r="B1938" t="s">
        <v>266</v>
      </c>
      <c r="C1938" t="s">
        <v>10</v>
      </c>
      <c r="D1938" t="s">
        <v>3075</v>
      </c>
    </row>
    <row r="1939" spans="1:4" hidden="1" outlineLevel="2" x14ac:dyDescent="0.3">
      <c r="A1939" t="s">
        <v>3076</v>
      </c>
      <c r="B1939" t="s">
        <v>266</v>
      </c>
      <c r="C1939" t="s">
        <v>8</v>
      </c>
      <c r="D1939" t="s">
        <v>3077</v>
      </c>
    </row>
    <row r="1940" spans="1:4" hidden="1" outlineLevel="2" x14ac:dyDescent="0.3">
      <c r="A1940" t="s">
        <v>3078</v>
      </c>
      <c r="B1940" t="s">
        <v>266</v>
      </c>
      <c r="C1940" t="s">
        <v>10</v>
      </c>
      <c r="D1940" t="s">
        <v>3079</v>
      </c>
    </row>
    <row r="1941" spans="1:4" hidden="1" outlineLevel="2" x14ac:dyDescent="0.3">
      <c r="A1941" t="s">
        <v>3080</v>
      </c>
      <c r="B1941" t="s">
        <v>266</v>
      </c>
      <c r="C1941" t="s">
        <v>10</v>
      </c>
      <c r="D1941" t="s">
        <v>3079</v>
      </c>
    </row>
    <row r="1942" spans="1:4" hidden="1" outlineLevel="2" x14ac:dyDescent="0.3">
      <c r="A1942" t="s">
        <v>3081</v>
      </c>
      <c r="B1942" t="s">
        <v>266</v>
      </c>
      <c r="C1942" t="s">
        <v>10</v>
      </c>
      <c r="D1942" t="s">
        <v>3079</v>
      </c>
    </row>
    <row r="1943" spans="1:4" hidden="1" outlineLevel="2" x14ac:dyDescent="0.3">
      <c r="A1943" t="s">
        <v>3082</v>
      </c>
      <c r="B1943" t="s">
        <v>266</v>
      </c>
      <c r="C1943" t="s">
        <v>10</v>
      </c>
      <c r="D1943" t="s">
        <v>3083</v>
      </c>
    </row>
    <row r="1944" spans="1:4" hidden="1" outlineLevel="2" x14ac:dyDescent="0.3">
      <c r="A1944" t="s">
        <v>3084</v>
      </c>
      <c r="B1944" t="s">
        <v>266</v>
      </c>
      <c r="C1944" t="s">
        <v>10</v>
      </c>
      <c r="D1944" t="s">
        <v>3085</v>
      </c>
    </row>
    <row r="1945" spans="1:4" hidden="1" outlineLevel="2" x14ac:dyDescent="0.3">
      <c r="A1945" t="s">
        <v>3086</v>
      </c>
      <c r="B1945" t="s">
        <v>266</v>
      </c>
      <c r="C1945" t="s">
        <v>10</v>
      </c>
      <c r="D1945" t="s">
        <v>3087</v>
      </c>
    </row>
    <row r="1946" spans="1:4" hidden="1" outlineLevel="2" x14ac:dyDescent="0.3">
      <c r="A1946" t="s">
        <v>3088</v>
      </c>
      <c r="B1946" t="s">
        <v>266</v>
      </c>
      <c r="C1946" t="s">
        <v>10</v>
      </c>
      <c r="D1946" t="s">
        <v>3089</v>
      </c>
    </row>
    <row r="1947" spans="1:4" hidden="1" outlineLevel="2" x14ac:dyDescent="0.3">
      <c r="A1947" t="s">
        <v>3090</v>
      </c>
      <c r="B1947" t="s">
        <v>266</v>
      </c>
      <c r="C1947" t="s">
        <v>8</v>
      </c>
      <c r="D1947" t="s">
        <v>3091</v>
      </c>
    </row>
    <row r="1948" spans="1:4" hidden="1" outlineLevel="2" x14ac:dyDescent="0.3">
      <c r="A1948" t="s">
        <v>3092</v>
      </c>
      <c r="B1948" t="s">
        <v>266</v>
      </c>
      <c r="C1948" t="s">
        <v>10</v>
      </c>
      <c r="D1948" t="s">
        <v>3093</v>
      </c>
    </row>
    <row r="1949" spans="1:4" hidden="1" outlineLevel="2" x14ac:dyDescent="0.3">
      <c r="A1949" t="s">
        <v>3094</v>
      </c>
      <c r="B1949" t="s">
        <v>266</v>
      </c>
      <c r="C1949" t="s">
        <v>10</v>
      </c>
      <c r="D1949" t="s">
        <v>3095</v>
      </c>
    </row>
    <row r="1950" spans="1:4" hidden="1" outlineLevel="2" x14ac:dyDescent="0.3">
      <c r="A1950" t="s">
        <v>3096</v>
      </c>
      <c r="B1950" t="s">
        <v>266</v>
      </c>
      <c r="C1950" t="s">
        <v>10</v>
      </c>
      <c r="D1950" t="s">
        <v>3097</v>
      </c>
    </row>
    <row r="1951" spans="1:4" hidden="1" outlineLevel="2" x14ac:dyDescent="0.3">
      <c r="A1951" t="s">
        <v>3098</v>
      </c>
      <c r="B1951" t="s">
        <v>266</v>
      </c>
      <c r="C1951" t="s">
        <v>10</v>
      </c>
      <c r="D1951" t="s">
        <v>3097</v>
      </c>
    </row>
    <row r="1952" spans="1:4" hidden="1" outlineLevel="2" x14ac:dyDescent="0.3">
      <c r="A1952" t="s">
        <v>3099</v>
      </c>
      <c r="B1952" t="s">
        <v>266</v>
      </c>
      <c r="C1952" t="s">
        <v>10</v>
      </c>
      <c r="D1952" t="s">
        <v>3100</v>
      </c>
    </row>
    <row r="1953" spans="1:4" hidden="1" outlineLevel="2" x14ac:dyDescent="0.3">
      <c r="A1953" t="s">
        <v>3101</v>
      </c>
      <c r="B1953" t="s">
        <v>266</v>
      </c>
      <c r="C1953" t="s">
        <v>10</v>
      </c>
      <c r="D1953" t="s">
        <v>3100</v>
      </c>
    </row>
    <row r="1954" spans="1:4" hidden="1" outlineLevel="2" x14ac:dyDescent="0.3">
      <c r="A1954" t="s">
        <v>3102</v>
      </c>
      <c r="B1954" t="s">
        <v>266</v>
      </c>
      <c r="C1954" t="s">
        <v>10</v>
      </c>
      <c r="D1954" t="s">
        <v>3103</v>
      </c>
    </row>
    <row r="1955" spans="1:4" hidden="1" outlineLevel="2" x14ac:dyDescent="0.3">
      <c r="A1955" t="s">
        <v>3104</v>
      </c>
      <c r="B1955" t="s">
        <v>266</v>
      </c>
      <c r="C1955" t="s">
        <v>10</v>
      </c>
      <c r="D1955" t="s">
        <v>3103</v>
      </c>
    </row>
    <row r="1956" spans="1:4" hidden="1" outlineLevel="2" x14ac:dyDescent="0.3">
      <c r="A1956" t="s">
        <v>3105</v>
      </c>
      <c r="B1956" t="s">
        <v>266</v>
      </c>
      <c r="C1956" t="s">
        <v>10</v>
      </c>
      <c r="D1956" t="s">
        <v>3106</v>
      </c>
    </row>
    <row r="1957" spans="1:4" hidden="1" outlineLevel="2" x14ac:dyDescent="0.3">
      <c r="A1957" t="s">
        <v>3107</v>
      </c>
      <c r="B1957" t="s">
        <v>266</v>
      </c>
      <c r="C1957" t="s">
        <v>10</v>
      </c>
      <c r="D1957" t="s">
        <v>3108</v>
      </c>
    </row>
    <row r="1958" spans="1:4" hidden="1" outlineLevel="2" x14ac:dyDescent="0.3">
      <c r="A1958" t="s">
        <v>3109</v>
      </c>
      <c r="B1958" t="s">
        <v>266</v>
      </c>
      <c r="C1958" t="s">
        <v>10</v>
      </c>
      <c r="D1958" t="s">
        <v>3110</v>
      </c>
    </row>
    <row r="1959" spans="1:4" hidden="1" outlineLevel="2" x14ac:dyDescent="0.3">
      <c r="A1959" t="s">
        <v>3111</v>
      </c>
      <c r="B1959" t="s">
        <v>266</v>
      </c>
      <c r="C1959" t="s">
        <v>10</v>
      </c>
      <c r="D1959" t="s">
        <v>3112</v>
      </c>
    </row>
    <row r="1960" spans="1:4" hidden="1" outlineLevel="2" x14ac:dyDescent="0.3">
      <c r="A1960" t="s">
        <v>3113</v>
      </c>
      <c r="B1960" t="s">
        <v>266</v>
      </c>
      <c r="C1960" t="s">
        <v>10</v>
      </c>
      <c r="D1960" t="s">
        <v>3114</v>
      </c>
    </row>
    <row r="1961" spans="1:4" hidden="1" outlineLevel="2" x14ac:dyDescent="0.3">
      <c r="A1961" t="s">
        <v>3115</v>
      </c>
      <c r="B1961" t="s">
        <v>266</v>
      </c>
      <c r="C1961" t="s">
        <v>10</v>
      </c>
      <c r="D1961" t="s">
        <v>3116</v>
      </c>
    </row>
    <row r="1962" spans="1:4" hidden="1" outlineLevel="2" x14ac:dyDescent="0.3">
      <c r="A1962" t="s">
        <v>3117</v>
      </c>
      <c r="B1962" t="s">
        <v>266</v>
      </c>
      <c r="C1962" t="s">
        <v>10</v>
      </c>
      <c r="D1962" t="s">
        <v>3118</v>
      </c>
    </row>
    <row r="1963" spans="1:4" hidden="1" outlineLevel="2" x14ac:dyDescent="0.3">
      <c r="A1963" t="s">
        <v>3119</v>
      </c>
      <c r="B1963" t="s">
        <v>266</v>
      </c>
      <c r="C1963" t="s">
        <v>8</v>
      </c>
      <c r="D1963" t="s">
        <v>3120</v>
      </c>
    </row>
    <row r="1964" spans="1:4" hidden="1" outlineLevel="2" x14ac:dyDescent="0.3">
      <c r="A1964" t="s">
        <v>3121</v>
      </c>
      <c r="B1964" t="s">
        <v>266</v>
      </c>
      <c r="C1964" t="s">
        <v>10</v>
      </c>
      <c r="D1964" t="s">
        <v>3122</v>
      </c>
    </row>
    <row r="1965" spans="1:4" hidden="1" outlineLevel="2" x14ac:dyDescent="0.3">
      <c r="A1965" t="s">
        <v>3123</v>
      </c>
      <c r="B1965" t="s">
        <v>266</v>
      </c>
      <c r="C1965" t="s">
        <v>8</v>
      </c>
      <c r="D1965" t="s">
        <v>3124</v>
      </c>
    </row>
    <row r="1966" spans="1:4" hidden="1" outlineLevel="2" x14ac:dyDescent="0.3">
      <c r="A1966" t="s">
        <v>3125</v>
      </c>
      <c r="B1966" t="s">
        <v>266</v>
      </c>
      <c r="C1966" t="s">
        <v>10</v>
      </c>
      <c r="D1966" t="s">
        <v>3126</v>
      </c>
    </row>
    <row r="1967" spans="1:4" hidden="1" outlineLevel="2" x14ac:dyDescent="0.3">
      <c r="A1967" t="s">
        <v>3127</v>
      </c>
      <c r="B1967" t="s">
        <v>266</v>
      </c>
      <c r="C1967" t="s">
        <v>10</v>
      </c>
      <c r="D1967" t="s">
        <v>3060</v>
      </c>
    </row>
    <row r="1968" spans="1:4" hidden="1" outlineLevel="2" x14ac:dyDescent="0.3">
      <c r="A1968" t="s">
        <v>3128</v>
      </c>
      <c r="B1968" t="s">
        <v>266</v>
      </c>
      <c r="C1968" t="s">
        <v>10</v>
      </c>
      <c r="D1968" t="s">
        <v>3060</v>
      </c>
    </row>
    <row r="1969" spans="1:4" hidden="1" outlineLevel="2" x14ac:dyDescent="0.3">
      <c r="A1969" t="s">
        <v>3129</v>
      </c>
      <c r="B1969" t="s">
        <v>266</v>
      </c>
      <c r="C1969" t="s">
        <v>10</v>
      </c>
      <c r="D1969" t="s">
        <v>3060</v>
      </c>
    </row>
    <row r="1970" spans="1:4" hidden="1" outlineLevel="2" x14ac:dyDescent="0.3">
      <c r="A1970" t="s">
        <v>3130</v>
      </c>
      <c r="B1970" t="s">
        <v>266</v>
      </c>
      <c r="C1970" t="s">
        <v>10</v>
      </c>
      <c r="D1970" t="s">
        <v>3060</v>
      </c>
    </row>
    <row r="1971" spans="1:4" hidden="1" outlineLevel="2" x14ac:dyDescent="0.3">
      <c r="A1971" t="s">
        <v>3131</v>
      </c>
      <c r="B1971" t="s">
        <v>266</v>
      </c>
      <c r="C1971" t="s">
        <v>10</v>
      </c>
      <c r="D1971" t="s">
        <v>3126</v>
      </c>
    </row>
    <row r="1972" spans="1:4" hidden="1" outlineLevel="2" x14ac:dyDescent="0.3">
      <c r="A1972" t="s">
        <v>3132</v>
      </c>
      <c r="B1972" t="s">
        <v>266</v>
      </c>
      <c r="C1972" t="s">
        <v>10</v>
      </c>
      <c r="D1972" t="s">
        <v>3133</v>
      </c>
    </row>
    <row r="1973" spans="1:4" hidden="1" outlineLevel="2" x14ac:dyDescent="0.3">
      <c r="A1973" t="s">
        <v>3134</v>
      </c>
      <c r="B1973" t="s">
        <v>3825</v>
      </c>
      <c r="C1973" t="s">
        <v>8</v>
      </c>
      <c r="D1973" t="s">
        <v>3135</v>
      </c>
    </row>
    <row r="1974" spans="1:4" hidden="1" outlineLevel="2" x14ac:dyDescent="0.3">
      <c r="A1974" t="s">
        <v>3136</v>
      </c>
      <c r="B1974" t="s">
        <v>3825</v>
      </c>
      <c r="C1974" t="s">
        <v>8</v>
      </c>
      <c r="D1974" t="s">
        <v>3137</v>
      </c>
    </row>
    <row r="1975" spans="1:4" hidden="1" outlineLevel="2" x14ac:dyDescent="0.3">
      <c r="A1975" t="s">
        <v>3138</v>
      </c>
      <c r="B1975" t="s">
        <v>3825</v>
      </c>
      <c r="C1975" t="s">
        <v>10</v>
      </c>
      <c r="D1975" t="s">
        <v>3139</v>
      </c>
    </row>
    <row r="1976" spans="1:4" hidden="1" outlineLevel="2" x14ac:dyDescent="0.3">
      <c r="A1976" t="s">
        <v>3140</v>
      </c>
      <c r="B1976" t="s">
        <v>3825</v>
      </c>
      <c r="C1976" t="s">
        <v>10</v>
      </c>
      <c r="D1976" t="s">
        <v>3141</v>
      </c>
    </row>
    <row r="1977" spans="1:4" hidden="1" outlineLevel="2" x14ac:dyDescent="0.3">
      <c r="A1977" t="s">
        <v>3142</v>
      </c>
      <c r="B1977" t="s">
        <v>3825</v>
      </c>
      <c r="C1977" t="s">
        <v>10</v>
      </c>
      <c r="D1977" t="s">
        <v>3143</v>
      </c>
    </row>
    <row r="1978" spans="1:4" hidden="1" outlineLevel="2" x14ac:dyDescent="0.3">
      <c r="A1978" t="s">
        <v>3144</v>
      </c>
      <c r="B1978" t="s">
        <v>3825</v>
      </c>
      <c r="C1978" t="s">
        <v>10</v>
      </c>
      <c r="D1978" t="s">
        <v>3145</v>
      </c>
    </row>
    <row r="1979" spans="1:4" hidden="1" outlineLevel="2" x14ac:dyDescent="0.3">
      <c r="A1979" t="s">
        <v>3146</v>
      </c>
      <c r="B1979" t="s">
        <v>3825</v>
      </c>
      <c r="C1979" t="s">
        <v>10</v>
      </c>
      <c r="D1979" t="s">
        <v>3147</v>
      </c>
    </row>
    <row r="1980" spans="1:4" hidden="1" outlineLevel="2" x14ac:dyDescent="0.3">
      <c r="A1980" t="s">
        <v>3148</v>
      </c>
      <c r="B1980" t="s">
        <v>3825</v>
      </c>
      <c r="C1980" t="s">
        <v>10</v>
      </c>
      <c r="D1980" t="s">
        <v>3149</v>
      </c>
    </row>
    <row r="1981" spans="1:4" hidden="1" outlineLevel="2" x14ac:dyDescent="0.3">
      <c r="A1981" t="s">
        <v>3150</v>
      </c>
      <c r="B1981" t="s">
        <v>3825</v>
      </c>
      <c r="C1981" t="s">
        <v>10</v>
      </c>
      <c r="D1981" t="s">
        <v>3151</v>
      </c>
    </row>
    <row r="1982" spans="1:4" hidden="1" outlineLevel="2" x14ac:dyDescent="0.3">
      <c r="A1982" t="s">
        <v>3152</v>
      </c>
      <c r="B1982" t="s">
        <v>3825</v>
      </c>
      <c r="C1982" t="s">
        <v>10</v>
      </c>
      <c r="D1982" t="s">
        <v>3153</v>
      </c>
    </row>
    <row r="1983" spans="1:4" hidden="1" outlineLevel="2" x14ac:dyDescent="0.3">
      <c r="A1983" t="s">
        <v>3154</v>
      </c>
      <c r="B1983" t="s">
        <v>3825</v>
      </c>
      <c r="C1983" t="s">
        <v>10</v>
      </c>
      <c r="D1983" t="s">
        <v>3155</v>
      </c>
    </row>
    <row r="1984" spans="1:4" hidden="1" outlineLevel="2" x14ac:dyDescent="0.3">
      <c r="A1984" t="s">
        <v>3156</v>
      </c>
      <c r="B1984" t="s">
        <v>3825</v>
      </c>
      <c r="C1984" t="s">
        <v>10</v>
      </c>
      <c r="D1984" t="s">
        <v>3157</v>
      </c>
    </row>
    <row r="1985" spans="1:4" hidden="1" outlineLevel="2" x14ac:dyDescent="0.3">
      <c r="A1985" t="s">
        <v>3158</v>
      </c>
      <c r="B1985" t="s">
        <v>3825</v>
      </c>
      <c r="C1985" t="s">
        <v>10</v>
      </c>
      <c r="D1985" t="s">
        <v>3159</v>
      </c>
    </row>
    <row r="1986" spans="1:4" hidden="1" outlineLevel="2" x14ac:dyDescent="0.3">
      <c r="A1986" t="s">
        <v>3160</v>
      </c>
      <c r="B1986" t="s">
        <v>266</v>
      </c>
      <c r="C1986" t="s">
        <v>8</v>
      </c>
      <c r="D1986" t="s">
        <v>3161</v>
      </c>
    </row>
    <row r="1987" spans="1:4" hidden="1" outlineLevel="2" x14ac:dyDescent="0.3">
      <c r="A1987" t="s">
        <v>3162</v>
      </c>
      <c r="B1987" t="s">
        <v>266</v>
      </c>
      <c r="C1987" t="s">
        <v>8</v>
      </c>
      <c r="D1987" t="s">
        <v>3163</v>
      </c>
    </row>
    <row r="1988" spans="1:4" hidden="1" outlineLevel="2" x14ac:dyDescent="0.3">
      <c r="A1988" t="s">
        <v>3164</v>
      </c>
      <c r="B1988" t="s">
        <v>266</v>
      </c>
      <c r="C1988" t="s">
        <v>8</v>
      </c>
      <c r="D1988" t="s">
        <v>3163</v>
      </c>
    </row>
    <row r="1989" spans="1:4" hidden="1" outlineLevel="2" x14ac:dyDescent="0.3">
      <c r="A1989" t="s">
        <v>3165</v>
      </c>
      <c r="B1989" t="s">
        <v>3891</v>
      </c>
      <c r="C1989" t="s">
        <v>8</v>
      </c>
      <c r="D1989" t="s">
        <v>3166</v>
      </c>
    </row>
    <row r="1990" spans="1:4" hidden="1" outlineLevel="2" x14ac:dyDescent="0.3">
      <c r="A1990" t="s">
        <v>3167</v>
      </c>
      <c r="B1990" t="s">
        <v>3891</v>
      </c>
      <c r="C1990" t="s">
        <v>8</v>
      </c>
      <c r="D1990" t="s">
        <v>3168</v>
      </c>
    </row>
    <row r="1991" spans="1:4" hidden="1" outlineLevel="2" x14ac:dyDescent="0.3">
      <c r="A1991" t="s">
        <v>3169</v>
      </c>
      <c r="B1991" t="s">
        <v>266</v>
      </c>
      <c r="C1991" t="s">
        <v>10</v>
      </c>
      <c r="D1991" t="s">
        <v>3170</v>
      </c>
    </row>
    <row r="1992" spans="1:4" hidden="1" outlineLevel="2" x14ac:dyDescent="0.3">
      <c r="A1992" t="s">
        <v>3171</v>
      </c>
      <c r="B1992" t="s">
        <v>266</v>
      </c>
      <c r="C1992" t="s">
        <v>10</v>
      </c>
      <c r="D1992" t="s">
        <v>3172</v>
      </c>
    </row>
    <row r="1993" spans="1:4" hidden="1" outlineLevel="2" x14ac:dyDescent="0.3">
      <c r="A1993" t="s">
        <v>3173</v>
      </c>
      <c r="B1993" t="s">
        <v>266</v>
      </c>
      <c r="C1993" t="s">
        <v>10</v>
      </c>
      <c r="D1993" t="s">
        <v>3174</v>
      </c>
    </row>
    <row r="1994" spans="1:4" hidden="1" outlineLevel="2" x14ac:dyDescent="0.3">
      <c r="A1994" t="s">
        <v>3175</v>
      </c>
      <c r="B1994" t="s">
        <v>266</v>
      </c>
      <c r="C1994" t="s">
        <v>10</v>
      </c>
      <c r="D1994" t="s">
        <v>3176</v>
      </c>
    </row>
    <row r="1995" spans="1:4" hidden="1" outlineLevel="2" x14ac:dyDescent="0.3">
      <c r="A1995" t="s">
        <v>3177</v>
      </c>
      <c r="B1995" t="s">
        <v>266</v>
      </c>
      <c r="C1995" t="s">
        <v>10</v>
      </c>
      <c r="D1995" t="s">
        <v>3178</v>
      </c>
    </row>
    <row r="1996" spans="1:4" hidden="1" outlineLevel="2" x14ac:dyDescent="0.3">
      <c r="A1996" t="s">
        <v>3179</v>
      </c>
      <c r="B1996" t="s">
        <v>266</v>
      </c>
      <c r="C1996" t="s">
        <v>10</v>
      </c>
      <c r="D1996" t="s">
        <v>3180</v>
      </c>
    </row>
    <row r="1997" spans="1:4" hidden="1" outlineLevel="2" x14ac:dyDescent="0.3">
      <c r="A1997" t="s">
        <v>3181</v>
      </c>
      <c r="B1997" t="s">
        <v>266</v>
      </c>
      <c r="C1997" t="s">
        <v>10</v>
      </c>
      <c r="D1997" t="s">
        <v>3182</v>
      </c>
    </row>
    <row r="1998" spans="1:4" hidden="1" outlineLevel="2" x14ac:dyDescent="0.3">
      <c r="A1998" t="s">
        <v>3183</v>
      </c>
      <c r="B1998" t="s">
        <v>266</v>
      </c>
      <c r="C1998" t="s">
        <v>10</v>
      </c>
      <c r="D1998" t="s">
        <v>3184</v>
      </c>
    </row>
    <row r="1999" spans="1:4" hidden="1" outlineLevel="2" x14ac:dyDescent="0.3">
      <c r="A1999" t="s">
        <v>3185</v>
      </c>
      <c r="B1999" t="s">
        <v>266</v>
      </c>
      <c r="C1999" t="s">
        <v>10</v>
      </c>
      <c r="D1999" t="s">
        <v>3186</v>
      </c>
    </row>
    <row r="2000" spans="1:4" hidden="1" outlineLevel="2" x14ac:dyDescent="0.3">
      <c r="A2000" t="s">
        <v>3187</v>
      </c>
      <c r="B2000" t="s">
        <v>266</v>
      </c>
      <c r="C2000" t="s">
        <v>10</v>
      </c>
      <c r="D2000" t="s">
        <v>3188</v>
      </c>
    </row>
    <row r="2001" spans="1:4" hidden="1" outlineLevel="2" x14ac:dyDescent="0.3">
      <c r="A2001" t="s">
        <v>3189</v>
      </c>
      <c r="B2001" t="s">
        <v>266</v>
      </c>
      <c r="C2001" t="s">
        <v>10</v>
      </c>
      <c r="D2001" t="s">
        <v>3190</v>
      </c>
    </row>
    <row r="2002" spans="1:4" hidden="1" outlineLevel="2" x14ac:dyDescent="0.3">
      <c r="A2002" t="s">
        <v>3191</v>
      </c>
      <c r="B2002" t="s">
        <v>266</v>
      </c>
      <c r="C2002" t="s">
        <v>10</v>
      </c>
      <c r="D2002" t="s">
        <v>3192</v>
      </c>
    </row>
    <row r="2003" spans="1:4" hidden="1" outlineLevel="2" x14ac:dyDescent="0.3">
      <c r="A2003" t="s">
        <v>3193</v>
      </c>
      <c r="B2003" t="s">
        <v>266</v>
      </c>
      <c r="C2003" t="s">
        <v>10</v>
      </c>
      <c r="D2003" t="s">
        <v>3194</v>
      </c>
    </row>
    <row r="2004" spans="1:4" hidden="1" outlineLevel="2" x14ac:dyDescent="0.3">
      <c r="A2004" t="s">
        <v>3195</v>
      </c>
      <c r="B2004" t="s">
        <v>266</v>
      </c>
      <c r="C2004" t="s">
        <v>10</v>
      </c>
      <c r="D2004" t="s">
        <v>3196</v>
      </c>
    </row>
    <row r="2005" spans="1:4" hidden="1" outlineLevel="2" x14ac:dyDescent="0.3">
      <c r="A2005" t="s">
        <v>3197</v>
      </c>
      <c r="B2005" t="s">
        <v>266</v>
      </c>
      <c r="C2005" t="s">
        <v>10</v>
      </c>
      <c r="D2005" t="s">
        <v>3198</v>
      </c>
    </row>
    <row r="2006" spans="1:4" hidden="1" outlineLevel="2" x14ac:dyDescent="0.3">
      <c r="A2006" t="s">
        <v>3199</v>
      </c>
      <c r="B2006" t="s">
        <v>266</v>
      </c>
      <c r="C2006" t="s">
        <v>10</v>
      </c>
      <c r="D2006" t="s">
        <v>3200</v>
      </c>
    </row>
    <row r="2007" spans="1:4" hidden="1" outlineLevel="2" x14ac:dyDescent="0.3">
      <c r="A2007" t="s">
        <v>3201</v>
      </c>
      <c r="B2007" t="s">
        <v>266</v>
      </c>
      <c r="C2007" t="s">
        <v>10</v>
      </c>
      <c r="D2007" t="s">
        <v>3202</v>
      </c>
    </row>
    <row r="2008" spans="1:4" hidden="1" outlineLevel="2" x14ac:dyDescent="0.3">
      <c r="A2008" t="s">
        <v>3203</v>
      </c>
      <c r="B2008" t="s">
        <v>266</v>
      </c>
      <c r="C2008" t="s">
        <v>10</v>
      </c>
      <c r="D2008" t="s">
        <v>3204</v>
      </c>
    </row>
    <row r="2009" spans="1:4" hidden="1" outlineLevel="2" x14ac:dyDescent="0.3">
      <c r="A2009" t="s">
        <v>3205</v>
      </c>
      <c r="B2009" t="s">
        <v>266</v>
      </c>
      <c r="C2009" t="s">
        <v>10</v>
      </c>
      <c r="D2009" t="s">
        <v>3206</v>
      </c>
    </row>
    <row r="2010" spans="1:4" hidden="1" outlineLevel="2" x14ac:dyDescent="0.3">
      <c r="A2010" t="s">
        <v>3207</v>
      </c>
      <c r="B2010" t="s">
        <v>266</v>
      </c>
      <c r="C2010" t="s">
        <v>8</v>
      </c>
      <c r="D2010" t="s">
        <v>3208</v>
      </c>
    </row>
    <row r="2011" spans="1:4" hidden="1" outlineLevel="2" x14ac:dyDescent="0.3">
      <c r="A2011" t="s">
        <v>3209</v>
      </c>
      <c r="B2011" t="s">
        <v>266</v>
      </c>
      <c r="C2011" t="s">
        <v>8</v>
      </c>
      <c r="D2011" t="s">
        <v>3210</v>
      </c>
    </row>
    <row r="2012" spans="1:4" hidden="1" outlineLevel="2" x14ac:dyDescent="0.3">
      <c r="A2012" t="s">
        <v>3211</v>
      </c>
      <c r="B2012" t="s">
        <v>266</v>
      </c>
      <c r="C2012" t="s">
        <v>10</v>
      </c>
      <c r="D2012" t="s">
        <v>3212</v>
      </c>
    </row>
    <row r="2013" spans="1:4" hidden="1" outlineLevel="2" x14ac:dyDescent="0.3">
      <c r="A2013" t="s">
        <v>3213</v>
      </c>
      <c r="B2013" t="s">
        <v>266</v>
      </c>
      <c r="C2013" t="s">
        <v>10</v>
      </c>
      <c r="D2013" t="s">
        <v>3212</v>
      </c>
    </row>
    <row r="2014" spans="1:4" hidden="1" outlineLevel="2" x14ac:dyDescent="0.3">
      <c r="A2014" t="s">
        <v>3214</v>
      </c>
      <c r="B2014" t="s">
        <v>3825</v>
      </c>
      <c r="C2014" t="s">
        <v>10</v>
      </c>
      <c r="D2014" t="s">
        <v>3215</v>
      </c>
    </row>
    <row r="2015" spans="1:4" hidden="1" outlineLevel="2" x14ac:dyDescent="0.3">
      <c r="A2015" t="s">
        <v>3216</v>
      </c>
      <c r="B2015" t="s">
        <v>3825</v>
      </c>
      <c r="C2015" t="s">
        <v>8</v>
      </c>
      <c r="D2015" t="s">
        <v>3217</v>
      </c>
    </row>
    <row r="2016" spans="1:4" hidden="1" outlineLevel="2" x14ac:dyDescent="0.3">
      <c r="A2016" t="s">
        <v>3218</v>
      </c>
      <c r="B2016" t="s">
        <v>3825</v>
      </c>
      <c r="C2016" t="s">
        <v>10</v>
      </c>
      <c r="D2016" t="s">
        <v>3219</v>
      </c>
    </row>
    <row r="2017" spans="1:4" hidden="1" outlineLevel="2" x14ac:dyDescent="0.3">
      <c r="A2017" t="s">
        <v>3220</v>
      </c>
      <c r="B2017" t="s">
        <v>3825</v>
      </c>
      <c r="C2017" t="s">
        <v>10</v>
      </c>
      <c r="D2017" t="s">
        <v>3221</v>
      </c>
    </row>
    <row r="2018" spans="1:4" hidden="1" outlineLevel="2" x14ac:dyDescent="0.3">
      <c r="A2018" t="s">
        <v>3222</v>
      </c>
      <c r="B2018" t="s">
        <v>3825</v>
      </c>
      <c r="C2018" t="s">
        <v>10</v>
      </c>
      <c r="D2018" t="s">
        <v>3223</v>
      </c>
    </row>
    <row r="2019" spans="1:4" hidden="1" outlineLevel="2" x14ac:dyDescent="0.3">
      <c r="A2019" t="s">
        <v>3224</v>
      </c>
      <c r="B2019" t="s">
        <v>3825</v>
      </c>
      <c r="C2019" t="s">
        <v>8</v>
      </c>
      <c r="D2019" t="s">
        <v>3225</v>
      </c>
    </row>
    <row r="2020" spans="1:4" hidden="1" outlineLevel="2" x14ac:dyDescent="0.3">
      <c r="A2020" t="s">
        <v>3226</v>
      </c>
      <c r="B2020" t="s">
        <v>3891</v>
      </c>
      <c r="C2020" t="s">
        <v>8</v>
      </c>
      <c r="D2020" t="s">
        <v>3227</v>
      </c>
    </row>
    <row r="2021" spans="1:4" hidden="1" outlineLevel="2" x14ac:dyDescent="0.3">
      <c r="A2021" t="s">
        <v>3228</v>
      </c>
      <c r="B2021" t="s">
        <v>3891</v>
      </c>
      <c r="C2021" t="s">
        <v>8</v>
      </c>
      <c r="D2021" t="s">
        <v>3229</v>
      </c>
    </row>
    <row r="2022" spans="1:4" hidden="1" outlineLevel="2" x14ac:dyDescent="0.3">
      <c r="A2022" t="s">
        <v>3230</v>
      </c>
      <c r="B2022" t="s">
        <v>266</v>
      </c>
      <c r="C2022" t="s">
        <v>8</v>
      </c>
      <c r="D2022" t="s">
        <v>3231</v>
      </c>
    </row>
    <row r="2023" spans="1:4" hidden="1" outlineLevel="2" x14ac:dyDescent="0.3">
      <c r="A2023" t="s">
        <v>3232</v>
      </c>
      <c r="B2023" t="s">
        <v>266</v>
      </c>
      <c r="C2023" t="s">
        <v>8</v>
      </c>
      <c r="D2023" t="s">
        <v>3231</v>
      </c>
    </row>
    <row r="2024" spans="1:4" hidden="1" outlineLevel="2" x14ac:dyDescent="0.3">
      <c r="A2024" t="s">
        <v>3233</v>
      </c>
      <c r="B2024" t="s">
        <v>3891</v>
      </c>
      <c r="C2024" t="s">
        <v>8</v>
      </c>
      <c r="D2024" s="15" t="s">
        <v>3234</v>
      </c>
    </row>
    <row r="2025" spans="1:4" hidden="1" outlineLevel="2" x14ac:dyDescent="0.3">
      <c r="A2025" t="s">
        <v>3235</v>
      </c>
      <c r="B2025" t="s">
        <v>266</v>
      </c>
      <c r="C2025" t="s">
        <v>8</v>
      </c>
      <c r="D2025" t="s">
        <v>3236</v>
      </c>
    </row>
    <row r="2026" spans="1:4" hidden="1" outlineLevel="2" x14ac:dyDescent="0.3">
      <c r="A2026" t="s">
        <v>3237</v>
      </c>
      <c r="B2026" t="s">
        <v>3891</v>
      </c>
      <c r="C2026" t="s">
        <v>10</v>
      </c>
      <c r="D2026" t="s">
        <v>3238</v>
      </c>
    </row>
    <row r="2027" spans="1:4" hidden="1" outlineLevel="2" x14ac:dyDescent="0.3">
      <c r="A2027" t="s">
        <v>3239</v>
      </c>
      <c r="B2027" t="s">
        <v>3891</v>
      </c>
      <c r="C2027" t="s">
        <v>8</v>
      </c>
      <c r="D2027" t="s">
        <v>3240</v>
      </c>
    </row>
    <row r="2028" spans="1:4" hidden="1" outlineLevel="2" x14ac:dyDescent="0.3">
      <c r="A2028" t="s">
        <v>3241</v>
      </c>
      <c r="B2028" t="s">
        <v>3891</v>
      </c>
      <c r="C2028" t="s">
        <v>8</v>
      </c>
      <c r="D2028" t="s">
        <v>3242</v>
      </c>
    </row>
    <row r="2029" spans="1:4" hidden="1" outlineLevel="2" x14ac:dyDescent="0.3">
      <c r="A2029" t="s">
        <v>3243</v>
      </c>
      <c r="B2029" t="s">
        <v>3891</v>
      </c>
      <c r="C2029" t="s">
        <v>8</v>
      </c>
      <c r="D2029" t="s">
        <v>3242</v>
      </c>
    </row>
    <row r="2030" spans="1:4" hidden="1" outlineLevel="2" x14ac:dyDescent="0.3">
      <c r="A2030" t="s">
        <v>3244</v>
      </c>
      <c r="B2030" t="s">
        <v>3891</v>
      </c>
      <c r="C2030" t="s">
        <v>8</v>
      </c>
      <c r="D2030" t="s">
        <v>3245</v>
      </c>
    </row>
    <row r="2031" spans="1:4" hidden="1" outlineLevel="2" x14ac:dyDescent="0.3">
      <c r="A2031" t="s">
        <v>3246</v>
      </c>
      <c r="B2031" t="s">
        <v>266</v>
      </c>
      <c r="C2031" t="s">
        <v>10</v>
      </c>
      <c r="D2031" t="s">
        <v>3247</v>
      </c>
    </row>
    <row r="2032" spans="1:4" hidden="1" outlineLevel="2" x14ac:dyDescent="0.3">
      <c r="A2032" t="s">
        <v>3248</v>
      </c>
      <c r="B2032" t="s">
        <v>3825</v>
      </c>
      <c r="C2032" t="s">
        <v>10</v>
      </c>
      <c r="D2032" t="s">
        <v>3249</v>
      </c>
    </row>
    <row r="2033" spans="1:4" hidden="1" outlineLevel="2" x14ac:dyDescent="0.3">
      <c r="A2033" t="s">
        <v>3250</v>
      </c>
      <c r="B2033" t="s">
        <v>266</v>
      </c>
      <c r="C2033" t="s">
        <v>10</v>
      </c>
      <c r="D2033" t="s">
        <v>3251</v>
      </c>
    </row>
    <row r="2034" spans="1:4" hidden="1" outlineLevel="2" x14ac:dyDescent="0.3">
      <c r="A2034" t="s">
        <v>3252</v>
      </c>
      <c r="B2034" t="s">
        <v>266</v>
      </c>
      <c r="C2034" t="s">
        <v>10</v>
      </c>
      <c r="D2034" t="s">
        <v>3253</v>
      </c>
    </row>
    <row r="2035" spans="1:4" hidden="1" outlineLevel="2" x14ac:dyDescent="0.3">
      <c r="A2035" t="s">
        <v>3254</v>
      </c>
      <c r="B2035" t="s">
        <v>266</v>
      </c>
      <c r="C2035" t="s">
        <v>10</v>
      </c>
      <c r="D2035" t="s">
        <v>3255</v>
      </c>
    </row>
    <row r="2036" spans="1:4" hidden="1" outlineLevel="2" x14ac:dyDescent="0.3">
      <c r="A2036" t="s">
        <v>3256</v>
      </c>
      <c r="B2036" t="s">
        <v>266</v>
      </c>
      <c r="C2036" t="s">
        <v>10</v>
      </c>
      <c r="D2036" t="s">
        <v>3257</v>
      </c>
    </row>
    <row r="2037" spans="1:4" hidden="1" outlineLevel="2" x14ac:dyDescent="0.3">
      <c r="A2037" t="s">
        <v>3258</v>
      </c>
      <c r="B2037" t="s">
        <v>266</v>
      </c>
      <c r="C2037" t="s">
        <v>10</v>
      </c>
      <c r="D2037" t="s">
        <v>3259</v>
      </c>
    </row>
    <row r="2038" spans="1:4" hidden="1" outlineLevel="2" x14ac:dyDescent="0.3">
      <c r="A2038" t="s">
        <v>3260</v>
      </c>
      <c r="B2038" t="s">
        <v>266</v>
      </c>
      <c r="C2038" t="s">
        <v>10</v>
      </c>
      <c r="D2038" t="s">
        <v>3261</v>
      </c>
    </row>
    <row r="2039" spans="1:4" hidden="1" outlineLevel="2" x14ac:dyDescent="0.3">
      <c r="A2039" t="s">
        <v>3262</v>
      </c>
      <c r="B2039" t="s">
        <v>266</v>
      </c>
      <c r="C2039" t="s">
        <v>10</v>
      </c>
      <c r="D2039" t="s">
        <v>3263</v>
      </c>
    </row>
    <row r="2040" spans="1:4" hidden="1" outlineLevel="2" x14ac:dyDescent="0.3">
      <c r="A2040" t="s">
        <v>3264</v>
      </c>
      <c r="B2040" t="s">
        <v>266</v>
      </c>
      <c r="C2040" t="s">
        <v>10</v>
      </c>
      <c r="D2040" t="s">
        <v>3265</v>
      </c>
    </row>
    <row r="2041" spans="1:4" hidden="1" outlineLevel="2" x14ac:dyDescent="0.3">
      <c r="A2041" t="s">
        <v>3266</v>
      </c>
      <c r="B2041" t="s">
        <v>266</v>
      </c>
      <c r="C2041" t="s">
        <v>10</v>
      </c>
      <c r="D2041" t="s">
        <v>3267</v>
      </c>
    </row>
    <row r="2042" spans="1:4" hidden="1" outlineLevel="2" x14ac:dyDescent="0.3">
      <c r="A2042" t="s">
        <v>3268</v>
      </c>
      <c r="B2042" t="s">
        <v>266</v>
      </c>
      <c r="C2042" t="s">
        <v>10</v>
      </c>
      <c r="D2042" t="s">
        <v>3269</v>
      </c>
    </row>
    <row r="2043" spans="1:4" hidden="1" outlineLevel="2" x14ac:dyDescent="0.3">
      <c r="A2043" t="s">
        <v>3270</v>
      </c>
      <c r="B2043" t="s">
        <v>266</v>
      </c>
      <c r="C2043" t="s">
        <v>10</v>
      </c>
      <c r="D2043" t="s">
        <v>3271</v>
      </c>
    </row>
    <row r="2044" spans="1:4" hidden="1" outlineLevel="2" x14ac:dyDescent="0.3">
      <c r="A2044" t="s">
        <v>3272</v>
      </c>
      <c r="B2044" t="s">
        <v>3825</v>
      </c>
      <c r="C2044" t="s">
        <v>10</v>
      </c>
      <c r="D2044" t="s">
        <v>3273</v>
      </c>
    </row>
    <row r="2045" spans="1:4" hidden="1" outlineLevel="2" x14ac:dyDescent="0.3">
      <c r="A2045" t="s">
        <v>3274</v>
      </c>
      <c r="B2045" t="s">
        <v>3825</v>
      </c>
      <c r="C2045" t="s">
        <v>10</v>
      </c>
      <c r="D2045" t="s">
        <v>3275</v>
      </c>
    </row>
    <row r="2046" spans="1:4" hidden="1" outlineLevel="2" x14ac:dyDescent="0.3">
      <c r="A2046" t="s">
        <v>3276</v>
      </c>
      <c r="B2046" t="s">
        <v>3825</v>
      </c>
      <c r="C2046" t="s">
        <v>8</v>
      </c>
      <c r="D2046" t="s">
        <v>3277</v>
      </c>
    </row>
    <row r="2047" spans="1:4" hidden="1" outlineLevel="2" x14ac:dyDescent="0.3">
      <c r="A2047" t="s">
        <v>3278</v>
      </c>
      <c r="B2047" t="s">
        <v>3825</v>
      </c>
      <c r="C2047" t="s">
        <v>8</v>
      </c>
      <c r="D2047" t="s">
        <v>3279</v>
      </c>
    </row>
    <row r="2048" spans="1:4" hidden="1" outlineLevel="2" x14ac:dyDescent="0.3">
      <c r="A2048" t="s">
        <v>3280</v>
      </c>
      <c r="B2048" t="s">
        <v>266</v>
      </c>
      <c r="C2048" t="s">
        <v>10</v>
      </c>
      <c r="D2048" t="s">
        <v>3281</v>
      </c>
    </row>
    <row r="2049" spans="1:4" hidden="1" outlineLevel="2" x14ac:dyDescent="0.3">
      <c r="A2049" t="s">
        <v>3282</v>
      </c>
      <c r="B2049" t="s">
        <v>3825</v>
      </c>
      <c r="C2049" t="s">
        <v>10</v>
      </c>
      <c r="D2049" t="s">
        <v>3283</v>
      </c>
    </row>
    <row r="2050" spans="1:4" hidden="1" outlineLevel="2" x14ac:dyDescent="0.3">
      <c r="A2050" t="s">
        <v>3284</v>
      </c>
      <c r="B2050" t="s">
        <v>3891</v>
      </c>
      <c r="C2050" t="s">
        <v>8</v>
      </c>
      <c r="D2050" t="s">
        <v>3285</v>
      </c>
    </row>
    <row r="2051" spans="1:4" hidden="1" outlineLevel="2" x14ac:dyDescent="0.3">
      <c r="A2051" t="s">
        <v>3286</v>
      </c>
      <c r="B2051" t="s">
        <v>3891</v>
      </c>
      <c r="C2051" t="s">
        <v>8</v>
      </c>
      <c r="D2051" t="s">
        <v>3287</v>
      </c>
    </row>
    <row r="2052" spans="1:4" hidden="1" outlineLevel="2" x14ac:dyDescent="0.3">
      <c r="A2052" t="s">
        <v>3288</v>
      </c>
      <c r="B2052" t="s">
        <v>266</v>
      </c>
      <c r="C2052" t="s">
        <v>8</v>
      </c>
      <c r="D2052" t="s">
        <v>3289</v>
      </c>
    </row>
    <row r="2053" spans="1:4" hidden="1" outlineLevel="2" x14ac:dyDescent="0.3">
      <c r="A2053" t="s">
        <v>3290</v>
      </c>
      <c r="B2053" t="s">
        <v>3891</v>
      </c>
      <c r="C2053" t="s">
        <v>8</v>
      </c>
      <c r="D2053" t="s">
        <v>3291</v>
      </c>
    </row>
    <row r="2054" spans="1:4" hidden="1" outlineLevel="2" x14ac:dyDescent="0.3">
      <c r="A2054" t="s">
        <v>3292</v>
      </c>
      <c r="B2054" t="s">
        <v>266</v>
      </c>
      <c r="C2054" t="s">
        <v>10</v>
      </c>
      <c r="D2054" t="s">
        <v>3293</v>
      </c>
    </row>
    <row r="2055" spans="1:4" hidden="1" outlineLevel="2" x14ac:dyDescent="0.3">
      <c r="A2055" t="s">
        <v>3294</v>
      </c>
      <c r="B2055" t="s">
        <v>3891</v>
      </c>
      <c r="C2055" t="s">
        <v>8</v>
      </c>
      <c r="D2055" t="s">
        <v>3295</v>
      </c>
    </row>
    <row r="2056" spans="1:4" hidden="1" outlineLevel="2" x14ac:dyDescent="0.3">
      <c r="A2056" t="s">
        <v>3296</v>
      </c>
      <c r="B2056" t="s">
        <v>266</v>
      </c>
      <c r="C2056" t="s">
        <v>8</v>
      </c>
      <c r="D2056" t="s">
        <v>3297</v>
      </c>
    </row>
    <row r="2057" spans="1:4" hidden="1" outlineLevel="2" x14ac:dyDescent="0.3">
      <c r="A2057" t="s">
        <v>3298</v>
      </c>
      <c r="B2057" t="s">
        <v>266</v>
      </c>
      <c r="C2057" t="s">
        <v>8</v>
      </c>
      <c r="D2057" t="s">
        <v>3297</v>
      </c>
    </row>
    <row r="2058" spans="1:4" hidden="1" outlineLevel="2" x14ac:dyDescent="0.3">
      <c r="A2058" t="s">
        <v>3299</v>
      </c>
      <c r="B2058" t="s">
        <v>3825</v>
      </c>
      <c r="C2058" t="s">
        <v>10</v>
      </c>
      <c r="D2058" t="s">
        <v>3300</v>
      </c>
    </row>
    <row r="2059" spans="1:4" hidden="1" outlineLevel="2" x14ac:dyDescent="0.3">
      <c r="A2059" t="s">
        <v>3301</v>
      </c>
      <c r="B2059" t="s">
        <v>266</v>
      </c>
      <c r="C2059" t="s">
        <v>10</v>
      </c>
      <c r="D2059" t="s">
        <v>3302</v>
      </c>
    </row>
    <row r="2060" spans="1:4" hidden="1" outlineLevel="2" x14ac:dyDescent="0.3">
      <c r="A2060" t="s">
        <v>3303</v>
      </c>
      <c r="B2060" t="s">
        <v>266</v>
      </c>
      <c r="C2060" t="s">
        <v>10</v>
      </c>
      <c r="D2060" t="s">
        <v>3304</v>
      </c>
    </row>
    <row r="2061" spans="1:4" hidden="1" outlineLevel="2" x14ac:dyDescent="0.3">
      <c r="A2061" t="s">
        <v>3305</v>
      </c>
      <c r="B2061" t="s">
        <v>266</v>
      </c>
      <c r="C2061" t="s">
        <v>10</v>
      </c>
      <c r="D2061" t="s">
        <v>3306</v>
      </c>
    </row>
    <row r="2062" spans="1:4" hidden="1" outlineLevel="2" x14ac:dyDescent="0.3">
      <c r="A2062" t="s">
        <v>3307</v>
      </c>
      <c r="B2062" t="s">
        <v>266</v>
      </c>
      <c r="C2062" t="s">
        <v>10</v>
      </c>
      <c r="D2062" t="s">
        <v>3308</v>
      </c>
    </row>
    <row r="2063" spans="1:4" hidden="1" outlineLevel="2" x14ac:dyDescent="0.3">
      <c r="A2063" t="s">
        <v>3309</v>
      </c>
      <c r="B2063" t="s">
        <v>266</v>
      </c>
      <c r="C2063" t="s">
        <v>10</v>
      </c>
      <c r="D2063" t="s">
        <v>3310</v>
      </c>
    </row>
    <row r="2064" spans="1:4" hidden="1" outlineLevel="2" x14ac:dyDescent="0.3">
      <c r="A2064" t="s">
        <v>3311</v>
      </c>
      <c r="B2064" t="s">
        <v>266</v>
      </c>
      <c r="C2064" t="s">
        <v>10</v>
      </c>
      <c r="D2064" t="s">
        <v>3312</v>
      </c>
    </row>
    <row r="2065" spans="1:4" hidden="1" outlineLevel="2" x14ac:dyDescent="0.3">
      <c r="A2065" t="s">
        <v>3313</v>
      </c>
      <c r="B2065" t="s">
        <v>266</v>
      </c>
      <c r="C2065" t="s">
        <v>10</v>
      </c>
      <c r="D2065" t="s">
        <v>3314</v>
      </c>
    </row>
    <row r="2066" spans="1:4" hidden="1" outlineLevel="2" x14ac:dyDescent="0.3">
      <c r="A2066" t="s">
        <v>3315</v>
      </c>
      <c r="B2066" t="s">
        <v>266</v>
      </c>
      <c r="C2066" t="s">
        <v>10</v>
      </c>
      <c r="D2066" t="s">
        <v>3316</v>
      </c>
    </row>
    <row r="2067" spans="1:4" hidden="1" outlineLevel="2" x14ac:dyDescent="0.3">
      <c r="A2067" t="s">
        <v>3317</v>
      </c>
      <c r="B2067" t="s">
        <v>266</v>
      </c>
      <c r="C2067" t="s">
        <v>10</v>
      </c>
      <c r="D2067" t="s">
        <v>3318</v>
      </c>
    </row>
    <row r="2068" spans="1:4" hidden="1" outlineLevel="2" x14ac:dyDescent="0.3">
      <c r="A2068" t="s">
        <v>3319</v>
      </c>
      <c r="B2068" t="s">
        <v>266</v>
      </c>
      <c r="C2068" t="s">
        <v>10</v>
      </c>
      <c r="D2068" t="s">
        <v>3320</v>
      </c>
    </row>
    <row r="2069" spans="1:4" hidden="1" outlineLevel="2" x14ac:dyDescent="0.3">
      <c r="A2069" t="s">
        <v>3321</v>
      </c>
      <c r="B2069" t="s">
        <v>266</v>
      </c>
      <c r="C2069" t="s">
        <v>10</v>
      </c>
      <c r="D2069" t="s">
        <v>3322</v>
      </c>
    </row>
    <row r="2070" spans="1:4" hidden="1" outlineLevel="2" x14ac:dyDescent="0.3">
      <c r="A2070" t="s">
        <v>3323</v>
      </c>
      <c r="B2070" t="s">
        <v>266</v>
      </c>
      <c r="C2070" t="s">
        <v>10</v>
      </c>
      <c r="D2070" t="s">
        <v>3324</v>
      </c>
    </row>
    <row r="2071" spans="1:4" hidden="1" outlineLevel="2" x14ac:dyDescent="0.3">
      <c r="A2071" t="s">
        <v>3325</v>
      </c>
      <c r="B2071" t="s">
        <v>266</v>
      </c>
      <c r="C2071" t="s">
        <v>10</v>
      </c>
      <c r="D2071" t="s">
        <v>3326</v>
      </c>
    </row>
    <row r="2072" spans="1:4" hidden="1" outlineLevel="2" x14ac:dyDescent="0.3">
      <c r="A2072" t="s">
        <v>3327</v>
      </c>
      <c r="B2072" t="s">
        <v>266</v>
      </c>
      <c r="C2072" t="s">
        <v>10</v>
      </c>
      <c r="D2072" t="s">
        <v>3328</v>
      </c>
    </row>
    <row r="2073" spans="1:4" hidden="1" outlineLevel="2" x14ac:dyDescent="0.3">
      <c r="A2073" t="s">
        <v>3329</v>
      </c>
      <c r="B2073" t="s">
        <v>266</v>
      </c>
      <c r="C2073" t="s">
        <v>10</v>
      </c>
      <c r="D2073" t="s">
        <v>3330</v>
      </c>
    </row>
    <row r="2074" spans="1:4" hidden="1" outlineLevel="2" x14ac:dyDescent="0.3">
      <c r="A2074" t="s">
        <v>3331</v>
      </c>
      <c r="B2074" t="s">
        <v>266</v>
      </c>
      <c r="C2074" t="s">
        <v>10</v>
      </c>
      <c r="D2074" t="s">
        <v>3332</v>
      </c>
    </row>
    <row r="2075" spans="1:4" hidden="1" outlineLevel="2" x14ac:dyDescent="0.3">
      <c r="A2075" t="s">
        <v>3333</v>
      </c>
      <c r="B2075" t="s">
        <v>266</v>
      </c>
      <c r="C2075" t="s">
        <v>10</v>
      </c>
      <c r="D2075" t="s">
        <v>3334</v>
      </c>
    </row>
    <row r="2076" spans="1:4" hidden="1" outlineLevel="2" x14ac:dyDescent="0.3">
      <c r="A2076" t="s">
        <v>3335</v>
      </c>
      <c r="B2076" t="s">
        <v>266</v>
      </c>
      <c r="C2076" t="s">
        <v>10</v>
      </c>
      <c r="D2076" t="s">
        <v>3336</v>
      </c>
    </row>
    <row r="2077" spans="1:4" hidden="1" outlineLevel="2" x14ac:dyDescent="0.3">
      <c r="A2077" t="s">
        <v>3337</v>
      </c>
      <c r="B2077" t="s">
        <v>266</v>
      </c>
      <c r="C2077" t="s">
        <v>10</v>
      </c>
      <c r="D2077" t="s">
        <v>3338</v>
      </c>
    </row>
    <row r="2078" spans="1:4" hidden="1" outlineLevel="2" x14ac:dyDescent="0.3">
      <c r="A2078" t="s">
        <v>3339</v>
      </c>
      <c r="B2078" t="s">
        <v>266</v>
      </c>
      <c r="C2078" t="s">
        <v>8</v>
      </c>
      <c r="D2078" t="s">
        <v>3340</v>
      </c>
    </row>
    <row r="2079" spans="1:4" hidden="1" outlineLevel="2" x14ac:dyDescent="0.3">
      <c r="A2079" t="s">
        <v>3341</v>
      </c>
      <c r="B2079" t="s">
        <v>266</v>
      </c>
      <c r="C2079" t="s">
        <v>10</v>
      </c>
      <c r="D2079" t="s">
        <v>3342</v>
      </c>
    </row>
    <row r="2080" spans="1:4" hidden="1" outlineLevel="2" x14ac:dyDescent="0.3">
      <c r="A2080" t="s">
        <v>3343</v>
      </c>
      <c r="B2080" t="s">
        <v>266</v>
      </c>
      <c r="C2080" t="s">
        <v>10</v>
      </c>
      <c r="D2080" t="s">
        <v>3344</v>
      </c>
    </row>
    <row r="2081" spans="1:4" hidden="1" outlineLevel="2" x14ac:dyDescent="0.3">
      <c r="A2081" t="s">
        <v>3345</v>
      </c>
      <c r="B2081" t="s">
        <v>266</v>
      </c>
      <c r="C2081" t="s">
        <v>8</v>
      </c>
      <c r="D2081" t="s">
        <v>3346</v>
      </c>
    </row>
    <row r="2082" spans="1:4" hidden="1" outlineLevel="2" x14ac:dyDescent="0.3">
      <c r="A2082" t="s">
        <v>3347</v>
      </c>
      <c r="B2082" t="s">
        <v>3825</v>
      </c>
      <c r="C2082" t="s">
        <v>10</v>
      </c>
      <c r="D2082" t="s">
        <v>3348</v>
      </c>
    </row>
    <row r="2083" spans="1:4" hidden="1" outlineLevel="2" x14ac:dyDescent="0.3">
      <c r="A2083" t="s">
        <v>3349</v>
      </c>
      <c r="B2083" t="s">
        <v>3825</v>
      </c>
      <c r="C2083" t="s">
        <v>10</v>
      </c>
      <c r="D2083" t="s">
        <v>3350</v>
      </c>
    </row>
    <row r="2084" spans="1:4" hidden="1" outlineLevel="2" x14ac:dyDescent="0.3">
      <c r="A2084" t="s">
        <v>3351</v>
      </c>
      <c r="B2084" t="s">
        <v>3825</v>
      </c>
      <c r="C2084" t="s">
        <v>8</v>
      </c>
      <c r="D2084" t="s">
        <v>3352</v>
      </c>
    </row>
    <row r="2085" spans="1:4" hidden="1" outlineLevel="2" x14ac:dyDescent="0.3">
      <c r="A2085" t="s">
        <v>3353</v>
      </c>
      <c r="B2085" t="s">
        <v>3891</v>
      </c>
      <c r="C2085" t="s">
        <v>8</v>
      </c>
      <c r="D2085" t="s">
        <v>3354</v>
      </c>
    </row>
    <row r="2086" spans="1:4" hidden="1" outlineLevel="2" x14ac:dyDescent="0.3">
      <c r="A2086" t="s">
        <v>3355</v>
      </c>
      <c r="B2086" t="s">
        <v>266</v>
      </c>
      <c r="C2086" t="s">
        <v>8</v>
      </c>
      <c r="D2086" t="s">
        <v>3356</v>
      </c>
    </row>
    <row r="2087" spans="1:4" hidden="1" outlineLevel="2" x14ac:dyDescent="0.3">
      <c r="A2087" t="s">
        <v>3357</v>
      </c>
      <c r="B2087" t="s">
        <v>266</v>
      </c>
      <c r="C2087" t="s">
        <v>8</v>
      </c>
      <c r="D2087" t="s">
        <v>3358</v>
      </c>
    </row>
    <row r="2088" spans="1:4" hidden="1" outlineLevel="2" x14ac:dyDescent="0.3">
      <c r="A2088" t="s">
        <v>3359</v>
      </c>
      <c r="B2088" t="s">
        <v>266</v>
      </c>
      <c r="C2088" t="s">
        <v>8</v>
      </c>
      <c r="D2088" t="s">
        <v>3358</v>
      </c>
    </row>
    <row r="2089" spans="1:4" hidden="1" outlineLevel="2" x14ac:dyDescent="0.3">
      <c r="A2089" t="s">
        <v>3360</v>
      </c>
      <c r="B2089" t="s">
        <v>3891</v>
      </c>
      <c r="C2089" t="s">
        <v>8</v>
      </c>
      <c r="D2089" t="s">
        <v>3361</v>
      </c>
    </row>
    <row r="2090" spans="1:4" hidden="1" outlineLevel="2" x14ac:dyDescent="0.3">
      <c r="A2090" t="s">
        <v>3362</v>
      </c>
      <c r="B2090" t="s">
        <v>3891</v>
      </c>
      <c r="C2090" t="s">
        <v>10</v>
      </c>
      <c r="D2090" t="s">
        <v>3363</v>
      </c>
    </row>
    <row r="2091" spans="1:4" hidden="1" outlineLevel="2" x14ac:dyDescent="0.3">
      <c r="A2091" t="s">
        <v>3364</v>
      </c>
      <c r="B2091" t="s">
        <v>3891</v>
      </c>
      <c r="C2091" t="s">
        <v>8</v>
      </c>
      <c r="D2091" t="s">
        <v>3365</v>
      </c>
    </row>
    <row r="2092" spans="1:4" hidden="1" outlineLevel="2" x14ac:dyDescent="0.3">
      <c r="A2092" t="s">
        <v>3366</v>
      </c>
      <c r="B2092" t="s">
        <v>3891</v>
      </c>
      <c r="C2092" t="s">
        <v>8</v>
      </c>
      <c r="D2092" t="s">
        <v>3367</v>
      </c>
    </row>
    <row r="2093" spans="1:4" hidden="1" outlineLevel="2" x14ac:dyDescent="0.3">
      <c r="A2093" t="s">
        <v>3368</v>
      </c>
      <c r="B2093" t="s">
        <v>3891</v>
      </c>
      <c r="C2093" t="s">
        <v>8</v>
      </c>
      <c r="D2093" t="s">
        <v>3369</v>
      </c>
    </row>
    <row r="2094" spans="1:4" hidden="1" outlineLevel="2" x14ac:dyDescent="0.3">
      <c r="A2094" t="s">
        <v>3370</v>
      </c>
      <c r="B2094" t="s">
        <v>3891</v>
      </c>
      <c r="C2094" t="s">
        <v>8</v>
      </c>
      <c r="D2094" t="s">
        <v>3371</v>
      </c>
    </row>
    <row r="2095" spans="1:4" hidden="1" outlineLevel="2" x14ac:dyDescent="0.3">
      <c r="A2095" t="s">
        <v>3372</v>
      </c>
      <c r="B2095" t="s">
        <v>266</v>
      </c>
      <c r="C2095" t="s">
        <v>8</v>
      </c>
      <c r="D2095" t="s">
        <v>3373</v>
      </c>
    </row>
    <row r="2096" spans="1:4" hidden="1" outlineLevel="2" x14ac:dyDescent="0.3">
      <c r="A2096" t="s">
        <v>3374</v>
      </c>
      <c r="B2096" t="s">
        <v>266</v>
      </c>
      <c r="C2096" t="s">
        <v>8</v>
      </c>
      <c r="D2096" t="s">
        <v>3373</v>
      </c>
    </row>
    <row r="2097" spans="1:4" hidden="1" outlineLevel="2" x14ac:dyDescent="0.3">
      <c r="A2097" t="s">
        <v>3375</v>
      </c>
      <c r="B2097" t="s">
        <v>266</v>
      </c>
      <c r="C2097" t="s">
        <v>8</v>
      </c>
      <c r="D2097" t="s">
        <v>3373</v>
      </c>
    </row>
    <row r="2098" spans="1:4" hidden="1" outlineLevel="2" x14ac:dyDescent="0.3">
      <c r="A2098" t="s">
        <v>3376</v>
      </c>
      <c r="B2098" t="s">
        <v>266</v>
      </c>
      <c r="C2098" t="s">
        <v>8</v>
      </c>
      <c r="D2098" t="s">
        <v>3373</v>
      </c>
    </row>
    <row r="2099" spans="1:4" hidden="1" outlineLevel="2" x14ac:dyDescent="0.3">
      <c r="A2099" t="s">
        <v>3377</v>
      </c>
      <c r="B2099" t="s">
        <v>266</v>
      </c>
      <c r="C2099" t="s">
        <v>10</v>
      </c>
      <c r="D2099" t="s">
        <v>3378</v>
      </c>
    </row>
    <row r="2100" spans="1:4" hidden="1" outlineLevel="2" x14ac:dyDescent="0.3">
      <c r="A2100" t="s">
        <v>3379</v>
      </c>
      <c r="B2100" t="s">
        <v>266</v>
      </c>
      <c r="C2100" t="s">
        <v>10</v>
      </c>
      <c r="D2100" t="s">
        <v>3380</v>
      </c>
    </row>
    <row r="2101" spans="1:4" hidden="1" outlineLevel="2" x14ac:dyDescent="0.3">
      <c r="A2101" t="s">
        <v>3381</v>
      </c>
      <c r="B2101" t="s">
        <v>266</v>
      </c>
      <c r="C2101" t="s">
        <v>10</v>
      </c>
      <c r="D2101" t="s">
        <v>3382</v>
      </c>
    </row>
    <row r="2102" spans="1:4" hidden="1" outlineLevel="2" x14ac:dyDescent="0.3">
      <c r="A2102" t="s">
        <v>3383</v>
      </c>
      <c r="B2102" t="s">
        <v>266</v>
      </c>
      <c r="C2102" t="s">
        <v>10</v>
      </c>
      <c r="D2102" t="s">
        <v>3384</v>
      </c>
    </row>
    <row r="2103" spans="1:4" hidden="1" outlineLevel="2" x14ac:dyDescent="0.3">
      <c r="A2103" t="s">
        <v>3385</v>
      </c>
      <c r="B2103" t="s">
        <v>266</v>
      </c>
      <c r="C2103" t="s">
        <v>10</v>
      </c>
      <c r="D2103" t="s">
        <v>3386</v>
      </c>
    </row>
    <row r="2104" spans="1:4" hidden="1" outlineLevel="2" x14ac:dyDescent="0.3">
      <c r="A2104" t="s">
        <v>3387</v>
      </c>
      <c r="B2104" t="s">
        <v>266</v>
      </c>
      <c r="C2104" t="s">
        <v>10</v>
      </c>
      <c r="D2104" t="s">
        <v>3388</v>
      </c>
    </row>
    <row r="2105" spans="1:4" hidden="1" outlineLevel="2" x14ac:dyDescent="0.3">
      <c r="A2105" t="s">
        <v>3389</v>
      </c>
      <c r="B2105" t="s">
        <v>266</v>
      </c>
      <c r="C2105" t="s">
        <v>10</v>
      </c>
      <c r="D2105" t="s">
        <v>3390</v>
      </c>
    </row>
    <row r="2106" spans="1:4" hidden="1" outlineLevel="2" x14ac:dyDescent="0.3">
      <c r="A2106" t="s">
        <v>3391</v>
      </c>
      <c r="B2106" t="s">
        <v>266</v>
      </c>
      <c r="C2106" t="s">
        <v>10</v>
      </c>
      <c r="D2106" t="s">
        <v>3392</v>
      </c>
    </row>
    <row r="2107" spans="1:4" hidden="1" outlineLevel="2" x14ac:dyDescent="0.3">
      <c r="A2107" t="s">
        <v>3393</v>
      </c>
      <c r="B2107" t="s">
        <v>266</v>
      </c>
      <c r="C2107" t="s">
        <v>10</v>
      </c>
      <c r="D2107" t="s">
        <v>3394</v>
      </c>
    </row>
    <row r="2108" spans="1:4" hidden="1" outlineLevel="2" x14ac:dyDescent="0.3">
      <c r="A2108" t="s">
        <v>3395</v>
      </c>
      <c r="B2108" t="s">
        <v>266</v>
      </c>
      <c r="C2108" t="s">
        <v>10</v>
      </c>
      <c r="D2108" t="s">
        <v>3396</v>
      </c>
    </row>
    <row r="2109" spans="1:4" hidden="1" outlineLevel="2" x14ac:dyDescent="0.3">
      <c r="A2109" t="s">
        <v>3397</v>
      </c>
      <c r="B2109" t="s">
        <v>3825</v>
      </c>
      <c r="C2109" t="s">
        <v>8</v>
      </c>
      <c r="D2109" t="s">
        <v>3398</v>
      </c>
    </row>
    <row r="2110" spans="1:4" hidden="1" outlineLevel="2" x14ac:dyDescent="0.3">
      <c r="A2110" t="s">
        <v>3399</v>
      </c>
      <c r="B2110" t="s">
        <v>266</v>
      </c>
      <c r="C2110" t="s">
        <v>10</v>
      </c>
      <c r="D2110" t="s">
        <v>3400</v>
      </c>
    </row>
    <row r="2111" spans="1:4" hidden="1" outlineLevel="2" x14ac:dyDescent="0.3">
      <c r="A2111" t="s">
        <v>3401</v>
      </c>
      <c r="B2111" t="s">
        <v>266</v>
      </c>
      <c r="C2111" t="s">
        <v>10</v>
      </c>
      <c r="D2111" t="s">
        <v>3402</v>
      </c>
    </row>
    <row r="2112" spans="1:4" hidden="1" outlineLevel="2" x14ac:dyDescent="0.3">
      <c r="A2112" t="s">
        <v>3403</v>
      </c>
      <c r="B2112" t="s">
        <v>266</v>
      </c>
      <c r="C2112" t="s">
        <v>10</v>
      </c>
      <c r="D2112" t="s">
        <v>3404</v>
      </c>
    </row>
    <row r="2113" spans="1:4" hidden="1" outlineLevel="2" x14ac:dyDescent="0.3">
      <c r="A2113" t="s">
        <v>3405</v>
      </c>
      <c r="B2113" t="s">
        <v>266</v>
      </c>
      <c r="C2113" t="s">
        <v>10</v>
      </c>
      <c r="D2113" t="s">
        <v>3406</v>
      </c>
    </row>
    <row r="2114" spans="1:4" hidden="1" outlineLevel="2" x14ac:dyDescent="0.3">
      <c r="A2114" t="s">
        <v>3407</v>
      </c>
      <c r="B2114" t="s">
        <v>3825</v>
      </c>
      <c r="C2114" t="s">
        <v>8</v>
      </c>
      <c r="D2114" t="s">
        <v>3408</v>
      </c>
    </row>
    <row r="2115" spans="1:4" hidden="1" outlineLevel="2" x14ac:dyDescent="0.3">
      <c r="A2115" t="s">
        <v>3409</v>
      </c>
      <c r="B2115" t="s">
        <v>266</v>
      </c>
      <c r="C2115" t="s">
        <v>8</v>
      </c>
      <c r="D2115" t="s">
        <v>3410</v>
      </c>
    </row>
    <row r="2116" spans="1:4" hidden="1" outlineLevel="2" x14ac:dyDescent="0.3">
      <c r="A2116" t="s">
        <v>3411</v>
      </c>
      <c r="B2116" t="s">
        <v>266</v>
      </c>
      <c r="C2116" t="s">
        <v>8</v>
      </c>
      <c r="D2116" t="s">
        <v>3412</v>
      </c>
    </row>
    <row r="2117" spans="1:4" hidden="1" outlineLevel="2" x14ac:dyDescent="0.3">
      <c r="A2117" t="s">
        <v>3413</v>
      </c>
      <c r="B2117" t="s">
        <v>266</v>
      </c>
      <c r="C2117" t="s">
        <v>8</v>
      </c>
      <c r="D2117" t="s">
        <v>3412</v>
      </c>
    </row>
    <row r="2118" spans="1:4" hidden="1" outlineLevel="2" x14ac:dyDescent="0.3">
      <c r="A2118" t="s">
        <v>3414</v>
      </c>
      <c r="B2118" t="s">
        <v>3891</v>
      </c>
      <c r="C2118" t="s">
        <v>8</v>
      </c>
      <c r="D2118" t="s">
        <v>3415</v>
      </c>
    </row>
    <row r="2119" spans="1:4" hidden="1" outlineLevel="2" x14ac:dyDescent="0.3">
      <c r="A2119" t="s">
        <v>3416</v>
      </c>
      <c r="B2119" t="s">
        <v>3891</v>
      </c>
      <c r="C2119" t="s">
        <v>8</v>
      </c>
      <c r="D2119" t="s">
        <v>3417</v>
      </c>
    </row>
    <row r="2120" spans="1:4" hidden="1" outlineLevel="2" x14ac:dyDescent="0.3">
      <c r="A2120" t="s">
        <v>3418</v>
      </c>
      <c r="B2120" t="s">
        <v>3891</v>
      </c>
      <c r="C2120" t="s">
        <v>8</v>
      </c>
      <c r="D2120" t="s">
        <v>3419</v>
      </c>
    </row>
    <row r="2121" spans="1:4" hidden="1" outlineLevel="2" x14ac:dyDescent="0.3">
      <c r="A2121" t="s">
        <v>3420</v>
      </c>
      <c r="B2121" t="s">
        <v>3891</v>
      </c>
      <c r="C2121" t="s">
        <v>8</v>
      </c>
      <c r="D2121" t="s">
        <v>3421</v>
      </c>
    </row>
    <row r="2122" spans="1:4" hidden="1" outlineLevel="2" x14ac:dyDescent="0.3">
      <c r="A2122" t="s">
        <v>3422</v>
      </c>
      <c r="B2122" t="s">
        <v>3891</v>
      </c>
      <c r="C2122" t="s">
        <v>8</v>
      </c>
      <c r="D2122" t="s">
        <v>3423</v>
      </c>
    </row>
    <row r="2123" spans="1:4" hidden="1" outlineLevel="2" x14ac:dyDescent="0.3">
      <c r="A2123" t="s">
        <v>3424</v>
      </c>
      <c r="B2123" t="s">
        <v>266</v>
      </c>
      <c r="C2123" t="s">
        <v>8</v>
      </c>
      <c r="D2123" t="s">
        <v>3425</v>
      </c>
    </row>
    <row r="2124" spans="1:4" hidden="1" outlineLevel="2" x14ac:dyDescent="0.3">
      <c r="A2124" t="s">
        <v>3426</v>
      </c>
      <c r="B2124" t="s">
        <v>266</v>
      </c>
      <c r="C2124" t="s">
        <v>8</v>
      </c>
      <c r="D2124" t="s">
        <v>3425</v>
      </c>
    </row>
    <row r="2125" spans="1:4" hidden="1" outlineLevel="2" x14ac:dyDescent="0.3">
      <c r="A2125" t="s">
        <v>3427</v>
      </c>
      <c r="B2125" t="s">
        <v>3825</v>
      </c>
      <c r="C2125" t="s">
        <v>8</v>
      </c>
      <c r="D2125" t="s">
        <v>3428</v>
      </c>
    </row>
    <row r="2126" spans="1:4" hidden="1" outlineLevel="2" x14ac:dyDescent="0.3">
      <c r="A2126" t="s">
        <v>3429</v>
      </c>
      <c r="B2126" t="s">
        <v>266</v>
      </c>
      <c r="C2126" t="s">
        <v>10</v>
      </c>
      <c r="D2126" t="s">
        <v>3430</v>
      </c>
    </row>
    <row r="2127" spans="1:4" hidden="1" outlineLevel="2" x14ac:dyDescent="0.3">
      <c r="A2127" t="s">
        <v>3431</v>
      </c>
      <c r="B2127" t="s">
        <v>266</v>
      </c>
      <c r="C2127" t="s">
        <v>10</v>
      </c>
      <c r="D2127" t="s">
        <v>3432</v>
      </c>
    </row>
    <row r="2128" spans="1:4" hidden="1" outlineLevel="2" x14ac:dyDescent="0.3">
      <c r="A2128" t="s">
        <v>3433</v>
      </c>
      <c r="B2128" t="s">
        <v>3825</v>
      </c>
      <c r="C2128" t="s">
        <v>10</v>
      </c>
      <c r="D2128" t="s">
        <v>3434</v>
      </c>
    </row>
    <row r="2129" spans="1:4" hidden="1" outlineLevel="2" x14ac:dyDescent="0.3">
      <c r="A2129" t="s">
        <v>3435</v>
      </c>
      <c r="B2129" t="s">
        <v>266</v>
      </c>
      <c r="C2129" t="s">
        <v>10</v>
      </c>
      <c r="D2129" t="s">
        <v>3436</v>
      </c>
    </row>
    <row r="2130" spans="1:4" hidden="1" outlineLevel="2" x14ac:dyDescent="0.3">
      <c r="A2130" t="s">
        <v>3437</v>
      </c>
      <c r="B2130" t="s">
        <v>266</v>
      </c>
      <c r="C2130" t="s">
        <v>10</v>
      </c>
      <c r="D2130" t="s">
        <v>3438</v>
      </c>
    </row>
    <row r="2131" spans="1:4" hidden="1" outlineLevel="2" x14ac:dyDescent="0.3">
      <c r="A2131" t="s">
        <v>3439</v>
      </c>
      <c r="B2131" t="s">
        <v>266</v>
      </c>
      <c r="C2131" t="s">
        <v>10</v>
      </c>
      <c r="D2131" t="s">
        <v>3440</v>
      </c>
    </row>
    <row r="2132" spans="1:4" hidden="1" outlineLevel="2" x14ac:dyDescent="0.3">
      <c r="A2132" t="s">
        <v>3441</v>
      </c>
      <c r="B2132" t="s">
        <v>266</v>
      </c>
      <c r="C2132" t="s">
        <v>10</v>
      </c>
      <c r="D2132" t="s">
        <v>3442</v>
      </c>
    </row>
    <row r="2133" spans="1:4" hidden="1" outlineLevel="2" x14ac:dyDescent="0.3">
      <c r="A2133" t="s">
        <v>3443</v>
      </c>
      <c r="B2133" t="s">
        <v>266</v>
      </c>
      <c r="C2133" t="s">
        <v>10</v>
      </c>
      <c r="D2133" t="s">
        <v>3444</v>
      </c>
    </row>
    <row r="2134" spans="1:4" hidden="1" outlineLevel="2" x14ac:dyDescent="0.3">
      <c r="A2134" t="s">
        <v>3445</v>
      </c>
      <c r="B2134" t="s">
        <v>266</v>
      </c>
      <c r="C2134" t="s">
        <v>10</v>
      </c>
      <c r="D2134" t="s">
        <v>3446</v>
      </c>
    </row>
    <row r="2135" spans="1:4" hidden="1" outlineLevel="2" x14ac:dyDescent="0.3">
      <c r="A2135" t="s">
        <v>3447</v>
      </c>
      <c r="B2135" t="s">
        <v>266</v>
      </c>
      <c r="C2135" t="s">
        <v>10</v>
      </c>
      <c r="D2135" t="s">
        <v>3448</v>
      </c>
    </row>
    <row r="2136" spans="1:4" hidden="1" outlineLevel="2" x14ac:dyDescent="0.3">
      <c r="A2136" t="s">
        <v>3449</v>
      </c>
      <c r="B2136" t="s">
        <v>266</v>
      </c>
      <c r="C2136" t="s">
        <v>10</v>
      </c>
      <c r="D2136" t="s">
        <v>3450</v>
      </c>
    </row>
    <row r="2137" spans="1:4" hidden="1" outlineLevel="2" x14ac:dyDescent="0.3">
      <c r="A2137" t="s">
        <v>3451</v>
      </c>
      <c r="B2137" t="s">
        <v>266</v>
      </c>
      <c r="C2137" t="s">
        <v>10</v>
      </c>
      <c r="D2137" t="s">
        <v>3452</v>
      </c>
    </row>
    <row r="2138" spans="1:4" hidden="1" outlineLevel="2" x14ac:dyDescent="0.3">
      <c r="A2138" t="s">
        <v>3453</v>
      </c>
      <c r="B2138" t="s">
        <v>266</v>
      </c>
      <c r="C2138" t="s">
        <v>10</v>
      </c>
      <c r="D2138" t="s">
        <v>3454</v>
      </c>
    </row>
    <row r="2139" spans="1:4" hidden="1" outlineLevel="2" x14ac:dyDescent="0.3">
      <c r="A2139" t="s">
        <v>3455</v>
      </c>
      <c r="B2139" t="s">
        <v>266</v>
      </c>
      <c r="C2139" t="s">
        <v>10</v>
      </c>
      <c r="D2139" t="s">
        <v>3456</v>
      </c>
    </row>
    <row r="2140" spans="1:4" hidden="1" outlineLevel="2" x14ac:dyDescent="0.3">
      <c r="A2140" t="s">
        <v>3457</v>
      </c>
      <c r="B2140" t="s">
        <v>266</v>
      </c>
      <c r="C2140" t="s">
        <v>10</v>
      </c>
      <c r="D2140" t="s">
        <v>3458</v>
      </c>
    </row>
    <row r="2141" spans="1:4" hidden="1" outlineLevel="2" x14ac:dyDescent="0.3">
      <c r="A2141" t="s">
        <v>3459</v>
      </c>
      <c r="B2141" t="s">
        <v>266</v>
      </c>
      <c r="C2141" t="s">
        <v>10</v>
      </c>
      <c r="D2141" t="s">
        <v>3460</v>
      </c>
    </row>
    <row r="2142" spans="1:4" hidden="1" outlineLevel="2" x14ac:dyDescent="0.3">
      <c r="A2142" t="s">
        <v>3461</v>
      </c>
      <c r="B2142" t="s">
        <v>266</v>
      </c>
      <c r="C2142" t="s">
        <v>10</v>
      </c>
      <c r="D2142" t="s">
        <v>3462</v>
      </c>
    </row>
    <row r="2143" spans="1:4" hidden="1" outlineLevel="2" x14ac:dyDescent="0.3">
      <c r="A2143" t="s">
        <v>3463</v>
      </c>
      <c r="B2143" t="s">
        <v>266</v>
      </c>
      <c r="C2143" t="s">
        <v>10</v>
      </c>
      <c r="D2143" t="s">
        <v>3464</v>
      </c>
    </row>
    <row r="2144" spans="1:4" hidden="1" outlineLevel="2" x14ac:dyDescent="0.3">
      <c r="A2144" t="s">
        <v>3465</v>
      </c>
      <c r="B2144" t="s">
        <v>266</v>
      </c>
      <c r="C2144" t="s">
        <v>10</v>
      </c>
      <c r="D2144" t="s">
        <v>3466</v>
      </c>
    </row>
    <row r="2145" spans="1:4" hidden="1" outlineLevel="2" x14ac:dyDescent="0.3">
      <c r="A2145" t="s">
        <v>3467</v>
      </c>
      <c r="B2145" t="s">
        <v>266</v>
      </c>
      <c r="C2145" t="s">
        <v>10</v>
      </c>
      <c r="D2145" t="s">
        <v>3468</v>
      </c>
    </row>
    <row r="2146" spans="1:4" hidden="1" outlineLevel="2" x14ac:dyDescent="0.3">
      <c r="A2146" t="s">
        <v>3469</v>
      </c>
      <c r="B2146" t="s">
        <v>3825</v>
      </c>
      <c r="C2146" t="s">
        <v>10</v>
      </c>
      <c r="D2146" t="s">
        <v>3470</v>
      </c>
    </row>
    <row r="2147" spans="1:4" hidden="1" outlineLevel="2" x14ac:dyDescent="0.3">
      <c r="A2147" t="s">
        <v>3471</v>
      </c>
      <c r="B2147" t="s">
        <v>266</v>
      </c>
      <c r="C2147" t="s">
        <v>10</v>
      </c>
      <c r="D2147" t="s">
        <v>3472</v>
      </c>
    </row>
    <row r="2148" spans="1:4" hidden="1" outlineLevel="2" x14ac:dyDescent="0.3">
      <c r="A2148" t="s">
        <v>3473</v>
      </c>
      <c r="B2148" t="s">
        <v>266</v>
      </c>
      <c r="C2148" t="s">
        <v>10</v>
      </c>
      <c r="D2148" t="s">
        <v>3474</v>
      </c>
    </row>
    <row r="2149" spans="1:4" hidden="1" outlineLevel="2" x14ac:dyDescent="0.3">
      <c r="A2149" t="s">
        <v>3475</v>
      </c>
      <c r="B2149" t="s">
        <v>266</v>
      </c>
      <c r="C2149" t="s">
        <v>10</v>
      </c>
      <c r="D2149" t="s">
        <v>3476</v>
      </c>
    </row>
    <row r="2150" spans="1:4" hidden="1" outlineLevel="2" x14ac:dyDescent="0.3">
      <c r="A2150" t="s">
        <v>3477</v>
      </c>
      <c r="B2150" t="s">
        <v>266</v>
      </c>
      <c r="C2150" t="s">
        <v>10</v>
      </c>
      <c r="D2150" t="s">
        <v>3478</v>
      </c>
    </row>
    <row r="2151" spans="1:4" hidden="1" outlineLevel="2" x14ac:dyDescent="0.3">
      <c r="A2151" t="s">
        <v>3479</v>
      </c>
      <c r="B2151" t="s">
        <v>266</v>
      </c>
      <c r="C2151" t="s">
        <v>8</v>
      </c>
      <c r="D2151" t="s">
        <v>3480</v>
      </c>
    </row>
    <row r="2152" spans="1:4" hidden="1" outlineLevel="2" x14ac:dyDescent="0.3">
      <c r="A2152" t="s">
        <v>3481</v>
      </c>
      <c r="B2152" t="s">
        <v>266</v>
      </c>
      <c r="C2152" t="s">
        <v>8</v>
      </c>
      <c r="D2152" t="s">
        <v>3482</v>
      </c>
    </row>
    <row r="2153" spans="1:4" hidden="1" outlineLevel="2" x14ac:dyDescent="0.3">
      <c r="A2153" t="s">
        <v>3483</v>
      </c>
      <c r="B2153" t="s">
        <v>3891</v>
      </c>
      <c r="C2153" t="s">
        <v>8</v>
      </c>
      <c r="D2153" t="s">
        <v>3484</v>
      </c>
    </row>
    <row r="2154" spans="1:4" hidden="1" outlineLevel="2" x14ac:dyDescent="0.3">
      <c r="A2154" t="s">
        <v>3485</v>
      </c>
      <c r="B2154" t="s">
        <v>3891</v>
      </c>
      <c r="C2154" t="s">
        <v>8</v>
      </c>
      <c r="D2154" t="s">
        <v>3486</v>
      </c>
    </row>
    <row r="2155" spans="1:4" hidden="1" outlineLevel="2" x14ac:dyDescent="0.3">
      <c r="A2155" t="s">
        <v>3487</v>
      </c>
      <c r="B2155" t="s">
        <v>3891</v>
      </c>
      <c r="C2155" t="s">
        <v>8</v>
      </c>
      <c r="D2155" t="s">
        <v>3486</v>
      </c>
    </row>
    <row r="2156" spans="1:4" hidden="1" outlineLevel="2" x14ac:dyDescent="0.3">
      <c r="A2156" t="s">
        <v>3488</v>
      </c>
      <c r="B2156" t="s">
        <v>3891</v>
      </c>
      <c r="C2156" t="s">
        <v>8</v>
      </c>
      <c r="D2156" t="s">
        <v>3489</v>
      </c>
    </row>
    <row r="2157" spans="1:4" hidden="1" outlineLevel="2" x14ac:dyDescent="0.3">
      <c r="A2157" t="s">
        <v>3490</v>
      </c>
      <c r="B2157" t="s">
        <v>3891</v>
      </c>
      <c r="C2157" t="s">
        <v>8</v>
      </c>
      <c r="D2157" t="s">
        <v>3491</v>
      </c>
    </row>
    <row r="2158" spans="1:4" hidden="1" outlineLevel="2" x14ac:dyDescent="0.3">
      <c r="A2158" t="s">
        <v>3492</v>
      </c>
      <c r="B2158" t="s">
        <v>3891</v>
      </c>
      <c r="C2158" t="s">
        <v>8</v>
      </c>
      <c r="D2158" t="s">
        <v>3493</v>
      </c>
    </row>
    <row r="2159" spans="1:4" hidden="1" outlineLevel="2" x14ac:dyDescent="0.3">
      <c r="A2159" t="s">
        <v>3494</v>
      </c>
      <c r="B2159" t="s">
        <v>3891</v>
      </c>
      <c r="C2159" t="s">
        <v>8</v>
      </c>
      <c r="D2159" t="s">
        <v>3495</v>
      </c>
    </row>
    <row r="2160" spans="1:4" hidden="1" outlineLevel="2" x14ac:dyDescent="0.3">
      <c r="A2160" t="s">
        <v>3496</v>
      </c>
      <c r="B2160" t="s">
        <v>3891</v>
      </c>
      <c r="C2160" t="s">
        <v>8</v>
      </c>
      <c r="D2160" t="s">
        <v>3497</v>
      </c>
    </row>
    <row r="2161" spans="1:4" hidden="1" outlineLevel="2" x14ac:dyDescent="0.3">
      <c r="A2161" t="s">
        <v>3498</v>
      </c>
      <c r="B2161" t="s">
        <v>3891</v>
      </c>
      <c r="C2161" t="s">
        <v>8</v>
      </c>
      <c r="D2161" t="s">
        <v>3499</v>
      </c>
    </row>
    <row r="2162" spans="1:4" hidden="1" outlineLevel="2" x14ac:dyDescent="0.3">
      <c r="A2162" t="s">
        <v>3500</v>
      </c>
      <c r="B2162" t="s">
        <v>266</v>
      </c>
      <c r="C2162" t="s">
        <v>10</v>
      </c>
      <c r="D2162" t="s">
        <v>3501</v>
      </c>
    </row>
    <row r="2163" spans="1:4" hidden="1" outlineLevel="2" x14ac:dyDescent="0.3">
      <c r="A2163" t="s">
        <v>3502</v>
      </c>
      <c r="B2163" t="s">
        <v>266</v>
      </c>
      <c r="C2163" t="s">
        <v>10</v>
      </c>
      <c r="D2163" t="s">
        <v>3503</v>
      </c>
    </row>
    <row r="2164" spans="1:4" hidden="1" outlineLevel="2" x14ac:dyDescent="0.3">
      <c r="A2164" t="s">
        <v>3504</v>
      </c>
      <c r="B2164" t="s">
        <v>266</v>
      </c>
      <c r="C2164" t="s">
        <v>10</v>
      </c>
      <c r="D2164" t="s">
        <v>3505</v>
      </c>
    </row>
    <row r="2165" spans="1:4" hidden="1" outlineLevel="2" x14ac:dyDescent="0.3">
      <c r="A2165" t="s">
        <v>3506</v>
      </c>
      <c r="B2165" t="s">
        <v>266</v>
      </c>
      <c r="C2165" t="s">
        <v>10</v>
      </c>
      <c r="D2165" t="s">
        <v>3507</v>
      </c>
    </row>
    <row r="2166" spans="1:4" hidden="1" outlineLevel="2" x14ac:dyDescent="0.3">
      <c r="A2166" t="s">
        <v>3508</v>
      </c>
      <c r="B2166" t="s">
        <v>266</v>
      </c>
      <c r="C2166" t="s">
        <v>10</v>
      </c>
      <c r="D2166" t="s">
        <v>3509</v>
      </c>
    </row>
    <row r="2167" spans="1:4" hidden="1" outlineLevel="2" x14ac:dyDescent="0.3">
      <c r="A2167" t="s">
        <v>3510</v>
      </c>
      <c r="B2167" t="s">
        <v>266</v>
      </c>
      <c r="C2167" t="s">
        <v>10</v>
      </c>
      <c r="D2167" t="s">
        <v>3511</v>
      </c>
    </row>
    <row r="2168" spans="1:4" hidden="1" outlineLevel="2" x14ac:dyDescent="0.3">
      <c r="A2168" t="s">
        <v>3512</v>
      </c>
      <c r="B2168" t="s">
        <v>266</v>
      </c>
      <c r="C2168" t="s">
        <v>10</v>
      </c>
      <c r="D2168" t="s">
        <v>3513</v>
      </c>
    </row>
    <row r="2169" spans="1:4" hidden="1" outlineLevel="2" x14ac:dyDescent="0.3">
      <c r="A2169" t="s">
        <v>3514</v>
      </c>
      <c r="B2169" t="s">
        <v>266</v>
      </c>
      <c r="C2169" t="s">
        <v>10</v>
      </c>
      <c r="D2169" t="s">
        <v>3515</v>
      </c>
    </row>
    <row r="2170" spans="1:4" hidden="1" outlineLevel="2" x14ac:dyDescent="0.3">
      <c r="A2170" t="s">
        <v>3516</v>
      </c>
      <c r="B2170" t="s">
        <v>266</v>
      </c>
      <c r="C2170" t="s">
        <v>10</v>
      </c>
      <c r="D2170" t="s">
        <v>3517</v>
      </c>
    </row>
    <row r="2171" spans="1:4" hidden="1" outlineLevel="2" x14ac:dyDescent="0.3">
      <c r="A2171" t="s">
        <v>3518</v>
      </c>
      <c r="B2171" t="s">
        <v>3825</v>
      </c>
      <c r="C2171" t="s">
        <v>8</v>
      </c>
      <c r="D2171" t="s">
        <v>3519</v>
      </c>
    </row>
    <row r="2172" spans="1:4" hidden="1" outlineLevel="2" x14ac:dyDescent="0.3">
      <c r="A2172" t="s">
        <v>3520</v>
      </c>
      <c r="B2172" t="s">
        <v>266</v>
      </c>
      <c r="C2172" t="s">
        <v>10</v>
      </c>
      <c r="D2172" t="s">
        <v>3521</v>
      </c>
    </row>
    <row r="2173" spans="1:4" hidden="1" outlineLevel="2" x14ac:dyDescent="0.3">
      <c r="A2173" t="s">
        <v>3522</v>
      </c>
      <c r="B2173" t="s">
        <v>266</v>
      </c>
      <c r="C2173" t="s">
        <v>10</v>
      </c>
      <c r="D2173" t="s">
        <v>3523</v>
      </c>
    </row>
    <row r="2174" spans="1:4" hidden="1" outlineLevel="2" x14ac:dyDescent="0.3">
      <c r="A2174" t="s">
        <v>3524</v>
      </c>
      <c r="B2174" t="s">
        <v>3825</v>
      </c>
      <c r="C2174" t="s">
        <v>10</v>
      </c>
      <c r="D2174" t="s">
        <v>3525</v>
      </c>
    </row>
    <row r="2175" spans="1:4" hidden="1" outlineLevel="2" x14ac:dyDescent="0.3">
      <c r="A2175" t="s">
        <v>3526</v>
      </c>
      <c r="B2175" t="s">
        <v>266</v>
      </c>
      <c r="C2175" t="s">
        <v>10</v>
      </c>
      <c r="D2175" t="s">
        <v>3527</v>
      </c>
    </row>
    <row r="2176" spans="1:4" hidden="1" outlineLevel="2" x14ac:dyDescent="0.3">
      <c r="A2176" t="s">
        <v>3528</v>
      </c>
      <c r="B2176" t="s">
        <v>266</v>
      </c>
      <c r="C2176" t="s">
        <v>10</v>
      </c>
      <c r="D2176" t="s">
        <v>3529</v>
      </c>
    </row>
    <row r="2177" spans="1:4" hidden="1" outlineLevel="2" x14ac:dyDescent="0.3">
      <c r="A2177" t="s">
        <v>3530</v>
      </c>
      <c r="B2177" t="s">
        <v>266</v>
      </c>
      <c r="C2177" t="s">
        <v>10</v>
      </c>
      <c r="D2177" t="s">
        <v>3531</v>
      </c>
    </row>
    <row r="2178" spans="1:4" hidden="1" outlineLevel="2" x14ac:dyDescent="0.3">
      <c r="A2178" t="s">
        <v>3532</v>
      </c>
      <c r="B2178" t="s">
        <v>3825</v>
      </c>
      <c r="C2178" t="s">
        <v>8</v>
      </c>
      <c r="D2178" t="s">
        <v>3533</v>
      </c>
    </row>
    <row r="2179" spans="1:4" hidden="1" outlineLevel="2" x14ac:dyDescent="0.3">
      <c r="A2179" t="s">
        <v>3534</v>
      </c>
      <c r="B2179" t="s">
        <v>266</v>
      </c>
      <c r="C2179" t="s">
        <v>10</v>
      </c>
      <c r="D2179" t="s">
        <v>3535</v>
      </c>
    </row>
    <row r="2180" spans="1:4" hidden="1" outlineLevel="2" x14ac:dyDescent="0.3">
      <c r="A2180" t="s">
        <v>3536</v>
      </c>
      <c r="B2180" t="s">
        <v>266</v>
      </c>
      <c r="C2180" t="s">
        <v>10</v>
      </c>
      <c r="D2180" t="s">
        <v>3537</v>
      </c>
    </row>
    <row r="2181" spans="1:4" hidden="1" outlineLevel="2" x14ac:dyDescent="0.3">
      <c r="A2181" t="s">
        <v>3538</v>
      </c>
      <c r="B2181" t="s">
        <v>3891</v>
      </c>
      <c r="C2181" t="s">
        <v>8</v>
      </c>
      <c r="D2181" t="s">
        <v>3539</v>
      </c>
    </row>
    <row r="2182" spans="1:4" hidden="1" outlineLevel="2" x14ac:dyDescent="0.3">
      <c r="A2182" t="s">
        <v>3540</v>
      </c>
      <c r="B2182" t="s">
        <v>3891</v>
      </c>
      <c r="C2182" t="s">
        <v>8</v>
      </c>
      <c r="D2182" t="s">
        <v>3541</v>
      </c>
    </row>
    <row r="2183" spans="1:4" hidden="1" outlineLevel="2" x14ac:dyDescent="0.3">
      <c r="A2183" t="s">
        <v>3542</v>
      </c>
      <c r="B2183" t="s">
        <v>3891</v>
      </c>
      <c r="C2183" t="s">
        <v>8</v>
      </c>
      <c r="D2183" t="s">
        <v>3543</v>
      </c>
    </row>
    <row r="2184" spans="1:4" hidden="1" outlineLevel="2" x14ac:dyDescent="0.3">
      <c r="A2184" t="s">
        <v>3544</v>
      </c>
      <c r="B2184" t="s">
        <v>3891</v>
      </c>
      <c r="C2184" t="s">
        <v>8</v>
      </c>
      <c r="D2184" t="s">
        <v>3545</v>
      </c>
    </row>
    <row r="2185" spans="1:4" hidden="1" outlineLevel="2" x14ac:dyDescent="0.3">
      <c r="A2185" t="s">
        <v>3546</v>
      </c>
      <c r="B2185" t="s">
        <v>3891</v>
      </c>
      <c r="C2185" t="s">
        <v>8</v>
      </c>
      <c r="D2185" t="s">
        <v>3547</v>
      </c>
    </row>
    <row r="2186" spans="1:4" hidden="1" outlineLevel="2" x14ac:dyDescent="0.3">
      <c r="A2186" t="s">
        <v>3548</v>
      </c>
      <c r="B2186" t="s">
        <v>3891</v>
      </c>
      <c r="C2186" t="s">
        <v>8</v>
      </c>
      <c r="D2186" t="s">
        <v>3549</v>
      </c>
    </row>
    <row r="2187" spans="1:4" hidden="1" outlineLevel="2" x14ac:dyDescent="0.3">
      <c r="A2187" t="s">
        <v>3550</v>
      </c>
      <c r="B2187" t="s">
        <v>3891</v>
      </c>
      <c r="C2187" t="s">
        <v>8</v>
      </c>
      <c r="D2187" t="s">
        <v>3551</v>
      </c>
    </row>
    <row r="2188" spans="1:4" hidden="1" outlineLevel="2" x14ac:dyDescent="0.3">
      <c r="A2188" t="s">
        <v>3552</v>
      </c>
      <c r="B2188" t="s">
        <v>3891</v>
      </c>
      <c r="C2188" t="s">
        <v>8</v>
      </c>
      <c r="D2188" t="s">
        <v>3553</v>
      </c>
    </row>
    <row r="2189" spans="1:4" hidden="1" outlineLevel="2" x14ac:dyDescent="0.3">
      <c r="A2189" t="s">
        <v>3554</v>
      </c>
      <c r="B2189" t="s">
        <v>3891</v>
      </c>
      <c r="C2189" t="s">
        <v>8</v>
      </c>
      <c r="D2189" t="s">
        <v>3553</v>
      </c>
    </row>
    <row r="2190" spans="1:4" hidden="1" outlineLevel="2" x14ac:dyDescent="0.3">
      <c r="A2190" t="s">
        <v>3555</v>
      </c>
      <c r="B2190" t="s">
        <v>3891</v>
      </c>
      <c r="C2190" t="s">
        <v>8</v>
      </c>
      <c r="D2190" t="s">
        <v>3556</v>
      </c>
    </row>
    <row r="2191" spans="1:4" hidden="1" outlineLevel="2" x14ac:dyDescent="0.3">
      <c r="A2191" t="s">
        <v>3557</v>
      </c>
      <c r="B2191" t="s">
        <v>3825</v>
      </c>
      <c r="C2191" t="s">
        <v>10</v>
      </c>
      <c r="D2191" t="s">
        <v>3558</v>
      </c>
    </row>
    <row r="2192" spans="1:4" hidden="1" outlineLevel="2" x14ac:dyDescent="0.3">
      <c r="A2192" t="s">
        <v>3559</v>
      </c>
      <c r="B2192" t="s">
        <v>3825</v>
      </c>
      <c r="C2192" t="s">
        <v>10</v>
      </c>
      <c r="D2192" t="s">
        <v>3560</v>
      </c>
    </row>
    <row r="2193" spans="1:4" hidden="1" outlineLevel="2" x14ac:dyDescent="0.3">
      <c r="A2193" t="s">
        <v>3561</v>
      </c>
      <c r="B2193" t="s">
        <v>266</v>
      </c>
      <c r="C2193" t="s">
        <v>10</v>
      </c>
      <c r="D2193" t="s">
        <v>3562</v>
      </c>
    </row>
    <row r="2194" spans="1:4" hidden="1" outlineLevel="2" x14ac:dyDescent="0.3">
      <c r="A2194" t="s">
        <v>3563</v>
      </c>
      <c r="B2194" t="s">
        <v>266</v>
      </c>
      <c r="C2194" t="s">
        <v>10</v>
      </c>
      <c r="D2194" t="s">
        <v>3564</v>
      </c>
    </row>
    <row r="2195" spans="1:4" hidden="1" outlineLevel="2" x14ac:dyDescent="0.3">
      <c r="A2195" t="s">
        <v>3565</v>
      </c>
      <c r="B2195" t="s">
        <v>266</v>
      </c>
      <c r="C2195" t="s">
        <v>10</v>
      </c>
      <c r="D2195" t="s">
        <v>3566</v>
      </c>
    </row>
    <row r="2196" spans="1:4" hidden="1" outlineLevel="2" x14ac:dyDescent="0.3">
      <c r="A2196" t="s">
        <v>3567</v>
      </c>
      <c r="B2196" t="s">
        <v>266</v>
      </c>
      <c r="C2196" t="s">
        <v>10</v>
      </c>
      <c r="D2196" t="s">
        <v>3568</v>
      </c>
    </row>
    <row r="2197" spans="1:4" hidden="1" outlineLevel="2" x14ac:dyDescent="0.3">
      <c r="A2197" t="s">
        <v>3569</v>
      </c>
      <c r="B2197" t="s">
        <v>266</v>
      </c>
      <c r="C2197" t="s">
        <v>10</v>
      </c>
      <c r="D2197" t="s">
        <v>3570</v>
      </c>
    </row>
    <row r="2198" spans="1:4" hidden="1" outlineLevel="2" x14ac:dyDescent="0.3">
      <c r="A2198" t="s">
        <v>3571</v>
      </c>
      <c r="B2198" t="s">
        <v>266</v>
      </c>
      <c r="C2198" t="s">
        <v>10</v>
      </c>
      <c r="D2198" t="s">
        <v>3572</v>
      </c>
    </row>
    <row r="2199" spans="1:4" hidden="1" outlineLevel="2" x14ac:dyDescent="0.3">
      <c r="A2199" t="s">
        <v>3573</v>
      </c>
      <c r="B2199" t="s">
        <v>266</v>
      </c>
      <c r="C2199" t="s">
        <v>10</v>
      </c>
      <c r="D2199" t="s">
        <v>3574</v>
      </c>
    </row>
    <row r="2200" spans="1:4" hidden="1" outlineLevel="2" x14ac:dyDescent="0.3">
      <c r="A2200" t="s">
        <v>3575</v>
      </c>
      <c r="B2200" t="s">
        <v>266</v>
      </c>
      <c r="C2200" t="s">
        <v>10</v>
      </c>
      <c r="D2200" t="s">
        <v>3576</v>
      </c>
    </row>
    <row r="2201" spans="1:4" hidden="1" outlineLevel="2" x14ac:dyDescent="0.3">
      <c r="A2201" t="s">
        <v>3577</v>
      </c>
      <c r="B2201" t="s">
        <v>266</v>
      </c>
      <c r="C2201" t="s">
        <v>10</v>
      </c>
      <c r="D2201" t="s">
        <v>3578</v>
      </c>
    </row>
    <row r="2202" spans="1:4" hidden="1" outlineLevel="2" x14ac:dyDescent="0.3">
      <c r="A2202" t="s">
        <v>3579</v>
      </c>
      <c r="B2202" t="s">
        <v>266</v>
      </c>
      <c r="C2202" t="s">
        <v>10</v>
      </c>
      <c r="D2202" t="s">
        <v>3580</v>
      </c>
    </row>
    <row r="2203" spans="1:4" hidden="1" outlineLevel="2" x14ac:dyDescent="0.3">
      <c r="A2203" t="s">
        <v>3581</v>
      </c>
      <c r="B2203" t="s">
        <v>266</v>
      </c>
      <c r="C2203" t="s">
        <v>10</v>
      </c>
      <c r="D2203" t="s">
        <v>3582</v>
      </c>
    </row>
    <row r="2204" spans="1:4" hidden="1" outlineLevel="2" x14ac:dyDescent="0.3">
      <c r="A2204" t="s">
        <v>3583</v>
      </c>
      <c r="B2204" t="s">
        <v>266</v>
      </c>
      <c r="C2204" t="s">
        <v>10</v>
      </c>
      <c r="D2204" t="s">
        <v>3584</v>
      </c>
    </row>
    <row r="2205" spans="1:4" hidden="1" outlineLevel="2" x14ac:dyDescent="0.3">
      <c r="A2205" t="s">
        <v>3585</v>
      </c>
      <c r="B2205" t="s">
        <v>266</v>
      </c>
      <c r="C2205" t="s">
        <v>10</v>
      </c>
      <c r="D2205" t="s">
        <v>3586</v>
      </c>
    </row>
    <row r="2206" spans="1:4" hidden="1" outlineLevel="2" x14ac:dyDescent="0.3">
      <c r="A2206" t="s">
        <v>3587</v>
      </c>
      <c r="B2206" t="s">
        <v>266</v>
      </c>
      <c r="C2206" t="s">
        <v>10</v>
      </c>
      <c r="D2206" t="s">
        <v>3588</v>
      </c>
    </row>
    <row r="2207" spans="1:4" hidden="1" outlineLevel="2" x14ac:dyDescent="0.3">
      <c r="A2207" t="s">
        <v>3589</v>
      </c>
      <c r="B2207" t="s">
        <v>266</v>
      </c>
      <c r="C2207" t="s">
        <v>10</v>
      </c>
      <c r="D2207" t="s">
        <v>3590</v>
      </c>
    </row>
    <row r="2208" spans="1:4" hidden="1" outlineLevel="2" x14ac:dyDescent="0.3">
      <c r="A2208" t="s">
        <v>3591</v>
      </c>
      <c r="B2208" t="s">
        <v>266</v>
      </c>
      <c r="C2208" t="s">
        <v>10</v>
      </c>
      <c r="D2208" t="s">
        <v>3592</v>
      </c>
    </row>
    <row r="2209" spans="1:4" hidden="1" outlineLevel="2" x14ac:dyDescent="0.3">
      <c r="A2209" t="s">
        <v>3593</v>
      </c>
      <c r="B2209" t="s">
        <v>266</v>
      </c>
      <c r="C2209" t="s">
        <v>10</v>
      </c>
      <c r="D2209" t="s">
        <v>3594</v>
      </c>
    </row>
    <row r="2210" spans="1:4" hidden="1" outlineLevel="2" x14ac:dyDescent="0.3">
      <c r="A2210" t="s">
        <v>3595</v>
      </c>
      <c r="B2210" t="s">
        <v>266</v>
      </c>
      <c r="C2210" t="s">
        <v>10</v>
      </c>
      <c r="D2210" t="s">
        <v>3596</v>
      </c>
    </row>
    <row r="2211" spans="1:4" hidden="1" outlineLevel="2" x14ac:dyDescent="0.3">
      <c r="A2211" t="s">
        <v>3597</v>
      </c>
      <c r="B2211" t="s">
        <v>266</v>
      </c>
      <c r="C2211" t="s">
        <v>10</v>
      </c>
      <c r="D2211" t="s">
        <v>3598</v>
      </c>
    </row>
    <row r="2212" spans="1:4" hidden="1" outlineLevel="2" x14ac:dyDescent="0.3">
      <c r="A2212" t="s">
        <v>3599</v>
      </c>
      <c r="B2212" t="s">
        <v>266</v>
      </c>
      <c r="C2212" t="s">
        <v>10</v>
      </c>
      <c r="D2212" t="s">
        <v>3600</v>
      </c>
    </row>
    <row r="2213" spans="1:4" hidden="1" outlineLevel="2" x14ac:dyDescent="0.3">
      <c r="A2213" t="s">
        <v>3601</v>
      </c>
      <c r="B2213" t="s">
        <v>266</v>
      </c>
      <c r="C2213" t="s">
        <v>10</v>
      </c>
      <c r="D2213" t="s">
        <v>3602</v>
      </c>
    </row>
    <row r="2214" spans="1:4" hidden="1" outlineLevel="2" x14ac:dyDescent="0.3">
      <c r="A2214" t="s">
        <v>3603</v>
      </c>
      <c r="B2214" t="s">
        <v>266</v>
      </c>
      <c r="C2214" t="s">
        <v>10</v>
      </c>
      <c r="D2214" t="s">
        <v>3604</v>
      </c>
    </row>
    <row r="2215" spans="1:4" hidden="1" outlineLevel="2" x14ac:dyDescent="0.3">
      <c r="A2215" t="s">
        <v>3605</v>
      </c>
      <c r="B2215" t="s">
        <v>266</v>
      </c>
      <c r="C2215" t="s">
        <v>8</v>
      </c>
      <c r="D2215" t="s">
        <v>3606</v>
      </c>
    </row>
    <row r="2216" spans="1:4" hidden="1" outlineLevel="2" x14ac:dyDescent="0.3">
      <c r="A2216" t="s">
        <v>3607</v>
      </c>
      <c r="B2216" t="s">
        <v>266</v>
      </c>
      <c r="C2216" t="s">
        <v>8</v>
      </c>
      <c r="D2216" t="s">
        <v>3608</v>
      </c>
    </row>
    <row r="2217" spans="1:4" hidden="1" outlineLevel="2" x14ac:dyDescent="0.3">
      <c r="A2217" t="s">
        <v>3609</v>
      </c>
      <c r="B2217" t="s">
        <v>45</v>
      </c>
      <c r="C2217" t="s">
        <v>10</v>
      </c>
      <c r="D2217" t="s">
        <v>3610</v>
      </c>
    </row>
    <row r="2218" spans="1:4" hidden="1" outlineLevel="2" x14ac:dyDescent="0.3">
      <c r="A2218" t="s">
        <v>3611</v>
      </c>
      <c r="B2218" t="s">
        <v>45</v>
      </c>
      <c r="C2218" t="s">
        <v>8</v>
      </c>
      <c r="D2218" t="s">
        <v>3612</v>
      </c>
    </row>
    <row r="2219" spans="1:4" hidden="1" outlineLevel="2" x14ac:dyDescent="0.3">
      <c r="A2219" t="s">
        <v>3613</v>
      </c>
      <c r="B2219" t="s">
        <v>45</v>
      </c>
      <c r="C2219" t="s">
        <v>8</v>
      </c>
      <c r="D2219" t="s">
        <v>3614</v>
      </c>
    </row>
    <row r="2220" spans="1:4" hidden="1" outlineLevel="2" x14ac:dyDescent="0.3">
      <c r="A2220" t="s">
        <v>3615</v>
      </c>
      <c r="B2220" t="s">
        <v>45</v>
      </c>
      <c r="C2220" t="s">
        <v>10</v>
      </c>
      <c r="D2220" t="s">
        <v>3610</v>
      </c>
    </row>
    <row r="2221" spans="1:4" hidden="1" outlineLevel="2" x14ac:dyDescent="0.3">
      <c r="A2221" t="s">
        <v>3616</v>
      </c>
      <c r="B2221" t="s">
        <v>45</v>
      </c>
      <c r="C2221" t="s">
        <v>10</v>
      </c>
      <c r="D2221" t="s">
        <v>3617</v>
      </c>
    </row>
    <row r="2222" spans="1:4" hidden="1" outlineLevel="2" x14ac:dyDescent="0.3">
      <c r="A2222" t="s">
        <v>3618</v>
      </c>
      <c r="B2222" t="s">
        <v>45</v>
      </c>
      <c r="C2222" t="s">
        <v>8</v>
      </c>
      <c r="D2222" t="s">
        <v>3619</v>
      </c>
    </row>
    <row r="2223" spans="1:4" hidden="1" outlineLevel="2" x14ac:dyDescent="0.3">
      <c r="A2223" t="s">
        <v>3620</v>
      </c>
      <c r="B2223" t="s">
        <v>45</v>
      </c>
      <c r="C2223" t="s">
        <v>8</v>
      </c>
      <c r="D2223" t="s">
        <v>3621</v>
      </c>
    </row>
    <row r="2224" spans="1:4" hidden="1" outlineLevel="2" x14ac:dyDescent="0.3">
      <c r="A2224" t="s">
        <v>3622</v>
      </c>
      <c r="B2224" t="s">
        <v>45</v>
      </c>
      <c r="C2224" t="s">
        <v>10</v>
      </c>
      <c r="D2224" t="s">
        <v>3623</v>
      </c>
    </row>
    <row r="2225" spans="1:4" hidden="1" outlineLevel="2" x14ac:dyDescent="0.3">
      <c r="A2225" t="s">
        <v>3624</v>
      </c>
      <c r="B2225" t="s">
        <v>45</v>
      </c>
      <c r="C2225" t="s">
        <v>10</v>
      </c>
      <c r="D2225" t="s">
        <v>3623</v>
      </c>
    </row>
    <row r="2226" spans="1:4" hidden="1" outlineLevel="2" x14ac:dyDescent="0.3">
      <c r="A2226" t="s">
        <v>3625</v>
      </c>
      <c r="B2226" t="s">
        <v>45</v>
      </c>
      <c r="C2226" t="s">
        <v>10</v>
      </c>
      <c r="D2226" t="s">
        <v>3626</v>
      </c>
    </row>
    <row r="2227" spans="1:4" hidden="1" outlineLevel="2" x14ac:dyDescent="0.3">
      <c r="A2227" t="s">
        <v>3627</v>
      </c>
      <c r="B2227" t="s">
        <v>45</v>
      </c>
      <c r="C2227" t="s">
        <v>10</v>
      </c>
      <c r="D2227" t="s">
        <v>3628</v>
      </c>
    </row>
    <row r="2228" spans="1:4" hidden="1" outlineLevel="2" x14ac:dyDescent="0.3">
      <c r="A2228" t="s">
        <v>3629</v>
      </c>
      <c r="B2228" t="s">
        <v>45</v>
      </c>
      <c r="C2228" t="s">
        <v>10</v>
      </c>
      <c r="D2228" t="s">
        <v>3628</v>
      </c>
    </row>
    <row r="2229" spans="1:4" hidden="1" outlineLevel="2" x14ac:dyDescent="0.3">
      <c r="A2229" t="s">
        <v>3630</v>
      </c>
      <c r="B2229" t="s">
        <v>45</v>
      </c>
      <c r="C2229" t="s">
        <v>10</v>
      </c>
      <c r="D2229" t="s">
        <v>3631</v>
      </c>
    </row>
    <row r="2230" spans="1:4" hidden="1" outlineLevel="2" x14ac:dyDescent="0.3">
      <c r="A2230" t="s">
        <v>3632</v>
      </c>
      <c r="B2230" t="s">
        <v>45</v>
      </c>
      <c r="C2230" t="s">
        <v>10</v>
      </c>
      <c r="D2230" t="s">
        <v>3631</v>
      </c>
    </row>
    <row r="2231" spans="1:4" hidden="1" outlineLevel="2" x14ac:dyDescent="0.3">
      <c r="A2231" t="s">
        <v>3633</v>
      </c>
      <c r="B2231" t="s">
        <v>45</v>
      </c>
      <c r="C2231" t="s">
        <v>8</v>
      </c>
      <c r="D2231" t="s">
        <v>3634</v>
      </c>
    </row>
    <row r="2232" spans="1:4" hidden="1" outlineLevel="2" x14ac:dyDescent="0.3">
      <c r="A2232" t="s">
        <v>3635</v>
      </c>
      <c r="B2232" t="s">
        <v>45</v>
      </c>
      <c r="C2232" t="s">
        <v>8</v>
      </c>
      <c r="D2232" t="s">
        <v>3634</v>
      </c>
    </row>
    <row r="2233" spans="1:4" hidden="1" outlineLevel="2" x14ac:dyDescent="0.3">
      <c r="A2233" t="s">
        <v>3636</v>
      </c>
      <c r="B2233" t="s">
        <v>45</v>
      </c>
      <c r="C2233" t="s">
        <v>10</v>
      </c>
      <c r="D2233" t="s">
        <v>3637</v>
      </c>
    </row>
    <row r="2234" spans="1:4" hidden="1" outlineLevel="2" x14ac:dyDescent="0.3">
      <c r="A2234" t="s">
        <v>3638</v>
      </c>
      <c r="B2234" t="s">
        <v>45</v>
      </c>
      <c r="C2234" t="s">
        <v>10</v>
      </c>
      <c r="D2234" t="s">
        <v>3639</v>
      </c>
    </row>
    <row r="2235" spans="1:4" hidden="1" outlineLevel="2" x14ac:dyDescent="0.3">
      <c r="A2235" t="s">
        <v>3640</v>
      </c>
      <c r="B2235" t="s">
        <v>45</v>
      </c>
      <c r="C2235" t="s">
        <v>10</v>
      </c>
      <c r="D2235" t="s">
        <v>3639</v>
      </c>
    </row>
    <row r="2236" spans="1:4" hidden="1" outlineLevel="2" x14ac:dyDescent="0.3">
      <c r="A2236" t="s">
        <v>3641</v>
      </c>
      <c r="B2236" t="s">
        <v>45</v>
      </c>
      <c r="C2236" t="s">
        <v>8</v>
      </c>
      <c r="D2236" t="s">
        <v>3642</v>
      </c>
    </row>
    <row r="2237" spans="1:4" hidden="1" outlineLevel="2" x14ac:dyDescent="0.3">
      <c r="A2237" t="s">
        <v>3643</v>
      </c>
      <c r="B2237" t="s">
        <v>45</v>
      </c>
      <c r="C2237" t="s">
        <v>8</v>
      </c>
      <c r="D2237" t="s">
        <v>3642</v>
      </c>
    </row>
    <row r="2238" spans="1:4" hidden="1" outlineLevel="2" x14ac:dyDescent="0.3">
      <c r="A2238" t="s">
        <v>3644</v>
      </c>
      <c r="B2238" t="s">
        <v>45</v>
      </c>
      <c r="C2238" t="s">
        <v>10</v>
      </c>
      <c r="D2238" t="s">
        <v>3645</v>
      </c>
    </row>
    <row r="2239" spans="1:4" hidden="1" outlineLevel="2" x14ac:dyDescent="0.3">
      <c r="A2239" t="s">
        <v>3646</v>
      </c>
      <c r="B2239" t="s">
        <v>45</v>
      </c>
      <c r="C2239" t="s">
        <v>10</v>
      </c>
      <c r="D2239" t="s">
        <v>3645</v>
      </c>
    </row>
    <row r="2240" spans="1:4" hidden="1" outlineLevel="2" x14ac:dyDescent="0.3">
      <c r="A2240" t="s">
        <v>3647</v>
      </c>
      <c r="B2240" t="s">
        <v>45</v>
      </c>
      <c r="C2240" t="s">
        <v>10</v>
      </c>
      <c r="D2240" t="s">
        <v>3648</v>
      </c>
    </row>
    <row r="2241" spans="1:4" hidden="1" outlineLevel="2" x14ac:dyDescent="0.3">
      <c r="A2241" t="s">
        <v>3649</v>
      </c>
      <c r="B2241" t="s">
        <v>45</v>
      </c>
      <c r="C2241" t="s">
        <v>8</v>
      </c>
      <c r="D2241" t="s">
        <v>3650</v>
      </c>
    </row>
    <row r="2242" spans="1:4" hidden="1" outlineLevel="2" x14ac:dyDescent="0.3">
      <c r="A2242" t="s">
        <v>3651</v>
      </c>
      <c r="B2242" t="s">
        <v>45</v>
      </c>
      <c r="C2242" t="s">
        <v>8</v>
      </c>
      <c r="D2242" t="s">
        <v>3650</v>
      </c>
    </row>
    <row r="2243" spans="1:4" hidden="1" outlineLevel="2" x14ac:dyDescent="0.3">
      <c r="A2243" t="s">
        <v>3652</v>
      </c>
      <c r="B2243" t="s">
        <v>45</v>
      </c>
      <c r="C2243" t="s">
        <v>8</v>
      </c>
      <c r="D2243" t="s">
        <v>3653</v>
      </c>
    </row>
    <row r="2244" spans="1:4" hidden="1" outlineLevel="2" x14ac:dyDescent="0.3">
      <c r="A2244" t="s">
        <v>3654</v>
      </c>
      <c r="B2244" t="s">
        <v>45</v>
      </c>
      <c r="C2244" t="s">
        <v>10</v>
      </c>
      <c r="D2244" t="s">
        <v>3655</v>
      </c>
    </row>
    <row r="2245" spans="1:4" hidden="1" outlineLevel="2" x14ac:dyDescent="0.3">
      <c r="A2245" t="s">
        <v>3656</v>
      </c>
      <c r="B2245" t="s">
        <v>45</v>
      </c>
      <c r="C2245" t="s">
        <v>8</v>
      </c>
      <c r="D2245" t="s">
        <v>3657</v>
      </c>
    </row>
    <row r="2246" spans="1:4" hidden="1" outlineLevel="2" x14ac:dyDescent="0.3">
      <c r="A2246" t="s">
        <v>3658</v>
      </c>
      <c r="B2246" t="s">
        <v>45</v>
      </c>
      <c r="C2246" t="s">
        <v>8</v>
      </c>
      <c r="D2246" t="s">
        <v>3659</v>
      </c>
    </row>
    <row r="2247" spans="1:4" hidden="1" outlineLevel="2" x14ac:dyDescent="0.3">
      <c r="A2247" t="s">
        <v>3660</v>
      </c>
      <c r="B2247" t="s">
        <v>45</v>
      </c>
      <c r="C2247" t="s">
        <v>8</v>
      </c>
      <c r="D2247" t="s">
        <v>3340</v>
      </c>
    </row>
    <row r="2248" spans="1:4" hidden="1" outlineLevel="2" x14ac:dyDescent="0.3">
      <c r="A2248" t="s">
        <v>3661</v>
      </c>
      <c r="B2248" t="s">
        <v>45</v>
      </c>
      <c r="C2248" t="s">
        <v>8</v>
      </c>
      <c r="D2248" t="s">
        <v>3662</v>
      </c>
    </row>
    <row r="2249" spans="1:4" hidden="1" outlineLevel="2" x14ac:dyDescent="0.3">
      <c r="A2249" t="s">
        <v>3663</v>
      </c>
      <c r="B2249" t="s">
        <v>45</v>
      </c>
      <c r="C2249" t="s">
        <v>8</v>
      </c>
      <c r="D2249" t="s">
        <v>3662</v>
      </c>
    </row>
    <row r="2250" spans="1:4" hidden="1" outlineLevel="2" x14ac:dyDescent="0.3">
      <c r="A2250" t="s">
        <v>3664</v>
      </c>
      <c r="B2250" t="s">
        <v>45</v>
      </c>
      <c r="C2250" t="s">
        <v>8</v>
      </c>
      <c r="D2250" t="s">
        <v>3606</v>
      </c>
    </row>
    <row r="2251" spans="1:4" hidden="1" outlineLevel="2" x14ac:dyDescent="0.3">
      <c r="A2251" t="s">
        <v>3665</v>
      </c>
      <c r="B2251" t="s">
        <v>45</v>
      </c>
      <c r="C2251" t="s">
        <v>8</v>
      </c>
      <c r="D2251" t="s">
        <v>3608</v>
      </c>
    </row>
    <row r="2252" spans="1:4" hidden="1" outlineLevel="2" x14ac:dyDescent="0.3">
      <c r="A2252" t="s">
        <v>3666</v>
      </c>
      <c r="B2252" t="s">
        <v>45</v>
      </c>
      <c r="C2252" t="s">
        <v>8</v>
      </c>
      <c r="D2252" t="s">
        <v>3667</v>
      </c>
    </row>
    <row r="2253" spans="1:4" hidden="1" outlineLevel="2" x14ac:dyDescent="0.3">
      <c r="A2253" t="s">
        <v>3668</v>
      </c>
      <c r="B2253" t="s">
        <v>45</v>
      </c>
      <c r="C2253" t="s">
        <v>8</v>
      </c>
      <c r="D2253" t="s">
        <v>3667</v>
      </c>
    </row>
    <row r="2254" spans="1:4" hidden="1" outlineLevel="2" x14ac:dyDescent="0.3">
      <c r="A2254" t="s">
        <v>3669</v>
      </c>
      <c r="B2254" t="s">
        <v>45</v>
      </c>
      <c r="C2254" t="s">
        <v>10</v>
      </c>
      <c r="D2254" t="s">
        <v>2193</v>
      </c>
    </row>
    <row r="2255" spans="1:4" hidden="1" outlineLevel="2" x14ac:dyDescent="0.3">
      <c r="A2255" t="s">
        <v>3670</v>
      </c>
      <c r="B2255" t="s">
        <v>45</v>
      </c>
      <c r="C2255" t="s">
        <v>8</v>
      </c>
      <c r="D2255" t="s">
        <v>3671</v>
      </c>
    </row>
    <row r="2256" spans="1:4" hidden="1" outlineLevel="2" x14ac:dyDescent="0.3">
      <c r="A2256" t="s">
        <v>3672</v>
      </c>
      <c r="B2256" t="s">
        <v>45</v>
      </c>
      <c r="C2256" t="s">
        <v>8</v>
      </c>
      <c r="D2256" t="s">
        <v>3673</v>
      </c>
    </row>
    <row r="2257" spans="1:4" hidden="1" outlineLevel="2" x14ac:dyDescent="0.3">
      <c r="A2257" t="s">
        <v>3674</v>
      </c>
      <c r="B2257" t="s">
        <v>45</v>
      </c>
      <c r="C2257" t="s">
        <v>8</v>
      </c>
      <c r="D2257" t="s">
        <v>3673</v>
      </c>
    </row>
    <row r="2258" spans="1:4" hidden="1" outlineLevel="2" x14ac:dyDescent="0.3">
      <c r="A2258" t="s">
        <v>3675</v>
      </c>
      <c r="B2258" t="s">
        <v>45</v>
      </c>
      <c r="C2258" t="s">
        <v>10</v>
      </c>
      <c r="D2258" t="s">
        <v>3676</v>
      </c>
    </row>
    <row r="2259" spans="1:4" hidden="1" outlineLevel="2" x14ac:dyDescent="0.3">
      <c r="A2259" t="s">
        <v>3677</v>
      </c>
      <c r="B2259" t="s">
        <v>45</v>
      </c>
      <c r="C2259" t="s">
        <v>10</v>
      </c>
      <c r="D2259" t="s">
        <v>3678</v>
      </c>
    </row>
    <row r="2260" spans="1:4" hidden="1" outlineLevel="2" x14ac:dyDescent="0.3">
      <c r="A2260" t="s">
        <v>3679</v>
      </c>
      <c r="B2260" t="s">
        <v>45</v>
      </c>
      <c r="C2260" t="s">
        <v>10</v>
      </c>
      <c r="D2260" t="s">
        <v>3680</v>
      </c>
    </row>
    <row r="2261" spans="1:4" hidden="1" outlineLevel="2" x14ac:dyDescent="0.3">
      <c r="A2261" t="s">
        <v>3681</v>
      </c>
      <c r="B2261" t="s">
        <v>45</v>
      </c>
      <c r="C2261" t="s">
        <v>8</v>
      </c>
      <c r="D2261" t="s">
        <v>3682</v>
      </c>
    </row>
    <row r="2262" spans="1:4" hidden="1" outlineLevel="2" x14ac:dyDescent="0.3">
      <c r="A2262" t="s">
        <v>3683</v>
      </c>
      <c r="B2262" t="s">
        <v>45</v>
      </c>
      <c r="C2262" t="s">
        <v>8</v>
      </c>
      <c r="D2262" t="s">
        <v>3684</v>
      </c>
    </row>
    <row r="2263" spans="1:4" hidden="1" outlineLevel="2" x14ac:dyDescent="0.3">
      <c r="A2263" t="s">
        <v>3685</v>
      </c>
      <c r="B2263" t="s">
        <v>45</v>
      </c>
      <c r="C2263" t="s">
        <v>10</v>
      </c>
      <c r="D2263" t="s">
        <v>3686</v>
      </c>
    </row>
    <row r="2264" spans="1:4" hidden="1" outlineLevel="2" x14ac:dyDescent="0.3">
      <c r="A2264" t="s">
        <v>3687</v>
      </c>
      <c r="B2264" t="s">
        <v>45</v>
      </c>
      <c r="C2264" t="s">
        <v>10</v>
      </c>
      <c r="D2264" t="s">
        <v>3686</v>
      </c>
    </row>
    <row r="2265" spans="1:4" hidden="1" outlineLevel="2" x14ac:dyDescent="0.3">
      <c r="A2265" t="s">
        <v>3688</v>
      </c>
      <c r="B2265" t="s">
        <v>45</v>
      </c>
      <c r="C2265" t="s">
        <v>8</v>
      </c>
      <c r="D2265" t="s">
        <v>3689</v>
      </c>
    </row>
    <row r="2266" spans="1:4" hidden="1" outlineLevel="2" x14ac:dyDescent="0.3">
      <c r="A2266" t="s">
        <v>3690</v>
      </c>
      <c r="B2266" t="s">
        <v>45</v>
      </c>
      <c r="C2266" t="s">
        <v>8</v>
      </c>
      <c r="D2266" t="s">
        <v>3689</v>
      </c>
    </row>
    <row r="2267" spans="1:4" hidden="1" outlineLevel="2" x14ac:dyDescent="0.3">
      <c r="A2267" t="s">
        <v>3691</v>
      </c>
      <c r="B2267" t="s">
        <v>45</v>
      </c>
      <c r="C2267" t="s">
        <v>10</v>
      </c>
      <c r="D2267" t="s">
        <v>3692</v>
      </c>
    </row>
    <row r="2268" spans="1:4" hidden="1" outlineLevel="2" x14ac:dyDescent="0.3">
      <c r="A2268" t="s">
        <v>3693</v>
      </c>
      <c r="B2268" t="s">
        <v>45</v>
      </c>
      <c r="C2268" t="s">
        <v>8</v>
      </c>
      <c r="D2268" t="s">
        <v>3694</v>
      </c>
    </row>
    <row r="2269" spans="1:4" hidden="1" outlineLevel="2" x14ac:dyDescent="0.3">
      <c r="A2269" t="s">
        <v>3695</v>
      </c>
      <c r="B2269" t="s">
        <v>45</v>
      </c>
      <c r="C2269" t="s">
        <v>8</v>
      </c>
      <c r="D2269" t="s">
        <v>3694</v>
      </c>
    </row>
    <row r="2270" spans="1:4" hidden="1" outlineLevel="2" x14ac:dyDescent="0.3">
      <c r="A2270" t="s">
        <v>3696</v>
      </c>
      <c r="B2270" t="s">
        <v>45</v>
      </c>
      <c r="C2270" t="s">
        <v>10</v>
      </c>
      <c r="D2270" t="s">
        <v>3697</v>
      </c>
    </row>
    <row r="2271" spans="1:4" hidden="1" outlineLevel="2" x14ac:dyDescent="0.3">
      <c r="A2271" t="s">
        <v>3698</v>
      </c>
      <c r="B2271" t="s">
        <v>45</v>
      </c>
      <c r="C2271" t="s">
        <v>10</v>
      </c>
      <c r="D2271" t="s">
        <v>3699</v>
      </c>
    </row>
    <row r="2272" spans="1:4" hidden="1" outlineLevel="2" x14ac:dyDescent="0.3">
      <c r="A2272" t="s">
        <v>3700</v>
      </c>
      <c r="B2272" t="s">
        <v>45</v>
      </c>
      <c r="C2272" t="s">
        <v>10</v>
      </c>
      <c r="D2272" t="s">
        <v>3699</v>
      </c>
    </row>
    <row r="2273" spans="1:4" hidden="1" outlineLevel="2" x14ac:dyDescent="0.3">
      <c r="A2273" t="s">
        <v>3701</v>
      </c>
      <c r="B2273" t="s">
        <v>45</v>
      </c>
      <c r="C2273" t="s">
        <v>10</v>
      </c>
      <c r="D2273" t="s">
        <v>3699</v>
      </c>
    </row>
    <row r="2274" spans="1:4" hidden="1" outlineLevel="2" x14ac:dyDescent="0.3">
      <c r="A2274" t="s">
        <v>3702</v>
      </c>
      <c r="B2274" t="s">
        <v>45</v>
      </c>
      <c r="C2274" t="s">
        <v>10</v>
      </c>
      <c r="D2274" t="s">
        <v>3699</v>
      </c>
    </row>
    <row r="2275" spans="1:4" hidden="1" outlineLevel="2" x14ac:dyDescent="0.3">
      <c r="A2275" t="s">
        <v>3703</v>
      </c>
      <c r="B2275" t="s">
        <v>45</v>
      </c>
      <c r="C2275" t="s">
        <v>10</v>
      </c>
      <c r="D2275" t="s">
        <v>3699</v>
      </c>
    </row>
    <row r="2276" spans="1:4" hidden="1" outlineLevel="2" x14ac:dyDescent="0.3">
      <c r="A2276" t="s">
        <v>3704</v>
      </c>
      <c r="B2276" t="s">
        <v>45</v>
      </c>
      <c r="C2276" t="s">
        <v>10</v>
      </c>
      <c r="D2276" t="s">
        <v>3705</v>
      </c>
    </row>
    <row r="2277" spans="1:4" hidden="1" outlineLevel="2" x14ac:dyDescent="0.3">
      <c r="A2277" t="s">
        <v>3706</v>
      </c>
      <c r="B2277" t="s">
        <v>45</v>
      </c>
      <c r="C2277" t="s">
        <v>8</v>
      </c>
      <c r="D2277" t="s">
        <v>3707</v>
      </c>
    </row>
    <row r="2278" spans="1:4" hidden="1" outlineLevel="2" x14ac:dyDescent="0.3">
      <c r="A2278" t="s">
        <v>3708</v>
      </c>
      <c r="B2278" t="s">
        <v>45</v>
      </c>
      <c r="C2278" t="s">
        <v>8</v>
      </c>
      <c r="D2278" t="s">
        <v>3707</v>
      </c>
    </row>
    <row r="2279" spans="1:4" hidden="1" outlineLevel="2" x14ac:dyDescent="0.3">
      <c r="A2279" t="s">
        <v>3709</v>
      </c>
      <c r="B2279" t="s">
        <v>45</v>
      </c>
      <c r="C2279" t="s">
        <v>8</v>
      </c>
      <c r="D2279" t="s">
        <v>3710</v>
      </c>
    </row>
    <row r="2280" spans="1:4" hidden="1" outlineLevel="2" x14ac:dyDescent="0.3">
      <c r="A2280" t="s">
        <v>3711</v>
      </c>
      <c r="B2280" t="s">
        <v>45</v>
      </c>
      <c r="C2280" t="s">
        <v>8</v>
      </c>
      <c r="D2280" t="s">
        <v>3710</v>
      </c>
    </row>
    <row r="2281" spans="1:4" hidden="1" outlineLevel="2" x14ac:dyDescent="0.3">
      <c r="A2281" t="s">
        <v>3712</v>
      </c>
      <c r="B2281" t="s">
        <v>45</v>
      </c>
      <c r="C2281" t="s">
        <v>10</v>
      </c>
      <c r="D2281" t="s">
        <v>3713</v>
      </c>
    </row>
    <row r="2282" spans="1:4" hidden="1" outlineLevel="2" x14ac:dyDescent="0.3">
      <c r="A2282" t="s">
        <v>3714</v>
      </c>
      <c r="B2282" t="s">
        <v>45</v>
      </c>
      <c r="C2282" t="s">
        <v>10</v>
      </c>
      <c r="D2282" t="s">
        <v>3715</v>
      </c>
    </row>
    <row r="2283" spans="1:4" hidden="1" outlineLevel="2" x14ac:dyDescent="0.3">
      <c r="A2283" t="s">
        <v>3716</v>
      </c>
      <c r="B2283" t="s">
        <v>45</v>
      </c>
      <c r="C2283" t="s">
        <v>8</v>
      </c>
      <c r="D2283" t="s">
        <v>3717</v>
      </c>
    </row>
    <row r="2284" spans="1:4" hidden="1" outlineLevel="2" x14ac:dyDescent="0.3">
      <c r="A2284" t="s">
        <v>3718</v>
      </c>
      <c r="B2284" t="s">
        <v>45</v>
      </c>
      <c r="C2284" t="s">
        <v>8</v>
      </c>
      <c r="D2284" t="s">
        <v>3717</v>
      </c>
    </row>
    <row r="2285" spans="1:4" hidden="1" outlineLevel="2" x14ac:dyDescent="0.3">
      <c r="A2285" t="s">
        <v>3719</v>
      </c>
      <c r="B2285" t="s">
        <v>45</v>
      </c>
      <c r="C2285" t="s">
        <v>8</v>
      </c>
      <c r="D2285" t="s">
        <v>3720</v>
      </c>
    </row>
    <row r="2286" spans="1:4" hidden="1" outlineLevel="2" x14ac:dyDescent="0.3">
      <c r="A2286" t="s">
        <v>3721</v>
      </c>
      <c r="B2286" t="s">
        <v>45</v>
      </c>
      <c r="C2286" t="s">
        <v>8</v>
      </c>
      <c r="D2286" t="s">
        <v>3720</v>
      </c>
    </row>
    <row r="2287" spans="1:4" hidden="1" outlineLevel="2" x14ac:dyDescent="0.3">
      <c r="A2287" t="s">
        <v>3722</v>
      </c>
      <c r="B2287" t="s">
        <v>45</v>
      </c>
      <c r="C2287" t="s">
        <v>10</v>
      </c>
      <c r="D2287" t="s">
        <v>3705</v>
      </c>
    </row>
    <row r="2288" spans="1:4" hidden="1" outlineLevel="2" x14ac:dyDescent="0.3">
      <c r="A2288" t="s">
        <v>3723</v>
      </c>
      <c r="B2288" t="s">
        <v>45</v>
      </c>
      <c r="C2288" t="s">
        <v>8</v>
      </c>
      <c r="D2288" t="s">
        <v>3724</v>
      </c>
    </row>
    <row r="2289" spans="1:4" hidden="1" outlineLevel="2" x14ac:dyDescent="0.3">
      <c r="A2289" t="s">
        <v>3725</v>
      </c>
      <c r="B2289" t="s">
        <v>45</v>
      </c>
      <c r="C2289" t="s">
        <v>8</v>
      </c>
      <c r="D2289" t="s">
        <v>3724</v>
      </c>
    </row>
    <row r="2290" spans="1:4" hidden="1" outlineLevel="2" x14ac:dyDescent="0.3">
      <c r="A2290" t="s">
        <v>3726</v>
      </c>
      <c r="B2290" t="s">
        <v>45</v>
      </c>
      <c r="C2290" t="s">
        <v>8</v>
      </c>
      <c r="D2290" t="s">
        <v>3724</v>
      </c>
    </row>
    <row r="2291" spans="1:4" hidden="1" outlineLevel="2" x14ac:dyDescent="0.3">
      <c r="A2291" t="s">
        <v>3727</v>
      </c>
      <c r="B2291" t="s">
        <v>45</v>
      </c>
      <c r="C2291" t="s">
        <v>8</v>
      </c>
      <c r="D2291" t="s">
        <v>3724</v>
      </c>
    </row>
    <row r="2292" spans="1:4" hidden="1" outlineLevel="2" x14ac:dyDescent="0.3">
      <c r="A2292" t="s">
        <v>3728</v>
      </c>
      <c r="B2292" t="s">
        <v>45</v>
      </c>
      <c r="C2292" t="s">
        <v>8</v>
      </c>
      <c r="D2292" t="s">
        <v>3729</v>
      </c>
    </row>
    <row r="2293" spans="1:4" hidden="1" outlineLevel="2" x14ac:dyDescent="0.3">
      <c r="A2293" t="s">
        <v>3730</v>
      </c>
      <c r="B2293" t="s">
        <v>45</v>
      </c>
      <c r="C2293" t="s">
        <v>8</v>
      </c>
      <c r="D2293" t="s">
        <v>3729</v>
      </c>
    </row>
    <row r="2294" spans="1:4" hidden="1" outlineLevel="2" x14ac:dyDescent="0.3">
      <c r="A2294" t="s">
        <v>3731</v>
      </c>
      <c r="B2294" t="s">
        <v>45</v>
      </c>
      <c r="C2294" t="s">
        <v>8</v>
      </c>
      <c r="D2294" t="s">
        <v>3732</v>
      </c>
    </row>
    <row r="2295" spans="1:4" hidden="1" outlineLevel="2" x14ac:dyDescent="0.3">
      <c r="A2295" t="s">
        <v>3733</v>
      </c>
      <c r="B2295" t="s">
        <v>45</v>
      </c>
      <c r="C2295" t="s">
        <v>8</v>
      </c>
      <c r="D2295" t="s">
        <v>3732</v>
      </c>
    </row>
    <row r="2296" spans="1:4" hidden="1" outlineLevel="2" x14ac:dyDescent="0.3">
      <c r="A2296" t="s">
        <v>3734</v>
      </c>
      <c r="B2296" t="s">
        <v>45</v>
      </c>
      <c r="C2296" t="s">
        <v>8</v>
      </c>
      <c r="D2296" t="s">
        <v>3735</v>
      </c>
    </row>
    <row r="2297" spans="1:4" hidden="1" outlineLevel="2" x14ac:dyDescent="0.3">
      <c r="A2297" t="s">
        <v>3736</v>
      </c>
      <c r="B2297" t="s">
        <v>45</v>
      </c>
      <c r="C2297" t="s">
        <v>8</v>
      </c>
      <c r="D2297" t="s">
        <v>3735</v>
      </c>
    </row>
    <row r="2298" spans="1:4" hidden="1" outlineLevel="2" x14ac:dyDescent="0.3">
      <c r="A2298" t="s">
        <v>3737</v>
      </c>
      <c r="B2298" t="s">
        <v>45</v>
      </c>
      <c r="C2298" t="s">
        <v>8</v>
      </c>
      <c r="D2298" t="s">
        <v>3724</v>
      </c>
    </row>
    <row r="2299" spans="1:4" hidden="1" outlineLevel="2" x14ac:dyDescent="0.3">
      <c r="A2299" t="s">
        <v>3738</v>
      </c>
      <c r="B2299" t="s">
        <v>45</v>
      </c>
      <c r="C2299" t="s">
        <v>8</v>
      </c>
      <c r="D2299" t="s">
        <v>3724</v>
      </c>
    </row>
    <row r="2300" spans="1:4" hidden="1" outlineLevel="2" x14ac:dyDescent="0.3">
      <c r="A2300" t="s">
        <v>3739</v>
      </c>
      <c r="B2300" t="s">
        <v>45</v>
      </c>
      <c r="C2300" t="s">
        <v>8</v>
      </c>
      <c r="D2300" t="s">
        <v>3724</v>
      </c>
    </row>
    <row r="2301" spans="1:4" hidden="1" outlineLevel="2" x14ac:dyDescent="0.3">
      <c r="A2301" t="s">
        <v>3740</v>
      </c>
      <c r="B2301" t="s">
        <v>45</v>
      </c>
      <c r="C2301" t="s">
        <v>8</v>
      </c>
      <c r="D2301" t="s">
        <v>3741</v>
      </c>
    </row>
    <row r="2302" spans="1:4" hidden="1" outlineLevel="2" x14ac:dyDescent="0.3">
      <c r="A2302" t="s">
        <v>3742</v>
      </c>
      <c r="B2302" t="s">
        <v>45</v>
      </c>
      <c r="C2302" t="s">
        <v>8</v>
      </c>
      <c r="D2302" t="s">
        <v>3741</v>
      </c>
    </row>
    <row r="2303" spans="1:4" hidden="1" outlineLevel="2" x14ac:dyDescent="0.3">
      <c r="A2303" t="s">
        <v>3743</v>
      </c>
      <c r="B2303" t="s">
        <v>45</v>
      </c>
      <c r="C2303" t="s">
        <v>8</v>
      </c>
      <c r="D2303" t="s">
        <v>3744</v>
      </c>
    </row>
    <row r="2304" spans="1:4" hidden="1" outlineLevel="2" x14ac:dyDescent="0.3">
      <c r="A2304" t="s">
        <v>3745</v>
      </c>
      <c r="B2304" t="s">
        <v>45</v>
      </c>
      <c r="C2304" t="s">
        <v>8</v>
      </c>
      <c r="D2304" t="s">
        <v>3744</v>
      </c>
    </row>
    <row r="2305" spans="1:4" hidden="1" outlineLevel="2" x14ac:dyDescent="0.3">
      <c r="A2305" t="s">
        <v>3746</v>
      </c>
      <c r="B2305" t="s">
        <v>45</v>
      </c>
      <c r="C2305" t="s">
        <v>8</v>
      </c>
      <c r="D2305" t="s">
        <v>3747</v>
      </c>
    </row>
    <row r="2306" spans="1:4" hidden="1" outlineLevel="2" x14ac:dyDescent="0.3">
      <c r="A2306" t="s">
        <v>3748</v>
      </c>
      <c r="B2306" t="s">
        <v>45</v>
      </c>
      <c r="C2306" t="s">
        <v>8</v>
      </c>
      <c r="D2306" t="s">
        <v>3747</v>
      </c>
    </row>
    <row r="2307" spans="1:4" hidden="1" outlineLevel="2" x14ac:dyDescent="0.3">
      <c r="A2307" t="s">
        <v>3749</v>
      </c>
      <c r="B2307" t="s">
        <v>45</v>
      </c>
      <c r="C2307" t="s">
        <v>8</v>
      </c>
      <c r="D2307" t="s">
        <v>3724</v>
      </c>
    </row>
    <row r="2308" spans="1:4" hidden="1" outlineLevel="2" x14ac:dyDescent="0.3">
      <c r="A2308" t="s">
        <v>3750</v>
      </c>
      <c r="B2308" t="s">
        <v>45</v>
      </c>
      <c r="C2308" t="s">
        <v>10</v>
      </c>
      <c r="D2308" t="s">
        <v>3751</v>
      </c>
    </row>
    <row r="2309" spans="1:4" hidden="1" outlineLevel="2" x14ac:dyDescent="0.3">
      <c r="A2309" t="s">
        <v>3752</v>
      </c>
      <c r="B2309" t="s">
        <v>45</v>
      </c>
      <c r="C2309" t="s">
        <v>8</v>
      </c>
      <c r="D2309" t="s">
        <v>3753</v>
      </c>
    </row>
    <row r="2310" spans="1:4" hidden="1" outlineLevel="2" x14ac:dyDescent="0.3">
      <c r="A2310" t="s">
        <v>3754</v>
      </c>
      <c r="B2310" t="s">
        <v>45</v>
      </c>
      <c r="C2310" t="s">
        <v>8</v>
      </c>
      <c r="D2310" t="s">
        <v>3753</v>
      </c>
    </row>
    <row r="2311" spans="1:4" hidden="1" outlineLevel="2" x14ac:dyDescent="0.3">
      <c r="A2311" t="s">
        <v>3755</v>
      </c>
      <c r="B2311" t="s">
        <v>45</v>
      </c>
      <c r="C2311" t="s">
        <v>8</v>
      </c>
      <c r="D2311" t="s">
        <v>3756</v>
      </c>
    </row>
    <row r="2312" spans="1:4" hidden="1" outlineLevel="2" x14ac:dyDescent="0.3">
      <c r="A2312" t="s">
        <v>3757</v>
      </c>
      <c r="B2312" t="s">
        <v>45</v>
      </c>
      <c r="C2312" t="s">
        <v>8</v>
      </c>
      <c r="D2312" t="s">
        <v>3756</v>
      </c>
    </row>
    <row r="2313" spans="1:4" hidden="1" outlineLevel="2" x14ac:dyDescent="0.3">
      <c r="A2313" t="s">
        <v>3758</v>
      </c>
      <c r="B2313" t="s">
        <v>45</v>
      </c>
      <c r="C2313" t="s">
        <v>8</v>
      </c>
      <c r="D2313" t="s">
        <v>3759</v>
      </c>
    </row>
    <row r="2314" spans="1:4" hidden="1" outlineLevel="2" x14ac:dyDescent="0.3">
      <c r="A2314" t="s">
        <v>3760</v>
      </c>
      <c r="B2314" t="s">
        <v>45</v>
      </c>
      <c r="C2314" t="s">
        <v>8</v>
      </c>
      <c r="D2314" t="s">
        <v>3759</v>
      </c>
    </row>
    <row r="2315" spans="1:4" hidden="1" outlineLevel="2" x14ac:dyDescent="0.3">
      <c r="A2315" t="s">
        <v>3761</v>
      </c>
      <c r="B2315" t="s">
        <v>45</v>
      </c>
      <c r="C2315" t="s">
        <v>8</v>
      </c>
      <c r="D2315" t="s">
        <v>3762</v>
      </c>
    </row>
    <row r="2316" spans="1:4" hidden="1" outlineLevel="2" x14ac:dyDescent="0.3">
      <c r="A2316" t="s">
        <v>3763</v>
      </c>
      <c r="B2316" t="s">
        <v>45</v>
      </c>
      <c r="C2316" t="s">
        <v>10</v>
      </c>
      <c r="D2316" t="s">
        <v>3764</v>
      </c>
    </row>
    <row r="2317" spans="1:4" hidden="1" outlineLevel="2" x14ac:dyDescent="0.3">
      <c r="A2317" t="s">
        <v>3765</v>
      </c>
      <c r="B2317" t="s">
        <v>45</v>
      </c>
      <c r="C2317" t="s">
        <v>10</v>
      </c>
      <c r="D2317" t="s">
        <v>3766</v>
      </c>
    </row>
    <row r="2318" spans="1:4" hidden="1" outlineLevel="2" x14ac:dyDescent="0.3">
      <c r="A2318" t="s">
        <v>3767</v>
      </c>
      <c r="B2318" t="s">
        <v>45</v>
      </c>
      <c r="C2318" t="s">
        <v>8</v>
      </c>
      <c r="D2318" t="s">
        <v>3768</v>
      </c>
    </row>
    <row r="2319" spans="1:4" hidden="1" outlineLevel="2" x14ac:dyDescent="0.3">
      <c r="A2319" t="s">
        <v>3769</v>
      </c>
      <c r="B2319" t="s">
        <v>45</v>
      </c>
      <c r="C2319" t="s">
        <v>8</v>
      </c>
      <c r="D2319" t="s">
        <v>3768</v>
      </c>
    </row>
    <row r="2320" spans="1:4" hidden="1" outlineLevel="2" x14ac:dyDescent="0.3">
      <c r="A2320" t="s">
        <v>3770</v>
      </c>
      <c r="B2320" t="s">
        <v>45</v>
      </c>
      <c r="C2320" t="s">
        <v>8</v>
      </c>
      <c r="D2320" t="s">
        <v>3771</v>
      </c>
    </row>
    <row r="2321" spans="1:6" hidden="1" outlineLevel="2" x14ac:dyDescent="0.3">
      <c r="A2321" t="s">
        <v>3772</v>
      </c>
      <c r="B2321" t="s">
        <v>45</v>
      </c>
      <c r="C2321" t="s">
        <v>8</v>
      </c>
      <c r="D2321" t="s">
        <v>3771</v>
      </c>
    </row>
    <row r="2322" spans="1:6" hidden="1" outlineLevel="2" x14ac:dyDescent="0.3">
      <c r="A2322" t="s">
        <v>3773</v>
      </c>
      <c r="B2322" t="s">
        <v>45</v>
      </c>
      <c r="C2322" t="s">
        <v>10</v>
      </c>
      <c r="D2322" t="s">
        <v>3774</v>
      </c>
    </row>
    <row r="2323" spans="1:6" hidden="1" outlineLevel="2" x14ac:dyDescent="0.3">
      <c r="A2323" t="s">
        <v>3775</v>
      </c>
      <c r="B2323" t="s">
        <v>45</v>
      </c>
      <c r="C2323" t="s">
        <v>10</v>
      </c>
      <c r="D2323" t="s">
        <v>3776</v>
      </c>
      <c r="F2323" t="s">
        <v>9189</v>
      </c>
    </row>
    <row r="2324" spans="1:6" hidden="1" outlineLevel="2" x14ac:dyDescent="0.3">
      <c r="A2324" t="s">
        <v>3777</v>
      </c>
      <c r="B2324" t="s">
        <v>45</v>
      </c>
      <c r="C2324" t="s">
        <v>10</v>
      </c>
      <c r="D2324" t="s">
        <v>3778</v>
      </c>
      <c r="F2324" t="s">
        <v>9189</v>
      </c>
    </row>
    <row r="2325" spans="1:6" hidden="1" outlineLevel="2" x14ac:dyDescent="0.3">
      <c r="A2325" t="s">
        <v>3779</v>
      </c>
      <c r="B2325" t="s">
        <v>45</v>
      </c>
      <c r="C2325" t="s">
        <v>10</v>
      </c>
      <c r="D2325" t="s">
        <v>3780</v>
      </c>
      <c r="F2325" t="s">
        <v>9189</v>
      </c>
    </row>
    <row r="2326" spans="1:6" hidden="1" outlineLevel="2" x14ac:dyDescent="0.3">
      <c r="A2326" t="s">
        <v>3781</v>
      </c>
      <c r="B2326" t="s">
        <v>45</v>
      </c>
      <c r="C2326" t="s">
        <v>10</v>
      </c>
      <c r="D2326" t="s">
        <v>3782</v>
      </c>
      <c r="F2326" t="s">
        <v>9189</v>
      </c>
    </row>
    <row r="2327" spans="1:6" hidden="1" outlineLevel="2" x14ac:dyDescent="0.3">
      <c r="A2327" t="s">
        <v>3783</v>
      </c>
      <c r="B2327" t="s">
        <v>45</v>
      </c>
      <c r="C2327" t="s">
        <v>10</v>
      </c>
      <c r="D2327" t="s">
        <v>3784</v>
      </c>
      <c r="F2327" t="s">
        <v>9189</v>
      </c>
    </row>
    <row r="2328" spans="1:6" hidden="1" outlineLevel="2" x14ac:dyDescent="0.3">
      <c r="A2328" t="s">
        <v>3785</v>
      </c>
      <c r="B2328" t="s">
        <v>45</v>
      </c>
      <c r="C2328" t="s">
        <v>10</v>
      </c>
      <c r="D2328" t="s">
        <v>3786</v>
      </c>
      <c r="F2328" t="s">
        <v>9189</v>
      </c>
    </row>
    <row r="2329" spans="1:6" hidden="1" outlineLevel="2" x14ac:dyDescent="0.3">
      <c r="A2329" t="s">
        <v>3787</v>
      </c>
      <c r="B2329" t="s">
        <v>45</v>
      </c>
      <c r="C2329" t="s">
        <v>8</v>
      </c>
      <c r="D2329" t="s">
        <v>3788</v>
      </c>
      <c r="F2329" t="s">
        <v>9189</v>
      </c>
    </row>
    <row r="2330" spans="1:6" hidden="1" outlineLevel="2" x14ac:dyDescent="0.3">
      <c r="A2330" t="s">
        <v>3789</v>
      </c>
      <c r="B2330" t="s">
        <v>45</v>
      </c>
      <c r="C2330" t="s">
        <v>10</v>
      </c>
      <c r="D2330" t="s">
        <v>3790</v>
      </c>
      <c r="F2330" t="s">
        <v>9189</v>
      </c>
    </row>
    <row r="2331" spans="1:6" hidden="1" outlineLevel="2" x14ac:dyDescent="0.3">
      <c r="A2331" t="s">
        <v>3791</v>
      </c>
      <c r="B2331" t="s">
        <v>45</v>
      </c>
      <c r="C2331" t="s">
        <v>10</v>
      </c>
      <c r="D2331" t="s">
        <v>3792</v>
      </c>
      <c r="F2331" t="s">
        <v>9189</v>
      </c>
    </row>
    <row r="2332" spans="1:6" hidden="1" outlineLevel="2" x14ac:dyDescent="0.3">
      <c r="A2332" t="s">
        <v>3793</v>
      </c>
      <c r="B2332" t="s">
        <v>45</v>
      </c>
      <c r="C2332" t="s">
        <v>8</v>
      </c>
      <c r="D2332" t="s">
        <v>3794</v>
      </c>
      <c r="F2332" t="s">
        <v>9189</v>
      </c>
    </row>
    <row r="2333" spans="1:6" hidden="1" outlineLevel="2" x14ac:dyDescent="0.3">
      <c r="A2333" t="s">
        <v>3795</v>
      </c>
      <c r="B2333" t="s">
        <v>45</v>
      </c>
      <c r="C2333" t="s">
        <v>10</v>
      </c>
      <c r="D2333" t="s">
        <v>3796</v>
      </c>
      <c r="F2333" t="s">
        <v>9189</v>
      </c>
    </row>
    <row r="2334" spans="1:6" hidden="1" outlineLevel="2" x14ac:dyDescent="0.3">
      <c r="A2334" t="s">
        <v>3797</v>
      </c>
      <c r="B2334" t="s">
        <v>45</v>
      </c>
      <c r="C2334" t="s">
        <v>10</v>
      </c>
      <c r="D2334" t="s">
        <v>3798</v>
      </c>
      <c r="F2334" t="s">
        <v>9189</v>
      </c>
    </row>
    <row r="2335" spans="1:6" hidden="1" outlineLevel="2" x14ac:dyDescent="0.3">
      <c r="A2335" t="s">
        <v>3799</v>
      </c>
      <c r="B2335" t="s">
        <v>45</v>
      </c>
      <c r="C2335" t="s">
        <v>8</v>
      </c>
      <c r="D2335" t="s">
        <v>3800</v>
      </c>
      <c r="F2335" t="s">
        <v>9189</v>
      </c>
    </row>
    <row r="2336" spans="1:6" hidden="1" outlineLevel="2" x14ac:dyDescent="0.3">
      <c r="A2336" t="s">
        <v>3801</v>
      </c>
      <c r="B2336" t="s">
        <v>45</v>
      </c>
      <c r="C2336" t="s">
        <v>8</v>
      </c>
      <c r="D2336" t="s">
        <v>3800</v>
      </c>
      <c r="F2336" t="s">
        <v>9189</v>
      </c>
    </row>
    <row r="2337" spans="1:4" hidden="1" outlineLevel="2" x14ac:dyDescent="0.3">
      <c r="A2337" t="s">
        <v>3802</v>
      </c>
      <c r="B2337" t="s">
        <v>45</v>
      </c>
      <c r="C2337" t="s">
        <v>10</v>
      </c>
      <c r="D2337" t="s">
        <v>3803</v>
      </c>
    </row>
    <row r="2338" spans="1:4" hidden="1" outlineLevel="2" x14ac:dyDescent="0.3">
      <c r="A2338" t="s">
        <v>3804</v>
      </c>
      <c r="B2338" t="s">
        <v>45</v>
      </c>
      <c r="C2338" t="s">
        <v>10</v>
      </c>
      <c r="D2338" t="s">
        <v>3803</v>
      </c>
    </row>
    <row r="2339" spans="1:4" hidden="1" outlineLevel="2" x14ac:dyDescent="0.3">
      <c r="A2339" t="s">
        <v>3805</v>
      </c>
      <c r="B2339" t="s">
        <v>45</v>
      </c>
      <c r="C2339" t="s">
        <v>10</v>
      </c>
      <c r="D2339" t="s">
        <v>3803</v>
      </c>
    </row>
    <row r="2340" spans="1:4" hidden="1" outlineLevel="2" x14ac:dyDescent="0.3">
      <c r="A2340" t="s">
        <v>3806</v>
      </c>
      <c r="B2340" t="s">
        <v>45</v>
      </c>
      <c r="C2340" t="s">
        <v>10</v>
      </c>
      <c r="D2340" t="s">
        <v>3803</v>
      </c>
    </row>
    <row r="2341" spans="1:4" hidden="1" outlineLevel="2" x14ac:dyDescent="0.3">
      <c r="A2341" t="s">
        <v>3807</v>
      </c>
      <c r="B2341" t="s">
        <v>45</v>
      </c>
      <c r="C2341" t="s">
        <v>8</v>
      </c>
      <c r="D2341" t="s">
        <v>3800</v>
      </c>
    </row>
    <row r="2342" spans="1:4" hidden="1" outlineLevel="2" x14ac:dyDescent="0.3">
      <c r="A2342" t="s">
        <v>3808</v>
      </c>
      <c r="B2342" t="s">
        <v>45</v>
      </c>
      <c r="C2342" t="s">
        <v>8</v>
      </c>
      <c r="D2342" t="s">
        <v>3800</v>
      </c>
    </row>
    <row r="2343" spans="1:4" hidden="1" outlineLevel="2" x14ac:dyDescent="0.3">
      <c r="A2343" t="s">
        <v>3809</v>
      </c>
      <c r="B2343" t="s">
        <v>45</v>
      </c>
      <c r="C2343" t="s">
        <v>8</v>
      </c>
      <c r="D2343" t="s">
        <v>3800</v>
      </c>
    </row>
    <row r="2344" spans="1:4" hidden="1" outlineLevel="2" x14ac:dyDescent="0.3">
      <c r="A2344" t="s">
        <v>3810</v>
      </c>
      <c r="B2344" t="s">
        <v>45</v>
      </c>
      <c r="C2344" t="s">
        <v>8</v>
      </c>
      <c r="D2344" t="s">
        <v>3800</v>
      </c>
    </row>
    <row r="2345" spans="1:4" hidden="1" outlineLevel="2" x14ac:dyDescent="0.3">
      <c r="A2345" t="s">
        <v>3811</v>
      </c>
      <c r="B2345" t="s">
        <v>45</v>
      </c>
      <c r="C2345" t="s">
        <v>8</v>
      </c>
      <c r="D2345" t="s">
        <v>3812</v>
      </c>
    </row>
    <row r="2346" spans="1:4" hidden="1" outlineLevel="2" x14ac:dyDescent="0.3">
      <c r="A2346" t="s">
        <v>3813</v>
      </c>
      <c r="B2346" t="s">
        <v>45</v>
      </c>
      <c r="C2346" t="s">
        <v>8</v>
      </c>
      <c r="D2346" t="s">
        <v>3812</v>
      </c>
    </row>
    <row r="2347" spans="1:4" hidden="1" outlineLevel="2" x14ac:dyDescent="0.3">
      <c r="A2347" t="s">
        <v>3814</v>
      </c>
      <c r="B2347" t="s">
        <v>45</v>
      </c>
      <c r="C2347" t="s">
        <v>8</v>
      </c>
      <c r="D2347" t="s">
        <v>3812</v>
      </c>
    </row>
    <row r="2348" spans="1:4" hidden="1" outlineLevel="2" x14ac:dyDescent="0.3">
      <c r="A2348" t="s">
        <v>3815</v>
      </c>
      <c r="B2348" t="s">
        <v>45</v>
      </c>
      <c r="C2348" t="s">
        <v>8</v>
      </c>
      <c r="D2348" t="s">
        <v>3812</v>
      </c>
    </row>
    <row r="2349" spans="1:4" hidden="1" outlineLevel="2" x14ac:dyDescent="0.3">
      <c r="A2349" t="s">
        <v>3816</v>
      </c>
      <c r="B2349" t="s">
        <v>45</v>
      </c>
      <c r="C2349" t="s">
        <v>8</v>
      </c>
      <c r="D2349" t="s">
        <v>3812</v>
      </c>
    </row>
    <row r="2350" spans="1:4" hidden="1" outlineLevel="2" x14ac:dyDescent="0.3">
      <c r="A2350" t="s">
        <v>3817</v>
      </c>
      <c r="B2350" t="s">
        <v>45</v>
      </c>
      <c r="C2350" t="s">
        <v>8</v>
      </c>
      <c r="D2350" t="s">
        <v>3812</v>
      </c>
    </row>
    <row r="2351" spans="1:4" hidden="1" outlineLevel="2" x14ac:dyDescent="0.3">
      <c r="A2351" t="s">
        <v>3818</v>
      </c>
      <c r="B2351" t="s">
        <v>45</v>
      </c>
      <c r="C2351" t="s">
        <v>8</v>
      </c>
      <c r="D2351" t="s">
        <v>3812</v>
      </c>
    </row>
    <row r="2352" spans="1:13" hidden="1" outlineLevel="2" x14ac:dyDescent="0.3">
      <c r="A2352" t="inlineStr">
        <is>
          <t xml:space="preserve">RDC_SB_GF_CAV1001</t>
        </is>
      </c>
      <c r="B2352" t="inlineStr">
        <is>
          <t xml:space="preserve">CAV</t>
        </is>
      </c>
      <c r="C2352" t="s">
        <v>10</v>
      </c>
      <c r="M2352" t="inlineStr">
        <is>
          <t xml:space="preserve">was RDC_SB_L0_AT-1001 - the historian carries the assembly, not the terminal; its parts named 2 different rooms - left blank</t>
        </is>
      </c>
    </row>
    <row r="2353" spans="1:13" hidden="1" outlineLevel="2" x14ac:dyDescent="0.3">
      <c r="A2353" t="inlineStr">
        <is>
          <t xml:space="preserve">RDC_SB_GF_CAV1005</t>
        </is>
      </c>
      <c r="B2353" t="inlineStr">
        <is>
          <t xml:space="preserve">CAV</t>
        </is>
      </c>
      <c r="C2353" t="s">
        <v>8</v>
      </c>
      <c r="D2353" t="inlineStr">
        <is>
          <t xml:space="preserve">Normal &amp; Emergency Elec. Landing S-0142</t>
        </is>
      </c>
      <c r="M2353" t="inlineStr">
        <is>
          <t xml:space="preserve">was RDC_SB_L0_AT-1005 - the historian carries the assembly, not the terminal; room kept from its 1 part row(s)</t>
        </is>
      </c>
    </row>
    <row r="2354" spans="1:13" hidden="1" outlineLevel="2" x14ac:dyDescent="0.3">
      <c r="A2354" t="inlineStr">
        <is>
          <t xml:space="preserve">RDC_SB_GF_CAV1006</t>
        </is>
      </c>
      <c r="B2354" t="inlineStr">
        <is>
          <t xml:space="preserve">CAV</t>
        </is>
      </c>
      <c r="C2354" t="s">
        <v>10</v>
      </c>
      <c r="D2354" t="inlineStr">
        <is>
          <t xml:space="preserve">Corridor S-0137</t>
        </is>
      </c>
      <c r="M2354" t="inlineStr">
        <is>
          <t xml:space="preserve">was RDC_SB_L0_AT-1006 - the historian carries the assembly, not the terminal; room kept from its 1 part row(s)</t>
        </is>
      </c>
    </row>
    <row r="2355" spans="1:13" hidden="1" outlineLevel="2" x14ac:dyDescent="0.3">
      <c r="A2355" t="inlineStr">
        <is>
          <t xml:space="preserve">RDC_SB_GF_CAV1007</t>
        </is>
      </c>
      <c r="B2355" t="inlineStr">
        <is>
          <t xml:space="preserve">CAV</t>
        </is>
      </c>
      <c r="C2355" t="s">
        <v>8</v>
      </c>
      <c r="D2355" t="inlineStr">
        <is>
          <t xml:space="preserve">UPS S-0145</t>
        </is>
      </c>
      <c r="M2355" t="inlineStr">
        <is>
          <t xml:space="preserve">was RDC_SB_L0_AT-1007 - the historian carries the assembly, not the terminal; room kept from its 1 part row(s)</t>
        </is>
      </c>
    </row>
    <row r="2356" spans="1:13" hidden="1" outlineLevel="2" x14ac:dyDescent="0.3">
      <c r="A2356" t="inlineStr">
        <is>
          <t xml:space="preserve">RDC_SB_GF_CAV1009</t>
        </is>
      </c>
      <c r="B2356" t="inlineStr">
        <is>
          <t xml:space="preserve">CAV</t>
        </is>
      </c>
      <c r="C2356" t="s">
        <v>10</v>
      </c>
      <c r="D2356" t="inlineStr">
        <is>
          <t xml:space="preserve">Service Dock S-0151</t>
        </is>
      </c>
      <c r="M2356" t="inlineStr">
        <is>
          <t xml:space="preserve">was RDC_SB_L0_AT-1009 - the historian carries the assembly, not the terminal; room kept from its 1 part row(s)</t>
        </is>
      </c>
    </row>
    <row r="2357" spans="1:13" hidden="1" outlineLevel="2" x14ac:dyDescent="0.3">
      <c r="A2357" t="inlineStr">
        <is>
          <t xml:space="preserve">RDC_NB_GF_CAV4035</t>
        </is>
      </c>
      <c r="B2357" t="inlineStr">
        <is>
          <t xml:space="preserve">CAV</t>
        </is>
      </c>
      <c r="C2357" t="s">
        <v>10</v>
      </c>
      <c r="D2357" t="inlineStr">
        <is>
          <t xml:space="preserve">Corridor N-0207A</t>
        </is>
      </c>
      <c r="M2357" t="inlineStr">
        <is>
          <t xml:space="preserve">was RDC_NB_GF_AT-4035 - the historian carries the assembly, not the terminal; room kept from its 1 part row(s)</t>
        </is>
      </c>
    </row>
    <row r="2358" spans="1:13" hidden="1" outlineLevel="2" x14ac:dyDescent="0.3">
      <c r="A2358" t="inlineStr">
        <is>
          <t xml:space="preserve">RDC_NB_GF_CAV4170</t>
        </is>
      </c>
      <c r="B2358" t="inlineStr">
        <is>
          <t xml:space="preserve">CAV</t>
        </is>
      </c>
      <c r="C2358" t="s">
        <v>10</v>
      </c>
      <c r="D2358" t="inlineStr">
        <is>
          <t xml:space="preserve">Storage Room N-0237</t>
        </is>
      </c>
      <c r="M2358" t="inlineStr">
        <is>
          <t xml:space="preserve">was RDC_NB_GF_AT-4170 - the historian carries the assembly, not the terminal; room kept from its 1 part row(s)</t>
        </is>
      </c>
    </row>
    <row r="2359" spans="1:4" hidden="1" outlineLevel="2" x14ac:dyDescent="0.3">
      <c r="A2359" t="s">
        <v>3879</v>
      </c>
      <c r="B2359" t="s">
        <v>3880</v>
      </c>
      <c r="C2359" t="s">
        <v>10</v>
      </c>
      <c r="D2359" t="s">
        <v>3881</v>
      </c>
    </row>
    <row r="2360" spans="1:13" hidden="1" outlineLevel="2" x14ac:dyDescent="0.3">
      <c r="A2360" t="inlineStr">
        <is>
          <t xml:space="preserve">RDC_NB_GF_EAV4028</t>
        </is>
      </c>
      <c r="B2360" t="inlineStr">
        <is>
          <t xml:space="preserve">EAV</t>
        </is>
      </c>
      <c r="C2360" t="s">
        <v>8</v>
      </c>
      <c r="D2360" t="inlineStr">
        <is>
          <t xml:space="preserve">MDF ROOM N-0206A</t>
        </is>
      </c>
      <c r="M2360" t="inlineStr">
        <is>
          <t xml:space="preserve">was RDC_NB_GF_EV-4028 - the historian carries the assembly, not the terminal; room kept from its 1 part row(s)</t>
        </is>
      </c>
    </row>
    <row r="2361" spans="1:13" hidden="1" outlineLevel="2" x14ac:dyDescent="0.3">
      <c r="A2361" t="inlineStr">
        <is>
          <t xml:space="preserve">RDC_NB_GF_EAV4236</t>
        </is>
      </c>
      <c r="B2361" t="inlineStr">
        <is>
          <t xml:space="preserve">EAV</t>
        </is>
      </c>
      <c r="C2361" t="s">
        <v>10</v>
      </c>
      <c r="D2361" t="inlineStr">
        <is>
          <t xml:space="preserve">Office 05 -8WS- N-0250</t>
        </is>
      </c>
      <c r="M2361" t="inlineStr">
        <is>
          <t xml:space="preserve">was RDC_NB_GF_EV-4236 - the historian carries the assembly, not the terminal; room kept from its 1 part row(s)</t>
        </is>
      </c>
    </row>
    <row r="2362" spans="1:13" hidden="1" outlineLevel="2" x14ac:dyDescent="0.3">
      <c r="A2362" t="inlineStr">
        <is>
          <t xml:space="preserve">RDC_NB_GF_EAV4261</t>
        </is>
      </c>
      <c r="B2362" t="inlineStr">
        <is>
          <t xml:space="preserve">EAV</t>
        </is>
      </c>
      <c r="C2362" t="s">
        <v>10</v>
      </c>
      <c r="D2362" t="inlineStr">
        <is>
          <t xml:space="preserve">Office 05 -8WS- N-0255</t>
        </is>
      </c>
      <c r="M2362" t="inlineStr">
        <is>
          <t xml:space="preserve">was RDC_NB_GF_EV-4261 - the historian carries the assembly, not the terminal; room kept from its 1 part row(s)</t>
        </is>
      </c>
    </row>
    <row r="2363" spans="1:13" hidden="1" outlineLevel="2" x14ac:dyDescent="0.3">
      <c r="A2363" t="inlineStr">
        <is>
          <t xml:space="preserve">RDC_NB_GF_EAV4286</t>
        </is>
      </c>
      <c r="B2363" t="inlineStr">
        <is>
          <t xml:space="preserve">EAV</t>
        </is>
      </c>
      <c r="C2363" t="s">
        <v>10</v>
      </c>
      <c r="D2363" t="inlineStr">
        <is>
          <t xml:space="preserve">Office 05 -8WS- N-0260</t>
        </is>
      </c>
      <c r="M2363" t="inlineStr">
        <is>
          <t xml:space="preserve">was RDC_NB_GF_EV-4286 - the historian carries the assembly, not the terminal; room kept from its 1 part row(s)</t>
        </is>
      </c>
    </row>
    <row r="2364" spans="1:13" hidden="1" outlineLevel="2" x14ac:dyDescent="0.3">
      <c r="A2364" t="inlineStr">
        <is>
          <t xml:space="preserve">RDC_NB_GF_EAV4311</t>
        </is>
      </c>
      <c r="B2364" t="inlineStr">
        <is>
          <t xml:space="preserve">EAV</t>
        </is>
      </c>
      <c r="C2364" t="s">
        <v>10</v>
      </c>
      <c r="D2364" t="inlineStr">
        <is>
          <t xml:space="preserve">WORKSTATION N-0265</t>
        </is>
      </c>
      <c r="M2364" t="inlineStr">
        <is>
          <t xml:space="preserve">was RDC_NB_GF_EV-4311 - the historian carries the assembly, not the terminal; room kept from its 1 part row(s)</t>
        </is>
      </c>
    </row>
    <row r="2365" spans="1:4" hidden="1" outlineLevel="2" x14ac:dyDescent="0.3">
      <c r="A2365" t="s">
        <v>3890</v>
      </c>
      <c r="B2365" t="s">
        <v>3891</v>
      </c>
      <c r="C2365" t="s">
        <v>8</v>
      </c>
      <c r="D2365" t="s">
        <v>2197</v>
      </c>
    </row>
    <row r="2366" spans="1:4" hidden="1" outlineLevel="2" x14ac:dyDescent="0.3">
      <c r="A2366" t="s">
        <v>3892</v>
      </c>
      <c r="B2366" t="s">
        <v>3893</v>
      </c>
      <c r="C2366" t="s">
        <v>8</v>
      </c>
      <c r="D2366" t="s">
        <v>2241</v>
      </c>
    </row>
    <row r="2367" spans="1:4" hidden="1" outlineLevel="2" x14ac:dyDescent="0.3">
      <c r="A2367" t="s">
        <v>3894</v>
      </c>
      <c r="B2367" t="s">
        <v>3893</v>
      </c>
      <c r="C2367" t="s">
        <v>8</v>
      </c>
      <c r="D2367" t="s">
        <v>2241</v>
      </c>
    </row>
    <row r="2368" spans="1:4" hidden="1" outlineLevel="2" x14ac:dyDescent="0.3">
      <c r="A2368" t="s">
        <v>3895</v>
      </c>
      <c r="B2368" t="s">
        <v>3891</v>
      </c>
      <c r="C2368" t="s">
        <v>8</v>
      </c>
      <c r="D2368" t="s">
        <v>3896</v>
      </c>
    </row>
    <row r="2369" spans="1:4" hidden="1" outlineLevel="2" x14ac:dyDescent="0.3">
      <c r="A2369" t="s">
        <v>3897</v>
      </c>
      <c r="B2369" t="s">
        <v>3891</v>
      </c>
      <c r="C2369" t="s">
        <v>8</v>
      </c>
      <c r="D2369" t="s">
        <v>3896</v>
      </c>
    </row>
    <row r="2370" spans="1:4" hidden="1" outlineLevel="2" x14ac:dyDescent="0.3">
      <c r="A2370" t="s">
        <v>3898</v>
      </c>
      <c r="B2370" t="s">
        <v>3893</v>
      </c>
      <c r="C2370" t="s">
        <v>8</v>
      </c>
      <c r="D2370" t="s">
        <v>3896</v>
      </c>
    </row>
    <row r="2371" spans="1:4" hidden="1" outlineLevel="2" x14ac:dyDescent="0.3">
      <c r="A2371" t="s">
        <v>3899</v>
      </c>
      <c r="B2371" t="s">
        <v>3893</v>
      </c>
      <c r="C2371" t="s">
        <v>8</v>
      </c>
      <c r="D2371" t="s">
        <v>3896</v>
      </c>
    </row>
    <row r="2372" spans="1:4" hidden="1" outlineLevel="2" x14ac:dyDescent="0.3">
      <c r="A2372" t="s">
        <v>3900</v>
      </c>
      <c r="B2372" t="s">
        <v>3893</v>
      </c>
      <c r="C2372" t="s">
        <v>8</v>
      </c>
      <c r="D2372" t="s">
        <v>3896</v>
      </c>
    </row>
    <row r="2373" spans="1:13" hidden="1" outlineLevel="2" x14ac:dyDescent="0.3">
      <c r="A2373" t="inlineStr">
        <is>
          <t xml:space="preserve">RDC_SB_GF_CAV0006</t>
        </is>
      </c>
      <c r="B2373" t="inlineStr">
        <is>
          <t xml:space="preserve">CAV</t>
        </is>
      </c>
      <c r="C2373" t="s">
        <v>8</v>
      </c>
      <c r="D2373" t="inlineStr">
        <is>
          <t xml:space="preserve">Normal Elec. S-0107</t>
        </is>
      </c>
      <c r="M2373" t="inlineStr">
        <is>
          <t xml:space="preserve">was RDC_SB_L0_AT-0006 - the historian carries the assembly, not the terminal; room kept from its 1 part row(s)</t>
        </is>
      </c>
    </row>
    <row r="2374" spans="1:13" hidden="1" outlineLevel="2" x14ac:dyDescent="0.3">
      <c r="A2374" t="inlineStr">
        <is>
          <t xml:space="preserve">RDC_SB_GF_CAV0015</t>
        </is>
      </c>
      <c r="B2374" t="inlineStr">
        <is>
          <t xml:space="preserve">CAV</t>
        </is>
      </c>
      <c r="C2374" t="s">
        <v>10</v>
      </c>
      <c r="D2374" t="inlineStr">
        <is>
          <t xml:space="preserve">Corridor S-0117</t>
        </is>
      </c>
      <c r="M2374" t="inlineStr">
        <is>
          <t xml:space="preserve">was RDC_SB_L0_AT-0015 - the historian carries the assembly, not the terminal; room kept from its 1 part row(s)</t>
        </is>
      </c>
    </row>
    <row r="2375" spans="1:13" hidden="1" outlineLevel="2" x14ac:dyDescent="0.3">
      <c r="A2375" t="inlineStr">
        <is>
          <t xml:space="preserve">RDC_SB_GF_CAV0020</t>
        </is>
      </c>
      <c r="B2375" t="inlineStr">
        <is>
          <t xml:space="preserve">CAV</t>
        </is>
      </c>
      <c r="C2375" t="s">
        <v>10</v>
      </c>
      <c r="D2375" t="inlineStr">
        <is>
          <t xml:space="preserve">Storage S-0120B</t>
        </is>
      </c>
      <c r="M2375" t="inlineStr">
        <is>
          <t xml:space="preserve">was RDC_SB_L0_AT-0020 - the historian carries the assembly, not the terminal; room kept from its 1 part row(s)</t>
        </is>
      </c>
    </row>
    <row r="2376" spans="1:13" hidden="1" outlineLevel="2" x14ac:dyDescent="0.3">
      <c r="A2376" t="inlineStr">
        <is>
          <t xml:space="preserve">RDC_SB_GF_CAV0021</t>
        </is>
      </c>
      <c r="B2376" t="inlineStr">
        <is>
          <t xml:space="preserve">CAV</t>
        </is>
      </c>
      <c r="C2376" t="s">
        <v>10</v>
      </c>
      <c r="D2376" t="inlineStr">
        <is>
          <t xml:space="preserve">Vestibule S-0125</t>
        </is>
      </c>
      <c r="M2376" t="inlineStr">
        <is>
          <t xml:space="preserve">was RDC_SB_L0_AT-0021 - the historian carries the assembly, not the terminal; room kept from its 1 part row(s)</t>
        </is>
      </c>
    </row>
    <row r="2377" spans="1:13" hidden="1" outlineLevel="2" x14ac:dyDescent="0.3">
      <c r="A2377" t="inlineStr">
        <is>
          <t xml:space="preserve">RDC_SB_GF_CAV0022</t>
        </is>
      </c>
      <c r="B2377" t="inlineStr">
        <is>
          <t xml:space="preserve">CAV</t>
        </is>
      </c>
      <c r="C2377" t="s">
        <v>10</v>
      </c>
      <c r="D2377" t="inlineStr">
        <is>
          <t xml:space="preserve">Men S-0126</t>
        </is>
      </c>
      <c r="M2377" t="inlineStr">
        <is>
          <t xml:space="preserve">was RDC_SB_L0_AT-0022 - the historian carries the assembly, not the terminal; room kept from its 1 part row(s)</t>
        </is>
      </c>
    </row>
    <row r="2378" spans="1:13" hidden="1" outlineLevel="2" x14ac:dyDescent="0.3">
      <c r="A2378" t="inlineStr">
        <is>
          <t xml:space="preserve">RDC_SB_GF_CAV0023</t>
        </is>
      </c>
      <c r="B2378" t="inlineStr">
        <is>
          <t xml:space="preserve">CAV</t>
        </is>
      </c>
      <c r="C2378" t="s">
        <v>10</v>
      </c>
      <c r="D2378" t="inlineStr">
        <is>
          <t xml:space="preserve">Women S-0127</t>
        </is>
      </c>
      <c r="M2378" t="inlineStr">
        <is>
          <t xml:space="preserve">was RDC_SB_L0_AT-0023 - the historian carries the assembly, not the terminal; room kept from its 1 part row(s)</t>
        </is>
      </c>
    </row>
    <row r="2379" spans="1:13" hidden="1" outlineLevel="2" x14ac:dyDescent="0.3">
      <c r="A2379" t="inlineStr">
        <is>
          <t xml:space="preserve">RDC_SB_GF_CAV0024</t>
        </is>
      </c>
      <c r="B2379" t="inlineStr">
        <is>
          <t xml:space="preserve">CAV</t>
        </is>
      </c>
      <c r="C2379" t="s">
        <v>8</v>
      </c>
      <c r="D2379" t="inlineStr">
        <is>
          <t xml:space="preserve">NORM. ELEC. S-0129</t>
        </is>
      </c>
      <c r="M2379" t="inlineStr">
        <is>
          <t xml:space="preserve">was RDC_SB_L0_AT-0024 - the historian carries the assembly, not the terminal; room kept from its 1 part row(s)</t>
        </is>
      </c>
    </row>
    <row r="2380" spans="1:13" hidden="1" outlineLevel="2" x14ac:dyDescent="0.3">
      <c r="A2380" t="inlineStr">
        <is>
          <t xml:space="preserve">RDC_NB_GF_CAV4315_EV4316</t>
        </is>
      </c>
      <c r="B2380" t="inlineStr">
        <is>
          <t xml:space="preserve">CAV</t>
        </is>
      </c>
      <c r="C2380" t="s">
        <v>10</v>
      </c>
      <c r="D2380" t="inlineStr">
        <is>
          <t xml:space="preserve">Vestibule N-0270A</t>
        </is>
      </c>
      <c r="M2380" t="inlineStr">
        <is>
          <t xml:space="preserve">was RDC_NB_GF_AT-4315 - the historian carries the assembly, not the terminal; room kept from its 2 part row(s)</t>
        </is>
      </c>
    </row>
    <row r="2381" spans="1:13" hidden="1" outlineLevel="2" x14ac:dyDescent="0.3">
      <c r="A2381" t="inlineStr">
        <is>
          <t xml:space="preserve">RDC_NB_GF_CAV5160_EV5161</t>
        </is>
      </c>
      <c r="B2381" t="inlineStr">
        <is>
          <t xml:space="preserve">CAV</t>
        </is>
      </c>
      <c r="C2381" t="s">
        <v>10</v>
      </c>
      <c r="M2381" t="inlineStr">
        <is>
          <t xml:space="preserve">was RDC_NB_GF_AT-5160 - the historian carries the assembly, not the terminal; its parts named 2 different rooms - left blank</t>
        </is>
      </c>
    </row>
    <row r="2382" spans="1:13" hidden="1" outlineLevel="2" x14ac:dyDescent="0.3">
      <c r="A2382" t="inlineStr">
        <is>
          <t xml:space="preserve">RDC_NB_GF_CAV5280</t>
        </is>
      </c>
      <c r="B2382" t="inlineStr">
        <is>
          <t xml:space="preserve">CAV</t>
        </is>
      </c>
      <c r="C2382" t="s">
        <v>10</v>
      </c>
      <c r="D2382" t="inlineStr">
        <is>
          <t xml:space="preserve">Store N-0146</t>
        </is>
      </c>
      <c r="M2382" t="inlineStr">
        <is>
          <t xml:space="preserve">was RDC_NB_GF_AT-5280 - the historian carries the assembly, not the terminal; room kept from its 1 part row(s)</t>
        </is>
      </c>
    </row>
    <row r="2383" spans="1:13" hidden="1" outlineLevel="2" x14ac:dyDescent="0.3">
      <c r="A2383" t="inlineStr">
        <is>
          <t xml:space="preserve">RDC_NB_GF_CAV5290_EV5291</t>
        </is>
      </c>
      <c r="B2383" t="inlineStr">
        <is>
          <t xml:space="preserve">CAV</t>
        </is>
      </c>
      <c r="C2383" t="s">
        <v>10</v>
      </c>
      <c r="D2383" t="inlineStr">
        <is>
          <t xml:space="preserve">Pantry N-0148</t>
        </is>
      </c>
      <c r="M2383" t="inlineStr">
        <is>
          <t xml:space="preserve">was RDC_NB_GF_AT-5290 - the historian carries the assembly, not the terminal; room kept from its 2 part row(s)</t>
        </is>
      </c>
    </row>
    <row r="2384" spans="1:13" hidden="1" outlineLevel="2" x14ac:dyDescent="0.3">
      <c r="A2384" t="inlineStr">
        <is>
          <t xml:space="preserve">RDC_NB_GF_CAV5320</t>
        </is>
      </c>
      <c r="B2384" t="inlineStr">
        <is>
          <t xml:space="preserve">CAV</t>
        </is>
      </c>
      <c r="C2384" t="s">
        <v>10</v>
      </c>
      <c r="D2384" t="inlineStr">
        <is>
          <t xml:space="preserve">Office N-0154</t>
        </is>
      </c>
      <c r="M2384" t="inlineStr">
        <is>
          <t xml:space="preserve">was RDC_NB_GF_AT-5320 - the historian carries the assembly, not the terminal; room kept from its 1 part row(s)</t>
        </is>
      </c>
    </row>
    <row r="2385" spans="1:13" hidden="1" outlineLevel="2" x14ac:dyDescent="0.3">
      <c r="A2385" t="inlineStr">
        <is>
          <t xml:space="preserve">RDC_NB_GF_CAV5350</t>
        </is>
      </c>
      <c r="B2385" t="inlineStr">
        <is>
          <t xml:space="preserve">CAV</t>
        </is>
      </c>
      <c r="C2385" t="s">
        <v>10</v>
      </c>
      <c r="D2385" t="inlineStr">
        <is>
          <t xml:space="preserve">Open Office N-0160</t>
        </is>
      </c>
      <c r="M2385" t="inlineStr">
        <is>
          <t xml:space="preserve">was RDC_NB_GF_AT-5350 - the historian carries the assembly, not the terminal; room kept from its 1 part row(s)</t>
        </is>
      </c>
    </row>
    <row r="2386" spans="1:13" hidden="1" outlineLevel="2" x14ac:dyDescent="0.3">
      <c r="A2386" t="inlineStr">
        <is>
          <t xml:space="preserve">RDC_NB_GF_CAV5375</t>
        </is>
      </c>
      <c r="B2386" t="inlineStr">
        <is>
          <t xml:space="preserve">CAV</t>
        </is>
      </c>
      <c r="C2386" t="s">
        <v>10</v>
      </c>
      <c r="D2386" t="inlineStr">
        <is>
          <t xml:space="preserve">Open Office N-0165</t>
        </is>
      </c>
      <c r="M2386" t="inlineStr">
        <is>
          <t xml:space="preserve">was RDC_NB_GF_AT-5375 - the historian carries the assembly, not the terminal; room kept from its 1 part row(s)</t>
        </is>
      </c>
    </row>
    <row r="2387" spans="1:13" hidden="1" outlineLevel="2" x14ac:dyDescent="0.3">
      <c r="A2387" t="inlineStr">
        <is>
          <t xml:space="preserve">RDC_NB_GF_EAV5026</t>
        </is>
      </c>
      <c r="B2387" t="inlineStr">
        <is>
          <t xml:space="preserve">EAV</t>
        </is>
      </c>
      <c r="C2387" t="s">
        <v>10</v>
      </c>
      <c r="D2387" t="inlineStr">
        <is>
          <t xml:space="preserve">Corridor N-0110</t>
        </is>
      </c>
      <c r="M2387" t="inlineStr">
        <is>
          <t xml:space="preserve">was RDC_NB_GF_EV-5026 - the historian carries the assembly, not the terminal; room kept from its 1 part row(s)</t>
        </is>
      </c>
    </row>
    <row r="2388" spans="1:13" hidden="1" outlineLevel="2" x14ac:dyDescent="0.3">
      <c r="A2388" t="inlineStr">
        <is>
          <t xml:space="preserve">RDC_NB_GF_EAV5163</t>
        </is>
      </c>
      <c r="B2388" t="inlineStr">
        <is>
          <t xml:space="preserve">EAV</t>
        </is>
      </c>
      <c r="C2388" t="s">
        <v>8</v>
      </c>
      <c r="D2388" t="inlineStr">
        <is>
          <t xml:space="preserve">IDF N-0133</t>
        </is>
      </c>
      <c r="M2388" t="inlineStr">
        <is>
          <t xml:space="preserve">was RDC_NB_GF_EV-5163 - the historian carries the assembly, not the terminal; room kept from its 1 part row(s)</t>
        </is>
      </c>
    </row>
    <row r="2389" spans="1:4" hidden="1" outlineLevel="2" x14ac:dyDescent="0.3">
      <c r="A2389" t="s">
        <v>3989</v>
      </c>
      <c r="B2389" t="s">
        <v>3891</v>
      </c>
      <c r="C2389" t="s">
        <v>8</v>
      </c>
      <c r="D2389" t="s">
        <v>2303</v>
      </c>
    </row>
    <row r="2390" spans="1:4" hidden="1" outlineLevel="2" x14ac:dyDescent="0.3">
      <c r="A2390" t="s">
        <v>3990</v>
      </c>
      <c r="B2390" t="s">
        <v>3891</v>
      </c>
      <c r="C2390" t="s">
        <v>8</v>
      </c>
      <c r="D2390" t="s">
        <v>2303</v>
      </c>
    </row>
    <row r="2391" spans="1:4" hidden="1" outlineLevel="2" x14ac:dyDescent="0.3">
      <c r="A2391" t="s">
        <v>3991</v>
      </c>
      <c r="B2391" t="s">
        <v>3893</v>
      </c>
      <c r="C2391" t="s">
        <v>8</v>
      </c>
      <c r="D2391" t="s">
        <v>2303</v>
      </c>
    </row>
    <row r="2392" spans="1:4" hidden="1" outlineLevel="2" x14ac:dyDescent="0.3">
      <c r="A2392" t="s">
        <v>3992</v>
      </c>
      <c r="B2392" t="s">
        <v>3891</v>
      </c>
      <c r="C2392" t="s">
        <v>8</v>
      </c>
      <c r="D2392" t="s">
        <v>2303</v>
      </c>
    </row>
    <row r="2393" spans="1:4" hidden="1" outlineLevel="2" x14ac:dyDescent="0.3">
      <c r="A2393" t="s">
        <v>3993</v>
      </c>
      <c r="B2393" t="s">
        <v>3893</v>
      </c>
      <c r="C2393" t="s">
        <v>8</v>
      </c>
      <c r="D2393" t="s">
        <v>2306</v>
      </c>
    </row>
    <row r="2394" spans="1:4" hidden="1" outlineLevel="2" x14ac:dyDescent="0.3">
      <c r="A2394" t="s">
        <v>3994</v>
      </c>
      <c r="B2394" t="s">
        <v>3891</v>
      </c>
      <c r="C2394" t="s">
        <v>8</v>
      </c>
      <c r="D2394" t="s">
        <v>2309</v>
      </c>
    </row>
    <row r="2395" spans="1:4" hidden="1" outlineLevel="2" x14ac:dyDescent="0.3">
      <c r="A2395" t="s">
        <v>3995</v>
      </c>
      <c r="B2395" t="s">
        <v>3893</v>
      </c>
      <c r="C2395" t="s">
        <v>8</v>
      </c>
      <c r="D2395" t="s">
        <v>2309</v>
      </c>
    </row>
    <row r="2396" spans="1:4" hidden="1" outlineLevel="2" x14ac:dyDescent="0.3">
      <c r="A2396" t="s">
        <v>3996</v>
      </c>
      <c r="B2396" t="s">
        <v>3893</v>
      </c>
      <c r="C2396" t="s">
        <v>8</v>
      </c>
      <c r="D2396" t="s">
        <v>2309</v>
      </c>
    </row>
    <row r="2397" spans="1:4" hidden="1" outlineLevel="2" x14ac:dyDescent="0.3">
      <c r="A2397" t="s">
        <v>3997</v>
      </c>
      <c r="B2397" t="s">
        <v>3893</v>
      </c>
      <c r="C2397" t="s">
        <v>8</v>
      </c>
      <c r="D2397" t="s">
        <v>2309</v>
      </c>
    </row>
    <row r="2398" spans="1:4" hidden="1" outlineLevel="2" x14ac:dyDescent="0.3">
      <c r="A2398" t="s">
        <v>3998</v>
      </c>
      <c r="B2398" t="s">
        <v>3893</v>
      </c>
      <c r="C2398" t="s">
        <v>8</v>
      </c>
      <c r="D2398" t="s">
        <v>2311</v>
      </c>
    </row>
    <row r="2399" spans="1:4" hidden="1" outlineLevel="2" x14ac:dyDescent="0.3">
      <c r="A2399" t="s">
        <v>3999</v>
      </c>
      <c r="B2399" t="s">
        <v>3893</v>
      </c>
      <c r="C2399" t="s">
        <v>8</v>
      </c>
      <c r="D2399" t="s">
        <v>2311</v>
      </c>
    </row>
    <row r="2400" spans="1:4" hidden="1" outlineLevel="2" x14ac:dyDescent="0.3">
      <c r="A2400" t="s">
        <v>4000</v>
      </c>
      <c r="B2400" t="s">
        <v>3891</v>
      </c>
      <c r="C2400" t="s">
        <v>8</v>
      </c>
      <c r="D2400" t="s">
        <v>2313</v>
      </c>
    </row>
    <row r="2401" spans="1:4" hidden="1" outlineLevel="2" x14ac:dyDescent="0.3">
      <c r="A2401" t="s">
        <v>4001</v>
      </c>
      <c r="B2401" t="s">
        <v>3893</v>
      </c>
      <c r="C2401" t="s">
        <v>8</v>
      </c>
      <c r="D2401" t="s">
        <v>2313</v>
      </c>
    </row>
    <row r="2402" spans="1:4" hidden="1" outlineLevel="2" x14ac:dyDescent="0.3">
      <c r="A2402" t="s">
        <v>4002</v>
      </c>
      <c r="B2402" t="s">
        <v>3893</v>
      </c>
      <c r="C2402" t="s">
        <v>8</v>
      </c>
      <c r="D2402" t="s">
        <v>2313</v>
      </c>
    </row>
    <row r="2403" spans="1:4" hidden="1" outlineLevel="2" x14ac:dyDescent="0.3">
      <c r="A2403" t="s">
        <v>4003</v>
      </c>
      <c r="B2403" t="s">
        <v>3893</v>
      </c>
      <c r="C2403" t="s">
        <v>8</v>
      </c>
      <c r="D2403" t="s">
        <v>2313</v>
      </c>
    </row>
    <row r="2404" spans="1:4" hidden="1" outlineLevel="2" x14ac:dyDescent="0.3">
      <c r="A2404" t="s">
        <v>4004</v>
      </c>
      <c r="B2404" t="s">
        <v>3893</v>
      </c>
      <c r="C2404" t="s">
        <v>8</v>
      </c>
      <c r="D2404" t="s">
        <v>2313</v>
      </c>
    </row>
    <row r="2405" spans="1:4" hidden="1" outlineLevel="2" x14ac:dyDescent="0.3">
      <c r="A2405" t="s">
        <v>4005</v>
      </c>
      <c r="B2405" t="s">
        <v>3891</v>
      </c>
      <c r="C2405" t="s">
        <v>8</v>
      </c>
      <c r="D2405" t="s">
        <v>4006</v>
      </c>
    </row>
    <row r="2406" spans="1:4" hidden="1" outlineLevel="2" x14ac:dyDescent="0.3">
      <c r="A2406" t="s">
        <v>4007</v>
      </c>
      <c r="B2406" t="s">
        <v>3891</v>
      </c>
      <c r="C2406" t="s">
        <v>8</v>
      </c>
      <c r="D2406" t="s">
        <v>4006</v>
      </c>
    </row>
    <row r="2407" spans="1:4" hidden="1" outlineLevel="2" x14ac:dyDescent="0.3">
      <c r="A2407" t="s">
        <v>4008</v>
      </c>
      <c r="B2407" t="s">
        <v>3893</v>
      </c>
      <c r="C2407" t="s">
        <v>8</v>
      </c>
      <c r="D2407" t="s">
        <v>2346</v>
      </c>
    </row>
    <row r="2408" spans="1:13" hidden="1" outlineLevel="2" x14ac:dyDescent="0.3">
      <c r="A2408" t="inlineStr">
        <is>
          <t xml:space="preserve">RDC_NB_GF_FEV5192A</t>
        </is>
      </c>
      <c r="B2408" t="inlineStr">
        <is>
          <t xml:space="preserve">FEV</t>
        </is>
      </c>
      <c r="C2408" t="s">
        <v>8</v>
      </c>
      <c r="D2408" t="inlineStr">
        <is>
          <t xml:space="preserve">Furnace Room N-0140B</t>
        </is>
      </c>
      <c r="M2408" t="inlineStr">
        <is>
          <t xml:space="preserve">was RDC_NB_GF_VEV-5192a - the historian carries the assembly, not the terminal; room kept from its 1 part row(s)</t>
        </is>
      </c>
    </row>
    <row r="2409" spans="1:13" hidden="1" outlineLevel="2" x14ac:dyDescent="0.3">
      <c r="A2409" t="inlineStr">
        <is>
          <t xml:space="preserve">RDC_NB_GF_FEV5192B</t>
        </is>
      </c>
      <c r="B2409" t="inlineStr">
        <is>
          <t xml:space="preserve">FEV</t>
        </is>
      </c>
      <c r="C2409" t="s">
        <v>8</v>
      </c>
      <c r="D2409" t="inlineStr">
        <is>
          <t xml:space="preserve">Furnace Room N-0140B</t>
        </is>
      </c>
      <c r="M2409" t="inlineStr">
        <is>
          <t xml:space="preserve">was RDC_NB_GF_VEV-5192b - the historian carries the assembly, not the terminal; room kept from its 1 part row(s)</t>
        </is>
      </c>
    </row>
    <row r="2410" spans="1:4" hidden="1" outlineLevel="2" x14ac:dyDescent="0.3">
      <c r="A2410" t="s">
        <v>4011</v>
      </c>
      <c r="B2410" t="s">
        <v>3893</v>
      </c>
      <c r="C2410" t="s">
        <v>8</v>
      </c>
      <c r="D2410" t="s">
        <v>2351</v>
      </c>
    </row>
    <row r="2411" spans="1:4" hidden="1" outlineLevel="2" x14ac:dyDescent="0.3">
      <c r="A2411" t="s">
        <v>4012</v>
      </c>
      <c r="B2411" t="s">
        <v>3891</v>
      </c>
      <c r="C2411" t="s">
        <v>8</v>
      </c>
      <c r="D2411" t="s">
        <v>2353</v>
      </c>
    </row>
    <row r="2412" spans="1:4" hidden="1" outlineLevel="2" x14ac:dyDescent="0.3">
      <c r="A2412" t="s">
        <v>4013</v>
      </c>
      <c r="B2412" t="s">
        <v>3891</v>
      </c>
      <c r="C2412" t="s">
        <v>8</v>
      </c>
      <c r="D2412" t="s">
        <v>2355</v>
      </c>
    </row>
    <row r="2413" spans="1:4" hidden="1" outlineLevel="2" x14ac:dyDescent="0.3">
      <c r="A2413" t="s">
        <v>4014</v>
      </c>
      <c r="B2413" t="s">
        <v>3893</v>
      </c>
      <c r="C2413" t="s">
        <v>8</v>
      </c>
      <c r="D2413" t="s">
        <v>4015</v>
      </c>
    </row>
    <row r="2414" spans="1:4" hidden="1" outlineLevel="2" x14ac:dyDescent="0.3">
      <c r="A2414" t="s">
        <v>4016</v>
      </c>
      <c r="B2414" t="s">
        <v>3893</v>
      </c>
      <c r="C2414" t="s">
        <v>8</v>
      </c>
      <c r="D2414" t="s">
        <v>4015</v>
      </c>
    </row>
    <row r="2415" spans="1:4" hidden="1" outlineLevel="2" x14ac:dyDescent="0.3">
      <c r="A2415" t="s">
        <v>4017</v>
      </c>
      <c r="B2415" t="s">
        <v>3891</v>
      </c>
      <c r="C2415" t="s">
        <v>8</v>
      </c>
      <c r="D2415" t="s">
        <v>2357</v>
      </c>
    </row>
    <row r="2416" spans="1:13" hidden="1" outlineLevel="2" x14ac:dyDescent="0.3">
      <c r="A2416" t="inlineStr">
        <is>
          <t xml:space="preserve">RDC_NB_GF_CAV5240_CEV5241</t>
        </is>
      </c>
      <c r="B2416" t="inlineStr">
        <is>
          <t xml:space="preserve">CAV</t>
        </is>
      </c>
      <c r="C2416" t="s">
        <v>8</v>
      </c>
      <c r="D2416" t="inlineStr">
        <is>
          <t xml:space="preserve">Air Lock N-0140G</t>
        </is>
      </c>
      <c r="M2416" t="inlineStr">
        <is>
          <t xml:space="preserve">was RDC_NB_GF_CEV-5241 - the historian carries the assembly, not the terminal; room kept from its 1 part row(s)</t>
        </is>
      </c>
    </row>
    <row r="2417" spans="1:4" hidden="1" outlineLevel="2" x14ac:dyDescent="0.3">
      <c r="A2417" t="s">
        <v>4020</v>
      </c>
      <c r="B2417" t="s">
        <v>3893</v>
      </c>
      <c r="C2417" t="s">
        <v>8</v>
      </c>
      <c r="D2417" t="s">
        <v>2365</v>
      </c>
    </row>
    <row r="2418" spans="1:4" hidden="1" outlineLevel="2" x14ac:dyDescent="0.3">
      <c r="A2418" t="s">
        <v>4021</v>
      </c>
      <c r="B2418" t="s">
        <v>3893</v>
      </c>
      <c r="C2418" t="s">
        <v>8</v>
      </c>
      <c r="D2418" t="s">
        <v>2365</v>
      </c>
    </row>
    <row r="2419" spans="1:4" hidden="1" outlineLevel="2" x14ac:dyDescent="0.3">
      <c r="A2419" t="s">
        <v>4022</v>
      </c>
      <c r="B2419" t="s">
        <v>3893</v>
      </c>
      <c r="C2419" t="s">
        <v>8</v>
      </c>
      <c r="D2419" t="s">
        <v>2365</v>
      </c>
    </row>
    <row r="2420" spans="1:4" hidden="1" outlineLevel="2" x14ac:dyDescent="0.3">
      <c r="A2420" t="s">
        <v>4023</v>
      </c>
      <c r="B2420" t="s">
        <v>3893</v>
      </c>
      <c r="C2420" t="s">
        <v>8</v>
      </c>
      <c r="D2420" t="s">
        <v>2365</v>
      </c>
    </row>
    <row r="2421" spans="1:4" hidden="1" outlineLevel="2" x14ac:dyDescent="0.3">
      <c r="A2421" t="s">
        <v>4024</v>
      </c>
      <c r="B2421" t="s">
        <v>3893</v>
      </c>
      <c r="C2421" t="s">
        <v>8</v>
      </c>
      <c r="D2421" t="s">
        <v>2365</v>
      </c>
    </row>
    <row r="2422" spans="1:4" hidden="1" outlineLevel="2" x14ac:dyDescent="0.3">
      <c r="A2422" t="s">
        <v>4025</v>
      </c>
      <c r="B2422" t="s">
        <v>3893</v>
      </c>
      <c r="C2422" t="s">
        <v>8</v>
      </c>
      <c r="D2422" t="s">
        <v>2365</v>
      </c>
    </row>
    <row r="2423" spans="1:4" hidden="1" outlineLevel="2" x14ac:dyDescent="0.3">
      <c r="A2423" t="s">
        <v>4026</v>
      </c>
      <c r="B2423" t="s">
        <v>3893</v>
      </c>
      <c r="C2423" t="s">
        <v>8</v>
      </c>
      <c r="D2423" t="s">
        <v>2365</v>
      </c>
    </row>
    <row r="2424" spans="1:13" hidden="1" outlineLevel="2" x14ac:dyDescent="0.3">
      <c r="A2424" t="inlineStr">
        <is>
          <t xml:space="preserve">RDC_SB_GF_CAV0004</t>
        </is>
      </c>
      <c r="B2424" t="inlineStr">
        <is>
          <t xml:space="preserve">CAV</t>
        </is>
      </c>
      <c r="C2424" t="s">
        <v>10</v>
      </c>
      <c r="D2424" t="inlineStr">
        <is>
          <t xml:space="preserve">Corridor S-0104</t>
        </is>
      </c>
      <c r="M2424" t="inlineStr">
        <is>
          <t xml:space="preserve">was RDC_SB_L0_AT-0004 - the historian carries the assembly, not the terminal; room kept from its 1 part row(s)</t>
        </is>
      </c>
    </row>
    <row r="2425" spans="1:13" hidden="1" outlineLevel="2" x14ac:dyDescent="0.3">
      <c r="A2425" t="inlineStr">
        <is>
          <t xml:space="preserve">RDC_SB_GF_CAV0005</t>
        </is>
      </c>
      <c r="B2425" t="inlineStr">
        <is>
          <t xml:space="preserve">CAV</t>
        </is>
      </c>
      <c r="C2425" t="s">
        <v>10</v>
      </c>
      <c r="D2425" t="inlineStr">
        <is>
          <t xml:space="preserve">Men S-0105</t>
        </is>
      </c>
      <c r="M2425" t="inlineStr">
        <is>
          <t xml:space="preserve">was RDC_SB_L0_AT-0005 - the historian carries the assembly, not the terminal; room kept from its 1 part row(s)</t>
        </is>
      </c>
    </row>
    <row r="2426" spans="1:13" hidden="1" outlineLevel="2" x14ac:dyDescent="0.3">
      <c r="A2426" t="inlineStr">
        <is>
          <t xml:space="preserve">RDC_SB_GF_CAV2001</t>
        </is>
      </c>
      <c r="B2426" t="inlineStr">
        <is>
          <t xml:space="preserve">CAV</t>
        </is>
      </c>
      <c r="C2426" t="s">
        <v>10</v>
      </c>
      <c r="M2426" t="inlineStr">
        <is>
          <t xml:space="preserve">was RDC_SB_L0_A1.2_AT-2001 - the historian carries the assembly, not the terminal; its parts named 2 different rooms - left blank</t>
        </is>
      </c>
    </row>
    <row r="2427" spans="1:13" hidden="1" outlineLevel="2" x14ac:dyDescent="0.3">
      <c r="A2427" t="inlineStr">
        <is>
          <t xml:space="preserve">RDC_NB_GF_CAV5005</t>
        </is>
      </c>
      <c r="B2427" t="inlineStr">
        <is>
          <t xml:space="preserve">CAV</t>
        </is>
      </c>
      <c r="C2427" t="s">
        <v>10</v>
      </c>
      <c r="D2427" t="inlineStr">
        <is>
          <t xml:space="preserve">Vestibule N-0105</t>
        </is>
      </c>
      <c r="M2427" t="inlineStr">
        <is>
          <t xml:space="preserve">was RDC_NB_GF_AT-5005 - the historian carries the assembly, not the terminal; room kept from its 1 part row(s)</t>
        </is>
      </c>
    </row>
    <row r="2428" spans="1:13" hidden="1" outlineLevel="2" x14ac:dyDescent="0.3">
      <c r="A2428" t="inlineStr">
        <is>
          <t xml:space="preserve">RDC_NB_GF_CAV5020_EV5021</t>
        </is>
      </c>
      <c r="B2428" t="inlineStr">
        <is>
          <t xml:space="preserve">CAV</t>
        </is>
      </c>
      <c r="C2428" t="s">
        <v>10</v>
      </c>
      <c r="D2428" t="inlineStr">
        <is>
          <t xml:space="preserve">Mens + Vestibule + N-0109 N-0108</t>
        </is>
      </c>
      <c r="M2428" t="inlineStr">
        <is>
          <t xml:space="preserve">was RDC_NB_GF_AT-5020 - the historian carries the assembly, not the terminal; room kept from its 2 part row(s)</t>
        </is>
      </c>
    </row>
    <row r="2429" spans="1:13" hidden="1" outlineLevel="2" x14ac:dyDescent="0.3">
      <c r="A2429" t="inlineStr">
        <is>
          <t xml:space="preserve">RDC_NB_GF_CAV6005</t>
        </is>
      </c>
      <c r="B2429" t="inlineStr">
        <is>
          <t xml:space="preserve">CAV</t>
        </is>
      </c>
      <c r="C2429" t="s">
        <v>10</v>
      </c>
      <c r="D2429" t="inlineStr">
        <is>
          <t xml:space="preserve">Vestibule N-0302</t>
        </is>
      </c>
      <c r="M2429" t="inlineStr">
        <is>
          <t xml:space="preserve">was RDC_NB_GF_AT-6005 - the historian carries the assembly, not the terminal; room kept from its 1 part row(s)</t>
        </is>
      </c>
    </row>
    <row r="2430" spans="1:13" hidden="1" outlineLevel="2" x14ac:dyDescent="0.3">
      <c r="A2430" t="inlineStr">
        <is>
          <t xml:space="preserve">RDC_NB_GF_CAV6015_EV6016</t>
        </is>
      </c>
      <c r="B2430" t="inlineStr">
        <is>
          <t xml:space="preserve">CAV</t>
        </is>
      </c>
      <c r="C2430" t="s">
        <v>10</v>
      </c>
      <c r="D2430" t="inlineStr">
        <is>
          <t xml:space="preserve">Men N-0306</t>
        </is>
      </c>
      <c r="M2430" t="inlineStr">
        <is>
          <t xml:space="preserve">was RDC_NB_GF_AT-6015 - the historian carries the assembly, not the terminal; room kept from its 2 part row(s)</t>
        </is>
      </c>
    </row>
    <row r="2431" spans="1:13" hidden="1" outlineLevel="2" x14ac:dyDescent="0.3">
      <c r="A2431" t="inlineStr">
        <is>
          <t xml:space="preserve">RDC_NB_GF_CAV6020</t>
        </is>
      </c>
      <c r="B2431" t="inlineStr">
        <is>
          <t xml:space="preserve">CAV</t>
        </is>
      </c>
      <c r="C2431" t="s">
        <v>10</v>
      </c>
      <c r="D2431" t="inlineStr">
        <is>
          <t xml:space="preserve">Vestibule N-0308</t>
        </is>
      </c>
      <c r="M2431" t="inlineStr">
        <is>
          <t xml:space="preserve">was RDC_NB_GF_AT-6020 - the historian carries the assembly, not the terminal; room kept from its 1 part row(s)</t>
        </is>
      </c>
    </row>
    <row r="2432" spans="1:13" hidden="1" outlineLevel="2" x14ac:dyDescent="0.3">
      <c r="A2432" t="inlineStr">
        <is>
          <t xml:space="preserve">RDC_NB_GF_EAV6127</t>
        </is>
      </c>
      <c r="B2432" t="inlineStr">
        <is>
          <t xml:space="preserve">EAV</t>
        </is>
      </c>
      <c r="C2432" t="s">
        <v>8</v>
      </c>
      <c r="D2432" t="inlineStr">
        <is>
          <t xml:space="preserve">IDF N-0311</t>
        </is>
      </c>
      <c r="M2432" t="inlineStr">
        <is>
          <t xml:space="preserve">was RDC_NB_GF_EV-6127 - the historian carries the assembly, not the terminal; room kept from its 1 part row(s)</t>
        </is>
      </c>
    </row>
    <row r="2433" spans="1:13" hidden="1" outlineLevel="2" x14ac:dyDescent="0.3">
      <c r="A2433" t="inlineStr">
        <is>
          <t xml:space="preserve">RDC_NB_GF_CAV7005_EV7006</t>
        </is>
      </c>
      <c r="B2433" t="inlineStr">
        <is>
          <t xml:space="preserve">CAV</t>
        </is>
      </c>
      <c r="C2433" t="s">
        <v>10</v>
      </c>
      <c r="D2433" t="inlineStr">
        <is>
          <t xml:space="preserve">WOMEN N-0402</t>
        </is>
      </c>
      <c r="M2433" t="inlineStr">
        <is>
          <t xml:space="preserve">was RDC_NB_GF_AT-7005 - the historian carries the assembly, not the terminal; room kept from its 2 part row(s)</t>
        </is>
      </c>
    </row>
    <row r="2434" spans="1:13" hidden="1" outlineLevel="2" x14ac:dyDescent="0.3">
      <c r="A2434" t="inlineStr">
        <is>
          <t xml:space="preserve">RDC_NB_GF_CAV7380_EV7381</t>
        </is>
      </c>
      <c r="B2434" t="inlineStr">
        <is>
          <t xml:space="preserve">CAV</t>
        </is>
      </c>
      <c r="C2434" t="s">
        <v>8</v>
      </c>
      <c r="D2434" t="inlineStr">
        <is>
          <t xml:space="preserve">Pipe Chase N-0443B</t>
        </is>
      </c>
      <c r="M2434" t="inlineStr">
        <is>
          <t xml:space="preserve">was RDC_NB_GF_AT-7380 - the historian carries the assembly, not the terminal; room kept from its 2 part row(s)</t>
        </is>
      </c>
    </row>
    <row r="2435" spans="1:13" hidden="1" outlineLevel="2" x14ac:dyDescent="0.3">
      <c r="A2435" t="inlineStr">
        <is>
          <t xml:space="preserve">RDC_NB_GF_CAV6280_EV6281</t>
        </is>
      </c>
      <c r="B2435" t="inlineStr">
        <is>
          <t xml:space="preserve">CAV</t>
        </is>
      </c>
      <c r="C2435" t="s">
        <v>10</v>
      </c>
      <c r="D2435" t="inlineStr">
        <is>
          <t xml:space="preserve">Pantry N-0356</t>
        </is>
      </c>
      <c r="M2435" t="inlineStr">
        <is>
          <t xml:space="preserve">was RDC_NB_GF_AT-6280 - the historian carries the assembly, not the terminal; room kept from its 2 part row(s)</t>
        </is>
      </c>
    </row>
    <row r="2436" spans="1:13" hidden="1" outlineLevel="2" x14ac:dyDescent="0.3">
      <c r="A2436" t="inlineStr">
        <is>
          <t xml:space="preserve">RDC_NB_GF_EAV6141</t>
        </is>
      </c>
      <c r="B2436" t="inlineStr">
        <is>
          <t xml:space="preserve">EAV</t>
        </is>
      </c>
      <c r="C2436" t="s">
        <v>10</v>
      </c>
      <c r="D2436" t="inlineStr">
        <is>
          <t xml:space="preserve">Workstation N-0317</t>
        </is>
      </c>
      <c r="M2436" t="inlineStr">
        <is>
          <t xml:space="preserve">was RDC_NB_GF_EV-6141 - the historian carries the assembly, not the terminal; room kept from its 1 part row(s)</t>
        </is>
      </c>
    </row>
    <row r="2437" spans="1:13" hidden="1" outlineLevel="2" x14ac:dyDescent="0.3">
      <c r="A2437" t="inlineStr">
        <is>
          <t xml:space="preserve">RDC_NB_GF_EAV6156</t>
        </is>
      </c>
      <c r="B2437" t="inlineStr">
        <is>
          <t xml:space="preserve">EAV</t>
        </is>
      </c>
      <c r="C2437" t="s">
        <v>10</v>
      </c>
      <c r="D2437" t="inlineStr">
        <is>
          <t xml:space="preserve">Workstation N-0320</t>
        </is>
      </c>
      <c r="M2437" t="inlineStr">
        <is>
          <t xml:space="preserve">was RDC_NB_GF_EV-6156 - the historian carries the assembly, not the terminal; room kept from its 1 part row(s)</t>
        </is>
      </c>
    </row>
    <row r="2438" spans="1:13" hidden="1" outlineLevel="2" x14ac:dyDescent="0.3">
      <c r="A2438" t="inlineStr">
        <is>
          <t xml:space="preserve">RDC_NB_GF_EAV6176</t>
        </is>
      </c>
      <c r="B2438" t="inlineStr">
        <is>
          <t xml:space="preserve">EAV</t>
        </is>
      </c>
      <c r="C2438" t="s">
        <v>10</v>
      </c>
      <c r="D2438" t="inlineStr">
        <is>
          <t xml:space="preserve">Workstation N-0324</t>
        </is>
      </c>
      <c r="M2438" t="inlineStr">
        <is>
          <t xml:space="preserve">was RDC_NB_GF_EV-6176 - the historian carries the assembly, not the terminal; room kept from its 1 part row(s)</t>
        </is>
      </c>
    </row>
    <row r="2439" spans="1:13" hidden="1" outlineLevel="2" x14ac:dyDescent="0.3">
      <c r="A2439" t="inlineStr">
        <is>
          <t xml:space="preserve">RDC_NB_GF_EAV6356</t>
        </is>
      </c>
      <c r="B2439" t="inlineStr">
        <is>
          <t xml:space="preserve">EAV</t>
        </is>
      </c>
      <c r="C2439" t="s">
        <v>10</v>
      </c>
      <c r="D2439" t="inlineStr">
        <is>
          <t xml:space="preserve">Office 05-8-WKS N-0372</t>
        </is>
      </c>
      <c r="M2439" t="inlineStr">
        <is>
          <t xml:space="preserve">was RDC_NB_GF_EV-6356 - the historian carries the assembly, not the terminal; room kept from its 1 part row(s)</t>
        </is>
      </c>
    </row>
    <row r="2440" spans="1:13" hidden="1" outlineLevel="2" x14ac:dyDescent="0.3">
      <c r="A2440" t="inlineStr">
        <is>
          <t xml:space="preserve">RDC_NB_GF_EAV6381</t>
        </is>
      </c>
      <c r="B2440" t="inlineStr">
        <is>
          <t xml:space="preserve">EAV</t>
        </is>
      </c>
      <c r="C2440" t="s">
        <v>10</v>
      </c>
      <c r="D2440" t="inlineStr">
        <is>
          <t xml:space="preserve">Office 05-8-WKS N-0378</t>
        </is>
      </c>
      <c r="M2440" t="inlineStr">
        <is>
          <t xml:space="preserve">was RDC_NB_GF_EV-6381 - the historian carries the assembly, not the terminal; room kept from its 1 part row(s)</t>
        </is>
      </c>
    </row>
    <row r="2441" spans="1:13" hidden="1" outlineLevel="2" x14ac:dyDescent="0.3">
      <c r="A2441" t="inlineStr">
        <is>
          <t xml:space="preserve">RDC_NB_GF_EAV6401</t>
        </is>
      </c>
      <c r="B2441" t="inlineStr">
        <is>
          <t xml:space="preserve">EAV</t>
        </is>
      </c>
      <c r="C2441" t="s">
        <v>10</v>
      </c>
      <c r="D2441" t="inlineStr">
        <is>
          <t xml:space="preserve">Office 05-8-WKS N-0381</t>
        </is>
      </c>
      <c r="M2441" t="inlineStr">
        <is>
          <t xml:space="preserve">was RDC_NB_GF_EV-6401 - the historian carries the assembly, not the terminal; room kept from its 1 part row(s)</t>
        </is>
      </c>
    </row>
    <row r="2442" spans="1:13" hidden="1" outlineLevel="2" x14ac:dyDescent="0.3">
      <c r="A2442" t="inlineStr">
        <is>
          <t xml:space="preserve">RDC_NB_GF_EAV7091</t>
        </is>
      </c>
      <c r="B2442" t="inlineStr">
        <is>
          <t xml:space="preserve">EAV</t>
        </is>
      </c>
      <c r="C2442" t="s">
        <v>10</v>
      </c>
      <c r="D2442" t="inlineStr">
        <is>
          <t xml:space="preserve">Office N-0412A</t>
        </is>
      </c>
      <c r="M2442" t="inlineStr">
        <is>
          <t xml:space="preserve">was RDC_NB_GF_EV-7091 - the historian carries the assembly, not the terminal; room kept from its 1 part row(s)</t>
        </is>
      </c>
    </row>
    <row r="2443" spans="1:13" hidden="1" outlineLevel="2" x14ac:dyDescent="0.3">
      <c r="A2443" t="inlineStr">
        <is>
          <t xml:space="preserve">RDC_NB_GF_EAV7106</t>
        </is>
      </c>
      <c r="B2443" t="inlineStr">
        <is>
          <t xml:space="preserve">EAV</t>
        </is>
      </c>
      <c r="C2443" t="s">
        <v>10</v>
      </c>
      <c r="D2443" t="inlineStr">
        <is>
          <t xml:space="preserve">Office N-0415A</t>
        </is>
      </c>
      <c r="M2443" t="inlineStr">
        <is>
          <t xml:space="preserve">was RDC_NB_GF_EV-7106 - the historian carries the assembly, not the terminal; room kept from its 1 part row(s)</t>
        </is>
      </c>
    </row>
    <row r="2444" spans="1:13" hidden="1" outlineLevel="2" x14ac:dyDescent="0.3">
      <c r="A2444" t="inlineStr">
        <is>
          <t xml:space="preserve">RDC_NB_GF_EAV7121</t>
        </is>
      </c>
      <c r="B2444" t="inlineStr">
        <is>
          <t xml:space="preserve">EAV</t>
        </is>
      </c>
      <c r="C2444" t="s">
        <v>10</v>
      </c>
      <c r="D2444" t="inlineStr">
        <is>
          <t xml:space="preserve">Office 05-4-WS N-0418</t>
        </is>
      </c>
      <c r="M2444" t="inlineStr">
        <is>
          <t xml:space="preserve">was RDC_NB_GF_EV-7121 - the historian carries the assembly, not the terminal; room kept from its 1 part row(s)</t>
        </is>
      </c>
    </row>
    <row r="2445" spans="1:13" hidden="1" outlineLevel="2" x14ac:dyDescent="0.3">
      <c r="A2445" t="inlineStr">
        <is>
          <t xml:space="preserve">RDC_NB_GF_EAV7122</t>
        </is>
      </c>
      <c r="B2445" t="inlineStr">
        <is>
          <t xml:space="preserve">EAV</t>
        </is>
      </c>
      <c r="C2445" t="s">
        <v>8</v>
      </c>
      <c r="D2445" t="inlineStr">
        <is>
          <t xml:space="preserve">IDF Room N-0419</t>
        </is>
      </c>
      <c r="M2445" t="inlineStr">
        <is>
          <t xml:space="preserve">was RDC_NB_GF_EV-7122 - the historian carries the assembly, not the terminal; room kept from its 1 part row(s)</t>
        </is>
      </c>
    </row>
    <row r="2446" spans="1:13" hidden="1" outlineLevel="2" x14ac:dyDescent="0.3">
      <c r="A2446" t="inlineStr">
        <is>
          <t xml:space="preserve">RDC_NB_GF_EAV7396</t>
        </is>
      </c>
      <c r="B2446" t="inlineStr">
        <is>
          <t xml:space="preserve">EAV</t>
        </is>
      </c>
      <c r="C2446" t="s">
        <v>10</v>
      </c>
      <c r="D2446" t="inlineStr">
        <is>
          <t xml:space="preserve">Office 05-8-WKS N-0446</t>
        </is>
      </c>
      <c r="M2446" t="inlineStr">
        <is>
          <t xml:space="preserve">was RDC_NB_GF_EV-7396 - the historian carries the assembly, not the terminal; room kept from its 1 part row(s)</t>
        </is>
      </c>
    </row>
    <row r="2447" spans="1:13" hidden="1" outlineLevel="2" x14ac:dyDescent="0.3">
      <c r="A2447" t="inlineStr">
        <is>
          <t xml:space="preserve">RDC_NB_GF_EAV7426</t>
        </is>
      </c>
      <c r="B2447" t="inlineStr">
        <is>
          <t xml:space="preserve">EAV</t>
        </is>
      </c>
      <c r="C2447" t="s">
        <v>10</v>
      </c>
      <c r="D2447" t="inlineStr">
        <is>
          <t xml:space="preserve">Office 05-8-WKS N-0452</t>
        </is>
      </c>
      <c r="M2447" t="inlineStr">
        <is>
          <t xml:space="preserve">was RDC_NB_GF_EV-7426 - the historian carries the assembly, not the terminal; room kept from its 1 part row(s)</t>
        </is>
      </c>
    </row>
    <row r="2448" spans="1:13" hidden="1" outlineLevel="2" x14ac:dyDescent="0.3">
      <c r="A2448" t="inlineStr">
        <is>
          <t xml:space="preserve">RDC_NB_GF_EAV7461</t>
        </is>
      </c>
      <c r="B2448" t="inlineStr">
        <is>
          <t xml:space="preserve">EAV</t>
        </is>
      </c>
      <c r="C2448" t="s">
        <v>10</v>
      </c>
      <c r="D2448" t="inlineStr">
        <is>
          <t xml:space="preserve">Office 05-8-WKS N-0457</t>
        </is>
      </c>
      <c r="M2448" t="inlineStr">
        <is>
          <t xml:space="preserve">was RDC_NB_GF_EV-7461 - the historian carries the assembly, not the terminal; room kept from its 1 part row(s)</t>
        </is>
      </c>
    </row>
    <row r="2449" spans="1:13" hidden="1" outlineLevel="2" x14ac:dyDescent="0.3">
      <c r="A2449" t="inlineStr">
        <is>
          <t xml:space="preserve">RDC_NB_GF_EAV7486</t>
        </is>
      </c>
      <c r="B2449" t="inlineStr">
        <is>
          <t xml:space="preserve">EAV</t>
        </is>
      </c>
      <c r="C2449" t="s">
        <v>10</v>
      </c>
      <c r="D2449" t="inlineStr">
        <is>
          <t xml:space="preserve">Office 05-8-WKS N-0462</t>
        </is>
      </c>
      <c r="M2449" t="inlineStr">
        <is>
          <t xml:space="preserve">was RDC_NB_GF_EV-7486 - the historian carries the assembly, not the terminal; room kept from its 1 part row(s)</t>
        </is>
      </c>
    </row>
    <row r="2450" spans="1:4" hidden="1" outlineLevel="2" x14ac:dyDescent="0.3">
      <c r="A2450" t="s">
        <v>4352</v>
      </c>
      <c r="B2450" t="s">
        <v>3891</v>
      </c>
      <c r="C2450" t="s">
        <v>8</v>
      </c>
      <c r="D2450" t="s">
        <v>2503</v>
      </c>
    </row>
    <row r="2451" spans="1:4" hidden="1" outlineLevel="2" x14ac:dyDescent="0.3">
      <c r="A2451" t="s">
        <v>4353</v>
      </c>
      <c r="B2451" t="s">
        <v>3891</v>
      </c>
      <c r="C2451" t="s">
        <v>8</v>
      </c>
      <c r="D2451" t="s">
        <v>2503</v>
      </c>
    </row>
    <row r="2452" spans="1:4" hidden="1" outlineLevel="2" x14ac:dyDescent="0.3">
      <c r="A2452" t="s">
        <v>4354</v>
      </c>
      <c r="B2452" t="s">
        <v>3891</v>
      </c>
      <c r="C2452" t="s">
        <v>8</v>
      </c>
      <c r="D2452" t="s">
        <v>2503</v>
      </c>
    </row>
    <row r="2453" spans="1:4" hidden="1" outlineLevel="2" x14ac:dyDescent="0.3">
      <c r="A2453" t="s">
        <v>4355</v>
      </c>
      <c r="B2453" t="s">
        <v>3891</v>
      </c>
      <c r="C2453" t="s">
        <v>8</v>
      </c>
      <c r="D2453" t="s">
        <v>2503</v>
      </c>
    </row>
    <row r="2454" spans="1:4" hidden="1" outlineLevel="2" x14ac:dyDescent="0.3">
      <c r="A2454" t="s">
        <v>4356</v>
      </c>
      <c r="B2454" t="s">
        <v>3891</v>
      </c>
      <c r="C2454" t="s">
        <v>8</v>
      </c>
      <c r="D2454" t="s">
        <v>2503</v>
      </c>
    </row>
    <row r="2455" spans="1:4" hidden="1" outlineLevel="2" x14ac:dyDescent="0.3">
      <c r="A2455" t="s">
        <v>4357</v>
      </c>
      <c r="B2455" t="s">
        <v>3891</v>
      </c>
      <c r="C2455" t="s">
        <v>8</v>
      </c>
      <c r="D2455" t="s">
        <v>2503</v>
      </c>
    </row>
    <row r="2456" spans="1:4" hidden="1" outlineLevel="2" x14ac:dyDescent="0.3">
      <c r="A2456" t="s">
        <v>4358</v>
      </c>
      <c r="B2456" t="s">
        <v>3893</v>
      </c>
      <c r="C2456" t="s">
        <v>8</v>
      </c>
      <c r="D2456" s="15" t="s">
        <v>2512</v>
      </c>
    </row>
    <row r="2457" spans="1:4" hidden="1" outlineLevel="2" x14ac:dyDescent="0.3">
      <c r="A2457" t="s">
        <v>4359</v>
      </c>
      <c r="B2457" t="s">
        <v>3893</v>
      </c>
      <c r="C2457" t="s">
        <v>8</v>
      </c>
      <c r="D2457" t="s">
        <v>2512</v>
      </c>
    </row>
    <row r="2458" spans="1:4" hidden="1" outlineLevel="2" x14ac:dyDescent="0.3">
      <c r="A2458" t="s">
        <v>4360</v>
      </c>
      <c r="B2458" t="s">
        <v>3893</v>
      </c>
      <c r="C2458" t="s">
        <v>8</v>
      </c>
      <c r="D2458" t="s">
        <v>2514</v>
      </c>
    </row>
    <row r="2459" spans="1:4" hidden="1" outlineLevel="2" x14ac:dyDescent="0.3">
      <c r="A2459" t="s">
        <v>4361</v>
      </c>
      <c r="B2459" t="s">
        <v>3891</v>
      </c>
      <c r="C2459" t="s">
        <v>8</v>
      </c>
      <c r="D2459" t="s">
        <v>2516</v>
      </c>
    </row>
    <row r="2460" spans="1:4" hidden="1" outlineLevel="2" x14ac:dyDescent="0.3">
      <c r="A2460" t="s">
        <v>4362</v>
      </c>
      <c r="B2460" t="s">
        <v>3891</v>
      </c>
      <c r="C2460" t="s">
        <v>8</v>
      </c>
      <c r="D2460" t="s">
        <v>2516</v>
      </c>
    </row>
    <row r="2461" spans="1:4" hidden="1" outlineLevel="2" x14ac:dyDescent="0.3">
      <c r="A2461" t="s">
        <v>4363</v>
      </c>
      <c r="B2461" t="s">
        <v>3891</v>
      </c>
      <c r="C2461" t="s">
        <v>8</v>
      </c>
      <c r="D2461" t="s">
        <v>2516</v>
      </c>
    </row>
    <row r="2462" spans="1:4" hidden="1" outlineLevel="2" x14ac:dyDescent="0.3">
      <c r="A2462" t="s">
        <v>4364</v>
      </c>
      <c r="B2462" t="s">
        <v>3893</v>
      </c>
      <c r="C2462" t="s">
        <v>8</v>
      </c>
      <c r="D2462" t="s">
        <v>2516</v>
      </c>
    </row>
    <row r="2463" spans="1:4" hidden="1" outlineLevel="2" x14ac:dyDescent="0.3">
      <c r="A2463" t="s">
        <v>4365</v>
      </c>
      <c r="B2463" t="s">
        <v>3893</v>
      </c>
      <c r="C2463" t="s">
        <v>8</v>
      </c>
      <c r="D2463" t="s">
        <v>2516</v>
      </c>
    </row>
    <row r="2464" spans="1:4" hidden="1" outlineLevel="2" x14ac:dyDescent="0.3">
      <c r="A2464" t="s">
        <v>4366</v>
      </c>
      <c r="B2464" t="s">
        <v>3893</v>
      </c>
      <c r="C2464" t="s">
        <v>8</v>
      </c>
      <c r="D2464" t="s">
        <v>2568</v>
      </c>
    </row>
    <row r="2465" spans="1:4" hidden="1" outlineLevel="2" x14ac:dyDescent="0.3">
      <c r="A2465" t="s">
        <v>4367</v>
      </c>
      <c r="B2465" t="s">
        <v>3891</v>
      </c>
      <c r="C2465" t="s">
        <v>8</v>
      </c>
      <c r="D2465" t="s">
        <v>2570</v>
      </c>
    </row>
    <row r="2466" spans="1:4" hidden="1" outlineLevel="2" x14ac:dyDescent="0.3">
      <c r="A2466" t="s">
        <v>4368</v>
      </c>
      <c r="B2466" t="s">
        <v>3891</v>
      </c>
      <c r="C2466" t="s">
        <v>8</v>
      </c>
      <c r="D2466" t="s">
        <v>4369</v>
      </c>
    </row>
    <row r="2467" spans="1:13" hidden="1" outlineLevel="2" x14ac:dyDescent="0.3">
      <c r="A2467" t="inlineStr">
        <is>
          <t xml:space="preserve">RDC_SB_1F_CAV1504</t>
        </is>
      </c>
      <c r="B2467" t="inlineStr">
        <is>
          <t xml:space="preserve">CAV</t>
        </is>
      </c>
      <c r="C2467" t="s">
        <v>10</v>
      </c>
      <c r="D2467" t="inlineStr">
        <is>
          <t xml:space="preserve">Corridor S-1122</t>
        </is>
      </c>
      <c r="M2467" t="inlineStr">
        <is>
          <t xml:space="preserve">was RDC_SB_1F_AT-1504 - the historian carries the assembly, not the terminal; room kept from its 1 part row(s)</t>
        </is>
      </c>
    </row>
    <row r="2468" spans="1:13" hidden="1" outlineLevel="2" x14ac:dyDescent="0.3">
      <c r="A2468" t="inlineStr">
        <is>
          <t xml:space="preserve">RDC_SB_1F_CAV1535</t>
        </is>
      </c>
      <c r="B2468" t="inlineStr">
        <is>
          <t xml:space="preserve">CAV</t>
        </is>
      </c>
      <c r="C2468" t="s">
        <v>10</v>
      </c>
      <c r="D2468" t="inlineStr">
        <is>
          <t xml:space="preserve">Pantry S-1149A</t>
        </is>
      </c>
      <c r="M2468" t="inlineStr">
        <is>
          <t xml:space="preserve">was RDC_SB_1F_AT-1535 - the historian carries the assembly, not the terminal; room kept from its 1 part row(s)</t>
        </is>
      </c>
    </row>
    <row r="2469" spans="1:13" hidden="1" outlineLevel="2" x14ac:dyDescent="0.3">
      <c r="A2469" t="inlineStr">
        <is>
          <t xml:space="preserve">RDC_SB_1F_CAV1537</t>
        </is>
      </c>
      <c r="B2469" t="inlineStr">
        <is>
          <t xml:space="preserve">CAV</t>
        </is>
      </c>
      <c r="C2469" t="s">
        <v>8</v>
      </c>
      <c r="D2469" t="inlineStr">
        <is>
          <t xml:space="preserve">Normal Elec. S-1147</t>
        </is>
      </c>
      <c r="M2469" t="inlineStr">
        <is>
          <t xml:space="preserve">was RDC_SB_1F_AT-1537 - the historian carries the assembly, not the terminal; room kept from its 1 part row(s)</t>
        </is>
      </c>
    </row>
    <row r="2470" spans="1:13" hidden="1" outlineLevel="2" x14ac:dyDescent="0.3">
      <c r="A2470" t="inlineStr">
        <is>
          <t xml:space="preserve">RDC_NB_1F_EAV4500</t>
        </is>
      </c>
      <c r="B2470" t="inlineStr">
        <is>
          <t xml:space="preserve">EAV</t>
        </is>
      </c>
      <c r="C2470" t="s">
        <v>8</v>
      </c>
      <c r="D2470" t="inlineStr">
        <is>
          <t xml:space="preserve">MDF N-1201</t>
        </is>
      </c>
      <c r="M2470" t="inlineStr">
        <is>
          <t xml:space="preserve">was RDC_NB_1F_EV-4500 - the historian carries the assembly, not the terminal; room kept from its 1 part row(s)</t>
        </is>
      </c>
    </row>
    <row r="2471" spans="1:4" hidden="1" outlineLevel="2" x14ac:dyDescent="0.3">
      <c r="A2471" t="s">
        <v>4432</v>
      </c>
      <c r="B2471" t="s">
        <v>3880</v>
      </c>
      <c r="C2471" t="s">
        <v>10</v>
      </c>
      <c r="D2471" t="s">
        <v>4433</v>
      </c>
    </row>
    <row r="2472" spans="1:13" hidden="1" outlineLevel="2" x14ac:dyDescent="0.3">
      <c r="A2472" t="inlineStr">
        <is>
          <t xml:space="preserve">RDC_NB_1F_EAV4661</t>
        </is>
      </c>
      <c r="B2472" t="inlineStr">
        <is>
          <t xml:space="preserve">EAV</t>
        </is>
      </c>
      <c r="C2472" t="s">
        <v>10</v>
      </c>
      <c r="D2472" t="inlineStr">
        <is>
          <t xml:space="preserve">Office 05 - 8 WKS- N-1227</t>
        </is>
      </c>
      <c r="M2472" t="inlineStr">
        <is>
          <t xml:space="preserve">was RDC_NB_1F_EV-4661 - the historian carries the assembly, not the terminal; room kept from its 1 part row(s)</t>
        </is>
      </c>
    </row>
    <row r="2473" spans="1:13" hidden="1" outlineLevel="2" x14ac:dyDescent="0.3">
      <c r="A2473" t="inlineStr">
        <is>
          <t xml:space="preserve">RDC_NB_1F_EAV4686</t>
        </is>
      </c>
      <c r="B2473" t="inlineStr">
        <is>
          <t xml:space="preserve">EAV</t>
        </is>
      </c>
      <c r="C2473" t="s">
        <v>10</v>
      </c>
      <c r="D2473" t="inlineStr">
        <is>
          <t xml:space="preserve">Office 05 - 8 WKS- N-1232</t>
        </is>
      </c>
      <c r="M2473" t="inlineStr">
        <is>
          <t xml:space="preserve">was RDC_NB_1F_EV-4686 - the historian carries the assembly, not the terminal; room kept from its 1 part row(s)</t>
        </is>
      </c>
    </row>
    <row r="2474" spans="1:13" hidden="1" outlineLevel="2" x14ac:dyDescent="0.3">
      <c r="A2474" t="inlineStr">
        <is>
          <t xml:space="preserve">RDC_NB_1F_EAV4711</t>
        </is>
      </c>
      <c r="B2474" t="inlineStr">
        <is>
          <t xml:space="preserve">EAV</t>
        </is>
      </c>
      <c r="C2474" t="s">
        <v>10</v>
      </c>
      <c r="D2474" t="inlineStr">
        <is>
          <t xml:space="preserve">Office 05 - 8 WKS- N-1237</t>
        </is>
      </c>
      <c r="M2474" t="inlineStr">
        <is>
          <t xml:space="preserve">was RDC_NB_1F_EV-4711 - the historian carries the assembly, not the terminal; room kept from its 1 part row(s)</t>
        </is>
      </c>
    </row>
    <row r="2475" spans="1:13" hidden="1" outlineLevel="2" x14ac:dyDescent="0.3">
      <c r="A2475" t="inlineStr">
        <is>
          <t xml:space="preserve">RDC_NB_1F_EAV4736</t>
        </is>
      </c>
      <c r="B2475" t="inlineStr">
        <is>
          <t xml:space="preserve">EAV</t>
        </is>
      </c>
      <c r="C2475" t="s">
        <v>10</v>
      </c>
      <c r="D2475" t="inlineStr">
        <is>
          <t xml:space="preserve">Office 05 - 8 WKS- N-1242</t>
        </is>
      </c>
      <c r="M2475" t="inlineStr">
        <is>
          <t xml:space="preserve">was RDC_NB_1F_EV-4736 - the historian carries the assembly, not the terminal; room kept from its 1 part row(s)</t>
        </is>
      </c>
    </row>
    <row r="2476" spans="1:4" hidden="1" outlineLevel="2" x14ac:dyDescent="0.3">
      <c r="A2476" t="s">
        <v>4442</v>
      </c>
      <c r="B2476" t="s">
        <v>3891</v>
      </c>
      <c r="C2476" t="s">
        <v>8</v>
      </c>
      <c r="D2476" t="s">
        <v>3163</v>
      </c>
    </row>
    <row r="2477" spans="1:4" hidden="1" outlineLevel="2" x14ac:dyDescent="0.3">
      <c r="A2477" t="s">
        <v>4443</v>
      </c>
      <c r="B2477" t="s">
        <v>3893</v>
      </c>
      <c r="C2477" t="s">
        <v>8</v>
      </c>
      <c r="D2477" t="s">
        <v>3163</v>
      </c>
    </row>
    <row r="2478" spans="1:4" hidden="1" outlineLevel="2" x14ac:dyDescent="0.3">
      <c r="A2478" t="s">
        <v>4444</v>
      </c>
      <c r="B2478" t="s">
        <v>3893</v>
      </c>
      <c r="C2478" t="s">
        <v>8</v>
      </c>
      <c r="D2478" t="s">
        <v>3163</v>
      </c>
    </row>
    <row r="2479" spans="1:4" hidden="1" outlineLevel="2" x14ac:dyDescent="0.3">
      <c r="A2479" t="s">
        <v>4445</v>
      </c>
      <c r="B2479" t="s">
        <v>3893</v>
      </c>
      <c r="C2479" t="s">
        <v>8</v>
      </c>
      <c r="D2479" t="s">
        <v>3163</v>
      </c>
    </row>
    <row r="2480" spans="1:4" hidden="1" outlineLevel="2" x14ac:dyDescent="0.3">
      <c r="A2480" t="s">
        <v>4446</v>
      </c>
      <c r="B2480" t="s">
        <v>3893</v>
      </c>
      <c r="C2480" t="s">
        <v>8</v>
      </c>
      <c r="D2480" t="s">
        <v>3163</v>
      </c>
    </row>
    <row r="2481" spans="1:4" hidden="1" outlineLevel="2" x14ac:dyDescent="0.3">
      <c r="A2481" t="s">
        <v>4447</v>
      </c>
      <c r="B2481" t="s">
        <v>3893</v>
      </c>
      <c r="C2481" t="s">
        <v>8</v>
      </c>
      <c r="D2481" t="s">
        <v>3166</v>
      </c>
    </row>
    <row r="2482" spans="1:4" hidden="1" outlineLevel="2" x14ac:dyDescent="0.3">
      <c r="A2482" t="s">
        <v>4448</v>
      </c>
      <c r="B2482" t="s">
        <v>1928</v>
      </c>
      <c r="C2482" t="s">
        <v>8</v>
      </c>
      <c r="D2482" t="s">
        <v>3161</v>
      </c>
    </row>
    <row r="2483" spans="1:4" hidden="1" outlineLevel="2" x14ac:dyDescent="0.3">
      <c r="A2483" t="s">
        <v>4449</v>
      </c>
      <c r="B2483" t="s">
        <v>3891</v>
      </c>
      <c r="C2483" t="s">
        <v>8</v>
      </c>
      <c r="D2483" t="s">
        <v>3161</v>
      </c>
    </row>
    <row r="2484" spans="1:4" hidden="1" outlineLevel="2" x14ac:dyDescent="0.3">
      <c r="A2484" t="s">
        <v>4450</v>
      </c>
      <c r="B2484" t="s">
        <v>3891</v>
      </c>
      <c r="C2484" t="s">
        <v>8</v>
      </c>
      <c r="D2484" t="s">
        <v>3161</v>
      </c>
    </row>
    <row r="2485" spans="1:4" hidden="1" outlineLevel="2" x14ac:dyDescent="0.3">
      <c r="A2485" t="s">
        <v>4451</v>
      </c>
      <c r="B2485" t="s">
        <v>3891</v>
      </c>
      <c r="C2485" t="s">
        <v>8</v>
      </c>
      <c r="D2485" t="s">
        <v>3161</v>
      </c>
    </row>
    <row r="2486" spans="1:4" hidden="1" outlineLevel="2" x14ac:dyDescent="0.3">
      <c r="A2486" t="s">
        <v>4452</v>
      </c>
      <c r="B2486" t="s">
        <v>3891</v>
      </c>
      <c r="C2486" t="s">
        <v>8</v>
      </c>
      <c r="D2486" t="s">
        <v>3161</v>
      </c>
    </row>
    <row r="2487" spans="1:4" hidden="1" outlineLevel="2" x14ac:dyDescent="0.3">
      <c r="A2487" t="s">
        <v>4453</v>
      </c>
      <c r="B2487" t="s">
        <v>3893</v>
      </c>
      <c r="C2487" t="s">
        <v>8</v>
      </c>
      <c r="D2487" t="s">
        <v>3161</v>
      </c>
    </row>
    <row r="2488" spans="1:4" hidden="1" outlineLevel="2" x14ac:dyDescent="0.3">
      <c r="A2488" t="s">
        <v>4454</v>
      </c>
      <c r="B2488" t="s">
        <v>3893</v>
      </c>
      <c r="C2488" t="s">
        <v>8</v>
      </c>
      <c r="D2488" t="s">
        <v>3161</v>
      </c>
    </row>
    <row r="2489" spans="1:13" hidden="1" outlineLevel="2" x14ac:dyDescent="0.3">
      <c r="A2489" t="inlineStr">
        <is>
          <t xml:space="preserve">RDC_SB_1F_CAV0501</t>
        </is>
      </c>
      <c r="B2489" t="inlineStr">
        <is>
          <t xml:space="preserve">CAV</t>
        </is>
      </c>
      <c r="C2489" t="s">
        <v>10</v>
      </c>
      <c r="D2489" t="inlineStr">
        <is>
          <t xml:space="preserve">Lobby S-1102</t>
        </is>
      </c>
      <c r="M2489" t="inlineStr">
        <is>
          <t xml:space="preserve">was RDC_SB_1F_AT-0501 - the historian carries the assembly, not the terminal; room kept from its 1 part row(s)</t>
        </is>
      </c>
    </row>
    <row r="2490" spans="1:13" hidden="1" outlineLevel="2" x14ac:dyDescent="0.3">
      <c r="A2490" t="inlineStr">
        <is>
          <t xml:space="preserve">RDC_SB_1F_CAV0502</t>
        </is>
      </c>
      <c r="B2490" t="inlineStr">
        <is>
          <t xml:space="preserve">CAV</t>
        </is>
      </c>
      <c r="C2490" t="s">
        <v>10</v>
      </c>
      <c r="D2490" t="inlineStr">
        <is>
          <t xml:space="preserve">Vestibule S-1105</t>
        </is>
      </c>
      <c r="M2490" t="inlineStr">
        <is>
          <t xml:space="preserve">was RDC_SB_1F_AT-0502 - the historian carries the assembly, not the terminal; room kept from its 1 part row(s)</t>
        </is>
      </c>
    </row>
    <row r="2491" spans="1:13" hidden="1" outlineLevel="2" x14ac:dyDescent="0.3">
      <c r="A2491" t="inlineStr">
        <is>
          <t xml:space="preserve">RDC_SB_1F_CAV0503</t>
        </is>
      </c>
      <c r="B2491" t="inlineStr">
        <is>
          <t xml:space="preserve">CAV</t>
        </is>
      </c>
      <c r="C2491" t="s">
        <v>10</v>
      </c>
      <c r="D2491" t="inlineStr">
        <is>
          <t xml:space="preserve">Women S-1106B</t>
        </is>
      </c>
      <c r="M2491" t="inlineStr">
        <is>
          <t xml:space="preserve">was RDC_SB_1F_AT-0503 - the historian carries the assembly, not the terminal; room kept from its 1 part row(s)</t>
        </is>
      </c>
    </row>
    <row r="2492" spans="1:13" hidden="1" outlineLevel="2" x14ac:dyDescent="0.3">
      <c r="A2492" t="inlineStr">
        <is>
          <t xml:space="preserve">RDC_SB_1F_CAV0504</t>
        </is>
      </c>
      <c r="B2492" t="inlineStr">
        <is>
          <t xml:space="preserve">CAV</t>
        </is>
      </c>
      <c r="C2492" t="s">
        <v>10</v>
      </c>
      <c r="D2492" t="inlineStr">
        <is>
          <t xml:space="preserve">Vestibule S-1107</t>
        </is>
      </c>
      <c r="M2492" t="inlineStr">
        <is>
          <t xml:space="preserve">was RDC_SB_1F_AT-0504 - the historian carries the assembly, not the terminal; room kept from its 1 part row(s)</t>
        </is>
      </c>
    </row>
    <row r="2493" spans="1:13" hidden="1" outlineLevel="2" x14ac:dyDescent="0.3">
      <c r="A2493" t="inlineStr">
        <is>
          <t xml:space="preserve">RDC_SB_1F_CAV0505</t>
        </is>
      </c>
      <c r="B2493" t="inlineStr">
        <is>
          <t xml:space="preserve">CAV</t>
        </is>
      </c>
      <c r="C2493" t="s">
        <v>8</v>
      </c>
      <c r="D2493" t="inlineStr">
        <is>
          <t xml:space="preserve">EMERGENCY Elec. S-1107B</t>
        </is>
      </c>
      <c r="M2493" t="inlineStr">
        <is>
          <t xml:space="preserve">was RDC_SB_1F_AT-0505 - the historian carries the assembly, not the terminal; room kept from its 1 part row(s)</t>
        </is>
      </c>
    </row>
    <row r="2494" spans="1:13" hidden="1" outlineLevel="2" x14ac:dyDescent="0.3">
      <c r="A2494" t="inlineStr">
        <is>
          <t xml:space="preserve">RDC_SB_1F_CAV0515</t>
        </is>
      </c>
      <c r="B2494" t="inlineStr">
        <is>
          <t xml:space="preserve">CAV</t>
        </is>
      </c>
      <c r="C2494" t="s">
        <v>10</v>
      </c>
      <c r="D2494" t="inlineStr">
        <is>
          <t xml:space="preserve">Corridor S-1122</t>
        </is>
      </c>
      <c r="M2494" t="inlineStr">
        <is>
          <t xml:space="preserve">was RDC_SB_1F_AT-0515 - the historian carries the assembly, not the terminal; room kept from its 1 part row(s)</t>
        </is>
      </c>
    </row>
    <row r="2495" spans="1:13" hidden="1" outlineLevel="2" x14ac:dyDescent="0.3">
      <c r="A2495" t="inlineStr">
        <is>
          <t xml:space="preserve">RDC_SB_1F_CAV0516</t>
        </is>
      </c>
      <c r="B2495" t="inlineStr">
        <is>
          <t xml:space="preserve">CAV</t>
        </is>
      </c>
      <c r="C2495" t="s">
        <v>10</v>
      </c>
      <c r="D2495" t="inlineStr">
        <is>
          <t xml:space="preserve">Pantry S-1158</t>
        </is>
      </c>
      <c r="M2495" t="inlineStr">
        <is>
          <t xml:space="preserve">was RDC_SB_1F_AT-0516 - the historian carries the assembly, not the terminal; room kept from its 1 part row(s)</t>
        </is>
      </c>
    </row>
    <row r="2496" spans="1:13" hidden="1" outlineLevel="2" x14ac:dyDescent="0.3">
      <c r="A2496" t="inlineStr">
        <is>
          <t xml:space="preserve">RDC_SB_1F_CAV0517</t>
        </is>
      </c>
      <c r="B2496" t="inlineStr">
        <is>
          <t xml:space="preserve">CAV</t>
        </is>
      </c>
      <c r="C2496" t="s">
        <v>8</v>
      </c>
      <c r="D2496" t="inlineStr">
        <is>
          <t xml:space="preserve">Normal Elec. S-1160</t>
        </is>
      </c>
      <c r="M2496" t="inlineStr">
        <is>
          <t xml:space="preserve">was RDC_SB_1F_AT-0517 - the historian carries the assembly, not the terminal; room kept from its 1 part row(s)</t>
        </is>
      </c>
    </row>
    <row r="2497" spans="1:13" hidden="1" outlineLevel="2" x14ac:dyDescent="0.3">
      <c r="A2497" t="inlineStr">
        <is>
          <t xml:space="preserve">RDC_SB_1F_CAV0524</t>
        </is>
      </c>
      <c r="B2497" t="inlineStr">
        <is>
          <t xml:space="preserve">CAV</t>
        </is>
      </c>
      <c r="C2497" t="s">
        <v>10</v>
      </c>
      <c r="D2497" t="inlineStr">
        <is>
          <t xml:space="preserve">Women S-1169</t>
        </is>
      </c>
      <c r="M2497" t="inlineStr">
        <is>
          <t xml:space="preserve">was RDC_SB_1F_AT-0524 - the historian carries the assembly, not the terminal; room kept from its 1 part row(s)</t>
        </is>
      </c>
    </row>
    <row r="2498" spans="1:13" hidden="1" outlineLevel="2" x14ac:dyDescent="0.3">
      <c r="A2498" t="inlineStr">
        <is>
          <t xml:space="preserve">RDC_SB_1F_CAV0525</t>
        </is>
      </c>
      <c r="B2498" t="inlineStr">
        <is>
          <t xml:space="preserve">CAV</t>
        </is>
      </c>
      <c r="C2498" t="s">
        <v>10</v>
      </c>
      <c r="D2498" t="inlineStr">
        <is>
          <t xml:space="preserve">Men S-1170</t>
        </is>
      </c>
      <c r="M2498" t="inlineStr">
        <is>
          <t xml:space="preserve">was RDC_SB_1F_AT-0525 - the historian carries the assembly, not the terminal; room kept from its 1 part row(s)</t>
        </is>
      </c>
    </row>
    <row r="2499" spans="1:13" hidden="1" outlineLevel="2" x14ac:dyDescent="0.3">
      <c r="A2499" t="inlineStr">
        <is>
          <t xml:space="preserve">RDC_SB_1F_CAV0534</t>
        </is>
      </c>
      <c r="B2499" t="inlineStr">
        <is>
          <t xml:space="preserve">CAV</t>
        </is>
      </c>
      <c r="C2499" t="s">
        <v>10</v>
      </c>
      <c r="D2499" t="inlineStr">
        <is>
          <t xml:space="preserve">CORRIDOR S-1180</t>
        </is>
      </c>
      <c r="M2499" t="inlineStr">
        <is>
          <t xml:space="preserve">was RDC_SB_1F_AT-0534 - the historian carries the assembly, not the terminal; room kept from its 1 part row(s)</t>
        </is>
      </c>
    </row>
    <row r="2500" spans="1:13" hidden="1" outlineLevel="2" x14ac:dyDescent="0.3">
      <c r="A2500" t="inlineStr">
        <is>
          <t xml:space="preserve">RDC_SB_1F_CAV0535</t>
        </is>
      </c>
      <c r="B2500" t="inlineStr">
        <is>
          <t xml:space="preserve">CAV</t>
        </is>
      </c>
      <c r="C2500" t="s">
        <v>10</v>
      </c>
      <c r="D2500" t="inlineStr">
        <is>
          <t xml:space="preserve">Cooridor S-1180</t>
        </is>
      </c>
      <c r="M2500" t="inlineStr">
        <is>
          <t xml:space="preserve">was RDC_SB_1F_AT-0535 - the historian carries the assembly, not the terminal; room kept from its 1 part row(s)</t>
        </is>
      </c>
    </row>
    <row r="2501" spans="1:13" hidden="1" outlineLevel="2" x14ac:dyDescent="0.3">
      <c r="A2501" t="inlineStr">
        <is>
          <t xml:space="preserve">RDC_SB_1F_CAV1541</t>
        </is>
      </c>
      <c r="B2501" t="inlineStr">
        <is>
          <t xml:space="preserve">CAV</t>
        </is>
      </c>
      <c r="C2501" t="s">
        <v>10</v>
      </c>
      <c r="D2501" t="inlineStr">
        <is>
          <t xml:space="preserve">Cooridor S-1181</t>
        </is>
      </c>
      <c r="M2501" t="inlineStr">
        <is>
          <t xml:space="preserve">was RDC_SB_1F_AT-1541 - the historian carries the assembly, not the terminal; room kept from its 1 part row(s)</t>
        </is>
      </c>
    </row>
    <row r="2502" spans="1:13" hidden="1" outlineLevel="2" x14ac:dyDescent="0.3">
      <c r="A2502" t="inlineStr">
        <is>
          <t xml:space="preserve">RDC_NB_1F_CAV5720_EV5721</t>
        </is>
      </c>
      <c r="B2502" t="inlineStr">
        <is>
          <t xml:space="preserve">CAV</t>
        </is>
      </c>
      <c r="C2502" t="s">
        <v>10</v>
      </c>
      <c r="D2502" t="inlineStr">
        <is>
          <t xml:space="preserve">Men N-1134</t>
        </is>
      </c>
      <c r="M2502" t="inlineStr">
        <is>
          <t xml:space="preserve">was RDC_NB_1F_AT-5720 - the historian carries the assembly, not the terminal; room kept from its 2 part row(s)</t>
        </is>
      </c>
    </row>
    <row r="2503" spans="1:13" hidden="1" outlineLevel="2" x14ac:dyDescent="0.3">
      <c r="A2503" t="inlineStr">
        <is>
          <t xml:space="preserve">RDC_NB_1F_CAV5750</t>
        </is>
      </c>
      <c r="B2503" t="inlineStr">
        <is>
          <t xml:space="preserve">CAV</t>
        </is>
      </c>
      <c r="C2503" t="s">
        <v>10</v>
      </c>
      <c r="D2503" t="inlineStr">
        <is>
          <t xml:space="preserve">Store N-1141</t>
        </is>
      </c>
      <c r="M2503" t="inlineStr">
        <is>
          <t xml:space="preserve">was RDC_NB_1F_AT-5750 - the historian carries the assembly, not the terminal; room kept from its 1 part row(s)</t>
        </is>
      </c>
    </row>
    <row r="2504" spans="1:13" hidden="1" outlineLevel="2" x14ac:dyDescent="0.3">
      <c r="A2504" t="inlineStr">
        <is>
          <t xml:space="preserve">RDC_NB_1F_CAV4640_EV4641</t>
        </is>
      </c>
      <c r="B2504" t="inlineStr">
        <is>
          <t xml:space="preserve">CAV</t>
        </is>
      </c>
      <c r="C2504" t="s">
        <v>10</v>
      </c>
      <c r="D2504" t="inlineStr">
        <is>
          <t xml:space="preserve">Women N-1221</t>
        </is>
      </c>
      <c r="M2504" t="inlineStr">
        <is>
          <t xml:space="preserve">was RDC_NB_1F_AT-4640 - the historian carries the assembly, not the terminal; room kept from its 2 part row(s)</t>
        </is>
      </c>
    </row>
    <row r="2505" spans="1:13" hidden="1" outlineLevel="2" x14ac:dyDescent="0.3">
      <c r="A2505" t="inlineStr">
        <is>
          <t xml:space="preserve">RDC_NB_1F_EAV5686</t>
        </is>
      </c>
      <c r="B2505" t="inlineStr">
        <is>
          <t xml:space="preserve">EAV</t>
        </is>
      </c>
      <c r="C2505" t="s">
        <v>10</v>
      </c>
      <c r="D2505" t="inlineStr">
        <is>
          <t xml:space="preserve">Corridor N-1126</t>
        </is>
      </c>
      <c r="M2505" t="inlineStr">
        <is>
          <t xml:space="preserve">was RDC_NB_1F_EV-5686 - the historian carries the assembly, not the terminal; room kept from its 1 part row(s)</t>
        </is>
      </c>
    </row>
    <row r="2506" spans="1:13" hidden="1" outlineLevel="2" x14ac:dyDescent="0.3">
      <c r="A2506" t="inlineStr">
        <is>
          <t xml:space="preserve">RDC_NB_1F_EAV5747</t>
        </is>
      </c>
      <c r="B2506" t="inlineStr">
        <is>
          <t xml:space="preserve">EAV</t>
        </is>
      </c>
      <c r="C2506" t="s">
        <v>8</v>
      </c>
      <c r="D2506" t="inlineStr">
        <is>
          <t xml:space="preserve">IDF N-1140</t>
        </is>
      </c>
      <c r="M2506" t="inlineStr">
        <is>
          <t xml:space="preserve">was RDC_NB_1F_EV-5747 - the historian carries the assembly, not the terminal; room kept from its 1 part row(s)</t>
        </is>
      </c>
    </row>
    <row r="2507" spans="1:13" hidden="1" outlineLevel="2" x14ac:dyDescent="0.3">
      <c r="A2507" t="inlineStr">
        <is>
          <t xml:space="preserve">RDC_NB_1F_EAV5891</t>
        </is>
      </c>
      <c r="B2507" t="inlineStr">
        <is>
          <t xml:space="preserve">EAV</t>
        </is>
      </c>
      <c r="C2507" t="s">
        <v>10</v>
      </c>
      <c r="D2507" t="inlineStr">
        <is>
          <t xml:space="preserve">Office 05 - 8 WKS- North N-1160</t>
        </is>
      </c>
      <c r="M2507" t="inlineStr">
        <is>
          <t xml:space="preserve">was RDC_NB_1F_EV-5891 - the historian carries the assembly, not the terminal; room kept from its 1 part row(s)</t>
        </is>
      </c>
    </row>
    <row r="2508" spans="1:13" hidden="1" outlineLevel="2" x14ac:dyDescent="0.3">
      <c r="A2508" t="inlineStr">
        <is>
          <t xml:space="preserve">RDC_NB_1F_EAV5921</t>
        </is>
      </c>
      <c r="B2508" t="inlineStr">
        <is>
          <t xml:space="preserve">EAV</t>
        </is>
      </c>
      <c r="C2508" t="s">
        <v>10</v>
      </c>
      <c r="D2508" t="inlineStr">
        <is>
          <t xml:space="preserve">Office 05 - 8 WKS- N-1168</t>
        </is>
      </c>
      <c r="M2508" t="inlineStr">
        <is>
          <t xml:space="preserve">was RDC_NB_1F_EV-5921 - the historian carries the assembly, not the terminal; room kept from its 1 part row(s)</t>
        </is>
      </c>
    </row>
    <row r="2509" spans="1:13" hidden="1" outlineLevel="2" x14ac:dyDescent="0.3">
      <c r="A2509" t="inlineStr">
        <is>
          <t xml:space="preserve">RDC_NB_1F_EAV5941</t>
        </is>
      </c>
      <c r="B2509" t="inlineStr">
        <is>
          <t xml:space="preserve">EAV</t>
        </is>
      </c>
      <c r="C2509" t="s">
        <v>10</v>
      </c>
      <c r="D2509" t="inlineStr">
        <is>
          <t xml:space="preserve">Office 05 - 8 WKS- N-1165</t>
        </is>
      </c>
      <c r="M2509" t="inlineStr">
        <is>
          <t xml:space="preserve">was RDC_NB_1F_EV-5941 - the historian carries the assembly, not the terminal; room kept from its 1 part row(s)</t>
        </is>
      </c>
    </row>
    <row r="2510" spans="1:4" hidden="1" outlineLevel="2" x14ac:dyDescent="0.3">
      <c r="A2510" t="s">
        <v>4571</v>
      </c>
      <c r="B2510" t="s">
        <v>3893</v>
      </c>
      <c r="C2510" t="s">
        <v>8</v>
      </c>
      <c r="D2510" t="s">
        <v>3242</v>
      </c>
    </row>
    <row r="2511" spans="1:4" hidden="1" outlineLevel="2" x14ac:dyDescent="0.3">
      <c r="A2511" t="s">
        <v>4572</v>
      </c>
      <c r="B2511" t="s">
        <v>3891</v>
      </c>
      <c r="C2511" t="s">
        <v>8</v>
      </c>
      <c r="D2511" t="s">
        <v>3231</v>
      </c>
    </row>
    <row r="2512" spans="1:4" hidden="1" outlineLevel="2" x14ac:dyDescent="0.3">
      <c r="A2512" t="s">
        <v>4573</v>
      </c>
      <c r="B2512" t="s">
        <v>3891</v>
      </c>
      <c r="C2512" t="s">
        <v>8</v>
      </c>
      <c r="D2512" t="s">
        <v>3231</v>
      </c>
    </row>
    <row r="2513" spans="1:4" hidden="1" outlineLevel="2" x14ac:dyDescent="0.3">
      <c r="A2513" t="s">
        <v>4574</v>
      </c>
      <c r="B2513" t="s">
        <v>3891</v>
      </c>
      <c r="C2513" t="s">
        <v>8</v>
      </c>
      <c r="D2513" t="s">
        <v>3231</v>
      </c>
    </row>
    <row r="2514" spans="1:4" hidden="1" outlineLevel="2" x14ac:dyDescent="0.3">
      <c r="A2514" t="s">
        <v>4575</v>
      </c>
      <c r="B2514" t="s">
        <v>3893</v>
      </c>
      <c r="C2514" t="s">
        <v>8</v>
      </c>
      <c r="D2514" t="s">
        <v>3231</v>
      </c>
    </row>
    <row r="2515" spans="1:4" hidden="1" outlineLevel="2" x14ac:dyDescent="0.3">
      <c r="A2515" t="s">
        <v>4576</v>
      </c>
      <c r="B2515" t="s">
        <v>3893</v>
      </c>
      <c r="C2515" t="s">
        <v>8</v>
      </c>
      <c r="D2515" t="s">
        <v>3231</v>
      </c>
    </row>
    <row r="2516" spans="1:4" hidden="1" outlineLevel="2" x14ac:dyDescent="0.3">
      <c r="A2516" t="s">
        <v>4577</v>
      </c>
      <c r="B2516" t="s">
        <v>3891</v>
      </c>
      <c r="C2516" t="s">
        <v>8</v>
      </c>
      <c r="D2516" t="s">
        <v>3236</v>
      </c>
    </row>
    <row r="2517" spans="1:4" hidden="1" outlineLevel="2" x14ac:dyDescent="0.3">
      <c r="A2517" t="s">
        <v>4578</v>
      </c>
      <c r="B2517" t="s">
        <v>3893</v>
      </c>
      <c r="C2517" t="s">
        <v>8</v>
      </c>
      <c r="D2517" t="s">
        <v>3285</v>
      </c>
    </row>
    <row r="2518" spans="1:4" hidden="1" outlineLevel="2" x14ac:dyDescent="0.3">
      <c r="A2518" t="s">
        <v>4579</v>
      </c>
      <c r="B2518" t="s">
        <v>3891</v>
      </c>
      <c r="C2518" t="s">
        <v>8</v>
      </c>
      <c r="D2518" t="s">
        <v>3289</v>
      </c>
    </row>
    <row r="2519" spans="1:4" hidden="1" outlineLevel="2" x14ac:dyDescent="0.3">
      <c r="A2519" t="s">
        <v>4580</v>
      </c>
      <c r="B2519" t="s">
        <v>3891</v>
      </c>
      <c r="C2519" t="s">
        <v>10</v>
      </c>
      <c r="D2519" t="s">
        <v>3293</v>
      </c>
    </row>
    <row r="2520" spans="1:4" hidden="1" outlineLevel="2" x14ac:dyDescent="0.3">
      <c r="A2520" t="s">
        <v>4581</v>
      </c>
      <c r="B2520" t="s">
        <v>3893</v>
      </c>
      <c r="C2520" t="s">
        <v>8</v>
      </c>
      <c r="D2520" t="s">
        <v>3289</v>
      </c>
    </row>
    <row r="2521" spans="1:4" hidden="1" outlineLevel="2" x14ac:dyDescent="0.3">
      <c r="A2521" t="s">
        <v>4582</v>
      </c>
      <c r="B2521" t="s">
        <v>3891</v>
      </c>
      <c r="C2521" t="s">
        <v>8</v>
      </c>
      <c r="D2521" t="s">
        <v>3297</v>
      </c>
    </row>
    <row r="2522" spans="1:4" hidden="1" outlineLevel="2" x14ac:dyDescent="0.3">
      <c r="A2522" t="s">
        <v>4583</v>
      </c>
      <c r="B2522" t="s">
        <v>3891</v>
      </c>
      <c r="C2522" t="s">
        <v>8</v>
      </c>
      <c r="D2522" t="s">
        <v>3297</v>
      </c>
    </row>
    <row r="2523" spans="1:4" hidden="1" outlineLevel="2" x14ac:dyDescent="0.3">
      <c r="A2523" t="s">
        <v>4584</v>
      </c>
      <c r="B2523" t="s">
        <v>3893</v>
      </c>
      <c r="C2523" t="s">
        <v>8</v>
      </c>
      <c r="D2523" t="s">
        <v>3297</v>
      </c>
    </row>
    <row r="2524" spans="1:4" hidden="1" outlineLevel="2" x14ac:dyDescent="0.3">
      <c r="A2524" t="s">
        <v>4585</v>
      </c>
      <c r="B2524" t="s">
        <v>3893</v>
      </c>
      <c r="C2524" t="s">
        <v>8</v>
      </c>
      <c r="D2524" t="s">
        <v>3297</v>
      </c>
    </row>
    <row r="2525" spans="1:4" hidden="1" outlineLevel="2" x14ac:dyDescent="0.3">
      <c r="A2525" t="s">
        <v>4586</v>
      </c>
      <c r="B2525" t="s">
        <v>3891</v>
      </c>
      <c r="C2525" t="s">
        <v>8</v>
      </c>
      <c r="D2525" t="s">
        <v>3297</v>
      </c>
    </row>
    <row r="2526" spans="1:13" hidden="1" outlineLevel="2" x14ac:dyDescent="0.3">
      <c r="A2526" t="inlineStr">
        <is>
          <t xml:space="preserve">RDC_SB_1F_CAV2507</t>
        </is>
      </c>
      <c r="B2526" t="inlineStr">
        <is>
          <t xml:space="preserve">CAV</t>
        </is>
      </c>
      <c r="C2526" t="s">
        <v>10</v>
      </c>
      <c r="D2526" t="inlineStr">
        <is>
          <t xml:space="preserve">Female S-1204</t>
        </is>
      </c>
      <c r="M2526" t="inlineStr">
        <is>
          <t xml:space="preserve">was RDC_SB_1F_AT-2507 - the historian carries the assembly, not the terminal; room kept from its 1 part row(s)</t>
        </is>
      </c>
    </row>
    <row r="2527" spans="1:13" hidden="1" outlineLevel="2" x14ac:dyDescent="0.3">
      <c r="A2527" t="inlineStr">
        <is>
          <t xml:space="preserve">RDC_NB_1F_CAV6740_EV6741</t>
        </is>
      </c>
      <c r="B2527" t="inlineStr">
        <is>
          <t xml:space="preserve">CAV</t>
        </is>
      </c>
      <c r="C2527" t="s">
        <v>10</v>
      </c>
      <c r="D2527" t="inlineStr">
        <is>
          <t xml:space="preserve">Men N-1340</t>
        </is>
      </c>
      <c r="M2527" t="inlineStr">
        <is>
          <t xml:space="preserve">was RDC_NB_1F_AT-6740 - the historian carries the assembly, not the terminal; room kept from its 2 part row(s)</t>
        </is>
      </c>
    </row>
    <row r="2528" spans="1:13" hidden="1" outlineLevel="2" x14ac:dyDescent="0.3">
      <c r="A2528" t="inlineStr">
        <is>
          <t xml:space="preserve">RDC_NB_1F_CAV7500_EV7501</t>
        </is>
      </c>
      <c r="B2528" t="inlineStr">
        <is>
          <t xml:space="preserve">CAV</t>
        </is>
      </c>
      <c r="C2528" t="s">
        <v>10</v>
      </c>
      <c r="D2528" s="16" t="inlineStr">
        <is>
          <t xml:space="preserve">Women N-1403</t>
        </is>
      </c>
      <c r="M2528" t="inlineStr">
        <is>
          <t xml:space="preserve">was RDC_NB_1F_AT-7500 - the historian carries the assembly, not the terminal; room kept from its 2 part row(s)</t>
        </is>
      </c>
    </row>
    <row r="2529" spans="1:13" hidden="1" outlineLevel="2" x14ac:dyDescent="0.3">
      <c r="A2529" t="inlineStr">
        <is>
          <t xml:space="preserve">RDC_NB_1F_EAV6661</t>
        </is>
      </c>
      <c r="B2529" t="inlineStr">
        <is>
          <t xml:space="preserve">EAV</t>
        </is>
      </c>
      <c r="C2529" t="s">
        <v>10</v>
      </c>
      <c r="D2529" t="inlineStr">
        <is>
          <t xml:space="preserve">Workstation N-1321</t>
        </is>
      </c>
      <c r="M2529" t="inlineStr">
        <is>
          <t xml:space="preserve">was RDC_NB_1F_EV-6661 - the historian carries the assembly, not the terminal; room kept from its 1 part row(s)</t>
        </is>
      </c>
    </row>
    <row r="2530" spans="1:13" hidden="1" outlineLevel="2" x14ac:dyDescent="0.3">
      <c r="A2530" t="inlineStr">
        <is>
          <t xml:space="preserve">RDC_NB_1F_EAV6676</t>
        </is>
      </c>
      <c r="B2530" t="inlineStr">
        <is>
          <t xml:space="preserve">EAV</t>
        </is>
      </c>
      <c r="C2530" t="s">
        <v>10</v>
      </c>
      <c r="D2530" t="inlineStr">
        <is>
          <t xml:space="preserve">Workstation N-1324</t>
        </is>
      </c>
      <c r="M2530" t="inlineStr">
        <is>
          <t xml:space="preserve">was RDC_NB_1F_EV-6676 - the historian carries the assembly, not the terminal; room kept from its 1 part row(s)</t>
        </is>
      </c>
    </row>
    <row r="2531" spans="1:13" hidden="1" outlineLevel="2" x14ac:dyDescent="0.3">
      <c r="A2531" t="inlineStr">
        <is>
          <t xml:space="preserve">RDC_NB_1F_EAV6691</t>
        </is>
      </c>
      <c r="B2531" t="inlineStr">
        <is>
          <t xml:space="preserve">EAV</t>
        </is>
      </c>
      <c r="C2531" t="s">
        <v>10</v>
      </c>
      <c r="D2531" t="inlineStr">
        <is>
          <t xml:space="preserve">Exp. Workstation N-1327</t>
        </is>
      </c>
      <c r="M2531" t="inlineStr">
        <is>
          <t xml:space="preserve">was RDC_NB_1F_EV-6691 - the historian carries the assembly, not the terminal; room kept from its 1 part row(s)</t>
        </is>
      </c>
    </row>
    <row r="2532" spans="1:13" hidden="1" outlineLevel="2" x14ac:dyDescent="0.3">
      <c r="A2532" t="inlineStr">
        <is>
          <t xml:space="preserve">RDC_NB_1F_EAV6936</t>
        </is>
      </c>
      <c r="B2532" t="inlineStr">
        <is>
          <t xml:space="preserve">EAV</t>
        </is>
      </c>
      <c r="C2532" t="s">
        <v>10</v>
      </c>
      <c r="D2532" t="inlineStr">
        <is>
          <t xml:space="preserve">Workstation N-1363</t>
        </is>
      </c>
      <c r="M2532" t="inlineStr">
        <is>
          <t xml:space="preserve">was RDC_NB_1F_EV-6936 - the historian carries the assembly, not the terminal; room kept from its 1 part row(s)</t>
        </is>
      </c>
    </row>
    <row r="2533" spans="1:13" hidden="1" outlineLevel="2" x14ac:dyDescent="0.3">
      <c r="A2533" t="inlineStr">
        <is>
          <t xml:space="preserve">RDC_NB_1F_EAV6961</t>
        </is>
      </c>
      <c r="B2533" t="inlineStr">
        <is>
          <t xml:space="preserve">EAV</t>
        </is>
      </c>
      <c r="C2533" t="s">
        <v>10</v>
      </c>
      <c r="D2533" t="inlineStr">
        <is>
          <t xml:space="preserve">Workstation N-1368</t>
        </is>
      </c>
      <c r="M2533" t="inlineStr">
        <is>
          <t xml:space="preserve">was RDC_NB_1F_EV-6961 - the historian carries the assembly, not the terminal; room kept from its 1 part row(s)</t>
        </is>
      </c>
    </row>
    <row r="2534" spans="1:13" hidden="1" outlineLevel="2" x14ac:dyDescent="0.3">
      <c r="A2534" t="inlineStr">
        <is>
          <t xml:space="preserve">RDC_NB_1F_EAV6969</t>
        </is>
      </c>
      <c r="B2534" t="inlineStr">
        <is>
          <t xml:space="preserve">EAV</t>
        </is>
      </c>
      <c r="C2534" t="s">
        <v>10</v>
      </c>
      <c r="D2534" t="inlineStr">
        <is>
          <t xml:space="preserve">Workstation N-1371</t>
        </is>
      </c>
      <c r="M2534" t="inlineStr">
        <is>
          <t xml:space="preserve">was RDC_NB_1F_EV-6969 - the historian carries the assembly, not the terminal; room kept from its 1 part row(s)</t>
        </is>
      </c>
    </row>
    <row r="2535" spans="1:4" hidden="1" outlineLevel="2" x14ac:dyDescent="0.3">
      <c r="A2535" t="s">
        <v>4692</v>
      </c>
      <c r="B2535" t="s">
        <v>3891</v>
      </c>
      <c r="C2535" t="s">
        <v>8</v>
      </c>
      <c r="D2535" t="s">
        <v>4693</v>
      </c>
    </row>
    <row r="2536" spans="1:4" hidden="1" outlineLevel="2" x14ac:dyDescent="0.3">
      <c r="A2536" t="s">
        <v>4694</v>
      </c>
      <c r="B2536" t="s">
        <v>3891</v>
      </c>
      <c r="C2536" t="s">
        <v>8</v>
      </c>
      <c r="D2536" t="s">
        <v>3358</v>
      </c>
    </row>
    <row r="2537" spans="1:4" hidden="1" outlineLevel="2" x14ac:dyDescent="0.3">
      <c r="A2537" t="s">
        <v>4695</v>
      </c>
      <c r="B2537" t="s">
        <v>3891</v>
      </c>
      <c r="C2537" t="s">
        <v>8</v>
      </c>
      <c r="D2537" t="s">
        <v>3358</v>
      </c>
    </row>
    <row r="2538" spans="1:4" hidden="1" outlineLevel="2" x14ac:dyDescent="0.3">
      <c r="A2538" t="s">
        <v>4696</v>
      </c>
      <c r="B2538" t="s">
        <v>3893</v>
      </c>
      <c r="C2538" t="s">
        <v>8</v>
      </c>
      <c r="D2538" t="s">
        <v>3358</v>
      </c>
    </row>
    <row r="2539" spans="1:4" hidden="1" outlineLevel="2" x14ac:dyDescent="0.3">
      <c r="A2539" t="s">
        <v>4697</v>
      </c>
      <c r="B2539" t="s">
        <v>3893</v>
      </c>
      <c r="C2539" t="s">
        <v>8</v>
      </c>
      <c r="D2539" t="s">
        <v>3358</v>
      </c>
    </row>
    <row r="2540" spans="1:4" hidden="1" outlineLevel="2" x14ac:dyDescent="0.3">
      <c r="A2540" t="s">
        <v>4698</v>
      </c>
      <c r="B2540" t="s">
        <v>3880</v>
      </c>
      <c r="C2540" t="s">
        <v>8</v>
      </c>
      <c r="D2540" t="s">
        <v>4699</v>
      </c>
    </row>
    <row r="2541" spans="1:4" hidden="1" outlineLevel="2" x14ac:dyDescent="0.3">
      <c r="A2541" t="s">
        <v>4700</v>
      </c>
      <c r="B2541" t="s">
        <v>3893</v>
      </c>
      <c r="C2541" t="s">
        <v>8</v>
      </c>
      <c r="D2541" t="s">
        <v>3367</v>
      </c>
    </row>
    <row r="2542" spans="1:4" hidden="1" outlineLevel="2" x14ac:dyDescent="0.3">
      <c r="A2542" t="s">
        <v>4701</v>
      </c>
      <c r="B2542" t="s">
        <v>3893</v>
      </c>
      <c r="C2542" t="s">
        <v>8</v>
      </c>
      <c r="D2542" t="s">
        <v>3373</v>
      </c>
    </row>
    <row r="2543" spans="1:4" hidden="1" outlineLevel="2" x14ac:dyDescent="0.3">
      <c r="A2543" t="s">
        <v>4702</v>
      </c>
      <c r="B2543" t="s">
        <v>3893</v>
      </c>
      <c r="C2543" t="s">
        <v>8</v>
      </c>
      <c r="D2543" t="s">
        <v>3373</v>
      </c>
    </row>
    <row r="2544" spans="1:4" hidden="1" outlineLevel="2" x14ac:dyDescent="0.3">
      <c r="A2544" t="s">
        <v>4703</v>
      </c>
      <c r="B2544" t="s">
        <v>3893</v>
      </c>
      <c r="C2544" t="s">
        <v>8</v>
      </c>
      <c r="D2544" t="s">
        <v>3373</v>
      </c>
    </row>
    <row r="2545" spans="1:4" hidden="1" outlineLevel="2" x14ac:dyDescent="0.3">
      <c r="A2545" t="s">
        <v>4704</v>
      </c>
      <c r="B2545" t="s">
        <v>3893</v>
      </c>
      <c r="C2545" t="s">
        <v>8</v>
      </c>
      <c r="D2545" t="s">
        <v>3373</v>
      </c>
    </row>
    <row r="2546" spans="1:4" hidden="1" outlineLevel="2" x14ac:dyDescent="0.3">
      <c r="A2546" t="s">
        <v>4705</v>
      </c>
      <c r="B2546" t="s">
        <v>3893</v>
      </c>
      <c r="C2546" t="s">
        <v>8</v>
      </c>
      <c r="D2546" t="s">
        <v>3373</v>
      </c>
    </row>
    <row r="2547" spans="1:4" hidden="1" outlineLevel="2" x14ac:dyDescent="0.3">
      <c r="A2547" t="s">
        <v>4706</v>
      </c>
      <c r="B2547" t="s">
        <v>3893</v>
      </c>
      <c r="C2547" t="s">
        <v>8</v>
      </c>
      <c r="D2547" t="s">
        <v>3373</v>
      </c>
    </row>
    <row r="2548" spans="1:4" hidden="1" outlineLevel="2" x14ac:dyDescent="0.3">
      <c r="A2548" t="s">
        <v>4707</v>
      </c>
      <c r="B2548" t="s">
        <v>3893</v>
      </c>
      <c r="C2548" t="s">
        <v>8</v>
      </c>
      <c r="D2548" t="s">
        <v>3373</v>
      </c>
    </row>
    <row r="2549" spans="1:4" hidden="1" outlineLevel="2" x14ac:dyDescent="0.3">
      <c r="A2549" t="s">
        <v>4708</v>
      </c>
      <c r="B2549" t="s">
        <v>3893</v>
      </c>
      <c r="C2549" t="s">
        <v>8</v>
      </c>
      <c r="D2549" t="s">
        <v>3373</v>
      </c>
    </row>
    <row r="2550" spans="1:4" hidden="1" outlineLevel="2" x14ac:dyDescent="0.3">
      <c r="A2550" t="s">
        <v>4709</v>
      </c>
      <c r="B2550" t="s">
        <v>3893</v>
      </c>
      <c r="C2550" t="s">
        <v>10</v>
      </c>
      <c r="D2550" t="s">
        <v>4710</v>
      </c>
    </row>
    <row r="2551" spans="1:4" hidden="1" outlineLevel="2" x14ac:dyDescent="0.3">
      <c r="A2551" t="s">
        <v>4711</v>
      </c>
      <c r="B2551" t="s">
        <v>3891</v>
      </c>
      <c r="C2551" t="s">
        <v>8</v>
      </c>
      <c r="D2551" t="s">
        <v>4712</v>
      </c>
    </row>
    <row r="2552" spans="1:4" hidden="1" outlineLevel="2" x14ac:dyDescent="0.3">
      <c r="A2552" t="s">
        <v>4713</v>
      </c>
      <c r="B2552" t="s">
        <v>3891</v>
      </c>
      <c r="C2552" t="s">
        <v>8</v>
      </c>
      <c r="D2552" t="s">
        <v>4714</v>
      </c>
    </row>
    <row r="2553" spans="1:4" hidden="1" outlineLevel="2" x14ac:dyDescent="0.3">
      <c r="A2553" t="s">
        <v>4715</v>
      </c>
      <c r="B2553" t="s">
        <v>3891</v>
      </c>
      <c r="C2553" t="s">
        <v>8</v>
      </c>
      <c r="D2553" t="s">
        <v>4714</v>
      </c>
    </row>
    <row r="2554" spans="1:4" hidden="1" outlineLevel="2" x14ac:dyDescent="0.3">
      <c r="A2554" t="s">
        <v>4716</v>
      </c>
      <c r="B2554" t="s">
        <v>3893</v>
      </c>
      <c r="C2554" t="s">
        <v>8</v>
      </c>
      <c r="D2554" t="s">
        <v>4714</v>
      </c>
    </row>
    <row r="2555" spans="1:4" hidden="1" outlineLevel="2" x14ac:dyDescent="0.3">
      <c r="A2555" t="s">
        <v>4717</v>
      </c>
      <c r="B2555" t="s">
        <v>3893</v>
      </c>
      <c r="C2555" t="s">
        <v>8</v>
      </c>
      <c r="D2555" t="s">
        <v>4714</v>
      </c>
    </row>
    <row r="2556" spans="1:4" hidden="1" outlineLevel="2" x14ac:dyDescent="0.3">
      <c r="A2556" t="s">
        <v>4718</v>
      </c>
      <c r="B2556" t="s">
        <v>3893</v>
      </c>
      <c r="C2556" t="s">
        <v>8</v>
      </c>
      <c r="D2556" t="s">
        <v>4714</v>
      </c>
    </row>
    <row r="2557" spans="1:13" hidden="1" outlineLevel="2" x14ac:dyDescent="0.3">
      <c r="A2557" t="inlineStr">
        <is>
          <t xml:space="preserve">RDC_NB_1F_CAV6790_CEV6791</t>
        </is>
      </c>
      <c r="B2557" t="inlineStr">
        <is>
          <t xml:space="preserve">CAV</t>
        </is>
      </c>
      <c r="C2557" t="s">
        <v>8</v>
      </c>
      <c r="D2557" t="inlineStr">
        <is>
          <t xml:space="preserve">TC2 N-1345C</t>
        </is>
      </c>
      <c r="M2557" t="inlineStr">
        <is>
          <t xml:space="preserve">was RDC_NB_1F_CEV-6791 - the historian carries the assembly, not the terminal; room kept from its 1 part row(s)</t>
        </is>
      </c>
    </row>
    <row r="2558" spans="1:4" hidden="1" outlineLevel="2" x14ac:dyDescent="0.3">
      <c r="A2558" t="s">
        <v>4721</v>
      </c>
      <c r="B2558" t="s">
        <v>3893</v>
      </c>
      <c r="C2558" t="s">
        <v>8</v>
      </c>
      <c r="D2558" t="s">
        <v>3425</v>
      </c>
    </row>
    <row r="2559" spans="1:4" hidden="1" outlineLevel="2" x14ac:dyDescent="0.3">
      <c r="A2559" t="s">
        <v>4722</v>
      </c>
      <c r="B2559" t="s">
        <v>3893</v>
      </c>
      <c r="C2559" t="s">
        <v>8</v>
      </c>
      <c r="D2559" t="s">
        <v>3425</v>
      </c>
    </row>
    <row r="2560" spans="1:4" hidden="1" outlineLevel="2" x14ac:dyDescent="0.3">
      <c r="A2560" t="s">
        <v>4723</v>
      </c>
      <c r="B2560" t="s">
        <v>3893</v>
      </c>
      <c r="C2560" t="s">
        <v>8</v>
      </c>
      <c r="D2560" t="s">
        <v>3425</v>
      </c>
    </row>
    <row r="2561" spans="1:4" hidden="1" outlineLevel="2" x14ac:dyDescent="0.3">
      <c r="A2561" t="s">
        <v>4724</v>
      </c>
      <c r="B2561" t="s">
        <v>3893</v>
      </c>
      <c r="C2561" t="s">
        <v>8</v>
      </c>
      <c r="D2561" t="s">
        <v>3425</v>
      </c>
    </row>
    <row r="2562" spans="1:4" hidden="1" outlineLevel="2" x14ac:dyDescent="0.3">
      <c r="A2562" t="s">
        <v>4725</v>
      </c>
      <c r="B2562" t="s">
        <v>3893</v>
      </c>
      <c r="C2562" t="s">
        <v>8</v>
      </c>
      <c r="D2562" t="s">
        <v>3425</v>
      </c>
    </row>
    <row r="2563" spans="1:4" hidden="1" outlineLevel="2" x14ac:dyDescent="0.3">
      <c r="A2563" t="s">
        <v>4726</v>
      </c>
      <c r="B2563" t="s">
        <v>3893</v>
      </c>
      <c r="C2563" t="s">
        <v>8</v>
      </c>
      <c r="D2563" t="s">
        <v>3425</v>
      </c>
    </row>
    <row r="2564" spans="1:4" hidden="1" outlineLevel="2" x14ac:dyDescent="0.3">
      <c r="A2564" t="s">
        <v>4727</v>
      </c>
      <c r="B2564" t="s">
        <v>3893</v>
      </c>
      <c r="C2564" t="s">
        <v>8</v>
      </c>
      <c r="D2564" t="s">
        <v>3425</v>
      </c>
    </row>
    <row r="2565" spans="1:4" hidden="1" outlineLevel="2" x14ac:dyDescent="0.3">
      <c r="A2565" t="s">
        <v>4728</v>
      </c>
      <c r="B2565" t="s">
        <v>3893</v>
      </c>
      <c r="C2565" t="s">
        <v>8</v>
      </c>
      <c r="D2565" t="s">
        <v>3425</v>
      </c>
    </row>
    <row r="2566" spans="1:13" hidden="1" outlineLevel="2" x14ac:dyDescent="0.3">
      <c r="A2566" t="inlineStr">
        <is>
          <t xml:space="preserve">RDC_NB_1F_EAV7631</t>
        </is>
      </c>
      <c r="B2566" t="inlineStr">
        <is>
          <t xml:space="preserve">EAV</t>
        </is>
      </c>
      <c r="C2566" t="s">
        <v>10</v>
      </c>
      <c r="D2566" t="inlineStr">
        <is>
          <t xml:space="preserve">Office 05 - 2 WKS- N-1407</t>
        </is>
      </c>
      <c r="M2566" t="inlineStr">
        <is>
          <t xml:space="preserve">was RDC_NB_1F_EV-7631 - the historian carries the assembly, not the terminal; room kept from its 1 part row(s)</t>
        </is>
      </c>
    </row>
    <row r="2567" spans="1:13" hidden="1" outlineLevel="2" x14ac:dyDescent="0.3">
      <c r="A2567" t="inlineStr">
        <is>
          <t xml:space="preserve">RDC_NB_1F_EAV7646</t>
        </is>
      </c>
      <c r="B2567" t="inlineStr">
        <is>
          <t xml:space="preserve">EAV</t>
        </is>
      </c>
      <c r="C2567" t="s">
        <v>10</v>
      </c>
      <c r="D2567" t="inlineStr">
        <is>
          <t xml:space="preserve">Exp. Workstation N-1420</t>
        </is>
      </c>
      <c r="M2567" t="inlineStr">
        <is>
          <t xml:space="preserve">was RDC_NB_1F_EV-7646 - the historian carries the assembly, not the terminal; room kept from its 1 part row(s)</t>
        </is>
      </c>
    </row>
    <row r="2568" spans="1:13" hidden="1" outlineLevel="2" x14ac:dyDescent="0.3">
      <c r="A2568" t="inlineStr">
        <is>
          <t xml:space="preserve">RDC_NB_1F_EAV7661</t>
        </is>
      </c>
      <c r="B2568" t="inlineStr">
        <is>
          <t xml:space="preserve">EAV</t>
        </is>
      </c>
      <c r="C2568" t="s">
        <v>10</v>
      </c>
      <c r="D2568" t="inlineStr">
        <is>
          <t xml:space="preserve">Office 05 - 2 WKS- N-1401</t>
        </is>
      </c>
      <c r="M2568" t="inlineStr">
        <is>
          <t xml:space="preserve">was RDC_NB_1F_EV-7661 - the historian carries the assembly, not the terminal; room kept from its 1 part row(s)</t>
        </is>
      </c>
    </row>
    <row r="2569" spans="1:13" hidden="1" outlineLevel="2" x14ac:dyDescent="0.3">
      <c r="A2569" t="inlineStr">
        <is>
          <t xml:space="preserve">RDC_NB_1F_EAV7663</t>
        </is>
      </c>
      <c r="B2569" t="inlineStr">
        <is>
          <t xml:space="preserve">EAV</t>
        </is>
      </c>
      <c r="C2569" t="s">
        <v>8</v>
      </c>
      <c r="D2569" t="inlineStr">
        <is>
          <t xml:space="preserve">IDF N-1424</t>
        </is>
      </c>
      <c r="M2569" t="inlineStr">
        <is>
          <t xml:space="preserve">was RDC_NB_1F_EV-7663 - the historian carries the assembly, not the terminal; room kept from its 1 part row(s)</t>
        </is>
      </c>
    </row>
    <row r="2570" spans="1:13" hidden="1" outlineLevel="2" x14ac:dyDescent="0.3">
      <c r="A2570" t="inlineStr">
        <is>
          <t xml:space="preserve">RDC_NB_1F_EAV7711</t>
        </is>
      </c>
      <c r="B2570" t="inlineStr">
        <is>
          <t xml:space="preserve">EAV</t>
        </is>
      </c>
      <c r="C2570" t="s">
        <v>10</v>
      </c>
      <c r="D2570" t="inlineStr">
        <is>
          <t xml:space="preserve">Workstation N-1442</t>
        </is>
      </c>
      <c r="M2570" t="inlineStr">
        <is>
          <t xml:space="preserve">was RDC_NB_1F_EV-7711 - the historian carries the assembly, not the terminal; room kept from its 1 part row(s)</t>
        </is>
      </c>
    </row>
    <row r="2571" spans="1:13" hidden="1" outlineLevel="2" x14ac:dyDescent="0.3">
      <c r="A2571" t="inlineStr">
        <is>
          <t xml:space="preserve">RDC_NB_1F_EAV7712</t>
        </is>
      </c>
      <c r="B2571" t="inlineStr">
        <is>
          <t xml:space="preserve">EAV</t>
        </is>
      </c>
      <c r="C2571" t="s">
        <v>10</v>
      </c>
      <c r="D2571" t="inlineStr">
        <is>
          <t xml:space="preserve">Workstation N-1442</t>
        </is>
      </c>
      <c r="M2571" t="inlineStr">
        <is>
          <t xml:space="preserve">was RDC_NB_1F_EV-7712 - the historian carries the assembly, not the terminal; room kept from its 1 part row(s)</t>
        </is>
      </c>
    </row>
    <row r="2572" spans="1:13" hidden="1" outlineLevel="2" x14ac:dyDescent="0.3">
      <c r="A2572" t="inlineStr">
        <is>
          <t xml:space="preserve">RDC_NB_1F_EAV7861</t>
        </is>
      </c>
      <c r="B2572" t="inlineStr">
        <is>
          <t xml:space="preserve">EAV</t>
        </is>
      </c>
      <c r="C2572" t="s">
        <v>10</v>
      </c>
      <c r="D2572" t="inlineStr">
        <is>
          <t xml:space="preserve">Office 05 - 9 WKS N-1461</t>
        </is>
      </c>
      <c r="M2572" t="inlineStr">
        <is>
          <t xml:space="preserve">was RDC_NB_1F_EV-7861 - the historian carries the assembly, not the terminal; room kept from its 1 part row(s)</t>
        </is>
      </c>
    </row>
    <row r="2573" spans="1:13" hidden="1" outlineLevel="2" x14ac:dyDescent="0.3">
      <c r="A2573" t="inlineStr">
        <is>
          <t xml:space="preserve">RDC_NB_1F_EAV7916</t>
        </is>
      </c>
      <c r="B2573" t="inlineStr">
        <is>
          <t xml:space="preserve">EAV</t>
        </is>
      </c>
      <c r="C2573" t="s">
        <v>10</v>
      </c>
      <c r="D2573" t="inlineStr">
        <is>
          <t xml:space="preserve">Office 05 - 8 WKS N-1471</t>
        </is>
      </c>
      <c r="M2573" t="inlineStr">
        <is>
          <t xml:space="preserve">was RDC_NB_1F_EV-7916 - the historian carries the assembly, not the terminal; room kept from its 1 part row(s)</t>
        </is>
      </c>
    </row>
    <row r="2574" spans="1:13" hidden="1" outlineLevel="2" x14ac:dyDescent="0.3">
      <c r="A2574" t="inlineStr">
        <is>
          <t xml:space="preserve">RDC_NB_1F_CAV7520_CEV7521</t>
        </is>
      </c>
      <c r="B2574" t="inlineStr">
        <is>
          <t xml:space="preserve">CAV</t>
        </is>
      </c>
      <c r="C2574" t="s">
        <v>8</v>
      </c>
      <c r="D2574" t="inlineStr">
        <is>
          <t xml:space="preserve">Isotope N-1404B</t>
        </is>
      </c>
      <c r="M2574" t="inlineStr">
        <is>
          <t xml:space="preserve">was RDC_NB_1F_CEV-7521 - the historian carries the assembly, not the terminal; room kept from its 1 part row(s)</t>
        </is>
      </c>
    </row>
    <row r="2575" spans="1:4" hidden="1" outlineLevel="2" x14ac:dyDescent="0.3">
      <c r="A2575" t="s">
        <v>4815</v>
      </c>
      <c r="B2575" t="s">
        <v>3893</v>
      </c>
      <c r="C2575" t="s">
        <v>8</v>
      </c>
      <c r="D2575" t="s">
        <v>4814</v>
      </c>
    </row>
    <row r="2576" spans="1:13" hidden="1" outlineLevel="2" x14ac:dyDescent="0.3">
      <c r="A2576" t="inlineStr">
        <is>
          <t xml:space="preserve">RDC_NB_1F_CAV7590_CEV7591</t>
        </is>
      </c>
      <c r="B2576" t="inlineStr">
        <is>
          <t xml:space="preserve">CAV</t>
        </is>
      </c>
      <c r="C2576" t="s">
        <v>8</v>
      </c>
      <c r="D2576" t="inlineStr">
        <is>
          <t xml:space="preserve">HY Room N-1404J</t>
        </is>
      </c>
      <c r="M2576" t="inlineStr">
        <is>
          <t xml:space="preserve">was RDC_NB_1F_CEV-7591 - the historian carries the assembly, not the terminal; room kept from its 1 part row(s)</t>
        </is>
      </c>
    </row>
    <row r="2577" spans="1:4" hidden="1" outlineLevel="2" x14ac:dyDescent="0.3">
      <c r="A2577" t="s">
        <v>4819</v>
      </c>
      <c r="B2577" t="s">
        <v>3893</v>
      </c>
      <c r="C2577" t="s">
        <v>8</v>
      </c>
      <c r="D2577" t="s">
        <v>4820</v>
      </c>
    </row>
    <row r="2578" spans="1:13" hidden="1" outlineLevel="2" x14ac:dyDescent="0.3">
      <c r="A2578" t="inlineStr">
        <is>
          <t xml:space="preserve">RDC_NB_1F_CAV7610_CEV7611</t>
        </is>
      </c>
      <c r="B2578" t="inlineStr">
        <is>
          <t xml:space="preserve">CAV</t>
        </is>
      </c>
      <c r="C2578" t="s">
        <v>8</v>
      </c>
      <c r="D2578" t="inlineStr">
        <is>
          <t xml:space="preserve">TC1 N-1404L</t>
        </is>
      </c>
      <c r="M2578" t="inlineStr">
        <is>
          <t xml:space="preserve">was RDC_NB_1F_CEV-7611 - the historian carries the assembly, not the terminal; room kept from its 1 part row(s)</t>
        </is>
      </c>
    </row>
    <row r="2579" spans="1:13" hidden="1" outlineLevel="2" x14ac:dyDescent="0.3">
      <c r="A2579" t="inlineStr">
        <is>
          <t xml:space="preserve">RDC_NB_1F_CAV7760_CEV7761</t>
        </is>
      </c>
      <c r="B2579" t="inlineStr">
        <is>
          <t xml:space="preserve">CAV</t>
        </is>
      </c>
      <c r="C2579" t="s">
        <v>8</v>
      </c>
      <c r="D2579" t="inlineStr">
        <is>
          <t xml:space="preserve">A/L N-1450D</t>
        </is>
      </c>
      <c r="M2579" t="inlineStr">
        <is>
          <t xml:space="preserve">was RDC_NB_1F_CEV-7761 - the historian carries the assembly, not the terminal; room kept from its 1 part row(s)</t>
        </is>
      </c>
    </row>
    <row r="2580" spans="1:13" hidden="1" outlineLevel="2" x14ac:dyDescent="0.3">
      <c r="A2580" t="inlineStr">
        <is>
          <t xml:space="preserve">RDC_NB_1F_CAV7790_CEV7791</t>
        </is>
      </c>
      <c r="B2580" t="inlineStr">
        <is>
          <t xml:space="preserve">CAV</t>
        </is>
      </c>
      <c r="C2580" t="s">
        <v>8</v>
      </c>
      <c r="D2580" t="inlineStr">
        <is>
          <t xml:space="preserve">A/L N-1450G</t>
        </is>
      </c>
      <c r="M2580" t="inlineStr">
        <is>
          <t xml:space="preserve">was RDC_NB_1F_CEV-7791 - the historian carries the assembly, not the terminal; room kept from its 1 part row(s)</t>
        </is>
      </c>
    </row>
    <row r="2581" spans="1:4" hidden="1" outlineLevel="2" x14ac:dyDescent="0.3">
      <c r="A2581" t="s">
        <v>4829</v>
      </c>
      <c r="B2581" t="s">
        <v>3893</v>
      </c>
      <c r="C2581" t="s">
        <v>8</v>
      </c>
      <c r="D2581" t="s">
        <v>3553</v>
      </c>
    </row>
    <row r="2582" spans="1:13" hidden="1" outlineLevel="2" x14ac:dyDescent="0.3">
      <c r="A2582" t="inlineStr">
        <is>
          <t xml:space="preserve">RDC_NB_2F_EAV4920</t>
        </is>
      </c>
      <c r="B2582" t="inlineStr">
        <is>
          <t xml:space="preserve">EAV</t>
        </is>
      </c>
      <c r="C2582" t="s">
        <v>8</v>
      </c>
      <c r="D2582" t="inlineStr">
        <is>
          <t xml:space="preserve">IDF N-2104</t>
        </is>
      </c>
      <c r="M2582" t="inlineStr">
        <is>
          <t xml:space="preserve">was RDC_NB_2F_EV-4920 - the historian carries the assembly, not the terminal; room kept from its 1 part row(s)</t>
        </is>
      </c>
    </row>
    <row r="2583" spans="1:13" hidden="1" outlineLevel="2" x14ac:dyDescent="0.3">
      <c r="A2583" t="inlineStr">
        <is>
          <t xml:space="preserve">RDC_NB_2F_EAV6981</t>
        </is>
      </c>
      <c r="B2583" t="inlineStr">
        <is>
          <t xml:space="preserve">EAV</t>
        </is>
      </c>
      <c r="C2583" t="s">
        <v>8</v>
      </c>
      <c r="D2583" t="inlineStr">
        <is>
          <t xml:space="preserve">IDF N-2110</t>
        </is>
      </c>
      <c r="M2583" t="inlineStr">
        <is>
          <t xml:space="preserve">was RDC_NB_2F_EV-6981 - the historian carries the assembly, not the terminal; room kept from its 1 part row(s)</t>
        </is>
      </c>
    </row>
  </sheetData>
  <autoFilter ref="A2:C2583" xr:uid="{00000000-0009-0000-0000-000005000000}"/>
  <mergeCells count="3">
    <mergeCell ref="A1:D1"/>
    <mergeCell ref="A765:D765"/>
    <mergeCell ref="A3:D3"/>
  </mergeCells>
  <phoneticPr fontId="15" type="noConversion"/>
  <pageMargins left="0.75" right="0.75" top="1" bottom="1" header="0.511811023622047" footer="0.511811023622047"/>
  <pageSetup paperSize="9" orientation="portrait" horizontalDpi="300" verticalDpi="300"/>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N160"/>
  <sheetViews>
    <sheetView workbookViewId="0">
      <selection activeCell="D2" sqref="D2"/>
    </sheetView>
  </sheetViews>
  <sheetFormatPr defaultRowHeight="14.4" x14ac:dyDescent="0.3"/>
  <cols>
    <col min="1" max="1" width="30.88671875" customWidth="1"/>
    <col min="2" max="2" width="14.5546875" customWidth="1"/>
    <col min="3" max="3" width="49.5546875" bestFit="1" customWidth="1"/>
    <col min="4" max="4" width="22.77734375" customWidth="1"/>
    <col min="5" max="59" width="8.88671875" customWidth="1"/>
  </cols>
  <sheetData>
    <row r="1" spans="1:5" x14ac:dyDescent="0.3">
      <c r="A1" s="17" t="s">
        <v>5778</v>
      </c>
      <c r="B1" s="18" t="s">
        <v>5779</v>
      </c>
      <c r="C1" s="18" t="s">
        <v>5780</v>
      </c>
      <c r="D1" s="21" t="s">
        <v>5781</v>
      </c>
    </row>
    <row r="2" spans="1:5" x14ac:dyDescent="0.3">
      <c r="A2" s="19" t="s">
        <v>5782</v>
      </c>
      <c r="B2" s="20" t="s">
        <v>5783</v>
      </c>
      <c r="C2" s="20" t="s">
        <v>2005</v>
      </c>
      <c r="D2" t="str">
        <f t="array" ref="D2:E2">TRANSPOSE(_xlfn._xlws.FILTER('Controllable Asset Registry'!$A$1318:$A$1441,IFERROR('Controllable Asset Registry'!$E$1318:$E$1441=C2,FALSE),"No Equipment in entity"))</f>
        <v>AHUB_0002</v>
      </c>
      <c r="E2" t="str">
        <v>AHUB_0003</v>
      </c>
    </row>
    <row r="3" spans="1:5" x14ac:dyDescent="0.3">
      <c r="A3" s="19" t="s">
        <v>5784</v>
      </c>
      <c r="B3" s="20" t="s">
        <v>5785</v>
      </c>
      <c r="C3" s="20" t="s">
        <v>2003</v>
      </c>
      <c r="D3" t="str">
        <f t="array" ref="D3:E3">TRANSPOSE(_xlfn._xlws.FILTER('Controllable Asset Registry'!$A$1318:$A$1441,IFERROR('Controllable Asset Registry'!$E$1318:$E$1441=C3,FALSE),"No Equipment in entity"))</f>
        <v>AHUB_0001</v>
      </c>
      <c r="E3" t="str">
        <v>AHUB_0005</v>
      </c>
    </row>
    <row r="4" spans="1:5" x14ac:dyDescent="0.3">
      <c r="A4" s="19" t="s">
        <v>5786</v>
      </c>
      <c r="B4" s="20" t="s">
        <v>5787</v>
      </c>
      <c r="C4" s="20" t="s">
        <v>5788</v>
      </c>
      <c r="D4" t="str">
        <f t="array" ref="D4">TRANSPOSE(_xlfn._xlws.FILTER('Controllable Asset Registry'!$A$1318:$A$1441,IFERROR('Controllable Asset Registry'!$E$1318:$E$1441=C4,FALSE),"No Equipment in entity"))</f>
        <v>No Equipment in entity</v>
      </c>
    </row>
    <row r="5" spans="1:5" x14ac:dyDescent="0.3">
      <c r="A5" s="19" t="s">
        <v>5789</v>
      </c>
      <c r="B5" s="20" t="s">
        <v>5790</v>
      </c>
      <c r="C5" s="20" t="s">
        <v>5791</v>
      </c>
      <c r="D5" t="str">
        <f t="array" ref="D5">TRANSPOSE(_xlfn._xlws.FILTER('Controllable Asset Registry'!$A$1318:$A$1441,IFERROR('Controllable Asset Registry'!$E$1318:$E$1441=C5,FALSE),"No Equipment in entity"))</f>
        <v>No Equipment in entity</v>
      </c>
    </row>
    <row r="6" spans="1:5" x14ac:dyDescent="0.3">
      <c r="A6" s="19" t="s">
        <v>5792</v>
      </c>
      <c r="B6" s="20" t="s">
        <v>5793</v>
      </c>
      <c r="C6" s="20" t="s">
        <v>2027</v>
      </c>
      <c r="D6" t="str">
        <f t="array" ref="D6">TRANSPOSE(_xlfn._xlws.FILTER('Controllable Asset Registry'!$A$1318:$A$1441,IFERROR('Controllable Asset Registry'!$E$1318:$E$1441=C6,FALSE),"No Equipment in entity"))</f>
        <v>VAV0001</v>
      </c>
    </row>
    <row r="7" spans="1:5" x14ac:dyDescent="0.3">
      <c r="A7" s="19" t="s">
        <v>5794</v>
      </c>
      <c r="B7" s="20" t="s">
        <v>5795</v>
      </c>
      <c r="C7" s="20" t="s">
        <v>5796</v>
      </c>
      <c r="D7" t="str">
        <f t="array" ref="D7">TRANSPOSE(_xlfn._xlws.FILTER('Controllable Asset Registry'!$A$1318:$A$1441,IFERROR('Controllable Asset Registry'!$E$1318:$E$1441=C7,FALSE),"No Equipment in entity"))</f>
        <v>No Equipment in entity</v>
      </c>
    </row>
    <row r="8" spans="1:5" x14ac:dyDescent="0.3">
      <c r="A8" s="19" t="s">
        <v>5794</v>
      </c>
      <c r="B8" s="20" t="s">
        <v>5797</v>
      </c>
      <c r="C8" s="20" t="s">
        <v>5798</v>
      </c>
      <c r="D8" t="str">
        <f t="array" ref="D8">TRANSPOSE(_xlfn._xlws.FILTER('Controllable Asset Registry'!$A$1318:$A$1441,IFERROR('Controllable Asset Registry'!$E$1318:$E$1441=C8,FALSE),"No Equipment in entity"))</f>
        <v>No Equipment in entity</v>
      </c>
    </row>
    <row r="9" spans="1:5" x14ac:dyDescent="0.3">
      <c r="A9" s="19" t="s">
        <v>5799</v>
      </c>
      <c r="B9" s="20" t="s">
        <v>5800</v>
      </c>
      <c r="C9" s="20" t="s">
        <v>2009</v>
      </c>
      <c r="D9" t="str">
        <f t="array" ref="D9">TRANSPOSE(_xlfn._xlws.FILTER('Controllable Asset Registry'!$A$1318:$A$1441,IFERROR('Controllable Asset Registry'!$E$1318:$E$1441=C9,FALSE),"No Equipment in entity"))</f>
        <v>FCU0001</v>
      </c>
    </row>
    <row r="10" spans="1:5" x14ac:dyDescent="0.3">
      <c r="A10" s="19" t="s">
        <v>5801</v>
      </c>
      <c r="B10" s="20" t="s">
        <v>5802</v>
      </c>
      <c r="C10" s="20" t="s">
        <v>5803</v>
      </c>
      <c r="D10" t="str">
        <f t="array" ref="D10">TRANSPOSE(_xlfn._xlws.FILTER('Controllable Asset Registry'!$A$1318:$A$1441,IFERROR('Controllable Asset Registry'!$E$1318:$E$1441=C10,FALSE),"No Equipment in entity"))</f>
        <v>No Equipment in entity</v>
      </c>
    </row>
    <row r="11" spans="1:5" x14ac:dyDescent="0.3">
      <c r="A11" s="19" t="s">
        <v>5804</v>
      </c>
      <c r="B11" s="20" t="s">
        <v>5805</v>
      </c>
      <c r="C11" s="20" t="s">
        <v>5806</v>
      </c>
      <c r="D11" t="str">
        <f t="array" ref="D11">TRANSPOSE(_xlfn._xlws.FILTER('Controllable Asset Registry'!$A$1318:$A$1441,IFERROR('Controllable Asset Registry'!$E$1318:$E$1441=C11,FALSE),"No Equipment in entity"))</f>
        <v>No Equipment in entity</v>
      </c>
    </row>
    <row r="12" spans="1:5" x14ac:dyDescent="0.3">
      <c r="A12" s="19" t="s">
        <v>5807</v>
      </c>
      <c r="B12" s="20" t="s">
        <v>5808</v>
      </c>
      <c r="C12" s="20" t="s">
        <v>5809</v>
      </c>
      <c r="D12" t="str">
        <f t="array" ref="D12">TRANSPOSE(_xlfn._xlws.FILTER('Controllable Asset Registry'!$A$1318:$A$1441,IFERROR('Controllable Asset Registry'!$E$1318:$E$1441=C12,FALSE),"No Equipment in entity"))</f>
        <v>No Equipment in entity</v>
      </c>
    </row>
    <row r="13" spans="1:5" x14ac:dyDescent="0.3">
      <c r="A13" s="19" t="s">
        <v>5810</v>
      </c>
      <c r="B13" s="20" t="s">
        <v>5811</v>
      </c>
      <c r="C13" s="20" t="s">
        <v>5812</v>
      </c>
      <c r="D13" t="str">
        <f t="array" ref="D13">TRANSPOSE(_xlfn._xlws.FILTER('Controllable Asset Registry'!$A$1318:$A$1441,IFERROR('Controllable Asset Registry'!$E$1318:$E$1441=C13,FALSE),"No Equipment in entity"))</f>
        <v>No Equipment in entity</v>
      </c>
    </row>
    <row r="14" spans="1:5" x14ac:dyDescent="0.3">
      <c r="A14" s="19" t="s">
        <v>5813</v>
      </c>
      <c r="B14" s="20" t="s">
        <v>5814</v>
      </c>
      <c r="C14" s="20" t="s">
        <v>5815</v>
      </c>
      <c r="D14" t="str">
        <f t="array" ref="D14">TRANSPOSE(_xlfn._xlws.FILTER('Controllable Asset Registry'!$A$1318:$A$1441,IFERROR('Controllable Asset Registry'!$E$1318:$E$1441=C14,FALSE),"No Equipment in entity"))</f>
        <v>No Equipment in entity</v>
      </c>
    </row>
    <row r="15" spans="1:5" x14ac:dyDescent="0.3">
      <c r="A15" s="19" t="s">
        <v>5816</v>
      </c>
      <c r="B15" s="20" t="s">
        <v>5817</v>
      </c>
      <c r="C15" s="20" t="s">
        <v>5818</v>
      </c>
      <c r="D15" t="str">
        <f t="array" ref="D15">TRANSPOSE(_xlfn._xlws.FILTER('Controllable Asset Registry'!$A$1318:$A$1441,IFERROR('Controllable Asset Registry'!$E$1318:$E$1441=C15,FALSE),"No Equipment in entity"))</f>
        <v>No Equipment in entity</v>
      </c>
    </row>
    <row r="16" spans="1:5" x14ac:dyDescent="0.3">
      <c r="A16" s="19" t="s">
        <v>5816</v>
      </c>
      <c r="B16" s="20" t="s">
        <v>5819</v>
      </c>
      <c r="C16" s="20" t="s">
        <v>5820</v>
      </c>
      <c r="D16" t="str">
        <f t="array" ref="D16">TRANSPOSE(_xlfn._xlws.FILTER('Controllable Asset Registry'!$A$1318:$A$1441,IFERROR('Controllable Asset Registry'!$E$1318:$E$1441=C16,FALSE),"No Equipment in entity"))</f>
        <v>No Equipment in entity</v>
      </c>
    </row>
    <row r="17" spans="1:4" x14ac:dyDescent="0.3">
      <c r="A17" s="19" t="s">
        <v>5816</v>
      </c>
      <c r="B17" s="20" t="s">
        <v>5821</v>
      </c>
      <c r="C17" s="20" t="s">
        <v>5822</v>
      </c>
      <c r="D17" t="str">
        <f t="array" ref="D17">TRANSPOSE(_xlfn._xlws.FILTER('Controllable Asset Registry'!$A$1318:$A$1441,IFERROR('Controllable Asset Registry'!$E$1318:$E$1441=C17,FALSE),"No Equipment in entity"))</f>
        <v>No Equipment in entity</v>
      </c>
    </row>
    <row r="18" spans="1:4" x14ac:dyDescent="0.3">
      <c r="A18" s="19" t="s">
        <v>5816</v>
      </c>
      <c r="B18" s="20" t="s">
        <v>5823</v>
      </c>
      <c r="C18" s="20" t="s">
        <v>5824</v>
      </c>
      <c r="D18" t="str">
        <f t="array" ref="D18">TRANSPOSE(_xlfn._xlws.FILTER('Controllable Asset Registry'!$A$1318:$A$1441,IFERROR('Controllable Asset Registry'!$E$1318:$E$1441=C18,FALSE),"No Equipment in entity"))</f>
        <v>No Equipment in entity</v>
      </c>
    </row>
    <row r="19" spans="1:4" x14ac:dyDescent="0.3">
      <c r="A19" s="19" t="s">
        <v>5816</v>
      </c>
      <c r="B19" s="20" t="s">
        <v>5825</v>
      </c>
      <c r="C19" s="20" t="s">
        <v>5826</v>
      </c>
      <c r="D19" t="str">
        <f t="array" ref="D19">TRANSPOSE(_xlfn._xlws.FILTER('Controllable Asset Registry'!$A$1318:$A$1441,IFERROR('Controllable Asset Registry'!$E$1318:$E$1441=C19,FALSE),"No Equipment in entity"))</f>
        <v>No Equipment in entity</v>
      </c>
    </row>
    <row r="20" spans="1:4" x14ac:dyDescent="0.3">
      <c r="A20" s="19" t="s">
        <v>5816</v>
      </c>
      <c r="B20" s="20" t="s">
        <v>5827</v>
      </c>
      <c r="C20" s="20" t="s">
        <v>5828</v>
      </c>
      <c r="D20" t="str">
        <f t="array" ref="D20">TRANSPOSE(_xlfn._xlws.FILTER('Controllable Asset Registry'!$A$1318:$A$1441,IFERROR('Controllable Asset Registry'!$E$1318:$E$1441=C20,FALSE),"No Equipment in entity"))</f>
        <v>No Equipment in entity</v>
      </c>
    </row>
    <row r="21" spans="1:4" x14ac:dyDescent="0.3">
      <c r="A21" s="19" t="s">
        <v>5782</v>
      </c>
      <c r="B21" s="20" t="s">
        <v>5829</v>
      </c>
      <c r="C21" s="20" t="s">
        <v>2007</v>
      </c>
      <c r="D21" t="str">
        <f t="array" ref="D21">TRANSPOSE(_xlfn._xlws.FILTER('Controllable Asset Registry'!$A$1318:$A$1441,IFERROR('Controllable Asset Registry'!$E$1318:$E$1441=C21,FALSE),"No Equipment in entity"))</f>
        <v>AHUB_0004</v>
      </c>
    </row>
    <row r="22" spans="1:4" x14ac:dyDescent="0.3">
      <c r="A22" s="19" t="s">
        <v>5830</v>
      </c>
      <c r="B22" s="20" t="s">
        <v>5831</v>
      </c>
      <c r="C22" s="20" t="s">
        <v>5832</v>
      </c>
      <c r="D22" t="str">
        <f t="array" ref="D22">TRANSPOSE(_xlfn._xlws.FILTER('Controllable Asset Registry'!$A$1318:$A$1441,IFERROR('Controllable Asset Registry'!$E$1318:$E$1441=C22,FALSE),"No Equipment in entity"))</f>
        <v>No Equipment in entity</v>
      </c>
    </row>
    <row r="23" spans="1:4" x14ac:dyDescent="0.3">
      <c r="A23" s="19" t="s">
        <v>5833</v>
      </c>
      <c r="B23" s="20" t="s">
        <v>5834</v>
      </c>
      <c r="C23" s="20" t="s">
        <v>5835</v>
      </c>
      <c r="D23" t="str">
        <f t="array" ref="D23">TRANSPOSE(_xlfn._xlws.FILTER('Controllable Asset Registry'!$A$1318:$A$1441,IFERROR('Controllable Asset Registry'!$E$1318:$E$1441=C23,FALSE),"No Equipment in entity"))</f>
        <v>No Equipment in entity</v>
      </c>
    </row>
    <row r="24" spans="1:4" x14ac:dyDescent="0.3">
      <c r="A24" s="19" t="s">
        <v>5836</v>
      </c>
      <c r="B24" s="20" t="s">
        <v>5837</v>
      </c>
      <c r="C24" s="20" t="s">
        <v>5838</v>
      </c>
      <c r="D24" t="str">
        <f t="array" ref="D24">TRANSPOSE(_xlfn._xlws.FILTER('Controllable Asset Registry'!$A$1318:$A$1441,IFERROR('Controllable Asset Registry'!$E$1318:$E$1441=C24,FALSE),"No Equipment in entity"))</f>
        <v>No Equipment in entity</v>
      </c>
    </row>
    <row r="25" spans="1:4" x14ac:dyDescent="0.3">
      <c r="A25" s="19" t="s">
        <v>5839</v>
      </c>
      <c r="B25" s="20" t="s">
        <v>5840</v>
      </c>
      <c r="C25" s="20" t="s">
        <v>5841</v>
      </c>
      <c r="D25" t="str">
        <f t="array" ref="D25">TRANSPOSE(_xlfn._xlws.FILTER('Controllable Asset Registry'!$A$1318:$A$1441,IFERROR('Controllable Asset Registry'!$E$1318:$E$1441=C25,FALSE),"No Equipment in entity"))</f>
        <v>No Equipment in entity</v>
      </c>
    </row>
    <row r="26" spans="1:4" x14ac:dyDescent="0.3">
      <c r="A26" s="19" t="s">
        <v>5842</v>
      </c>
      <c r="B26" s="20" t="s">
        <v>5843</v>
      </c>
      <c r="C26" s="20" t="s">
        <v>5844</v>
      </c>
      <c r="D26" t="str">
        <f t="array" ref="D26">TRANSPOSE(_xlfn._xlws.FILTER('Controllable Asset Registry'!$A$1318:$A$1441,IFERROR('Controllable Asset Registry'!$E$1318:$E$1441=C26,FALSE),"No Equipment in entity"))</f>
        <v>No Equipment in entity</v>
      </c>
    </row>
    <row r="27" spans="1:4" x14ac:dyDescent="0.3">
      <c r="A27" s="19" t="s">
        <v>5845</v>
      </c>
      <c r="B27" s="20" t="s">
        <v>5846</v>
      </c>
      <c r="C27" s="20" t="s">
        <v>5847</v>
      </c>
      <c r="D27" t="str">
        <f t="array" ref="D27">TRANSPOSE(_xlfn._xlws.FILTER('Controllable Asset Registry'!$A$1318:$A$1441,IFERROR('Controllable Asset Registry'!$E$1318:$E$1441=C27,FALSE),"No Equipment in entity"))</f>
        <v>No Equipment in entity</v>
      </c>
    </row>
    <row r="28" spans="1:4" x14ac:dyDescent="0.3">
      <c r="A28" s="19" t="s">
        <v>5848</v>
      </c>
      <c r="B28" s="20" t="s">
        <v>5849</v>
      </c>
      <c r="C28" s="20" t="s">
        <v>5850</v>
      </c>
      <c r="D28" t="str">
        <f t="array" ref="D28">TRANSPOSE(_xlfn._xlws.FILTER('Controllable Asset Registry'!$A$1318:$A$1441,IFERROR('Controllable Asset Registry'!$E$1318:$E$1441=C28,FALSE),"No Equipment in entity"))</f>
        <v>No Equipment in entity</v>
      </c>
    </row>
    <row r="29" spans="1:4" x14ac:dyDescent="0.3">
      <c r="A29" s="19" t="s">
        <v>5851</v>
      </c>
      <c r="B29" s="20" t="s">
        <v>5852</v>
      </c>
      <c r="C29" s="20" t="s">
        <v>5853</v>
      </c>
      <c r="D29" t="str">
        <f t="array" ref="D29">TRANSPOSE(_xlfn._xlws.FILTER('Controllable Asset Registry'!$A$1318:$A$1441,IFERROR('Controllable Asset Registry'!$E$1318:$E$1441=C29,FALSE),"No Equipment in entity"))</f>
        <v>No Equipment in entity</v>
      </c>
    </row>
    <row r="30" spans="1:4" x14ac:dyDescent="0.3">
      <c r="A30" s="19" t="s">
        <v>5854</v>
      </c>
      <c r="B30" s="20" t="s">
        <v>5855</v>
      </c>
      <c r="C30" s="20" t="s">
        <v>5856</v>
      </c>
      <c r="D30" t="str">
        <f t="array" ref="D30">TRANSPOSE(_xlfn._xlws.FILTER('Controllable Asset Registry'!$A$1318:$A$1441,IFERROR('Controllable Asset Registry'!$E$1318:$E$1441=C30,FALSE),"No Equipment in entity"))</f>
        <v>No Equipment in entity</v>
      </c>
    </row>
    <row r="31" spans="1:4" x14ac:dyDescent="0.3">
      <c r="A31" s="19" t="s">
        <v>5857</v>
      </c>
      <c r="B31" s="20" t="s">
        <v>5858</v>
      </c>
      <c r="C31" s="20" t="s">
        <v>5859</v>
      </c>
      <c r="D31" t="str">
        <f t="array" ref="D31">TRANSPOSE(_xlfn._xlws.FILTER('Controllable Asset Registry'!$A$1318:$A$1441,IFERROR('Controllable Asset Registry'!$E$1318:$E$1441=C31,FALSE),"No Equipment in entity"))</f>
        <v>No Equipment in entity</v>
      </c>
    </row>
    <row r="32" spans="1:4" x14ac:dyDescent="0.3">
      <c r="A32" s="19" t="s">
        <v>5860</v>
      </c>
      <c r="B32" s="20" t="s">
        <v>5861</v>
      </c>
      <c r="C32" s="20" t="s">
        <v>5862</v>
      </c>
      <c r="D32" t="str">
        <f t="array" ref="D32">TRANSPOSE(_xlfn._xlws.FILTER('Controllable Asset Registry'!$A$1318:$A$1441,IFERROR('Controllable Asset Registry'!$E$1318:$E$1441=C32,FALSE),"No Equipment in entity"))</f>
        <v>No Equipment in entity</v>
      </c>
    </row>
    <row r="33" spans="1:6" x14ac:dyDescent="0.3">
      <c r="A33" s="19" t="s">
        <v>5863</v>
      </c>
      <c r="B33" s="20" t="s">
        <v>5864</v>
      </c>
      <c r="C33" s="20" t="s">
        <v>5865</v>
      </c>
      <c r="D33" t="str">
        <f t="array" ref="D33">TRANSPOSE(_xlfn._xlws.FILTER('Controllable Asset Registry'!$A$1318:$A$1441,IFERROR('Controllable Asset Registry'!$E$1318:$E$1441=C33,FALSE),"No Equipment in entity"))</f>
        <v>No Equipment in entity</v>
      </c>
    </row>
    <row r="34" spans="1:6" x14ac:dyDescent="0.3">
      <c r="A34" s="19" t="s">
        <v>5866</v>
      </c>
      <c r="B34" s="20" t="s">
        <v>5867</v>
      </c>
      <c r="C34" s="20" t="s">
        <v>5868</v>
      </c>
      <c r="D34" t="str">
        <f t="array" ref="D34">TRANSPOSE(_xlfn._xlws.FILTER('Controllable Asset Registry'!$A$1318:$A$1441,IFERROR('Controllable Asset Registry'!$E$1318:$E$1441=C34,FALSE),"No Equipment in entity"))</f>
        <v>No Equipment in entity</v>
      </c>
    </row>
    <row r="35" spans="1:6" x14ac:dyDescent="0.3">
      <c r="A35" s="19" t="s">
        <v>5869</v>
      </c>
      <c r="B35" s="20" t="s">
        <v>5870</v>
      </c>
      <c r="C35" s="20" t="s">
        <v>2013</v>
      </c>
      <c r="D35" t="str">
        <f t="array" ref="D35">TRANSPOSE(_xlfn._xlws.FILTER('Controllable Asset Registry'!$A$1318:$A$1441,IFERROR('Controllable Asset Registry'!$E$1318:$E$1441=C35,FALSE),"No Equipment in entity"))</f>
        <v>FCU0003</v>
      </c>
    </row>
    <row r="36" spans="1:6" x14ac:dyDescent="0.3">
      <c r="A36" s="19" t="s">
        <v>5807</v>
      </c>
      <c r="B36" s="20" t="s">
        <v>5871</v>
      </c>
      <c r="C36" s="20" t="s">
        <v>5872</v>
      </c>
      <c r="D36" t="str">
        <f t="array" ref="D36">TRANSPOSE(_xlfn._xlws.FILTER('Controllable Asset Registry'!$A$1318:$A$1441,IFERROR('Controllable Asset Registry'!$E$1318:$E$1441=C36,FALSE),"No Equipment in entity"))</f>
        <v>No Equipment in entity</v>
      </c>
    </row>
    <row r="37" spans="1:6" x14ac:dyDescent="0.3">
      <c r="A37" s="19" t="s">
        <v>5816</v>
      </c>
      <c r="B37" s="20" t="s">
        <v>5873</v>
      </c>
      <c r="C37" s="20" t="s">
        <v>5874</v>
      </c>
      <c r="D37" t="str">
        <f t="array" ref="D37">TRANSPOSE(_xlfn._xlws.FILTER('Controllable Asset Registry'!$A$1318:$A$1441,IFERROR('Controllable Asset Registry'!$E$1318:$E$1441=C37,FALSE),"No Equipment in entity"))</f>
        <v>No Equipment in entity</v>
      </c>
    </row>
    <row r="38" spans="1:6" x14ac:dyDescent="0.3">
      <c r="A38" s="19" t="s">
        <v>5807</v>
      </c>
      <c r="B38" s="20" t="s">
        <v>5875</v>
      </c>
      <c r="C38" s="20" t="s">
        <v>5876</v>
      </c>
      <c r="D38" t="str">
        <f t="array" ref="D38">TRANSPOSE(_xlfn._xlws.FILTER('Controllable Asset Registry'!$A$1318:$A$1441,IFERROR('Controllable Asset Registry'!$E$1318:$E$1441=C38,FALSE),"No Equipment in entity"))</f>
        <v>No Equipment in entity</v>
      </c>
    </row>
    <row r="39" spans="1:6" x14ac:dyDescent="0.3">
      <c r="A39" s="19" t="s">
        <v>5807</v>
      </c>
      <c r="B39" s="20" t="s">
        <v>5877</v>
      </c>
      <c r="C39" s="20" t="s">
        <v>5878</v>
      </c>
      <c r="D39" t="str">
        <f t="array" ref="D39">TRANSPOSE(_xlfn._xlws.FILTER('Controllable Asset Registry'!$A$1318:$A$1441,IFERROR('Controllable Asset Registry'!$E$1318:$E$1441=C39,FALSE),"No Equipment in entity"))</f>
        <v>No Equipment in entity</v>
      </c>
    </row>
    <row r="40" spans="1:6" x14ac:dyDescent="0.3">
      <c r="A40" s="19" t="s">
        <v>5879</v>
      </c>
      <c r="B40" s="20" t="s">
        <v>5880</v>
      </c>
      <c r="C40" s="20" t="s">
        <v>5881</v>
      </c>
      <c r="D40" t="str">
        <f t="array" ref="D40">TRANSPOSE(_xlfn._xlws.FILTER('Controllable Asset Registry'!$A$1318:$A$1441,IFERROR('Controllable Asset Registry'!$E$1318:$E$1441=C40,FALSE),"No Equipment in entity"))</f>
        <v>No Equipment in entity</v>
      </c>
    </row>
    <row r="41" spans="1:6" x14ac:dyDescent="0.3">
      <c r="A41" s="19" t="s">
        <v>5882</v>
      </c>
      <c r="B41" s="20" t="s">
        <v>5883</v>
      </c>
      <c r="C41" s="20" t="s">
        <v>5884</v>
      </c>
      <c r="D41" t="str">
        <f t="array" ref="D41">TRANSPOSE(_xlfn._xlws.FILTER('Controllable Asset Registry'!$A$1318:$A$1441,IFERROR('Controllable Asset Registry'!$E$1318:$E$1441=C41,FALSE),"No Equipment in entity"))</f>
        <v>No Equipment in entity</v>
      </c>
    </row>
    <row r="42" spans="1:6" x14ac:dyDescent="0.3">
      <c r="A42" s="19" t="s">
        <v>5885</v>
      </c>
      <c r="B42" s="20" t="s">
        <v>5886</v>
      </c>
      <c r="C42" s="20" t="s">
        <v>5887</v>
      </c>
      <c r="D42" t="str">
        <f t="array" ref="D42">TRANSPOSE(_xlfn._xlws.FILTER('Controllable Asset Registry'!$A$1318:$A$1441,IFERROR('Controllable Asset Registry'!$E$1318:$E$1441=C42,FALSE),"No Equipment in entity"))</f>
        <v>No Equipment in entity</v>
      </c>
    </row>
    <row r="43" spans="1:6" x14ac:dyDescent="0.3">
      <c r="A43" s="19" t="s">
        <v>5888</v>
      </c>
      <c r="B43" s="20" t="s">
        <v>5889</v>
      </c>
      <c r="C43" s="20" t="s">
        <v>5890</v>
      </c>
      <c r="D43" t="str">
        <f t="array" ref="D43">TRANSPOSE(_xlfn._xlws.FILTER('Controllable Asset Registry'!$A$1318:$A$1441,IFERROR('Controllable Asset Registry'!$E$1318:$E$1441=C43,FALSE),"No Equipment in entity"))</f>
        <v>No Equipment in entity</v>
      </c>
    </row>
    <row r="44" spans="1:6" x14ac:dyDescent="0.3">
      <c r="A44" s="19" t="s">
        <v>5891</v>
      </c>
      <c r="B44" s="20">
        <v>1.0369999999999999</v>
      </c>
      <c r="C44" s="20" t="s">
        <v>5892</v>
      </c>
      <c r="D44" t="str">
        <f t="array" ref="D44">TRANSPOSE(_xlfn._xlws.FILTER('Controllable Asset Registry'!$A$1318:$A$1441,IFERROR('Controllable Asset Registry'!$E$1318:$E$1441=C44,FALSE),"No Equipment in entity"))</f>
        <v>No Equipment in entity</v>
      </c>
    </row>
    <row r="45" spans="1:6" x14ac:dyDescent="0.3">
      <c r="A45" s="19" t="s">
        <v>5893</v>
      </c>
      <c r="B45" s="20">
        <v>1.014</v>
      </c>
      <c r="C45" s="20" t="s">
        <v>2029</v>
      </c>
      <c r="D45" t="str">
        <f t="array" ref="D45:F45">TRANSPOSE(_xlfn._xlws.FILTER('Controllable Asset Registry'!$A$1318:$A$1441,IFERROR('Controllable Asset Registry'!$E$1318:$E$1441=C45,FALSE),"No Equipment in entity"))</f>
        <v>VAV0002</v>
      </c>
      <c r="E45" t="str">
        <v>VAV0003</v>
      </c>
      <c r="F45" t="str">
        <v>VAV0004</v>
      </c>
    </row>
    <row r="46" spans="1:6" x14ac:dyDescent="0.3">
      <c r="A46" s="19" t="s">
        <v>5894</v>
      </c>
      <c r="B46" s="20" t="s">
        <v>5895</v>
      </c>
      <c r="C46" s="20" t="s">
        <v>5896</v>
      </c>
      <c r="D46" t="str">
        <f t="array" ref="D46">TRANSPOSE(_xlfn._xlws.FILTER('Controllable Asset Registry'!$A$1318:$A$1441,IFERROR('Controllable Asset Registry'!$E$1318:$E$1441=C46,FALSE),"No Equipment in entity"))</f>
        <v>No Equipment in entity</v>
      </c>
    </row>
    <row r="47" spans="1:6" x14ac:dyDescent="0.3">
      <c r="A47" s="19" t="s">
        <v>5893</v>
      </c>
      <c r="B47" s="20">
        <v>1.0149999999999999</v>
      </c>
      <c r="C47" s="20" t="s">
        <v>2031</v>
      </c>
      <c r="D47" t="str">
        <f t="array" ref="D47:F47">TRANSPOSE(_xlfn._xlws.FILTER('Controllable Asset Registry'!$A$1318:$A$1441,IFERROR('Controllable Asset Registry'!$E$1318:$E$1441=C47,FALSE),"No Equipment in entity"))</f>
        <v>VAV0005</v>
      </c>
      <c r="E47" t="str">
        <v>VAV0006</v>
      </c>
      <c r="F47" t="str">
        <v>VAV0007</v>
      </c>
    </row>
    <row r="48" spans="1:6" x14ac:dyDescent="0.3">
      <c r="A48" s="19" t="s">
        <v>5897</v>
      </c>
      <c r="B48" s="20" t="s">
        <v>5898</v>
      </c>
      <c r="C48" s="20" t="s">
        <v>5899</v>
      </c>
      <c r="D48" t="str">
        <f t="array" ref="D48">TRANSPOSE(_xlfn._xlws.FILTER('Controllable Asset Registry'!$A$1318:$A$1441,IFERROR('Controllable Asset Registry'!$E$1318:$E$1441=C48,FALSE),"No Equipment in entity"))</f>
        <v>No Equipment in entity</v>
      </c>
    </row>
    <row r="49" spans="1:9" x14ac:dyDescent="0.3">
      <c r="A49" s="19" t="s">
        <v>5893</v>
      </c>
      <c r="B49" s="20">
        <v>1.016</v>
      </c>
      <c r="C49" s="20" t="s">
        <v>2052</v>
      </c>
      <c r="D49" t="str">
        <f t="array" ref="D49">TRANSPOSE(_xlfn._xlws.FILTER('Controllable Asset Registry'!$A$1318:$A$1441,IFERROR('Controllable Asset Registry'!$E$1318:$E$1441=C49,FALSE),"No Equipment in entity"))</f>
        <v>VAV0030</v>
      </c>
    </row>
    <row r="50" spans="1:9" x14ac:dyDescent="0.3">
      <c r="A50" s="19" t="s">
        <v>5833</v>
      </c>
      <c r="B50" s="20">
        <v>1.0409999999999999</v>
      </c>
      <c r="C50" s="20" t="s">
        <v>5900</v>
      </c>
      <c r="D50" t="str">
        <f t="array" ref="D50">TRANSPOSE(_xlfn._xlws.FILTER('Controllable Asset Registry'!$A$1318:$A$1441,IFERROR('Controllable Asset Registry'!$E$1318:$E$1441=C50,FALSE),"No Equipment in entity"))</f>
        <v>No Equipment in entity</v>
      </c>
    </row>
    <row r="51" spans="1:9" x14ac:dyDescent="0.3">
      <c r="A51" s="19" t="s">
        <v>5901</v>
      </c>
      <c r="B51" s="20">
        <v>1.0169999999999999</v>
      </c>
      <c r="C51" s="20" t="s">
        <v>5902</v>
      </c>
      <c r="D51" t="str">
        <f t="array" ref="D51">TRANSPOSE(_xlfn._xlws.FILTER('Controllable Asset Registry'!$A$1318:$A$1441,IFERROR('Controllable Asset Registry'!$E$1318:$E$1441=C51,FALSE),"No Equipment in entity"))</f>
        <v>No Equipment in entity</v>
      </c>
    </row>
    <row r="52" spans="1:9" x14ac:dyDescent="0.3">
      <c r="A52" s="19" t="s">
        <v>5816</v>
      </c>
      <c r="B52" s="20">
        <v>1.018</v>
      </c>
      <c r="C52" s="20" t="s">
        <v>2054</v>
      </c>
      <c r="D52" t="str">
        <f t="array" ref="D52">TRANSPOSE(_xlfn._xlws.FILTER('Controllable Asset Registry'!$A$1318:$A$1441,IFERROR('Controllable Asset Registry'!$E$1318:$E$1441=C52,FALSE),"No Equipment in entity"))</f>
        <v>VAV0032</v>
      </c>
    </row>
    <row r="53" spans="1:9" x14ac:dyDescent="0.3">
      <c r="A53" s="19" t="s">
        <v>5893</v>
      </c>
      <c r="B53" s="20">
        <v>1.002</v>
      </c>
      <c r="C53" s="20" t="s">
        <v>2050</v>
      </c>
      <c r="D53" t="str">
        <f t="array" ref="D53:G53">TRANSPOSE(_xlfn._xlws.FILTER('Controllable Asset Registry'!$A$1318:$A$1441,IFERROR('Controllable Asset Registry'!$E$1318:$E$1441=C53,FALSE),"No Equipment in entity"))</f>
        <v>VAV0025</v>
      </c>
      <c r="E53" t="str">
        <v>VAV0026</v>
      </c>
      <c r="F53" t="str">
        <v>VAV0027</v>
      </c>
      <c r="G53" t="str">
        <v>VAV0028</v>
      </c>
    </row>
    <row r="54" spans="1:9" x14ac:dyDescent="0.3">
      <c r="A54" s="19" t="s">
        <v>5903</v>
      </c>
      <c r="B54" s="20">
        <v>1.022</v>
      </c>
      <c r="C54" s="20" t="s">
        <v>2058</v>
      </c>
      <c r="D54" t="str">
        <f t="array" ref="D54">TRANSPOSE(_xlfn._xlws.FILTER('Controllable Asset Registry'!$A$1318:$A$1441,IFERROR('Controllable Asset Registry'!$E$1318:$E$1441=C54,FALSE),"No Equipment in entity"))</f>
        <v>VAV0036</v>
      </c>
    </row>
    <row r="55" spans="1:9" x14ac:dyDescent="0.3">
      <c r="A55" s="19" t="s">
        <v>5903</v>
      </c>
      <c r="B55" s="20">
        <v>1.0209999999999999</v>
      </c>
      <c r="C55" s="20" t="s">
        <v>5904</v>
      </c>
      <c r="D55" t="str">
        <f t="array" ref="D55">TRANSPOSE(_xlfn._xlws.FILTER('Controllable Asset Registry'!$A$1318:$A$1441,IFERROR('Controllable Asset Registry'!$E$1318:$E$1441=C55,FALSE),"No Equipment in entity"))</f>
        <v>No Equipment in entity</v>
      </c>
    </row>
    <row r="56" spans="1:9" x14ac:dyDescent="0.3">
      <c r="A56" s="19" t="s">
        <v>5816</v>
      </c>
      <c r="B56" s="20">
        <v>1.0229999999999999</v>
      </c>
      <c r="C56" s="20" t="s">
        <v>5905</v>
      </c>
      <c r="D56" t="str">
        <f t="array" ref="D56">TRANSPOSE(_xlfn._xlws.FILTER('Controllable Asset Registry'!$A$1318:$A$1441,IFERROR('Controllable Asset Registry'!$E$1318:$E$1441=C56,FALSE),"No Equipment in entity"))</f>
        <v>No Equipment in entity</v>
      </c>
    </row>
    <row r="57" spans="1:9" x14ac:dyDescent="0.3">
      <c r="A57" s="19" t="s">
        <v>5816</v>
      </c>
      <c r="B57" s="20">
        <v>1.02</v>
      </c>
      <c r="C57" s="20" t="s">
        <v>5906</v>
      </c>
      <c r="D57" t="str">
        <f t="array" ref="D57">TRANSPOSE(_xlfn._xlws.FILTER('Controllable Asset Registry'!$A$1318:$A$1441,IFERROR('Controllable Asset Registry'!$E$1318:$E$1441=C57,FALSE),"No Equipment in entity"))</f>
        <v>No Equipment in entity</v>
      </c>
    </row>
    <row r="58" spans="1:9" x14ac:dyDescent="0.3">
      <c r="A58" s="19" t="s">
        <v>5816</v>
      </c>
      <c r="B58" s="20">
        <v>1.024</v>
      </c>
      <c r="C58" s="20" t="s">
        <v>2033</v>
      </c>
      <c r="D58" t="str">
        <f t="array" ref="D58">TRANSPOSE(_xlfn._xlws.FILTER('Controllable Asset Registry'!$A$1318:$A$1441,IFERROR('Controllable Asset Registry'!$E$1318:$E$1441=C58,FALSE),"No Equipment in entity"))</f>
        <v>VAV0008</v>
      </c>
    </row>
    <row r="59" spans="1:9" x14ac:dyDescent="0.3">
      <c r="A59" s="19" t="s">
        <v>5907</v>
      </c>
      <c r="B59" s="20">
        <v>1.0389999999999999</v>
      </c>
      <c r="C59" s="20" t="s">
        <v>2019</v>
      </c>
      <c r="D59" t="str">
        <f t="array" ref="D59:E59">TRANSPOSE(_xlfn._xlws.FILTER('Controllable Asset Registry'!$A$1318:$A$1441,IFERROR('Controllable Asset Registry'!$E$1318:$E$1441=C59,FALSE),"No Equipment in entity"))</f>
        <v>FCU0007</v>
      </c>
      <c r="E59" t="str">
        <v>FCU0008</v>
      </c>
    </row>
    <row r="60" spans="1:9" x14ac:dyDescent="0.3">
      <c r="A60" s="19" t="s">
        <v>5908</v>
      </c>
      <c r="B60" s="20">
        <v>1.0269999999999999</v>
      </c>
      <c r="C60" s="20" t="s">
        <v>2017</v>
      </c>
      <c r="D60" t="str">
        <f t="array" ref="D60:E60">TRANSPOSE(_xlfn._xlws.FILTER('Controllable Asset Registry'!$A$1318:$A$1441,IFERROR('Controllable Asset Registry'!$E$1318:$E$1441=C60,FALSE),"No Equipment in entity"))</f>
        <v>FCU0005</v>
      </c>
      <c r="E60" t="str">
        <v>FCU0006</v>
      </c>
    </row>
    <row r="61" spans="1:9" x14ac:dyDescent="0.3">
      <c r="A61" s="19" t="s">
        <v>5909</v>
      </c>
      <c r="B61" s="20">
        <v>1.026</v>
      </c>
      <c r="C61" s="20" t="s">
        <v>5910</v>
      </c>
      <c r="D61" t="str">
        <f t="array" ref="D61">TRANSPOSE(_xlfn._xlws.FILTER('Controllable Asset Registry'!$A$1318:$A$1441,IFERROR('Controllable Asset Registry'!$E$1318:$E$1441=C61,FALSE),"No Equipment in entity"))</f>
        <v>No Equipment in entity</v>
      </c>
    </row>
    <row r="62" spans="1:9" x14ac:dyDescent="0.3">
      <c r="A62" s="19" t="s">
        <v>5911</v>
      </c>
      <c r="B62" s="20">
        <v>1.0249999999999999</v>
      </c>
      <c r="C62" s="20" t="s">
        <v>5912</v>
      </c>
      <c r="D62" t="str">
        <f t="array" ref="D62">TRANSPOSE(_xlfn._xlws.FILTER('Controllable Asset Registry'!$A$1318:$A$1441,IFERROR('Controllable Asset Registry'!$E$1318:$E$1441=C62,FALSE),"No Equipment in entity"))</f>
        <v>No Equipment in entity</v>
      </c>
    </row>
    <row r="63" spans="1:9" x14ac:dyDescent="0.3">
      <c r="A63" s="19" t="s">
        <v>5913</v>
      </c>
      <c r="B63" s="20">
        <v>1.0189999999999999</v>
      </c>
      <c r="C63" s="20" t="s">
        <v>2035</v>
      </c>
      <c r="D63" t="str">
        <f t="array" ref="D63:I63">TRANSPOSE(_xlfn._xlws.FILTER('Controllable Asset Registry'!$A$1318:$A$1441,IFERROR('Controllable Asset Registry'!$E$1318:$E$1441=C63,FALSE),"No Equipment in entity"))</f>
        <v>VAV0009</v>
      </c>
      <c r="E63" t="str">
        <v>VAV0010</v>
      </c>
      <c r="F63" t="str">
        <v>VAV0011</v>
      </c>
      <c r="G63" t="str">
        <v>VAV0012</v>
      </c>
      <c r="H63" t="str">
        <v>VAV0013</v>
      </c>
      <c r="I63" t="str">
        <v>VAV0014</v>
      </c>
    </row>
    <row r="64" spans="1:9" x14ac:dyDescent="0.3">
      <c r="A64" s="19" t="s">
        <v>5816</v>
      </c>
      <c r="B64" s="20">
        <v>1.0009999999999999</v>
      </c>
      <c r="C64" s="20" t="s">
        <v>2048</v>
      </c>
      <c r="D64" t="str">
        <f t="array" ref="D64:F64">TRANSPOSE(_xlfn._xlws.FILTER('Controllable Asset Registry'!$A$1318:$A$1441,IFERROR('Controllable Asset Registry'!$E$1318:$E$1441=C64,FALSE),"No Equipment in entity"))</f>
        <v>VAV0024</v>
      </c>
      <c r="E64" t="str">
        <v>VAV0029</v>
      </c>
      <c r="F64" t="str">
        <v>VAV0031</v>
      </c>
    </row>
    <row r="65" spans="1:7" x14ac:dyDescent="0.3">
      <c r="A65" s="19" t="s">
        <v>5914</v>
      </c>
      <c r="B65" s="20">
        <v>1.0029999999999999</v>
      </c>
      <c r="C65" s="20" t="s">
        <v>2046</v>
      </c>
      <c r="D65" t="str">
        <f t="array" ref="D65:G65">TRANSPOSE(_xlfn._xlws.FILTER('Controllable Asset Registry'!$A$1318:$A$1441,IFERROR('Controllable Asset Registry'!$E$1318:$E$1441=C65,FALSE),"No Equipment in entity"))</f>
        <v>VAV0022</v>
      </c>
      <c r="E65" t="str">
        <v>VAV0023</v>
      </c>
      <c r="F65" t="str">
        <v>VAV0034</v>
      </c>
      <c r="G65" t="str">
        <v>VAV0039</v>
      </c>
    </row>
    <row r="66" spans="1:7" x14ac:dyDescent="0.3">
      <c r="A66" s="19" t="s">
        <v>5893</v>
      </c>
      <c r="B66" s="20">
        <v>1.0289999999999999</v>
      </c>
      <c r="C66" s="20" t="s">
        <v>2038</v>
      </c>
      <c r="D66" t="str">
        <f t="array" ref="D66:F66">TRANSPOSE(_xlfn._xlws.FILTER('Controllable Asset Registry'!$A$1318:$A$1441,IFERROR('Controllable Asset Registry'!$E$1318:$E$1441=C66,FALSE),"No Equipment in entity"))</f>
        <v>VAV0015</v>
      </c>
      <c r="E66" t="str">
        <v>VAV0015</v>
      </c>
      <c r="F66" t="str">
        <v>VAV0015</v>
      </c>
    </row>
    <row r="67" spans="1:7" x14ac:dyDescent="0.3">
      <c r="A67" s="19" t="s">
        <v>5833</v>
      </c>
      <c r="B67" s="20">
        <v>1.012</v>
      </c>
      <c r="C67" s="20" t="s">
        <v>5915</v>
      </c>
      <c r="D67" t="str">
        <f t="array" ref="D67">TRANSPOSE(_xlfn._xlws.FILTER('Controllable Asset Registry'!$A$1318:$A$1441,IFERROR('Controllable Asset Registry'!$E$1318:$E$1441=C67,FALSE),"No Equipment in entity"))</f>
        <v>No Equipment in entity</v>
      </c>
    </row>
    <row r="68" spans="1:7" x14ac:dyDescent="0.3">
      <c r="A68" s="19" t="s">
        <v>5794</v>
      </c>
      <c r="B68" s="20" t="s">
        <v>5916</v>
      </c>
      <c r="C68" s="20" t="s">
        <v>5917</v>
      </c>
      <c r="D68" t="str">
        <f t="array" ref="D68">TRANSPOSE(_xlfn._xlws.FILTER('Controllable Asset Registry'!$A$1318:$A$1441,IFERROR('Controllable Asset Registry'!$E$1318:$E$1441=C68,FALSE),"No Equipment in entity"))</f>
        <v>No Equipment in entity</v>
      </c>
    </row>
    <row r="69" spans="1:7" x14ac:dyDescent="0.3">
      <c r="A69" s="19" t="s">
        <v>5794</v>
      </c>
      <c r="B69" s="20" t="s">
        <v>5918</v>
      </c>
      <c r="C69" s="20" t="s">
        <v>5919</v>
      </c>
      <c r="D69" t="str">
        <f t="array" ref="D69">TRANSPOSE(_xlfn._xlws.FILTER('Controllable Asset Registry'!$A$1318:$A$1441,IFERROR('Controllable Asset Registry'!$E$1318:$E$1441=C69,FALSE),"No Equipment in entity"))</f>
        <v>No Equipment in entity</v>
      </c>
    </row>
    <row r="70" spans="1:7" x14ac:dyDescent="0.3">
      <c r="A70" s="19" t="s">
        <v>5816</v>
      </c>
      <c r="B70" s="20">
        <v>1.0129999999999999</v>
      </c>
      <c r="C70" s="20" t="s">
        <v>2044</v>
      </c>
      <c r="D70" t="str">
        <f t="array" ref="D70">TRANSPOSE(_xlfn._xlws.FILTER('Controllable Asset Registry'!$A$1318:$A$1441,IFERROR('Controllable Asset Registry'!$E$1318:$E$1441=C70,FALSE),"No Equipment in entity"))</f>
        <v>VAV0021</v>
      </c>
    </row>
    <row r="71" spans="1:7" x14ac:dyDescent="0.3">
      <c r="A71" s="19" t="s">
        <v>5789</v>
      </c>
      <c r="B71" s="20" t="s">
        <v>5920</v>
      </c>
      <c r="C71" s="20" t="s">
        <v>5921</v>
      </c>
      <c r="D71" t="str">
        <f t="array" ref="D71">TRANSPOSE(_xlfn._xlws.FILTER('Controllable Asset Registry'!$A$1318:$A$1441,IFERROR('Controllable Asset Registry'!$E$1318:$E$1441=C71,FALSE),"No Equipment in entity"))</f>
        <v>No Equipment in entity</v>
      </c>
    </row>
    <row r="72" spans="1:7" x14ac:dyDescent="0.3">
      <c r="A72" s="19" t="s">
        <v>5922</v>
      </c>
      <c r="B72" s="20">
        <v>1.0089999999999999</v>
      </c>
      <c r="C72" s="20" t="s">
        <v>5923</v>
      </c>
      <c r="D72" t="str">
        <f t="array" ref="D72">TRANSPOSE(_xlfn._xlws.FILTER('Controllable Asset Registry'!$A$1318:$A$1441,IFERROR('Controllable Asset Registry'!$E$1318:$E$1441=C72,FALSE),"No Equipment in entity"))</f>
        <v>No Equipment in entity</v>
      </c>
    </row>
    <row r="73" spans="1:7" x14ac:dyDescent="0.3">
      <c r="A73" s="19" t="s">
        <v>5924</v>
      </c>
      <c r="B73" s="20">
        <v>1.038</v>
      </c>
      <c r="C73" s="20" t="s">
        <v>5925</v>
      </c>
      <c r="D73" t="str">
        <f t="array" ref="D73">TRANSPOSE(_xlfn._xlws.FILTER('Controllable Asset Registry'!$A$1318:$A$1441,IFERROR('Controllable Asset Registry'!$E$1318:$E$1441=C73,FALSE),"No Equipment in entity"))</f>
        <v>No Equipment in entity</v>
      </c>
    </row>
    <row r="74" spans="1:7" x14ac:dyDescent="0.3">
      <c r="A74" s="19" t="s">
        <v>5926</v>
      </c>
      <c r="B74" s="20">
        <v>1.008</v>
      </c>
      <c r="C74" s="20" t="s">
        <v>2015</v>
      </c>
      <c r="D74" t="str">
        <f t="array" ref="D74:E74">TRANSPOSE(_xlfn._xlws.FILTER('Controllable Asset Registry'!$A$1318:$A$1441,IFERROR('Controllable Asset Registry'!$E$1318:$E$1441=C74,FALSE),"No Equipment in entity"))</f>
        <v>FCU0004</v>
      </c>
      <c r="E74" t="str">
        <v>VAV0037</v>
      </c>
    </row>
    <row r="75" spans="1:7" x14ac:dyDescent="0.3">
      <c r="A75" s="19" t="s">
        <v>5901</v>
      </c>
      <c r="B75" s="20">
        <v>1.0069999999999999</v>
      </c>
      <c r="C75" s="20" t="s">
        <v>5927</v>
      </c>
      <c r="D75" t="str">
        <f t="array" ref="D75">TRANSPOSE(_xlfn._xlws.FILTER('Controllable Asset Registry'!$A$1318:$A$1441,IFERROR('Controllable Asset Registry'!$E$1318:$E$1441=C75,FALSE),"No Equipment in entity"))</f>
        <v>No Equipment in entity</v>
      </c>
    </row>
    <row r="76" spans="1:7" x14ac:dyDescent="0.3">
      <c r="A76" s="19" t="s">
        <v>5911</v>
      </c>
      <c r="B76" s="20">
        <v>1.006</v>
      </c>
      <c r="C76" s="20" t="s">
        <v>5928</v>
      </c>
      <c r="D76" t="str">
        <f t="array" ref="D76">TRANSPOSE(_xlfn._xlws.FILTER('Controllable Asset Registry'!$A$1318:$A$1441,IFERROR('Controllable Asset Registry'!$E$1318:$E$1441=C76,FALSE),"No Equipment in entity"))</f>
        <v>No Equipment in entity</v>
      </c>
    </row>
    <row r="77" spans="1:7" x14ac:dyDescent="0.3">
      <c r="A77" s="19" t="s">
        <v>5929</v>
      </c>
      <c r="B77" s="20">
        <v>1.0049999999999999</v>
      </c>
      <c r="C77" s="20" t="s">
        <v>5930</v>
      </c>
      <c r="D77" t="str">
        <f t="array" ref="D77">TRANSPOSE(_xlfn._xlws.FILTER('Controllable Asset Registry'!$A$1318:$A$1441,IFERROR('Controllable Asset Registry'!$E$1318:$E$1441=C77,FALSE),"No Equipment in entity"))</f>
        <v>No Equipment in entity</v>
      </c>
    </row>
    <row r="78" spans="1:7" x14ac:dyDescent="0.3">
      <c r="A78" s="19" t="s">
        <v>5816</v>
      </c>
      <c r="B78" s="20">
        <v>1.004</v>
      </c>
      <c r="C78" s="20" t="s">
        <v>5931</v>
      </c>
      <c r="D78" t="str">
        <f t="array" ref="D78">TRANSPOSE(_xlfn._xlws.FILTER('Controllable Asset Registry'!$A$1318:$A$1441,IFERROR('Controllable Asset Registry'!$E$1318:$E$1441=C78,FALSE),"No Equipment in entity"))</f>
        <v>No Equipment in entity</v>
      </c>
    </row>
    <row r="79" spans="1:7" x14ac:dyDescent="0.3">
      <c r="A79" s="19" t="s">
        <v>5932</v>
      </c>
      <c r="B79" s="20" t="s">
        <v>5933</v>
      </c>
      <c r="C79" s="20" t="s">
        <v>2060</v>
      </c>
      <c r="D79" t="str">
        <f t="array" ref="D79">TRANSPOSE(_xlfn._xlws.FILTER('Controllable Asset Registry'!$A$1318:$A$1441,IFERROR('Controllable Asset Registry'!$E$1318:$E$1441=C79,FALSE),"No Equipment in entity"))</f>
        <v>VAV0038</v>
      </c>
    </row>
    <row r="80" spans="1:7" x14ac:dyDescent="0.3">
      <c r="A80" s="19" t="s">
        <v>5934</v>
      </c>
      <c r="B80" s="20">
        <v>1.0109999999999999</v>
      </c>
      <c r="C80" s="20" t="s">
        <v>5935</v>
      </c>
      <c r="D80" t="str">
        <f t="array" ref="D80">TRANSPOSE(_xlfn._xlws.FILTER('Controllable Asset Registry'!$A$1318:$A$1441,IFERROR('Controllable Asset Registry'!$E$1318:$E$1441=C80,FALSE),"No Equipment in entity"))</f>
        <v>No Equipment in entity</v>
      </c>
    </row>
    <row r="81" spans="1:5" x14ac:dyDescent="0.3">
      <c r="A81" s="19" t="s">
        <v>5816</v>
      </c>
      <c r="B81" s="20">
        <v>1.01</v>
      </c>
      <c r="C81" s="20" t="s">
        <v>2023</v>
      </c>
      <c r="D81" t="str">
        <f t="array" ref="D81:E81">TRANSPOSE(_xlfn._xlws.FILTER('Controllable Asset Registry'!$A$1318:$A$1441,IFERROR('Controllable Asset Registry'!$E$1318:$E$1441=C81,FALSE),"No Equipment in entity"))</f>
        <v>FCU0010</v>
      </c>
      <c r="E81" t="str">
        <v>VAV0035</v>
      </c>
    </row>
    <row r="82" spans="1:5" x14ac:dyDescent="0.3">
      <c r="A82" s="19" t="s">
        <v>5936</v>
      </c>
      <c r="B82" s="20" t="s">
        <v>5937</v>
      </c>
      <c r="C82" s="20" t="s">
        <v>5938</v>
      </c>
      <c r="D82" t="str">
        <f t="array" ref="D82">TRANSPOSE(_xlfn._xlws.FILTER('Controllable Asset Registry'!$A$1318:$A$1441,IFERROR('Controllable Asset Registry'!$E$1318:$E$1441=C82,FALSE),"No Equipment in entity"))</f>
        <v>No Equipment in entity</v>
      </c>
    </row>
    <row r="83" spans="1:5" x14ac:dyDescent="0.3">
      <c r="A83" s="19" t="s">
        <v>5833</v>
      </c>
      <c r="B83" s="20">
        <v>1.03</v>
      </c>
      <c r="C83" s="20" t="s">
        <v>5939</v>
      </c>
      <c r="D83" t="str">
        <f t="array" ref="D83">TRANSPOSE(_xlfn._xlws.FILTER('Controllable Asset Registry'!$A$1318:$A$1441,IFERROR('Controllable Asset Registry'!$E$1318:$E$1441=C83,FALSE),"No Equipment in entity"))</f>
        <v>No Equipment in entity</v>
      </c>
    </row>
    <row r="84" spans="1:5" x14ac:dyDescent="0.3">
      <c r="A84" s="19" t="s">
        <v>5842</v>
      </c>
      <c r="B84" s="20">
        <v>1.0309999999999999</v>
      </c>
      <c r="C84" s="20" t="s">
        <v>5940</v>
      </c>
      <c r="D84" t="str">
        <f t="array" ref="D84">TRANSPOSE(_xlfn._xlws.FILTER('Controllable Asset Registry'!$A$1318:$A$1441,IFERROR('Controllable Asset Registry'!$E$1318:$E$1441=C84,FALSE),"No Equipment in entity"))</f>
        <v>No Equipment in entity</v>
      </c>
    </row>
    <row r="85" spans="1:5" x14ac:dyDescent="0.3">
      <c r="A85" s="19" t="s">
        <v>5839</v>
      </c>
      <c r="B85" s="20">
        <v>1.032</v>
      </c>
      <c r="C85" s="20" t="s">
        <v>5941</v>
      </c>
      <c r="D85" t="str">
        <f t="array" ref="D85">TRANSPOSE(_xlfn._xlws.FILTER('Controllable Asset Registry'!$A$1318:$A$1441,IFERROR('Controllable Asset Registry'!$E$1318:$E$1441=C85,FALSE),"No Equipment in entity"))</f>
        <v>No Equipment in entity</v>
      </c>
    </row>
    <row r="86" spans="1:5" x14ac:dyDescent="0.3">
      <c r="A86" s="19" t="s">
        <v>5836</v>
      </c>
      <c r="B86" s="20">
        <v>1.0329999999999999</v>
      </c>
      <c r="C86" s="20" t="s">
        <v>5942</v>
      </c>
      <c r="D86" t="str">
        <f t="array" ref="D86">TRANSPOSE(_xlfn._xlws.FILTER('Controllable Asset Registry'!$A$1318:$A$1441,IFERROR('Controllable Asset Registry'!$E$1318:$E$1441=C86,FALSE),"No Equipment in entity"))</f>
        <v>No Equipment in entity</v>
      </c>
    </row>
    <row r="87" spans="1:5" x14ac:dyDescent="0.3">
      <c r="A87" s="19" t="s">
        <v>5816</v>
      </c>
      <c r="B87" s="20">
        <v>1.0349999999999999</v>
      </c>
      <c r="C87" s="20" t="s">
        <v>5943</v>
      </c>
      <c r="D87" t="str">
        <f t="array" ref="D87">TRANSPOSE(_xlfn._xlws.FILTER('Controllable Asset Registry'!$A$1318:$A$1441,IFERROR('Controllable Asset Registry'!$E$1318:$E$1441=C87,FALSE),"No Equipment in entity"))</f>
        <v>No Equipment in entity</v>
      </c>
    </row>
    <row r="88" spans="1:5" x14ac:dyDescent="0.3">
      <c r="A88" s="19" t="s">
        <v>5934</v>
      </c>
      <c r="B88" s="20">
        <v>1.034</v>
      </c>
      <c r="C88" s="20" t="s">
        <v>5944</v>
      </c>
      <c r="D88" t="str">
        <f t="array" ref="D88">TRANSPOSE(_xlfn._xlws.FILTER('Controllable Asset Registry'!$A$1318:$A$1441,IFERROR('Controllable Asset Registry'!$E$1318:$E$1441=C88,FALSE),"No Equipment in entity"))</f>
        <v>No Equipment in entity</v>
      </c>
    </row>
    <row r="89" spans="1:5" x14ac:dyDescent="0.3">
      <c r="A89" s="19" t="s">
        <v>5945</v>
      </c>
      <c r="B89" s="20" t="s">
        <v>5946</v>
      </c>
      <c r="C89" s="20" t="s">
        <v>5947</v>
      </c>
      <c r="D89" t="str">
        <f t="array" ref="D89">TRANSPOSE(_xlfn._xlws.FILTER('Controllable Asset Registry'!$A$1318:$A$1441,IFERROR('Controllable Asset Registry'!$E$1318:$E$1441=C89,FALSE),"No Equipment in entity"))</f>
        <v>No Equipment in entity</v>
      </c>
    </row>
    <row r="90" spans="1:5" x14ac:dyDescent="0.3">
      <c r="A90" s="19" t="s">
        <v>5891</v>
      </c>
      <c r="B90" s="20">
        <v>1.036</v>
      </c>
      <c r="C90" s="20" t="s">
        <v>5948</v>
      </c>
      <c r="D90" t="str">
        <f t="array" ref="D90">TRANSPOSE(_xlfn._xlws.FILTER('Controllable Asset Registry'!$A$1318:$A$1441,IFERROR('Controllable Asset Registry'!$E$1318:$E$1441=C90,FALSE),"No Equipment in entity"))</f>
        <v>No Equipment in entity</v>
      </c>
    </row>
    <row r="91" spans="1:5" x14ac:dyDescent="0.3">
      <c r="A91" s="19" t="s">
        <v>5830</v>
      </c>
      <c r="B91" s="20" t="s">
        <v>5949</v>
      </c>
      <c r="C91" s="20" t="s">
        <v>5950</v>
      </c>
      <c r="D91" t="str">
        <f t="array" ref="D91">TRANSPOSE(_xlfn._xlws.FILTER('Controllable Asset Registry'!$A$1318:$A$1441,IFERROR('Controllable Asset Registry'!$E$1318:$E$1441=C91,FALSE),"No Equipment in entity"))</f>
        <v>No Equipment in entity</v>
      </c>
    </row>
    <row r="92" spans="1:5" x14ac:dyDescent="0.3">
      <c r="A92" s="19" t="s">
        <v>5816</v>
      </c>
      <c r="B92" s="20">
        <v>1.028</v>
      </c>
      <c r="C92" s="20" t="s">
        <v>2021</v>
      </c>
      <c r="D92" t="str">
        <f t="array" ref="D92:E92">TRANSPOSE(_xlfn._xlws.FILTER('Controllable Asset Registry'!$A$1318:$A$1441,IFERROR('Controllable Asset Registry'!$E$1318:$E$1441=C92,FALSE),"No Equipment in entity"))</f>
        <v>FCU0009</v>
      </c>
      <c r="E92" t="str">
        <v>VAV0033</v>
      </c>
    </row>
    <row r="93" spans="1:5" x14ac:dyDescent="0.3">
      <c r="A93" s="19" t="s">
        <v>5951</v>
      </c>
      <c r="B93" s="20">
        <v>3.0150000000000001</v>
      </c>
      <c r="C93" s="20" t="s">
        <v>2074</v>
      </c>
      <c r="D93" t="str">
        <f t="array" ref="D93">TRANSPOSE(_xlfn._xlws.FILTER('Controllable Asset Registry'!$A$1318:$A$1441,IFERROR('Controllable Asset Registry'!$E$1318:$E$1441=C93,FALSE),"No Equipment in entity"))</f>
        <v>VAV0053</v>
      </c>
    </row>
    <row r="94" spans="1:5" x14ac:dyDescent="0.3">
      <c r="A94" s="19" t="s">
        <v>5952</v>
      </c>
      <c r="B94" s="20">
        <v>3.0139999999999998</v>
      </c>
      <c r="C94" s="20" t="s">
        <v>2077</v>
      </c>
      <c r="D94" t="str">
        <f t="array" ref="D94">TRANSPOSE(_xlfn._xlws.FILTER('Controllable Asset Registry'!$A$1318:$A$1441,IFERROR('Controllable Asset Registry'!$E$1318:$E$1441=C94,FALSE),"No Equipment in entity"))</f>
        <v>VAV0054</v>
      </c>
    </row>
    <row r="95" spans="1:5" x14ac:dyDescent="0.3">
      <c r="A95" s="19" t="s">
        <v>5951</v>
      </c>
      <c r="B95" s="20">
        <v>3.0129999999999999</v>
      </c>
      <c r="C95" s="20" t="s">
        <v>2079</v>
      </c>
      <c r="D95" t="str">
        <f t="array" ref="D95">TRANSPOSE(_xlfn._xlws.FILTER('Controllable Asset Registry'!$A$1318:$A$1441,IFERROR('Controllable Asset Registry'!$E$1318:$E$1441=C95,FALSE),"No Equipment in entity"))</f>
        <v>VAV0055</v>
      </c>
    </row>
    <row r="96" spans="1:5" x14ac:dyDescent="0.3">
      <c r="A96" s="19" t="s">
        <v>5951</v>
      </c>
      <c r="B96" s="20">
        <v>3.012</v>
      </c>
      <c r="C96" s="20" t="s">
        <v>2081</v>
      </c>
      <c r="D96" t="str">
        <f t="array" ref="D96">TRANSPOSE(_xlfn._xlws.FILTER('Controllable Asset Registry'!$A$1318:$A$1441,IFERROR('Controllable Asset Registry'!$E$1318:$E$1441=C96,FALSE),"No Equipment in entity"))</f>
        <v>VAV0056</v>
      </c>
    </row>
    <row r="97" spans="1:14" x14ac:dyDescent="0.3">
      <c r="A97" s="19" t="s">
        <v>5952</v>
      </c>
      <c r="B97" s="20">
        <v>3.0110000000000001</v>
      </c>
      <c r="C97" s="20" t="s">
        <v>2083</v>
      </c>
      <c r="D97" t="str">
        <f t="array" ref="D97">TRANSPOSE(_xlfn._xlws.FILTER('Controllable Asset Registry'!$A$1318:$A$1441,IFERROR('Controllable Asset Registry'!$E$1318:$E$1441=C97,FALSE),"No Equipment in entity"))</f>
        <v>VAV0057</v>
      </c>
    </row>
    <row r="98" spans="1:14" x14ac:dyDescent="0.3">
      <c r="A98" s="19" t="s">
        <v>5951</v>
      </c>
      <c r="B98" s="20">
        <v>3.01</v>
      </c>
      <c r="C98" s="20" t="s">
        <v>2085</v>
      </c>
      <c r="D98" t="str">
        <f t="array" ref="D98">TRANSPOSE(_xlfn._xlws.FILTER('Controllable Asset Registry'!$A$1318:$A$1441,IFERROR('Controllable Asset Registry'!$E$1318:$E$1441=C98,FALSE),"No Equipment in entity"))</f>
        <v>VAV0058</v>
      </c>
    </row>
    <row r="99" spans="1:14" x14ac:dyDescent="0.3">
      <c r="A99" s="19" t="s">
        <v>5951</v>
      </c>
      <c r="B99" s="20">
        <v>3.0089999999999999</v>
      </c>
      <c r="C99" s="20" t="s">
        <v>2087</v>
      </c>
      <c r="D99" t="str">
        <f t="array" ref="D99">TRANSPOSE(_xlfn._xlws.FILTER('Controllable Asset Registry'!$A$1318:$A$1441,IFERROR('Controllable Asset Registry'!$E$1318:$E$1441=C99,FALSE),"No Equipment in entity"))</f>
        <v>VAV0059</v>
      </c>
    </row>
    <row r="100" spans="1:14" x14ac:dyDescent="0.3">
      <c r="A100" s="19" t="s">
        <v>5952</v>
      </c>
      <c r="B100" s="20">
        <v>3.008</v>
      </c>
      <c r="C100" s="20" t="s">
        <v>2089</v>
      </c>
      <c r="D100" t="str">
        <f t="array" ref="D100">TRANSPOSE(_xlfn._xlws.FILTER('Controllable Asset Registry'!$A$1318:$A$1441,IFERROR('Controllable Asset Registry'!$E$1318:$E$1441=C100,FALSE),"No Equipment in entity"))</f>
        <v>VAV0060</v>
      </c>
    </row>
    <row r="101" spans="1:14" x14ac:dyDescent="0.3">
      <c r="A101" s="19" t="s">
        <v>5953</v>
      </c>
      <c r="B101" s="20">
        <v>3.0070000000000001</v>
      </c>
      <c r="C101" s="20" t="s">
        <v>2091</v>
      </c>
      <c r="D101" t="str">
        <f t="array" ref="D101">TRANSPOSE(_xlfn._xlws.FILTER('Controllable Asset Registry'!$A$1318:$A$1441,IFERROR('Controllable Asset Registry'!$E$1318:$E$1441=C101,FALSE),"No Equipment in entity"))</f>
        <v>VAV0061</v>
      </c>
    </row>
    <row r="102" spans="1:14" x14ac:dyDescent="0.3">
      <c r="A102" s="19" t="s">
        <v>5954</v>
      </c>
      <c r="B102" s="20">
        <v>3.0059999999999998</v>
      </c>
      <c r="C102" s="20" t="s">
        <v>2093</v>
      </c>
      <c r="D102" t="str">
        <f t="array" ref="D102:E102">TRANSPOSE(_xlfn._xlws.FILTER('Controllable Asset Registry'!$A$1318:$A$1441,IFERROR('Controllable Asset Registry'!$E$1318:$E$1441=C102,FALSE),"No Equipment in entity"))</f>
        <v>VAV0062</v>
      </c>
      <c r="E102" t="str">
        <v>VAV0064</v>
      </c>
    </row>
    <row r="103" spans="1:14" x14ac:dyDescent="0.3">
      <c r="A103" s="19" t="s">
        <v>5951</v>
      </c>
      <c r="B103" s="20">
        <v>3.0049999999999999</v>
      </c>
      <c r="C103" s="20" t="s">
        <v>2097</v>
      </c>
      <c r="D103" t="str">
        <f t="array" ref="D103">TRANSPOSE(_xlfn._xlws.FILTER('Controllable Asset Registry'!$A$1318:$A$1441,IFERROR('Controllable Asset Registry'!$E$1318:$E$1441=C103,FALSE),"No Equipment in entity"))</f>
        <v>VAV0065</v>
      </c>
    </row>
    <row r="104" spans="1:14" x14ac:dyDescent="0.3">
      <c r="A104" s="19" t="s">
        <v>5952</v>
      </c>
      <c r="B104" s="20">
        <v>3.004</v>
      </c>
      <c r="C104" s="20" t="s">
        <v>2099</v>
      </c>
      <c r="D104" t="str">
        <f t="array" ref="D104">TRANSPOSE(_xlfn._xlws.FILTER('Controllable Asset Registry'!$A$1318:$A$1441,IFERROR('Controllable Asset Registry'!$E$1318:$E$1441=C104,FALSE),"No Equipment in entity"))</f>
        <v>VAV0066</v>
      </c>
    </row>
    <row r="105" spans="1:14" x14ac:dyDescent="0.3">
      <c r="A105" s="19" t="s">
        <v>5951</v>
      </c>
      <c r="B105" s="20">
        <v>3.0030000000000001</v>
      </c>
      <c r="C105" s="20" t="s">
        <v>2101</v>
      </c>
      <c r="D105" t="str">
        <f t="array" ref="D105">TRANSPOSE(_xlfn._xlws.FILTER('Controllable Asset Registry'!$A$1318:$A$1441,IFERROR('Controllable Asset Registry'!$E$1318:$E$1441=C105,FALSE),"No Equipment in entity"))</f>
        <v>VAV0067</v>
      </c>
    </row>
    <row r="106" spans="1:14" x14ac:dyDescent="0.3">
      <c r="A106" s="19" t="s">
        <v>5955</v>
      </c>
      <c r="B106" s="20">
        <v>3.0019999999999998</v>
      </c>
      <c r="C106" s="20" t="s">
        <v>2103</v>
      </c>
      <c r="D106" t="str">
        <f t="array" ref="D106:N106">TRANSPOSE(_xlfn._xlws.FILTER('Controllable Asset Registry'!$A$1318:$A$1441,IFERROR('Controllable Asset Registry'!$E$1318:$E$1441=C106,FALSE),"No Equipment in entity"))</f>
        <v>VAV0068</v>
      </c>
      <c r="E106" t="str">
        <v>VAV0069</v>
      </c>
      <c r="F106" t="str">
        <v>VAV0071</v>
      </c>
      <c r="G106" t="str">
        <v>VAV0072</v>
      </c>
      <c r="H106" t="str">
        <v>VAV0073</v>
      </c>
      <c r="I106" t="str">
        <v>VAV0074</v>
      </c>
      <c r="J106" t="str">
        <v>VAV0075</v>
      </c>
      <c r="K106" t="str">
        <v>VAV0076</v>
      </c>
      <c r="L106" t="str">
        <v>VAV0077</v>
      </c>
      <c r="M106" t="str">
        <v>VAV0107</v>
      </c>
      <c r="N106" t="str">
        <v>VAV0108</v>
      </c>
    </row>
    <row r="107" spans="1:14" x14ac:dyDescent="0.3">
      <c r="A107" s="19" t="s">
        <v>5956</v>
      </c>
      <c r="B107" s="20">
        <v>3.0009999999999999</v>
      </c>
      <c r="C107" s="20" t="s">
        <v>2105</v>
      </c>
      <c r="D107" t="str">
        <f t="array" ref="D107">TRANSPOSE(_xlfn._xlws.FILTER('Controllable Asset Registry'!$A$1318:$A$1441,IFERROR('Controllable Asset Registry'!$E$1318:$E$1441=C107,FALSE),"No Equipment in entity"))</f>
        <v>VAV0070</v>
      </c>
    </row>
    <row r="108" spans="1:14" x14ac:dyDescent="0.3">
      <c r="A108" s="19" t="s">
        <v>5951</v>
      </c>
      <c r="B108" s="20">
        <v>3.0169999999999999</v>
      </c>
      <c r="C108" s="20" t="s">
        <v>2136</v>
      </c>
      <c r="D108" t="str">
        <f t="array" ref="D108">TRANSPOSE(_xlfn._xlws.FILTER('Controllable Asset Registry'!$A$1318:$A$1441,IFERROR('Controllable Asset Registry'!$E$1318:$E$1441=C108,FALSE),"No Equipment in entity"))</f>
        <v>VAV0095</v>
      </c>
    </row>
    <row r="109" spans="1:14" x14ac:dyDescent="0.3">
      <c r="A109" s="19" t="s">
        <v>5952</v>
      </c>
      <c r="B109" s="20">
        <v>3.0179999999999998</v>
      </c>
      <c r="C109" s="20" t="s">
        <v>2134</v>
      </c>
      <c r="D109" t="str">
        <f t="array" ref="D109">TRANSPOSE(_xlfn._xlws.FILTER('Controllable Asset Registry'!$A$1318:$A$1441,IFERROR('Controllable Asset Registry'!$E$1318:$E$1441=C109,FALSE),"No Equipment in entity"))</f>
        <v>VAV0094</v>
      </c>
    </row>
    <row r="110" spans="1:14" x14ac:dyDescent="0.3">
      <c r="A110" s="19" t="s">
        <v>5957</v>
      </c>
      <c r="B110" s="20">
        <v>3.0190000000000001</v>
      </c>
      <c r="C110" s="20" t="s">
        <v>2132</v>
      </c>
      <c r="D110" t="str">
        <f t="array" ref="D110">TRANSPOSE(_xlfn._xlws.FILTER('Controllable Asset Registry'!$A$1318:$A$1441,IFERROR('Controllable Asset Registry'!$E$1318:$E$1441=C110,FALSE),"No Equipment in entity"))</f>
        <v>VAV0093</v>
      </c>
    </row>
    <row r="111" spans="1:14" x14ac:dyDescent="0.3">
      <c r="A111" s="19" t="s">
        <v>5951</v>
      </c>
      <c r="B111" s="20">
        <v>3.02</v>
      </c>
      <c r="C111" s="20" t="s">
        <v>2130</v>
      </c>
      <c r="D111" t="str">
        <f t="array" ref="D111">TRANSPOSE(_xlfn._xlws.FILTER('Controllable Asset Registry'!$A$1318:$A$1441,IFERROR('Controllable Asset Registry'!$E$1318:$E$1441=C111,FALSE),"No Equipment in entity"))</f>
        <v>VAV0092</v>
      </c>
    </row>
    <row r="112" spans="1:14" x14ac:dyDescent="0.3">
      <c r="A112" s="19" t="s">
        <v>5952</v>
      </c>
      <c r="B112" s="20">
        <v>3.0209999999999999</v>
      </c>
      <c r="C112" s="20" t="s">
        <v>2128</v>
      </c>
      <c r="D112" t="str">
        <f t="array" ref="D112">TRANSPOSE(_xlfn._xlws.FILTER('Controllable Asset Registry'!$A$1318:$A$1441,IFERROR('Controllable Asset Registry'!$E$1318:$E$1441=C112,FALSE),"No Equipment in entity"))</f>
        <v>VAV0091</v>
      </c>
    </row>
    <row r="113" spans="1:6" x14ac:dyDescent="0.3">
      <c r="A113" s="19" t="s">
        <v>5951</v>
      </c>
      <c r="B113" s="20">
        <v>3.0219999999999998</v>
      </c>
      <c r="C113" s="20" t="s">
        <v>2126</v>
      </c>
      <c r="D113" t="str">
        <f t="array" ref="D113">TRANSPOSE(_xlfn._xlws.FILTER('Controllable Asset Registry'!$A$1318:$A$1441,IFERROR('Controllable Asset Registry'!$E$1318:$E$1441=C113,FALSE),"No Equipment in entity"))</f>
        <v>VAV0090</v>
      </c>
    </row>
    <row r="114" spans="1:6" x14ac:dyDescent="0.3">
      <c r="A114" s="19" t="s">
        <v>5951</v>
      </c>
      <c r="B114" s="20">
        <v>3.0230000000000001</v>
      </c>
      <c r="C114" s="20" t="s">
        <v>2124</v>
      </c>
      <c r="D114" t="str">
        <f t="array" ref="D114">TRANSPOSE(_xlfn._xlws.FILTER('Controllable Asset Registry'!$A$1318:$A$1441,IFERROR('Controllable Asset Registry'!$E$1318:$E$1441=C114,FALSE),"No Equipment in entity"))</f>
        <v>VAV0089</v>
      </c>
    </row>
    <row r="115" spans="1:6" x14ac:dyDescent="0.3">
      <c r="A115" s="19" t="s">
        <v>5952</v>
      </c>
      <c r="B115" s="20">
        <v>3.024</v>
      </c>
      <c r="C115" s="20" t="s">
        <v>2122</v>
      </c>
      <c r="D115" t="str">
        <f t="array" ref="D115">TRANSPOSE(_xlfn._xlws.FILTER('Controllable Asset Registry'!$A$1318:$A$1441,IFERROR('Controllable Asset Registry'!$E$1318:$E$1441=C115,FALSE),"No Equipment in entity"))</f>
        <v>VAV0088</v>
      </c>
    </row>
    <row r="116" spans="1:6" x14ac:dyDescent="0.3">
      <c r="A116" s="19" t="s">
        <v>5958</v>
      </c>
      <c r="B116" s="20">
        <v>3.0249999999999999</v>
      </c>
      <c r="C116" s="20" t="s">
        <v>2120</v>
      </c>
      <c r="D116" t="str">
        <f t="array" ref="D116">TRANSPOSE(_xlfn._xlws.FILTER('Controllable Asset Registry'!$A$1318:$A$1441,IFERROR('Controllable Asset Registry'!$E$1318:$E$1441=C116,FALSE),"No Equipment in entity"))</f>
        <v>VAV0087</v>
      </c>
    </row>
    <row r="117" spans="1:6" x14ac:dyDescent="0.3">
      <c r="A117" s="19" t="s">
        <v>5954</v>
      </c>
      <c r="B117" s="20">
        <v>3.0259999999999998</v>
      </c>
      <c r="C117" s="20" t="s">
        <v>2118</v>
      </c>
      <c r="D117" t="str">
        <f t="array" ref="D117:F117">TRANSPOSE(_xlfn._xlws.FILTER('Controllable Asset Registry'!$A$1318:$A$1441,IFERROR('Controllable Asset Registry'!$E$1318:$E$1441=C117,FALSE),"No Equipment in entity"))</f>
        <v>VAV0084</v>
      </c>
      <c r="E117" t="str">
        <v>VAV0085</v>
      </c>
      <c r="F117" t="str">
        <v>VAV0086</v>
      </c>
    </row>
    <row r="118" spans="1:6" x14ac:dyDescent="0.3">
      <c r="A118" s="19" t="s">
        <v>5951</v>
      </c>
      <c r="B118" s="20">
        <v>3.0270000000000001</v>
      </c>
      <c r="C118" s="20" t="s">
        <v>2116</v>
      </c>
      <c r="D118" t="str">
        <f t="array" ref="D118">TRANSPOSE(_xlfn._xlws.FILTER('Controllable Asset Registry'!$A$1318:$A$1441,IFERROR('Controllable Asset Registry'!$E$1318:$E$1441=C118,FALSE),"No Equipment in entity"))</f>
        <v>VAV0083</v>
      </c>
    </row>
    <row r="119" spans="1:6" x14ac:dyDescent="0.3">
      <c r="A119" s="19" t="s">
        <v>5952</v>
      </c>
      <c r="B119" s="20">
        <v>3.028</v>
      </c>
      <c r="C119" s="20" t="s">
        <v>2114</v>
      </c>
      <c r="D119" t="str">
        <f t="array" ref="D119">TRANSPOSE(_xlfn._xlws.FILTER('Controllable Asset Registry'!$A$1318:$A$1441,IFERROR('Controllable Asset Registry'!$E$1318:$E$1441=C119,FALSE),"No Equipment in entity"))</f>
        <v>VAV0082</v>
      </c>
    </row>
    <row r="120" spans="1:6" x14ac:dyDescent="0.3">
      <c r="A120" s="19" t="s">
        <v>5951</v>
      </c>
      <c r="B120" s="20">
        <v>3.0289999999999999</v>
      </c>
      <c r="C120" s="20" t="s">
        <v>2112</v>
      </c>
      <c r="D120" t="str">
        <f t="array" ref="D120">TRANSPOSE(_xlfn._xlws.FILTER('Controllable Asset Registry'!$A$1318:$A$1441,IFERROR('Controllable Asset Registry'!$E$1318:$E$1441=C120,FALSE),"No Equipment in entity"))</f>
        <v>VAV0081</v>
      </c>
    </row>
    <row r="121" spans="1:6" x14ac:dyDescent="0.3">
      <c r="A121" s="19" t="s">
        <v>5959</v>
      </c>
      <c r="B121" s="20">
        <v>3.03</v>
      </c>
      <c r="C121" s="20" t="s">
        <v>5960</v>
      </c>
      <c r="D121" t="str">
        <f t="array" ref="D121">TRANSPOSE(_xlfn._xlws.FILTER('Controllable Asset Registry'!$A$1318:$A$1441,IFERROR('Controllable Asset Registry'!$E$1318:$E$1441=C121,FALSE),"No Equipment in entity"))</f>
        <v>No Equipment in entity</v>
      </c>
    </row>
    <row r="122" spans="1:6" x14ac:dyDescent="0.3">
      <c r="A122" s="19" t="s">
        <v>5961</v>
      </c>
      <c r="B122" s="20">
        <v>3.0310000000000001</v>
      </c>
      <c r="C122" s="20" t="s">
        <v>5962</v>
      </c>
      <c r="D122" t="str">
        <f t="array" ref="D122">TRANSPOSE(_xlfn._xlws.FILTER('Controllable Asset Registry'!$A$1318:$A$1441,IFERROR('Controllable Asset Registry'!$E$1318:$E$1441=C122,FALSE),"No Equipment in entity"))</f>
        <v>No Equipment in entity</v>
      </c>
    </row>
    <row r="123" spans="1:6" x14ac:dyDescent="0.3">
      <c r="A123" s="19" t="s">
        <v>5963</v>
      </c>
      <c r="B123" s="20">
        <v>3.032</v>
      </c>
      <c r="C123" s="20" t="s">
        <v>5964</v>
      </c>
      <c r="D123" t="str">
        <f t="array" ref="D123">TRANSPOSE(_xlfn._xlws.FILTER('Controllable Asset Registry'!$A$1318:$A$1441,IFERROR('Controllable Asset Registry'!$E$1318:$E$1441=C123,FALSE),"No Equipment in entity"))</f>
        <v>No Equipment in entity</v>
      </c>
    </row>
    <row r="124" spans="1:6" x14ac:dyDescent="0.3">
      <c r="A124" s="19" t="s">
        <v>5965</v>
      </c>
      <c r="B124" s="20">
        <v>3.0329999999999999</v>
      </c>
      <c r="C124" s="20" t="s">
        <v>2025</v>
      </c>
      <c r="D124" t="str">
        <f t="array" ref="D124">TRANSPOSE(_xlfn._xlws.FILTER('Controllable Asset Registry'!$A$1318:$A$1441,IFERROR('Controllable Asset Registry'!$E$1318:$E$1441=C124,FALSE),"No Equipment in entity"))</f>
        <v>FCU0011</v>
      </c>
    </row>
    <row r="125" spans="1:6" x14ac:dyDescent="0.3">
      <c r="A125" s="19" t="s">
        <v>5830</v>
      </c>
      <c r="B125" s="20" t="s">
        <v>5966</v>
      </c>
      <c r="C125" s="20" t="s">
        <v>5967</v>
      </c>
      <c r="D125" t="str">
        <f t="array" ref="D125">TRANSPOSE(_xlfn._xlws.FILTER('Controllable Asset Registry'!$A$1318:$A$1441,IFERROR('Controllable Asset Registry'!$E$1318:$E$1441=C125,FALSE),"No Equipment in entity"))</f>
        <v>No Equipment in entity</v>
      </c>
    </row>
    <row r="126" spans="1:6" x14ac:dyDescent="0.3">
      <c r="A126" s="19" t="s">
        <v>5833</v>
      </c>
      <c r="B126" s="20">
        <v>3.0459999999999998</v>
      </c>
      <c r="C126" s="20" t="s">
        <v>5968</v>
      </c>
      <c r="D126" t="str">
        <f t="array" ref="D126">TRANSPOSE(_xlfn._xlws.FILTER('Controllable Asset Registry'!$A$1318:$A$1441,IFERROR('Controllable Asset Registry'!$E$1318:$E$1441=C126,FALSE),"No Equipment in entity"))</f>
        <v>No Equipment in entity</v>
      </c>
    </row>
    <row r="127" spans="1:6" x14ac:dyDescent="0.3">
      <c r="A127" s="19" t="s">
        <v>5969</v>
      </c>
      <c r="B127" s="20">
        <v>3.0449999999999999</v>
      </c>
      <c r="C127" s="20" t="s">
        <v>5970</v>
      </c>
      <c r="D127" t="str">
        <f t="array" ref="D127">TRANSPOSE(_xlfn._xlws.FILTER('Controllable Asset Registry'!$A$1318:$A$1441,IFERROR('Controllable Asset Registry'!$E$1318:$E$1441=C127,FALSE),"No Equipment in entity"))</f>
        <v>No Equipment in entity</v>
      </c>
    </row>
    <row r="128" spans="1:6" x14ac:dyDescent="0.3">
      <c r="A128" s="19" t="s">
        <v>5971</v>
      </c>
      <c r="B128" s="20">
        <v>3.0470000000000002</v>
      </c>
      <c r="C128" s="20" t="s">
        <v>5972</v>
      </c>
      <c r="D128" t="str">
        <f t="array" ref="D128">TRANSPOSE(_xlfn._xlws.FILTER('Controllable Asset Registry'!$A$1318:$A$1441,IFERROR('Controllable Asset Registry'!$E$1318:$E$1441=C128,FALSE),"No Equipment in entity"))</f>
        <v>No Equipment in entity</v>
      </c>
    </row>
    <row r="129" spans="1:7" x14ac:dyDescent="0.3">
      <c r="A129" s="19" t="s">
        <v>5973</v>
      </c>
      <c r="B129" s="20">
        <v>3.016</v>
      </c>
      <c r="C129" s="20" t="s">
        <v>2138</v>
      </c>
      <c r="D129" t="str">
        <f t="array" ref="D129:E129">TRANSPOSE(_xlfn._xlws.FILTER('Controllable Asset Registry'!$A$1318:$A$1441,IFERROR('Controllable Asset Registry'!$E$1318:$E$1441=C129,FALSE),"No Equipment in entity"))</f>
        <v>VAV0096</v>
      </c>
      <c r="E129" t="str">
        <v>VAV0097</v>
      </c>
    </row>
    <row r="130" spans="1:7" x14ac:dyDescent="0.3">
      <c r="A130" s="19" t="s">
        <v>5974</v>
      </c>
      <c r="B130" s="20">
        <v>3.0379999999999998</v>
      </c>
      <c r="C130" s="20" t="s">
        <v>5975</v>
      </c>
      <c r="D130" t="str">
        <f t="array" ref="D130">TRANSPOSE(_xlfn._xlws.FILTER('Controllable Asset Registry'!$A$1318:$A$1441,IFERROR('Controllable Asset Registry'!$E$1318:$E$1441=C130,FALSE),"No Equipment in entity"))</f>
        <v>No Equipment in entity</v>
      </c>
    </row>
    <row r="131" spans="1:7" x14ac:dyDescent="0.3">
      <c r="A131" s="19" t="s">
        <v>5976</v>
      </c>
      <c r="B131" s="20">
        <v>3.0489999999999999</v>
      </c>
      <c r="C131" s="20" t="s">
        <v>2140</v>
      </c>
      <c r="D131" t="str">
        <f t="array" ref="D131">TRANSPOSE(_xlfn._xlws.FILTER('Controllable Asset Registry'!$A$1318:$A$1441,IFERROR('Controllable Asset Registry'!$E$1318:$E$1441=C131,FALSE),"No Equipment in entity"))</f>
        <v>VAV0098</v>
      </c>
    </row>
    <row r="132" spans="1:7" x14ac:dyDescent="0.3">
      <c r="A132" s="19" t="s">
        <v>5901</v>
      </c>
      <c r="B132" s="20">
        <v>3.0390000000000001</v>
      </c>
      <c r="C132" s="20" t="s">
        <v>5977</v>
      </c>
      <c r="D132" t="str">
        <f t="array" ref="D132">TRANSPOSE(_xlfn._xlws.FILTER('Controllable Asset Registry'!$A$1318:$A$1441,IFERROR('Controllable Asset Registry'!$E$1318:$E$1441=C132,FALSE),"No Equipment in entity"))</f>
        <v>No Equipment in entity</v>
      </c>
    </row>
    <row r="133" spans="1:7" x14ac:dyDescent="0.3">
      <c r="A133" s="19" t="s">
        <v>5911</v>
      </c>
      <c r="B133" s="20">
        <v>3.0369999999999999</v>
      </c>
      <c r="C133" s="20" t="s">
        <v>5978</v>
      </c>
      <c r="D133" t="str">
        <f t="array" ref="D133">TRANSPOSE(_xlfn._xlws.FILTER('Controllable Asset Registry'!$A$1318:$A$1441,IFERROR('Controllable Asset Registry'!$E$1318:$E$1441=C133,FALSE),"No Equipment in entity"))</f>
        <v>No Equipment in entity</v>
      </c>
    </row>
    <row r="134" spans="1:7" x14ac:dyDescent="0.3">
      <c r="A134" s="19" t="s">
        <v>5929</v>
      </c>
      <c r="B134" s="20">
        <v>3.036</v>
      </c>
      <c r="C134" s="20" t="s">
        <v>5979</v>
      </c>
      <c r="D134" t="str">
        <f t="array" ref="D134">TRANSPOSE(_xlfn._xlws.FILTER('Controllable Asset Registry'!$A$1318:$A$1441,IFERROR('Controllable Asset Registry'!$E$1318:$E$1441=C134,FALSE),"No Equipment in entity"))</f>
        <v>No Equipment in entity</v>
      </c>
    </row>
    <row r="135" spans="1:7" x14ac:dyDescent="0.3">
      <c r="A135" s="19" t="s">
        <v>5789</v>
      </c>
      <c r="B135" s="20" t="s">
        <v>5980</v>
      </c>
      <c r="C135" s="20" t="s">
        <v>5981</v>
      </c>
      <c r="D135" t="str">
        <f t="array" ref="D135">TRANSPOSE(_xlfn._xlws.FILTER('Controllable Asset Registry'!$A$1318:$A$1441,IFERROR('Controllable Asset Registry'!$E$1318:$E$1441=C135,FALSE),"No Equipment in entity"))</f>
        <v>No Equipment in entity</v>
      </c>
    </row>
    <row r="136" spans="1:7" x14ac:dyDescent="0.3">
      <c r="A136" s="19" t="s">
        <v>5794</v>
      </c>
      <c r="B136" s="20" t="s">
        <v>5982</v>
      </c>
      <c r="C136" s="20" t="s">
        <v>5983</v>
      </c>
      <c r="D136" t="str">
        <f t="array" ref="D136">TRANSPOSE(_xlfn._xlws.FILTER('Controllable Asset Registry'!$A$1318:$A$1441,IFERROR('Controllable Asset Registry'!$E$1318:$E$1441=C136,FALSE),"No Equipment in entity"))</f>
        <v>No Equipment in entity</v>
      </c>
    </row>
    <row r="137" spans="1:7" x14ac:dyDescent="0.3">
      <c r="A137" s="19" t="s">
        <v>5794</v>
      </c>
      <c r="B137" s="20" t="s">
        <v>5984</v>
      </c>
      <c r="C137" s="20" t="s">
        <v>5985</v>
      </c>
      <c r="D137" t="str">
        <f t="array" ref="D137">TRANSPOSE(_xlfn._xlws.FILTER('Controllable Asset Registry'!$A$1318:$A$1441,IFERROR('Controllable Asset Registry'!$E$1318:$E$1441=C137,FALSE),"No Equipment in entity"))</f>
        <v>No Equipment in entity</v>
      </c>
    </row>
    <row r="138" spans="1:7" x14ac:dyDescent="0.3">
      <c r="A138" s="19" t="s">
        <v>5816</v>
      </c>
      <c r="B138" s="20">
        <v>3.04</v>
      </c>
      <c r="C138" s="20" t="s">
        <v>5986</v>
      </c>
      <c r="D138" t="str">
        <f t="array" ref="D138">TRANSPOSE(_xlfn._xlws.FILTER('Controllable Asset Registry'!$A$1318:$A$1441,IFERROR('Controllable Asset Registry'!$E$1318:$E$1441=C138,FALSE),"No Equipment in entity"))</f>
        <v>No Equipment in entity</v>
      </c>
    </row>
    <row r="139" spans="1:7" x14ac:dyDescent="0.3">
      <c r="A139" s="19" t="s">
        <v>5816</v>
      </c>
      <c r="B139" s="20">
        <v>3.0409999999999999</v>
      </c>
      <c r="C139" s="20" t="s">
        <v>2144</v>
      </c>
      <c r="D139" t="str">
        <f t="array" ref="D139">TRANSPOSE(_xlfn._xlws.FILTER('Controllable Asset Registry'!$A$1318:$A$1441,IFERROR('Controllable Asset Registry'!$E$1318:$E$1441=C139,FALSE),"No Equipment in entity"))</f>
        <v>VAV0100</v>
      </c>
    </row>
    <row r="140" spans="1:7" x14ac:dyDescent="0.3">
      <c r="A140" s="19" t="s">
        <v>5816</v>
      </c>
      <c r="B140" s="20">
        <v>3.0339999999999998</v>
      </c>
      <c r="C140" s="20" t="s">
        <v>2148</v>
      </c>
      <c r="D140" t="str">
        <f t="array" ref="D140:G140">TRANSPOSE(_xlfn._xlws.FILTER('Controllable Asset Registry'!$A$1318:$A$1441,IFERROR('Controllable Asset Registry'!$E$1318:$E$1441=C140,FALSE),"No Equipment in entity"))</f>
        <v>VAV0102</v>
      </c>
      <c r="E140" t="str">
        <v>VAV0103</v>
      </c>
      <c r="F140" t="str">
        <v>VAV0104</v>
      </c>
      <c r="G140" t="str">
        <v>VAV0105</v>
      </c>
    </row>
    <row r="141" spans="1:7" x14ac:dyDescent="0.3">
      <c r="A141" s="19" t="s">
        <v>5816</v>
      </c>
      <c r="B141" s="20">
        <v>3.0419999999999998</v>
      </c>
      <c r="C141" s="20" t="s">
        <v>2142</v>
      </c>
      <c r="D141" t="str">
        <f t="array" ref="D141:E141">TRANSPOSE(_xlfn._xlws.FILTER('Controllable Asset Registry'!$A$1318:$A$1441,IFERROR('Controllable Asset Registry'!$E$1318:$E$1441=C141,FALSE),"No Equipment in entity"))</f>
        <v>VAV0099</v>
      </c>
      <c r="E141" t="str">
        <v>VAV0106</v>
      </c>
    </row>
    <row r="142" spans="1:7" x14ac:dyDescent="0.3">
      <c r="A142" s="19" t="s">
        <v>5987</v>
      </c>
      <c r="B142" s="20">
        <v>3.0350000000000001</v>
      </c>
      <c r="C142" s="20" t="s">
        <v>5988</v>
      </c>
      <c r="D142" t="str">
        <f t="array" ref="D142">TRANSPOSE(_xlfn._xlws.FILTER('Controllable Asset Registry'!$A$1318:$A$1441,IFERROR('Controllable Asset Registry'!$E$1318:$E$1441=C142,FALSE),"No Equipment in entity"))</f>
        <v>No Equipment in entity</v>
      </c>
    </row>
    <row r="143" spans="1:7" x14ac:dyDescent="0.3">
      <c r="A143" s="19" t="s">
        <v>5816</v>
      </c>
      <c r="B143" s="20">
        <v>3.044</v>
      </c>
      <c r="C143" s="20" t="s">
        <v>2146</v>
      </c>
      <c r="D143" t="str">
        <f t="array" ref="D143">TRANSPOSE(_xlfn._xlws.FILTER('Controllable Asset Registry'!$A$1318:$A$1441,IFERROR('Controllable Asset Registry'!$E$1318:$E$1441=C143,FALSE),"No Equipment in entity"))</f>
        <v>VAV0101</v>
      </c>
    </row>
    <row r="144" spans="1:7" x14ac:dyDescent="0.3">
      <c r="A144" s="19" t="s">
        <v>5989</v>
      </c>
      <c r="B144" s="20">
        <v>3.0430000000000001</v>
      </c>
      <c r="C144" s="20" t="s">
        <v>5990</v>
      </c>
      <c r="D144" t="str">
        <f t="array" ref="D144">TRANSPOSE(_xlfn._xlws.FILTER('Controllable Asset Registry'!$A$1318:$A$1441,IFERROR('Controllable Asset Registry'!$E$1318:$E$1441=C144,FALSE),"No Equipment in entity"))</f>
        <v>No Equipment in entity</v>
      </c>
    </row>
    <row r="145" spans="1:7" x14ac:dyDescent="0.3">
      <c r="A145" s="19" t="s">
        <v>5971</v>
      </c>
      <c r="B145" s="20">
        <v>3.048</v>
      </c>
      <c r="C145" s="20" t="s">
        <v>5991</v>
      </c>
      <c r="D145" t="str">
        <f t="array" ref="D145">TRANSPOSE(_xlfn._xlws.FILTER('Controllable Asset Registry'!$A$1318:$A$1441,IFERROR('Controllable Asset Registry'!$E$1318:$E$1441=C145,FALSE),"No Equipment in entity"))</f>
        <v>No Equipment in entity</v>
      </c>
    </row>
    <row r="146" spans="1:7" x14ac:dyDescent="0.3">
      <c r="A146" s="19" t="s">
        <v>5992</v>
      </c>
      <c r="B146" s="20" t="s">
        <v>5993</v>
      </c>
      <c r="C146" s="20" t="s">
        <v>5994</v>
      </c>
      <c r="D146" t="str">
        <f t="array" ref="D146">TRANSPOSE(_xlfn._xlws.FILTER('Controllable Asset Registry'!$A$1318:$A$1441,IFERROR('Controllable Asset Registry'!$E$1318:$E$1441=C146,FALSE),"No Equipment in entity"))</f>
        <v>No Equipment in entity</v>
      </c>
    </row>
    <row r="147" spans="1:7" x14ac:dyDescent="0.3">
      <c r="A147" s="19" t="s">
        <v>5995</v>
      </c>
      <c r="B147" s="20">
        <v>2.0049999999999999</v>
      </c>
      <c r="C147" s="20" t="s">
        <v>2064</v>
      </c>
      <c r="D147" t="str">
        <f t="array" ref="D147:F147">TRANSPOSE(_xlfn._xlws.FILTER('Controllable Asset Registry'!$A$1318:$A$1441,IFERROR('Controllable Asset Registry'!$E$1318:$E$1441=C147,FALSE),"No Equipment in entity"))</f>
        <v>VAV0041</v>
      </c>
      <c r="E147" t="str">
        <v>VAV0042</v>
      </c>
      <c r="F147" t="str">
        <v>VAV0051</v>
      </c>
    </row>
    <row r="148" spans="1:7" x14ac:dyDescent="0.3">
      <c r="A148" s="19" t="s">
        <v>5996</v>
      </c>
      <c r="B148" s="20">
        <v>2.0059999999999998</v>
      </c>
      <c r="C148" s="20" t="s">
        <v>2062</v>
      </c>
      <c r="D148" t="str">
        <f t="array" ref="D148:E148">TRANSPOSE(_xlfn._xlws.FILTER('Controllable Asset Registry'!$A$1318:$A$1441,IFERROR('Controllable Asset Registry'!$E$1318:$E$1441=C148,FALSE),"No Equipment in entity"))</f>
        <v>VAV0040</v>
      </c>
      <c r="E148" t="str">
        <v>VAV0052</v>
      </c>
    </row>
    <row r="149" spans="1:7" x14ac:dyDescent="0.3">
      <c r="A149" s="19" t="s">
        <v>5794</v>
      </c>
      <c r="B149" s="20" t="s">
        <v>5997</v>
      </c>
      <c r="C149" s="20" t="s">
        <v>5998</v>
      </c>
      <c r="D149" t="str">
        <f t="array" ref="D149">TRANSPOSE(_xlfn._xlws.FILTER('Controllable Asset Registry'!$A$1318:$A$1441,IFERROR('Controllable Asset Registry'!$E$1318:$E$1441=C149,FALSE),"No Equipment in entity"))</f>
        <v>No Equipment in entity</v>
      </c>
    </row>
    <row r="150" spans="1:7" x14ac:dyDescent="0.3">
      <c r="A150" s="19" t="s">
        <v>5794</v>
      </c>
      <c r="B150" s="20" t="s">
        <v>5999</v>
      </c>
      <c r="C150" s="20" t="s">
        <v>6000</v>
      </c>
      <c r="D150" t="str">
        <f t="array" ref="D150">TRANSPOSE(_xlfn._xlws.FILTER('Controllable Asset Registry'!$A$1318:$A$1441,IFERROR('Controllable Asset Registry'!$E$1318:$E$1441=C150,FALSE),"No Equipment in entity"))</f>
        <v>No Equipment in entity</v>
      </c>
    </row>
    <row r="151" spans="1:7" x14ac:dyDescent="0.3">
      <c r="A151" s="19" t="s">
        <v>6001</v>
      </c>
      <c r="B151" s="20">
        <v>2.0070000000000001</v>
      </c>
      <c r="C151" s="20" t="s">
        <v>6002</v>
      </c>
      <c r="D151" t="str">
        <f t="array" ref="D151">TRANSPOSE(_xlfn._xlws.FILTER('Controllable Asset Registry'!$A$1318:$A$1441,IFERROR('Controllable Asset Registry'!$E$1318:$E$1441=C151,FALSE),"No Equipment in entity"))</f>
        <v>No Equipment in entity</v>
      </c>
    </row>
    <row r="152" spans="1:7" x14ac:dyDescent="0.3">
      <c r="A152" s="19" t="s">
        <v>5842</v>
      </c>
      <c r="B152" s="20">
        <v>2.008</v>
      </c>
      <c r="C152" s="20" t="s">
        <v>6003</v>
      </c>
      <c r="D152" t="str">
        <f t="array" ref="D152">TRANSPOSE(_xlfn._xlws.FILTER('Controllable Asset Registry'!$A$1318:$A$1441,IFERROR('Controllable Asset Registry'!$E$1318:$E$1441=C152,FALSE),"No Equipment in entity"))</f>
        <v>No Equipment in entity</v>
      </c>
    </row>
    <row r="153" spans="1:7" x14ac:dyDescent="0.3">
      <c r="A153" s="19" t="s">
        <v>5839</v>
      </c>
      <c r="B153" s="20">
        <v>2.0099999999999998</v>
      </c>
      <c r="C153" s="20" t="s">
        <v>6004</v>
      </c>
      <c r="D153" t="str">
        <f t="array" ref="D153">TRANSPOSE(_xlfn._xlws.FILTER('Controllable Asset Registry'!$A$1318:$A$1441,IFERROR('Controllable Asset Registry'!$E$1318:$E$1441=C153,FALSE),"No Equipment in entity"))</f>
        <v>No Equipment in entity</v>
      </c>
    </row>
    <row r="154" spans="1:7" x14ac:dyDescent="0.3">
      <c r="A154" s="19" t="s">
        <v>5830</v>
      </c>
      <c r="B154" s="20" t="s">
        <v>6005</v>
      </c>
      <c r="C154" s="20" t="s">
        <v>6006</v>
      </c>
      <c r="D154" t="str">
        <f t="array" ref="D154">TRANSPOSE(_xlfn._xlws.FILTER('Controllable Asset Registry'!$A$1318:$A$1441,IFERROR('Controllable Asset Registry'!$E$1318:$E$1441=C154,FALSE),"No Equipment in entity"))</f>
        <v>No Equipment in entity</v>
      </c>
    </row>
    <row r="155" spans="1:7" x14ac:dyDescent="0.3">
      <c r="A155" s="19" t="s">
        <v>6007</v>
      </c>
      <c r="B155" s="20">
        <v>2.0019999999999998</v>
      </c>
      <c r="C155" s="20" t="s">
        <v>2070</v>
      </c>
      <c r="D155" t="str">
        <f t="array" ref="D155:G155">TRANSPOSE(_xlfn._xlws.FILTER('Controllable Asset Registry'!$A$1318:$A$1441,IFERROR('Controllable Asset Registry'!$E$1318:$E$1441=C155,FALSE),"No Equipment in entity"))</f>
        <v>VAV0046</v>
      </c>
      <c r="E155" t="str">
        <v>VAV0047</v>
      </c>
      <c r="F155" t="str">
        <v>VAV0048</v>
      </c>
      <c r="G155" t="str">
        <v>VAV0049</v>
      </c>
    </row>
    <row r="156" spans="1:7" x14ac:dyDescent="0.3">
      <c r="A156" s="19" t="s">
        <v>6008</v>
      </c>
      <c r="B156" s="20">
        <v>2.0009999999999999</v>
      </c>
      <c r="C156" s="20" t="s">
        <v>2068</v>
      </c>
      <c r="D156" t="str">
        <f t="array" ref="D156:E156">TRANSPOSE(_xlfn._xlws.FILTER('Controllable Asset Registry'!$A$1318:$A$1441,IFERROR('Controllable Asset Registry'!$E$1318:$E$1441=C156,FALSE),"No Equipment in entity"))</f>
        <v>VAV0044</v>
      </c>
      <c r="E156" t="str">
        <v>VAV0045</v>
      </c>
    </row>
    <row r="157" spans="1:7" x14ac:dyDescent="0.3">
      <c r="A157" s="19" t="s">
        <v>5816</v>
      </c>
      <c r="B157" s="20">
        <v>2.004</v>
      </c>
      <c r="C157" s="20" t="s">
        <v>2066</v>
      </c>
      <c r="D157" t="str">
        <f t="array" ref="D157">TRANSPOSE(_xlfn._xlws.FILTER('Controllable Asset Registry'!$A$1318:$A$1441,IFERROR('Controllable Asset Registry'!$E$1318:$E$1441=C157,FALSE),"No Equipment in entity"))</f>
        <v>VAV0043</v>
      </c>
    </row>
    <row r="158" spans="1:7" x14ac:dyDescent="0.3">
      <c r="A158" s="19" t="s">
        <v>5816</v>
      </c>
      <c r="B158" s="20">
        <v>2.0030000000000001</v>
      </c>
      <c r="C158" s="20" t="s">
        <v>2072</v>
      </c>
      <c r="D158" t="str">
        <f t="array" ref="D158">TRANSPOSE(_xlfn._xlws.FILTER('Controllable Asset Registry'!$A$1318:$A$1441,IFERROR('Controllable Asset Registry'!$E$1318:$E$1441=C158,FALSE),"No Equipment in entity"))</f>
        <v>VAV0050</v>
      </c>
    </row>
    <row r="159" spans="1:7" x14ac:dyDescent="0.3">
      <c r="A159" s="19" t="s">
        <v>5789</v>
      </c>
      <c r="B159" s="20" t="s">
        <v>6009</v>
      </c>
      <c r="C159" s="20" t="s">
        <v>6010</v>
      </c>
      <c r="D159" t="str">
        <f t="array" ref="D159">TRANSPOSE(_xlfn._xlws.FILTER('Controllable Asset Registry'!$A$1318:$A$1441,IFERROR('Controllable Asset Registry'!$E$1318:$E$1441=C159,FALSE),"No Equipment in entity"))</f>
        <v>No Equipment in entity</v>
      </c>
    </row>
    <row r="160" spans="1:7" x14ac:dyDescent="0.3">
      <c r="A160" s="19" t="s">
        <v>5897</v>
      </c>
      <c r="B160" s="20" t="s">
        <v>6011</v>
      </c>
      <c r="C160" s="20" t="s">
        <v>6012</v>
      </c>
      <c r="D160" t="str">
        <f t="array" ref="D160">TRANSPOSE(_xlfn._xlws.FILTER('Controllable Asset Registry'!$A$1318:$A$1441,IFERROR('Controllable Asset Registry'!$E$1318:$E$1441=C160,FALSE),"No Equipment in entity"))</f>
        <v>No Equipment in entity</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83A863-148F-4FA2-B036-F07D9D75B34C}">
  <dimension ref="A1:O1041"/>
  <sheetViews>
    <sheetView topLeftCell="A18" zoomScale="70" zoomScaleNormal="70" workbookViewId="0">
      <selection activeCell="A61" sqref="A61"/>
    </sheetView>
  </sheetViews>
  <sheetFormatPr defaultRowHeight="14.4" x14ac:dyDescent="0.3"/>
  <cols>
    <col min="1" max="1" width="57.44140625" bestFit="1" customWidth="1"/>
    <col min="3" max="3" width="41.6640625" bestFit="1" customWidth="1"/>
    <col min="4" max="4" width="19.77734375" bestFit="1" customWidth="1"/>
    <col min="5" max="6" width="11.6640625" bestFit="1" customWidth="1"/>
    <col min="14" max="14" width="26.88671875" bestFit="1" customWidth="1"/>
    <col min="15" max="15" width="21.109375" bestFit="1" customWidth="1"/>
    <col min="16" max="23" width="12.33203125" bestFit="1" customWidth="1"/>
    <col min="24" max="24" width="2.21875" bestFit="1" customWidth="1"/>
    <col min="25" max="25" width="26.88671875" bestFit="1" customWidth="1"/>
  </cols>
  <sheetData>
    <row r="1" spans="1:15" ht="15.6" x14ac:dyDescent="0.3">
      <c r="A1" t="s">
        <v>6610</v>
      </c>
      <c r="B1" t="s">
        <v>6611</v>
      </c>
      <c r="C1" t="s">
        <v>6612</v>
      </c>
      <c r="N1" s="28" t="s">
        <v>7457</v>
      </c>
    </row>
    <row r="2" spans="1:15" x14ac:dyDescent="0.3">
      <c r="A2" t="s">
        <v>6613</v>
      </c>
      <c r="B2" t="s">
        <v>6614</v>
      </c>
      <c r="C2" t="s">
        <v>6615</v>
      </c>
      <c r="D2" t="str" cm="1">
        <f t="array" ref="D2">TRANSPOSE(_xlfn._xlws.FILTER('Controllable Asset Registry'!$A$4:$A$764,IFERROR('Controllable Asset Registry'!$E$4:$E$764=A2,FALSE),"No Equipment in entity"))</f>
        <v>No Equipment in entity</v>
      </c>
      <c r="N2" t="s">
        <v>7458</v>
      </c>
      <c r="O2">
        <f>COUNTA(A2:A1042)</f>
        <v>1040</v>
      </c>
    </row>
    <row r="3" spans="1:15" x14ac:dyDescent="0.3">
      <c r="A3" t="s">
        <v>6032</v>
      </c>
      <c r="B3" t="s">
        <v>5877</v>
      </c>
      <c r="C3" t="s">
        <v>6616</v>
      </c>
      <c r="D3" t="str" cm="1">
        <f t="array" ref="D3:F3">TRANSPOSE(_xlfn._xlws.FILTER('Controllable Asset Registry'!$A$4:$A$764,IFERROR('Controllable Asset Registry'!$E$4:$E$764=A3,FALSE),"No Equipment in entity"))</f>
        <v>AHUB_0001</v>
      </c>
      <c r="E3" t="str">
        <v>AHUB_0002</v>
      </c>
      <c r="F3" t="str">
        <v>AHUB_0008</v>
      </c>
      <c r="N3" t="s">
        <v>7459</v>
      </c>
      <c r="O3">
        <f>COUNTA(D2:L1042)-COUNTIF(D2:L1042,"No Equipment in entity")</f>
        <v>758</v>
      </c>
    </row>
    <row r="4" spans="1:15" x14ac:dyDescent="0.3">
      <c r="A4" t="s">
        <v>6617</v>
      </c>
      <c r="B4" t="s">
        <v>5880</v>
      </c>
      <c r="C4" t="s">
        <v>6618</v>
      </c>
      <c r="D4" t="str" cm="1">
        <f t="array" ref="D4">TRANSPOSE(_xlfn._xlws.FILTER('Controllable Asset Registry'!$A$4:$A$764,IFERROR('Controllable Asset Registry'!$E$4:$E$764=A4,FALSE),"No Equipment in entity"))</f>
        <v>No Equipment in entity</v>
      </c>
      <c r="N4" t="s">
        <v>7460</v>
      </c>
      <c r="O4">
        <f>COUNTIF(D2:L1042,"No Equipment in entity")</f>
        <v>439</v>
      </c>
    </row>
    <row r="5" spans="1:15" x14ac:dyDescent="0.3">
      <c r="A5" t="s">
        <v>6038</v>
      </c>
      <c r="B5" t="s">
        <v>5883</v>
      </c>
      <c r="C5" t="s">
        <v>6619</v>
      </c>
      <c r="D5" t="str" cm="1">
        <f t="array" ref="D5">TRANSPOSE(_xlfn._xlws.FILTER('Controllable Asset Registry'!$A$4:$A$764,IFERROR('Controllable Asset Registry'!$E$4:$E$764=A5,FALSE),"No Equipment in entity"))</f>
        <v>FCU0002</v>
      </c>
      <c r="N5" t="s">
        <v>7461</v>
      </c>
      <c r="O5">
        <f>COUNTA('Controllable Asset Registry'!A4:A764)</f>
        <v>761</v>
      </c>
    </row>
    <row r="6" spans="1:15" x14ac:dyDescent="0.3">
      <c r="A6" t="s">
        <v>6620</v>
      </c>
      <c r="B6" t="s">
        <v>5849</v>
      </c>
      <c r="C6" t="s">
        <v>6621</v>
      </c>
      <c r="D6" t="str" cm="1">
        <f t="array" ref="D6">TRANSPOSE(_xlfn._xlws.FILTER('Controllable Asset Registry'!$A$4:$A$764,IFERROR('Controllable Asset Registry'!$E$4:$E$764=A6,FALSE),"No Equipment in entity"))</f>
        <v>No Equipment in entity</v>
      </c>
      <c r="N6" t="s">
        <v>8446</v>
      </c>
      <c r="O6" cm="1">
        <f t="array" ref="O6">SUM(--(_xlfn.UNIQUE(_xlfn.TOCOL(D2:L1042,3))&lt;&gt;"No Equipment in entity"))</f>
        <v>758</v>
      </c>
    </row>
    <row r="7" spans="1:15" x14ac:dyDescent="0.3">
      <c r="A7" t="s">
        <v>6033</v>
      </c>
      <c r="B7" t="s">
        <v>5852</v>
      </c>
      <c r="C7" t="s">
        <v>6622</v>
      </c>
      <c r="D7" t="str" cm="1">
        <f t="array" ref="D7:E7">TRANSPOSE(_xlfn._xlws.FILTER('Controllable Asset Registry'!$A$4:$A$764,IFERROR('Controllable Asset Registry'!$E$4:$E$764=A7,FALSE),"No Equipment in entity"))</f>
        <v>AHUB_0003</v>
      </c>
      <c r="E7" t="str">
        <v>AHUB_0004</v>
      </c>
      <c r="N7" t="s">
        <v>8444</v>
      </c>
      <c r="O7" cm="1">
        <f t="array" ref="O7">SUMPRODUCT((A2:A1042&lt;&gt;"")*(COUNTIF(A2:A1042,A2:A1042)&gt;1))</f>
        <v>0</v>
      </c>
    </row>
    <row r="8" spans="1:15" x14ac:dyDescent="0.3">
      <c r="A8" t="s">
        <v>6623</v>
      </c>
      <c r="B8" t="s">
        <v>5846</v>
      </c>
      <c r="C8" t="s">
        <v>6624</v>
      </c>
      <c r="D8" t="str" cm="1">
        <f t="array" ref="D8">TRANSPOSE(_xlfn._xlws.FILTER('Controllable Asset Registry'!$A$4:$A$764,IFERROR('Controllable Asset Registry'!$E$4:$E$764=A8,FALSE),"No Equipment in entity"))</f>
        <v>No Equipment in entity</v>
      </c>
      <c r="N8" t="s">
        <v>8445</v>
      </c>
      <c r="O8" cm="1">
        <f t="array" ref="O8">SUMPRODUCT((D2:L1042&lt;&gt;"")*(D2:L1042&lt;&gt;"No Equipment in entity")*(COUNTIF(D2:L1042,D2:L1042)&gt;1))</f>
        <v>0</v>
      </c>
    </row>
    <row r="9" spans="1:15" x14ac:dyDescent="0.3">
      <c r="A9" t="s">
        <v>6625</v>
      </c>
      <c r="B9" t="s">
        <v>5829</v>
      </c>
      <c r="C9" t="s">
        <v>6626</v>
      </c>
      <c r="D9" t="str" cm="1">
        <f t="array" ref="D9">TRANSPOSE(_xlfn._xlws.FILTER('Controllable Asset Registry'!$A$4:$A$764,IFERROR('Controllable Asset Registry'!$E$4:$E$764=A9,FALSE),"No Equipment in entity"))</f>
        <v>No Equipment in entity</v>
      </c>
      <c r="N9" t="s">
        <v>8447</v>
      </c>
      <c r="O9">
        <f>O5-O6</f>
        <v>3</v>
      </c>
    </row>
    <row r="10" spans="1:15" x14ac:dyDescent="0.3">
      <c r="A10" t="s">
        <v>6627</v>
      </c>
      <c r="B10" t="s">
        <v>5843</v>
      </c>
      <c r="C10" t="s">
        <v>6628</v>
      </c>
      <c r="D10" t="str" cm="1">
        <f t="array" ref="D10">TRANSPOSE(_xlfn._xlws.FILTER('Controllable Asset Registry'!$A$4:$A$764,IFERROR('Controllable Asset Registry'!$E$4:$E$764=A10,FALSE),"No Equipment in entity"))</f>
        <v>No Equipment in entity</v>
      </c>
    </row>
    <row r="11" spans="1:15" x14ac:dyDescent="0.3">
      <c r="A11" t="s">
        <v>6629</v>
      </c>
      <c r="B11" t="s">
        <v>5840</v>
      </c>
      <c r="C11" t="s">
        <v>6630</v>
      </c>
      <c r="D11" t="str" cm="1">
        <f t="array" ref="D11">TRANSPOSE(_xlfn._xlws.FILTER('Controllable Asset Registry'!$A$4:$A$764,IFERROR('Controllable Asset Registry'!$E$4:$E$764=A11,FALSE),"No Equipment in entity"))</f>
        <v>No Equipment in entity</v>
      </c>
    </row>
    <row r="12" spans="1:15" x14ac:dyDescent="0.3">
      <c r="A12" t="s">
        <v>6631</v>
      </c>
      <c r="B12" t="s">
        <v>5837</v>
      </c>
      <c r="C12" t="s">
        <v>6632</v>
      </c>
      <c r="D12" t="str" cm="1">
        <f t="array" ref="D12">TRANSPOSE(_xlfn._xlws.FILTER('Controllable Asset Registry'!$A$4:$A$764,IFERROR('Controllable Asset Registry'!$E$4:$E$764=A12,FALSE),"No Equipment in entity"))</f>
        <v>No Equipment in entity</v>
      </c>
    </row>
    <row r="13" spans="1:15" x14ac:dyDescent="0.3">
      <c r="A13" t="s">
        <v>6633</v>
      </c>
      <c r="B13" t="s">
        <v>5787</v>
      </c>
      <c r="C13" t="s">
        <v>5786</v>
      </c>
      <c r="D13" t="str" cm="1">
        <f t="array" ref="D13">TRANSPOSE(_xlfn._xlws.FILTER('Controllable Asset Registry'!$A$4:$A$764,IFERROR('Controllable Asset Registry'!$E$4:$E$764=A13,FALSE),"No Equipment in entity"))</f>
        <v>No Equipment in entity</v>
      </c>
    </row>
    <row r="14" spans="1:15" x14ac:dyDescent="0.3">
      <c r="A14" t="s">
        <v>6634</v>
      </c>
      <c r="B14" t="s">
        <v>5785</v>
      </c>
      <c r="C14" t="s">
        <v>6635</v>
      </c>
      <c r="D14" t="str" cm="1">
        <f t="array" ref="D14">TRANSPOSE(_xlfn._xlws.FILTER('Controllable Asset Registry'!$A$4:$A$764,IFERROR('Controllable Asset Registry'!$E$4:$E$764=A14,FALSE),"No Equipment in entity"))</f>
        <v>No Equipment in entity</v>
      </c>
    </row>
    <row r="15" spans="1:15" x14ac:dyDescent="0.3">
      <c r="A15" t="s">
        <v>6044</v>
      </c>
      <c r="B15" t="s">
        <v>5783</v>
      </c>
      <c r="C15" t="s">
        <v>6636</v>
      </c>
      <c r="D15" t="str" cm="1">
        <f t="array" ref="D15:E15">TRANSPOSE(_xlfn._xlws.FILTER('Controllable Asset Registry'!$A$4:$A$764,IFERROR('Controllable Asset Registry'!$E$4:$E$764=A15,FALSE),"No Equipment in entity"))</f>
        <v>FCU0008</v>
      </c>
      <c r="E15" t="str">
        <v>FCU0009</v>
      </c>
    </row>
    <row r="16" spans="1:15" x14ac:dyDescent="0.3">
      <c r="A16" t="s">
        <v>6045</v>
      </c>
      <c r="B16" t="s">
        <v>5793</v>
      </c>
      <c r="C16" t="s">
        <v>6637</v>
      </c>
      <c r="D16" t="str" cm="1">
        <f t="array" ref="D16">TRANSPOSE(_xlfn._xlws.FILTER('Controllable Asset Registry'!$A$4:$A$764,IFERROR('Controllable Asset Registry'!$E$4:$E$764=A16,FALSE),"No Equipment in entity"))</f>
        <v>FCU0010</v>
      </c>
    </row>
    <row r="17" spans="1:6" x14ac:dyDescent="0.3">
      <c r="A17" t="s">
        <v>6034</v>
      </c>
      <c r="B17" t="s">
        <v>5800</v>
      </c>
      <c r="C17" t="s">
        <v>6638</v>
      </c>
      <c r="D17" t="str" cm="1">
        <f t="array" ref="D17:E17">TRANSPOSE(_xlfn._xlws.FILTER('Controllable Asset Registry'!$A$4:$A$764,IFERROR('Controllable Asset Registry'!$E$4:$E$764=A17,FALSE),"No Equipment in entity"))</f>
        <v>AHUB_0005</v>
      </c>
      <c r="E17" t="str">
        <v>AHUB_0006</v>
      </c>
    </row>
    <row r="18" spans="1:6" x14ac:dyDescent="0.3">
      <c r="A18" t="s">
        <v>6639</v>
      </c>
      <c r="B18" t="s">
        <v>5805</v>
      </c>
      <c r="C18" t="s">
        <v>6640</v>
      </c>
      <c r="D18" t="str" cm="1">
        <f t="array" ref="D18">TRANSPOSE(_xlfn._xlws.FILTER('Controllable Asset Registry'!$A$4:$A$764,IFERROR('Controllable Asset Registry'!$E$4:$E$764=A18,FALSE),"No Equipment in entity"))</f>
        <v>No Equipment in entity</v>
      </c>
    </row>
    <row r="19" spans="1:6" x14ac:dyDescent="0.3">
      <c r="A19" t="s">
        <v>6641</v>
      </c>
      <c r="B19" t="s">
        <v>5811</v>
      </c>
      <c r="C19" t="s">
        <v>6642</v>
      </c>
      <c r="D19" t="str" cm="1">
        <f t="array" ref="D19">TRANSPOSE(_xlfn._xlws.FILTER('Controllable Asset Registry'!$A$4:$A$764,IFERROR('Controllable Asset Registry'!$E$4:$E$764=A19,FALSE),"No Equipment in entity"))</f>
        <v>No Equipment in entity</v>
      </c>
    </row>
    <row r="20" spans="1:6" x14ac:dyDescent="0.3">
      <c r="A20" t="s">
        <v>6036</v>
      </c>
      <c r="B20" t="s">
        <v>5808</v>
      </c>
      <c r="C20" t="s">
        <v>7</v>
      </c>
      <c r="D20" t="str" cm="1">
        <f t="array" ref="D20:F20">TRANSPOSE(_xlfn._xlws.FILTER('Controllable Asset Registry'!$A$4:$A$764,IFERROR('Controllable Asset Registry'!$E$4:$E$764=A20,FALSE),"No Equipment in entity"))</f>
        <v>AHUB_0009</v>
      </c>
      <c r="E20" t="str">
        <v>AHUB_0010</v>
      </c>
      <c r="F20" t="str">
        <v>AHUB_0011</v>
      </c>
    </row>
    <row r="21" spans="1:6" x14ac:dyDescent="0.3">
      <c r="A21" t="s">
        <v>6643</v>
      </c>
      <c r="B21" t="s">
        <v>5875</v>
      </c>
      <c r="C21" t="s">
        <v>6644</v>
      </c>
      <c r="D21" t="str" cm="1">
        <f t="array" ref="D21">TRANSPOSE(_xlfn._xlws.FILTER('Controllable Asset Registry'!$A$4:$A$764,IFERROR('Controllable Asset Registry'!$E$4:$E$764=A21,FALSE),"No Equipment in entity"))</f>
        <v>No Equipment in entity</v>
      </c>
    </row>
    <row r="22" spans="1:6" x14ac:dyDescent="0.3">
      <c r="A22" t="s">
        <v>6645</v>
      </c>
      <c r="B22" t="s">
        <v>5871</v>
      </c>
      <c r="C22" t="s">
        <v>6646</v>
      </c>
      <c r="D22" t="str" cm="1">
        <f t="array" ref="D22">TRANSPOSE(_xlfn._xlws.FILTER('Controllable Asset Registry'!$A$4:$A$764,IFERROR('Controllable Asset Registry'!$E$4:$E$764=A22,FALSE),"No Equipment in entity"))</f>
        <v>No Equipment in entity</v>
      </c>
    </row>
    <row r="23" spans="1:6" x14ac:dyDescent="0.3">
      <c r="A23" t="s">
        <v>6035</v>
      </c>
      <c r="B23" t="s">
        <v>5858</v>
      </c>
      <c r="C23" t="s">
        <v>6647</v>
      </c>
      <c r="D23" t="str" cm="1">
        <f t="array" ref="D23">TRANSPOSE(_xlfn._xlws.FILTER('Controllable Asset Registry'!$A$4:$A$764,IFERROR('Controllable Asset Registry'!$E$4:$E$764=A23,FALSE),"No Equipment in entity"))</f>
        <v>AHUB_0007</v>
      </c>
    </row>
    <row r="24" spans="1:6" x14ac:dyDescent="0.3">
      <c r="A24" t="s">
        <v>6648</v>
      </c>
      <c r="B24" t="s">
        <v>5861</v>
      </c>
      <c r="C24" t="s">
        <v>6649</v>
      </c>
      <c r="D24" t="str" cm="1">
        <f t="array" ref="D24">TRANSPOSE(_xlfn._xlws.FILTER('Controllable Asset Registry'!$A$4:$A$764,IFERROR('Controllable Asset Registry'!$E$4:$E$764=A24,FALSE),"No Equipment in entity"))</f>
        <v>No Equipment in entity</v>
      </c>
    </row>
    <row r="25" spans="1:6" x14ac:dyDescent="0.3">
      <c r="A25" t="s">
        <v>6650</v>
      </c>
      <c r="B25" t="s">
        <v>5867</v>
      </c>
      <c r="C25" t="s">
        <v>6651</v>
      </c>
      <c r="D25" t="str" cm="1">
        <f t="array" ref="D25">TRANSPOSE(_xlfn._xlws.FILTER('Controllable Asset Registry'!$A$4:$A$764,IFERROR('Controllable Asset Registry'!$E$4:$E$764=A25,FALSE),"No Equipment in entity"))</f>
        <v>No Equipment in entity</v>
      </c>
    </row>
    <row r="26" spans="1:6" x14ac:dyDescent="0.3">
      <c r="A26" t="s">
        <v>6652</v>
      </c>
      <c r="B26" t="s">
        <v>5855</v>
      </c>
      <c r="C26" t="s">
        <v>6653</v>
      </c>
      <c r="D26" t="str" cm="1">
        <f t="array" ref="D26">TRANSPOSE(_xlfn._xlws.FILTER('Controllable Asset Registry'!$A$4:$A$764,IFERROR('Controllable Asset Registry'!$E$4:$E$764=A26,FALSE),"No Equipment in entity"))</f>
        <v>No Equipment in entity</v>
      </c>
    </row>
    <row r="27" spans="1:6" x14ac:dyDescent="0.3">
      <c r="A27" t="s">
        <v>6654</v>
      </c>
      <c r="B27" t="s">
        <v>5864</v>
      </c>
      <c r="C27" t="s">
        <v>6655</v>
      </c>
      <c r="D27" t="str" cm="1">
        <f t="array" ref="D27">TRANSPOSE(_xlfn._xlws.FILTER('Controllable Asset Registry'!$A$4:$A$764,IFERROR('Controllable Asset Registry'!$E$4:$E$764=A27,FALSE),"No Equipment in entity"))</f>
        <v>No Equipment in entity</v>
      </c>
    </row>
    <row r="28" spans="1:6" x14ac:dyDescent="0.3">
      <c r="A28" t="s">
        <v>6656</v>
      </c>
      <c r="B28" t="s">
        <v>6657</v>
      </c>
      <c r="C28" t="s">
        <v>6658</v>
      </c>
      <c r="D28" t="str" cm="1">
        <f t="array" ref="D28">TRANSPOSE(_xlfn._xlws.FILTER('Controllable Asset Registry'!$A$4:$A$764,IFERROR('Controllable Asset Registry'!$E$4:$E$764=A28,FALSE),"No Equipment in entity"))</f>
        <v>No Equipment in entity</v>
      </c>
    </row>
    <row r="29" spans="1:6" x14ac:dyDescent="0.3">
      <c r="A29" t="s">
        <v>6659</v>
      </c>
      <c r="B29" t="s">
        <v>6660</v>
      </c>
      <c r="C29" t="s">
        <v>6661</v>
      </c>
      <c r="D29" t="str" cm="1">
        <f t="array" ref="D29">TRANSPOSE(_xlfn._xlws.FILTER('Controllable Asset Registry'!$A$4:$A$764,IFERROR('Controllable Asset Registry'!$E$4:$E$764=A29,FALSE),"No Equipment in entity"))</f>
        <v>No Equipment in entity</v>
      </c>
    </row>
    <row r="30" spans="1:6" x14ac:dyDescent="0.3">
      <c r="A30" t="s">
        <v>6122</v>
      </c>
      <c r="B30" t="s">
        <v>6662</v>
      </c>
      <c r="C30" t="s">
        <v>6663</v>
      </c>
      <c r="D30" t="str" cm="1">
        <f t="array" ref="D30:E30">TRANSPOSE(_xlfn._xlws.FILTER('Controllable Asset Registry'!$A$4:$A$764,IFERROR('Controllable Asset Registry'!$E$4:$E$764=A30,FALSE),"No Equipment in entity"))</f>
        <v>VAV0002</v>
      </c>
      <c r="E30" t="str">
        <v>VAV0003</v>
      </c>
    </row>
    <row r="31" spans="1:6" x14ac:dyDescent="0.3">
      <c r="A31" t="s">
        <v>6664</v>
      </c>
      <c r="B31" t="s">
        <v>6665</v>
      </c>
      <c r="C31" t="s">
        <v>6666</v>
      </c>
      <c r="D31" t="str" cm="1">
        <f t="array" ref="D31">TRANSPOSE(_xlfn._xlws.FILTER('Controllable Asset Registry'!$A$4:$A$764,IFERROR('Controllable Asset Registry'!$E$4:$E$764=A31,FALSE),"No Equipment in entity"))</f>
        <v>No Equipment in entity</v>
      </c>
    </row>
    <row r="32" spans="1:6" x14ac:dyDescent="0.3">
      <c r="A32" t="s">
        <v>6039</v>
      </c>
      <c r="B32" t="s">
        <v>6667</v>
      </c>
      <c r="C32" t="s">
        <v>6668</v>
      </c>
      <c r="D32" t="str" cm="1">
        <f t="array" ref="D32">TRANSPOSE(_xlfn._xlws.FILTER('Controllable Asset Registry'!$A$4:$A$764,IFERROR('Controllable Asset Registry'!$E$4:$E$764=A32,FALSE),"No Equipment in entity"))</f>
        <v>FCU0003</v>
      </c>
    </row>
    <row r="33" spans="1:5" x14ac:dyDescent="0.3">
      <c r="A33" t="s">
        <v>6669</v>
      </c>
      <c r="B33" t="s">
        <v>6670</v>
      </c>
      <c r="C33" t="s">
        <v>6671</v>
      </c>
      <c r="D33" t="str" cm="1">
        <f t="array" ref="D33">TRANSPOSE(_xlfn._xlws.FILTER('Controllable Asset Registry'!$A$4:$A$764,IFERROR('Controllable Asset Registry'!$E$4:$E$764=A33,FALSE),"No Equipment in entity"))</f>
        <v>No Equipment in entity</v>
      </c>
    </row>
    <row r="34" spans="1:5" x14ac:dyDescent="0.3">
      <c r="A34" t="s">
        <v>6123</v>
      </c>
      <c r="B34" t="s">
        <v>6672</v>
      </c>
      <c r="C34" t="s">
        <v>6673</v>
      </c>
      <c r="D34" t="str" cm="1">
        <f t="array" ref="D34">TRANSPOSE(_xlfn._xlws.FILTER('Controllable Asset Registry'!$A$4:$A$764,IFERROR('Controllable Asset Registry'!$E$4:$E$764=A34,FALSE),"No Equipment in entity"))</f>
        <v>VAV0004</v>
      </c>
    </row>
    <row r="35" spans="1:5" x14ac:dyDescent="0.3">
      <c r="A35" t="s">
        <v>6674</v>
      </c>
      <c r="B35" t="s">
        <v>6675</v>
      </c>
      <c r="C35" t="s">
        <v>6676</v>
      </c>
      <c r="D35" t="str" cm="1">
        <f t="array" ref="D35">TRANSPOSE(_xlfn._xlws.FILTER('Controllable Asset Registry'!$A$4:$A$764,IFERROR('Controllable Asset Registry'!$E$4:$E$764=A35,FALSE),"No Equipment in entity"))</f>
        <v>No Equipment in entity</v>
      </c>
    </row>
    <row r="36" spans="1:5" x14ac:dyDescent="0.3">
      <c r="A36" t="s">
        <v>6677</v>
      </c>
      <c r="B36" t="s">
        <v>6678</v>
      </c>
      <c r="C36" t="s">
        <v>6676</v>
      </c>
      <c r="D36" t="str" cm="1">
        <f t="array" ref="D36">TRANSPOSE(_xlfn._xlws.FILTER('Controllable Asset Registry'!$A$4:$A$764,IFERROR('Controllable Asset Registry'!$E$4:$E$764=A36,FALSE),"No Equipment in entity"))</f>
        <v>No Equipment in entity</v>
      </c>
    </row>
    <row r="37" spans="1:5" x14ac:dyDescent="0.3">
      <c r="A37" t="s">
        <v>6040</v>
      </c>
      <c r="B37" t="s">
        <v>6679</v>
      </c>
      <c r="C37" t="s">
        <v>6680</v>
      </c>
      <c r="D37" t="str" cm="1">
        <f t="array" ref="D37">TRANSPOSE(_xlfn._xlws.FILTER('Controllable Asset Registry'!$A$4:$A$764,IFERROR('Controllable Asset Registry'!$E$4:$E$764=A37,FALSE),"No Equipment in entity"))</f>
        <v>FCU0004</v>
      </c>
    </row>
    <row r="38" spans="1:5" x14ac:dyDescent="0.3">
      <c r="A38" t="s">
        <v>6681</v>
      </c>
      <c r="B38" t="s">
        <v>6682</v>
      </c>
      <c r="C38" t="s">
        <v>6646</v>
      </c>
      <c r="D38" t="str" cm="1">
        <f t="array" ref="D38">TRANSPOSE(_xlfn._xlws.FILTER('Controllable Asset Registry'!$A$4:$A$764,IFERROR('Controllable Asset Registry'!$E$4:$E$764=A38,FALSE),"No Equipment in entity"))</f>
        <v>No Equipment in entity</v>
      </c>
    </row>
    <row r="39" spans="1:5" x14ac:dyDescent="0.3">
      <c r="A39" t="s">
        <v>6683</v>
      </c>
      <c r="B39" t="s">
        <v>6684</v>
      </c>
      <c r="C39" t="s">
        <v>6685</v>
      </c>
      <c r="D39" t="str" cm="1">
        <f t="array" ref="D39">TRANSPOSE(_xlfn._xlws.FILTER('Controllable Asset Registry'!$A$4:$A$764,IFERROR('Controllable Asset Registry'!$E$4:$E$764=A39,FALSE),"No Equipment in entity"))</f>
        <v>No Equipment in entity</v>
      </c>
    </row>
    <row r="40" spans="1:5" x14ac:dyDescent="0.3">
      <c r="A40" t="s">
        <v>6124</v>
      </c>
      <c r="B40" t="s">
        <v>6686</v>
      </c>
      <c r="C40" t="s">
        <v>6687</v>
      </c>
      <c r="D40" t="str" cm="1">
        <f t="array" ref="D40:E40">TRANSPOSE(_xlfn._xlws.FILTER('Controllable Asset Registry'!$A$4:$A$764,IFERROR('Controllable Asset Registry'!$E$4:$E$764=A40,FALSE),"No Equipment in entity"))</f>
        <v>VAV0005</v>
      </c>
      <c r="E40" t="str">
        <v>VAV0006</v>
      </c>
    </row>
    <row r="41" spans="1:5" x14ac:dyDescent="0.3">
      <c r="A41" t="s">
        <v>6046</v>
      </c>
      <c r="B41" t="s">
        <v>6688</v>
      </c>
      <c r="C41" t="s">
        <v>6689</v>
      </c>
      <c r="D41" t="str" cm="1">
        <f t="array" ref="D41">TRANSPOSE(_xlfn._xlws.FILTER('Controllable Asset Registry'!$A$4:$A$764,IFERROR('Controllable Asset Registry'!$E$4:$E$764=A41,FALSE),"No Equipment in entity"))</f>
        <v>FCU0011</v>
      </c>
    </row>
    <row r="42" spans="1:5" x14ac:dyDescent="0.3">
      <c r="A42" t="s">
        <v>6690</v>
      </c>
      <c r="B42" t="s">
        <v>6691</v>
      </c>
      <c r="C42" t="s">
        <v>6692</v>
      </c>
      <c r="D42" t="str" cm="1">
        <f t="array" ref="D42">TRANSPOSE(_xlfn._xlws.FILTER('Controllable Asset Registry'!$A$4:$A$764,IFERROR('Controllable Asset Registry'!$E$4:$E$764=A42,FALSE),"No Equipment in entity"))</f>
        <v>No Equipment in entity</v>
      </c>
    </row>
    <row r="43" spans="1:5" x14ac:dyDescent="0.3">
      <c r="A43" t="s">
        <v>6693</v>
      </c>
      <c r="B43" t="s">
        <v>6694</v>
      </c>
      <c r="C43" t="s">
        <v>6695</v>
      </c>
      <c r="D43" t="str" cm="1">
        <f t="array" ref="D43">TRANSPOSE(_xlfn._xlws.FILTER('Controllable Asset Registry'!$A$4:$A$764,IFERROR('Controllable Asset Registry'!$E$4:$E$764=A43,FALSE),"No Equipment in entity"))</f>
        <v>No Equipment in entity</v>
      </c>
    </row>
    <row r="44" spans="1:5" x14ac:dyDescent="0.3">
      <c r="A44" t="s">
        <v>6696</v>
      </c>
      <c r="B44" t="s">
        <v>6697</v>
      </c>
      <c r="C44" t="s">
        <v>6698</v>
      </c>
      <c r="D44" t="str" cm="1">
        <f t="array" ref="D44">TRANSPOSE(_xlfn._xlws.FILTER('Controllable Asset Registry'!$A$4:$A$764,IFERROR('Controllable Asset Registry'!$E$4:$E$764=A44,FALSE),"No Equipment in entity"))</f>
        <v>No Equipment in entity</v>
      </c>
    </row>
    <row r="45" spans="1:5" x14ac:dyDescent="0.3">
      <c r="A45" t="s">
        <v>6699</v>
      </c>
      <c r="B45" t="s">
        <v>6700</v>
      </c>
      <c r="C45" t="s">
        <v>6701</v>
      </c>
      <c r="D45" t="str" cm="1">
        <f t="array" ref="D45">TRANSPOSE(_xlfn._xlws.FILTER('Controllable Asset Registry'!$A$4:$A$764,IFERROR('Controllable Asset Registry'!$E$4:$E$764=A45,FALSE),"No Equipment in entity"))</f>
        <v>No Equipment in entity</v>
      </c>
    </row>
    <row r="46" spans="1:5" x14ac:dyDescent="0.3">
      <c r="A46" t="s">
        <v>6042</v>
      </c>
      <c r="B46" t="s">
        <v>6702</v>
      </c>
      <c r="C46" t="s">
        <v>6703</v>
      </c>
      <c r="D46" t="str" cm="1">
        <f t="array" ref="D46">TRANSPOSE(_xlfn._xlws.FILTER('Controllable Asset Registry'!$A$4:$A$764,IFERROR('Controllable Asset Registry'!$E$4:$E$764=A46,FALSE),"No Equipment in entity"))</f>
        <v>FCU0006</v>
      </c>
    </row>
    <row r="47" spans="1:5" x14ac:dyDescent="0.3">
      <c r="A47" t="s">
        <v>6043</v>
      </c>
      <c r="B47" t="s">
        <v>6704</v>
      </c>
      <c r="C47" t="s">
        <v>6703</v>
      </c>
      <c r="D47" t="str" cm="1">
        <f t="array" ref="D47">TRANSPOSE(_xlfn._xlws.FILTER('Controllable Asset Registry'!$A$4:$A$764,IFERROR('Controllable Asset Registry'!$E$4:$E$764=A47,FALSE),"No Equipment in entity"))</f>
        <v>FCU0007</v>
      </c>
    </row>
    <row r="48" spans="1:5" x14ac:dyDescent="0.3">
      <c r="A48" t="s">
        <v>6041</v>
      </c>
      <c r="B48" t="s">
        <v>6705</v>
      </c>
      <c r="C48" t="s">
        <v>6706</v>
      </c>
      <c r="D48" t="str" cm="1">
        <f t="array" ref="D48">TRANSPOSE(_xlfn._xlws.FILTER('Controllable Asset Registry'!$A$4:$A$764,IFERROR('Controllable Asset Registry'!$E$4:$E$764=A48,FALSE),"No Equipment in entity"))</f>
        <v>FCU0005</v>
      </c>
    </row>
    <row r="49" spans="1:4" x14ac:dyDescent="0.3">
      <c r="A49" t="s">
        <v>6707</v>
      </c>
      <c r="B49" t="s">
        <v>6708</v>
      </c>
      <c r="C49" t="s">
        <v>6709</v>
      </c>
      <c r="D49" t="str" cm="1">
        <f t="array" ref="D49">TRANSPOSE(_xlfn._xlws.FILTER('Controllable Asset Registry'!$A$4:$A$764,IFERROR('Controllable Asset Registry'!$E$4:$E$764=A49,FALSE),"No Equipment in entity"))</f>
        <v>No Equipment in entity</v>
      </c>
    </row>
    <row r="50" spans="1:4" x14ac:dyDescent="0.3">
      <c r="A50" t="s">
        <v>6710</v>
      </c>
      <c r="B50" t="s">
        <v>6711</v>
      </c>
      <c r="C50" t="s">
        <v>5842</v>
      </c>
      <c r="D50" t="str" cm="1">
        <f t="array" ref="D50">TRANSPOSE(_xlfn._xlws.FILTER('Controllable Asset Registry'!$A$4:$A$764,IFERROR('Controllable Asset Registry'!$E$4:$E$764=A50,FALSE),"No Equipment in entity"))</f>
        <v>No Equipment in entity</v>
      </c>
    </row>
    <row r="51" spans="1:4" x14ac:dyDescent="0.3">
      <c r="A51" t="s">
        <v>6712</v>
      </c>
      <c r="B51" t="s">
        <v>6713</v>
      </c>
      <c r="C51" t="s">
        <v>5839</v>
      </c>
      <c r="D51" t="str" cm="1">
        <f t="array" ref="D51">TRANSPOSE(_xlfn._xlws.FILTER('Controllable Asset Registry'!$A$4:$A$764,IFERROR('Controllable Asset Registry'!$E$4:$E$764=A51,FALSE),"No Equipment in entity"))</f>
        <v>No Equipment in entity</v>
      </c>
    </row>
    <row r="52" spans="1:4" x14ac:dyDescent="0.3">
      <c r="A52" t="s">
        <v>6037</v>
      </c>
      <c r="B52" t="s">
        <v>6714</v>
      </c>
      <c r="C52" t="s">
        <v>6715</v>
      </c>
      <c r="D52" t="str" cm="1">
        <f t="array" ref="D52">TRANSPOSE(_xlfn._xlws.FILTER('Controllable Asset Registry'!$A$4:$A$764,IFERROR('Controllable Asset Registry'!$E$4:$E$764=A52,FALSE),"No Equipment in entity"))</f>
        <v>FCU0001</v>
      </c>
    </row>
    <row r="53" spans="1:4" x14ac:dyDescent="0.3">
      <c r="A53" t="s">
        <v>6716</v>
      </c>
      <c r="B53" t="s">
        <v>6717</v>
      </c>
      <c r="C53" t="s">
        <v>5839</v>
      </c>
      <c r="D53" t="str" cm="1">
        <f t="array" ref="D53">TRANSPOSE(_xlfn._xlws.FILTER('Controllable Asset Registry'!$A$4:$A$764,IFERROR('Controllable Asset Registry'!$E$4:$E$764=A53,FALSE),"No Equipment in entity"))</f>
        <v>No Equipment in entity</v>
      </c>
    </row>
    <row r="54" spans="1:4" x14ac:dyDescent="0.3">
      <c r="A54" t="s">
        <v>6718</v>
      </c>
      <c r="B54" t="s">
        <v>6719</v>
      </c>
      <c r="C54" t="s">
        <v>5839</v>
      </c>
      <c r="D54" t="str" cm="1">
        <f t="array" ref="D54">TRANSPOSE(_xlfn._xlws.FILTER('Controllable Asset Registry'!$A$4:$A$764,IFERROR('Controllable Asset Registry'!$E$4:$E$764=A54,FALSE),"No Equipment in entity"))</f>
        <v>No Equipment in entity</v>
      </c>
    </row>
    <row r="55" spans="1:4" x14ac:dyDescent="0.3">
      <c r="A55" t="s">
        <v>6720</v>
      </c>
      <c r="B55" t="s">
        <v>6721</v>
      </c>
      <c r="C55" t="s">
        <v>5839</v>
      </c>
      <c r="D55" t="str" cm="1">
        <f t="array" ref="D55">TRANSPOSE(_xlfn._xlws.FILTER('Controllable Asset Registry'!$A$4:$A$764,IFERROR('Controllable Asset Registry'!$E$4:$E$764=A55,FALSE),"No Equipment in entity"))</f>
        <v>No Equipment in entity</v>
      </c>
    </row>
    <row r="56" spans="1:4" x14ac:dyDescent="0.3">
      <c r="A56" t="s">
        <v>6722</v>
      </c>
      <c r="B56" t="s">
        <v>6723</v>
      </c>
      <c r="C56" t="s">
        <v>6724</v>
      </c>
      <c r="D56" t="str" cm="1">
        <f t="array" ref="D56">TRANSPOSE(_xlfn._xlws.FILTER('Controllable Asset Registry'!$A$4:$A$764,IFERROR('Controllable Asset Registry'!$E$4:$E$764=A56,FALSE),"No Equipment in entity"))</f>
        <v>No Equipment in entity</v>
      </c>
    </row>
    <row r="57" spans="1:4" x14ac:dyDescent="0.3">
      <c r="A57" t="s">
        <v>6725</v>
      </c>
      <c r="B57" t="s">
        <v>6726</v>
      </c>
      <c r="C57" t="s">
        <v>5816</v>
      </c>
      <c r="D57" t="str" cm="1">
        <f t="array" ref="D57">TRANSPOSE(_xlfn._xlws.FILTER('Controllable Asset Registry'!$A$4:$A$764,IFERROR('Controllable Asset Registry'!$E$4:$E$764=A57,FALSE),"No Equipment in entity"))</f>
        <v>No Equipment in entity</v>
      </c>
    </row>
    <row r="58" spans="1:4" x14ac:dyDescent="0.3">
      <c r="A58" t="s">
        <v>6727</v>
      </c>
      <c r="B58" t="s">
        <v>6728</v>
      </c>
      <c r="C58" t="s">
        <v>5816</v>
      </c>
      <c r="D58" t="str" cm="1">
        <f t="array" ref="D58">TRANSPOSE(_xlfn._xlws.FILTER('Controllable Asset Registry'!$A$4:$A$764,IFERROR('Controllable Asset Registry'!$E$4:$E$764=A58,FALSE),"No Equipment in entity"))</f>
        <v>No Equipment in entity</v>
      </c>
    </row>
    <row r="59" spans="1:4" x14ac:dyDescent="0.3">
      <c r="A59" t="s">
        <v>6729</v>
      </c>
      <c r="B59" t="s">
        <v>6730</v>
      </c>
      <c r="C59" t="s">
        <v>5816</v>
      </c>
      <c r="D59" t="str" cm="1">
        <f t="array" ref="D59">TRANSPOSE(_xlfn._xlws.FILTER('Controllable Asset Registry'!$A$4:$A$764,IFERROR('Controllable Asset Registry'!$E$4:$E$764=A59,FALSE),"No Equipment in entity"))</f>
        <v>No Equipment in entity</v>
      </c>
    </row>
    <row r="60" spans="1:4" x14ac:dyDescent="0.3">
      <c r="A60" t="s">
        <v>6731</v>
      </c>
      <c r="B60" t="s">
        <v>6732</v>
      </c>
      <c r="C60" t="s">
        <v>5816</v>
      </c>
      <c r="D60" t="str" cm="1">
        <f t="array" ref="D60">TRANSPOSE(_xlfn._xlws.FILTER('Controllable Asset Registry'!$A$4:$A$764,IFERROR('Controllable Asset Registry'!$E$4:$E$764=A60,FALSE),"No Equipment in entity"))</f>
        <v>No Equipment in entity</v>
      </c>
    </row>
    <row r="61" spans="1:4" x14ac:dyDescent="0.3">
      <c r="A61" t="s">
        <v>6733</v>
      </c>
      <c r="B61" t="s">
        <v>6734</v>
      </c>
      <c r="C61" t="s">
        <v>6735</v>
      </c>
      <c r="D61" t="str" cm="1">
        <f t="array" ref="D61">TRANSPOSE(_xlfn._xlws.FILTER('Controllable Asset Registry'!$A$4:$A$764,IFERROR('Controllable Asset Registry'!$E$4:$E$764=A61,FALSE),"No Equipment in entity"))</f>
        <v>No Equipment in entity</v>
      </c>
    </row>
    <row r="62" spans="1:4" x14ac:dyDescent="0.3">
      <c r="A62" t="s">
        <v>6736</v>
      </c>
      <c r="B62" t="s">
        <v>6737</v>
      </c>
      <c r="C62" t="s">
        <v>6738</v>
      </c>
      <c r="D62" t="str" cm="1">
        <f t="array" ref="D62">TRANSPOSE(_xlfn._xlws.FILTER('Controllable Asset Registry'!$A$4:$A$764,IFERROR('Controllable Asset Registry'!$E$4:$E$764=A62,FALSE),"No Equipment in entity"))</f>
        <v>No Equipment in entity</v>
      </c>
    </row>
    <row r="63" spans="1:4" x14ac:dyDescent="0.3">
      <c r="A63" t="s">
        <v>6739</v>
      </c>
      <c r="B63" t="s">
        <v>6740</v>
      </c>
      <c r="C63" t="s">
        <v>6741</v>
      </c>
      <c r="D63" t="str" cm="1">
        <f t="array" ref="D63">TRANSPOSE(_xlfn._xlws.FILTER('Controllable Asset Registry'!$A$4:$A$764,IFERROR('Controllable Asset Registry'!$E$4:$E$764=A63,FALSE),"No Equipment in entity"))</f>
        <v>No Equipment in entity</v>
      </c>
    </row>
    <row r="64" spans="1:4" x14ac:dyDescent="0.3">
      <c r="A64" t="s">
        <v>6742</v>
      </c>
      <c r="B64" t="s">
        <v>6743</v>
      </c>
      <c r="C64" t="s">
        <v>6744</v>
      </c>
      <c r="D64" t="str" cm="1">
        <f t="array" ref="D64">TRANSPOSE(_xlfn._xlws.FILTER('Controllable Asset Registry'!$A$4:$A$764,IFERROR('Controllable Asset Registry'!$E$4:$E$764=A64,FALSE),"No Equipment in entity"))</f>
        <v>No Equipment in entity</v>
      </c>
    </row>
    <row r="65" spans="1:4" x14ac:dyDescent="0.3">
      <c r="A65" t="s">
        <v>6745</v>
      </c>
      <c r="B65" t="s">
        <v>6746</v>
      </c>
      <c r="C65" t="s">
        <v>6747</v>
      </c>
      <c r="D65" t="str" cm="1">
        <f t="array" ref="D65">TRANSPOSE(_xlfn._xlws.FILTER('Controllable Asset Registry'!$A$4:$A$764,IFERROR('Controllable Asset Registry'!$E$4:$E$764=A65,FALSE),"No Equipment in entity"))</f>
        <v>No Equipment in entity</v>
      </c>
    </row>
    <row r="66" spans="1:4" x14ac:dyDescent="0.3">
      <c r="A66" t="s">
        <v>6748</v>
      </c>
      <c r="B66" t="s">
        <v>6749</v>
      </c>
      <c r="C66" t="s">
        <v>6750</v>
      </c>
      <c r="D66" t="str" cm="1">
        <f t="array" ref="D66">TRANSPOSE(_xlfn._xlws.FILTER('Controllable Asset Registry'!$A$4:$A$764,IFERROR('Controllable Asset Registry'!$E$4:$E$764=A66,FALSE),"No Equipment in entity"))</f>
        <v>No Equipment in entity</v>
      </c>
    </row>
    <row r="67" spans="1:4" x14ac:dyDescent="0.3">
      <c r="A67" t="s">
        <v>6751</v>
      </c>
      <c r="B67" t="s">
        <v>6752</v>
      </c>
      <c r="C67" t="s">
        <v>6753</v>
      </c>
      <c r="D67" t="str" cm="1">
        <f t="array" ref="D67">TRANSPOSE(_xlfn._xlws.FILTER('Controllable Asset Registry'!$A$4:$A$764,IFERROR('Controllable Asset Registry'!$E$4:$E$764=A67,FALSE),"No Equipment in entity"))</f>
        <v>No Equipment in entity</v>
      </c>
    </row>
    <row r="68" spans="1:4" x14ac:dyDescent="0.3">
      <c r="A68" t="s">
        <v>6754</v>
      </c>
      <c r="B68" t="s">
        <v>5790</v>
      </c>
      <c r="C68" t="s">
        <v>6755</v>
      </c>
      <c r="D68" t="str" cm="1">
        <f t="array" ref="D68">TRANSPOSE(_xlfn._xlws.FILTER('Controllable Asset Registry'!$A$4:$A$764,IFERROR('Controllable Asset Registry'!$E$4:$E$764=A68,FALSE),"No Equipment in entity"))</f>
        <v>No Equipment in entity</v>
      </c>
    </row>
    <row r="69" spans="1:4" x14ac:dyDescent="0.3">
      <c r="A69" t="s">
        <v>6756</v>
      </c>
      <c r="B69" t="s">
        <v>5831</v>
      </c>
      <c r="C69" t="s">
        <v>6757</v>
      </c>
      <c r="D69" t="str" cm="1">
        <f t="array" ref="D69">TRANSPOSE(_xlfn._xlws.FILTER('Controllable Asset Registry'!$A$4:$A$764,IFERROR('Controllable Asset Registry'!$E$4:$E$764=A69,FALSE),"No Equipment in entity"))</f>
        <v>No Equipment in entity</v>
      </c>
    </row>
    <row r="70" spans="1:4" x14ac:dyDescent="0.3">
      <c r="A70" t="s">
        <v>6758</v>
      </c>
      <c r="B70" t="s">
        <v>6759</v>
      </c>
      <c r="C70" t="s">
        <v>6760</v>
      </c>
      <c r="D70" t="str" cm="1">
        <f t="array" ref="D70">TRANSPOSE(_xlfn._xlws.FILTER('Controllable Asset Registry'!$A$4:$A$764,IFERROR('Controllable Asset Registry'!$E$4:$E$764=A70,FALSE),"No Equipment in entity"))</f>
        <v>No Equipment in entity</v>
      </c>
    </row>
    <row r="71" spans="1:4" x14ac:dyDescent="0.3">
      <c r="A71" t="s">
        <v>6761</v>
      </c>
      <c r="B71" t="s">
        <v>6762</v>
      </c>
      <c r="C71" t="s">
        <v>6763</v>
      </c>
      <c r="D71" t="str" cm="1">
        <f t="array" ref="D71">TRANSPOSE(_xlfn._xlws.FILTER('Controllable Asset Registry'!$A$4:$A$764,IFERROR('Controllable Asset Registry'!$E$4:$E$764=A71,FALSE),"No Equipment in entity"))</f>
        <v>No Equipment in entity</v>
      </c>
    </row>
    <row r="72" spans="1:4" x14ac:dyDescent="0.3">
      <c r="A72" t="s">
        <v>6144</v>
      </c>
      <c r="B72" t="s">
        <v>6764</v>
      </c>
      <c r="C72" t="s">
        <v>6765</v>
      </c>
      <c r="D72" t="str" cm="1">
        <f t="array" ref="D72">TRANSPOSE(_xlfn._xlws.FILTER('Controllable Asset Registry'!$A$4:$A$764,IFERROR('Controllable Asset Registry'!$E$4:$E$764=A72,FALSE),"No Equipment in entity"))</f>
        <v>VAV0029</v>
      </c>
    </row>
    <row r="73" spans="1:4" x14ac:dyDescent="0.3">
      <c r="A73" t="s">
        <v>6143</v>
      </c>
      <c r="B73" t="s">
        <v>6766</v>
      </c>
      <c r="C73" t="s">
        <v>6765</v>
      </c>
      <c r="D73" t="str" cm="1">
        <f t="array" ref="D73">TRANSPOSE(_xlfn._xlws.FILTER('Controllable Asset Registry'!$A$4:$A$764,IFERROR('Controllable Asset Registry'!$E$4:$E$764=A73,FALSE),"No Equipment in entity"))</f>
        <v>VAV0028</v>
      </c>
    </row>
    <row r="74" spans="1:4" x14ac:dyDescent="0.3">
      <c r="A74" t="s">
        <v>6142</v>
      </c>
      <c r="B74" t="s">
        <v>6767</v>
      </c>
      <c r="C74" t="s">
        <v>6765</v>
      </c>
      <c r="D74" t="str" cm="1">
        <f t="array" ref="D74">TRANSPOSE(_xlfn._xlws.FILTER('Controllable Asset Registry'!$A$4:$A$764,IFERROR('Controllable Asset Registry'!$E$4:$E$764=A74,FALSE),"No Equipment in entity"))</f>
        <v>VAV0027</v>
      </c>
    </row>
    <row r="75" spans="1:4" x14ac:dyDescent="0.3">
      <c r="A75" t="s">
        <v>6051</v>
      </c>
      <c r="B75" t="s">
        <v>6768</v>
      </c>
      <c r="C75" t="s">
        <v>6769</v>
      </c>
      <c r="D75" t="str" cm="1">
        <f t="array" ref="D75">TRANSPOSE(_xlfn._xlws.FILTER('Controllable Asset Registry'!$A$4:$A$764,IFERROR('Controllable Asset Registry'!$E$4:$E$764=A75,FALSE),"No Equipment in entity"))</f>
        <v>FCU0017</v>
      </c>
    </row>
    <row r="76" spans="1:4" x14ac:dyDescent="0.3">
      <c r="A76" t="s">
        <v>6770</v>
      </c>
      <c r="B76" t="s">
        <v>6771</v>
      </c>
      <c r="C76" t="s">
        <v>6772</v>
      </c>
      <c r="D76" t="str" cm="1">
        <f t="array" ref="D76">TRANSPOSE(_xlfn._xlws.FILTER('Controllable Asset Registry'!$A$4:$A$764,IFERROR('Controllable Asset Registry'!$E$4:$E$764=A76,FALSE),"No Equipment in entity"))</f>
        <v>No Equipment in entity</v>
      </c>
    </row>
    <row r="77" spans="1:4" x14ac:dyDescent="0.3">
      <c r="A77" t="s">
        <v>6773</v>
      </c>
      <c r="B77" t="s">
        <v>6774</v>
      </c>
      <c r="C77" t="s">
        <v>6775</v>
      </c>
      <c r="D77" t="str" cm="1">
        <f t="array" ref="D77">TRANSPOSE(_xlfn._xlws.FILTER('Controllable Asset Registry'!$A$4:$A$764,IFERROR('Controllable Asset Registry'!$E$4:$E$764=A77,FALSE),"No Equipment in entity"))</f>
        <v>No Equipment in entity</v>
      </c>
    </row>
    <row r="78" spans="1:4" x14ac:dyDescent="0.3">
      <c r="A78" t="s">
        <v>6125</v>
      </c>
      <c r="B78" t="s">
        <v>6776</v>
      </c>
      <c r="C78" t="s">
        <v>6619</v>
      </c>
      <c r="D78" t="str" cm="1">
        <f t="array" ref="D78">TRANSPOSE(_xlfn._xlws.FILTER('Controllable Asset Registry'!$A$4:$A$764,IFERROR('Controllable Asset Registry'!$E$4:$E$764=A78,FALSE),"No Equipment in entity"))</f>
        <v>VAV0007</v>
      </c>
    </row>
    <row r="79" spans="1:4" x14ac:dyDescent="0.3">
      <c r="A79" t="s">
        <v>6126</v>
      </c>
      <c r="B79" t="s">
        <v>6777</v>
      </c>
      <c r="C79" t="s">
        <v>6765</v>
      </c>
      <c r="D79" t="str" cm="1">
        <f t="array" ref="D79">TRANSPOSE(_xlfn._xlws.FILTER('Controllable Asset Registry'!$A$4:$A$764,IFERROR('Controllable Asset Registry'!$E$4:$E$764=A79,FALSE),"No Equipment in entity"))</f>
        <v>VAV0008</v>
      </c>
    </row>
    <row r="80" spans="1:4" x14ac:dyDescent="0.3">
      <c r="A80" t="s">
        <v>6127</v>
      </c>
      <c r="B80" t="s">
        <v>6778</v>
      </c>
      <c r="C80" t="s">
        <v>6779</v>
      </c>
      <c r="D80" t="str" cm="1">
        <f t="array" ref="D80">TRANSPOSE(_xlfn._xlws.FILTER('Controllable Asset Registry'!$A$4:$A$764,IFERROR('Controllable Asset Registry'!$E$4:$E$764=A80,FALSE),"No Equipment in entity"))</f>
        <v>VAV0009</v>
      </c>
    </row>
    <row r="81" spans="1:4" x14ac:dyDescent="0.3">
      <c r="A81" t="s">
        <v>6128</v>
      </c>
      <c r="B81" t="s">
        <v>6780</v>
      </c>
      <c r="C81" t="s">
        <v>6765</v>
      </c>
      <c r="D81" t="str" cm="1">
        <f t="array" ref="D81">TRANSPOSE(_xlfn._xlws.FILTER('Controllable Asset Registry'!$A$4:$A$764,IFERROR('Controllable Asset Registry'!$E$4:$E$764=A81,FALSE),"No Equipment in entity"))</f>
        <v>VAV0011</v>
      </c>
    </row>
    <row r="82" spans="1:4" x14ac:dyDescent="0.3">
      <c r="A82" t="s">
        <v>6129</v>
      </c>
      <c r="B82" t="s">
        <v>6781</v>
      </c>
      <c r="C82" t="s">
        <v>6779</v>
      </c>
      <c r="D82" t="str" cm="1">
        <f t="array" ref="D82">TRANSPOSE(_xlfn._xlws.FILTER('Controllable Asset Registry'!$A$4:$A$764,IFERROR('Controllable Asset Registry'!$E$4:$E$764=A82,FALSE),"No Equipment in entity"))</f>
        <v>VAV0012</v>
      </c>
    </row>
    <row r="83" spans="1:4" x14ac:dyDescent="0.3">
      <c r="A83" t="s">
        <v>6602</v>
      </c>
      <c r="B83" t="s">
        <v>6782</v>
      </c>
      <c r="C83" t="s">
        <v>6779</v>
      </c>
      <c r="D83" t="str" cm="1">
        <f t="array" ref="D83">TRANSPOSE(_xlfn._xlws.FILTER('Controllable Asset Registry'!$A$4:$A$764,IFERROR('Controllable Asset Registry'!$E$4:$E$764=A83,FALSE),"No Equipment in entity"))</f>
        <v>VAV0607</v>
      </c>
    </row>
    <row r="84" spans="1:4" x14ac:dyDescent="0.3">
      <c r="A84" t="s">
        <v>6130</v>
      </c>
      <c r="B84" t="s">
        <v>6783</v>
      </c>
      <c r="C84" t="s">
        <v>6784</v>
      </c>
      <c r="D84" t="str" cm="1">
        <f t="array" ref="D84">TRANSPOSE(_xlfn._xlws.FILTER('Controllable Asset Registry'!$A$4:$A$764,IFERROR('Controllable Asset Registry'!$E$4:$E$764=A84,FALSE),"No Equipment in entity"))</f>
        <v>VAV0013</v>
      </c>
    </row>
    <row r="85" spans="1:4" x14ac:dyDescent="0.3">
      <c r="A85" t="s">
        <v>6131</v>
      </c>
      <c r="B85" t="s">
        <v>6785</v>
      </c>
      <c r="C85" t="s">
        <v>6779</v>
      </c>
      <c r="D85" t="str" cm="1">
        <f t="array" ref="D85">TRANSPOSE(_xlfn._xlws.FILTER('Controllable Asset Registry'!$A$4:$A$764,IFERROR('Controllable Asset Registry'!$E$4:$E$764=A85,FALSE),"No Equipment in entity"))</f>
        <v>VAV0014</v>
      </c>
    </row>
    <row r="86" spans="1:4" x14ac:dyDescent="0.3">
      <c r="A86" t="s">
        <v>6786</v>
      </c>
      <c r="B86" t="s">
        <v>6787</v>
      </c>
      <c r="C86" t="s">
        <v>6788</v>
      </c>
      <c r="D86" t="str" cm="1">
        <f t="array" ref="D86">TRANSPOSE(_xlfn._xlws.FILTER('Controllable Asset Registry'!$A$4:$A$764,IFERROR('Controllable Asset Registry'!$E$4:$E$764=A86,FALSE),"No Equipment in entity"))</f>
        <v>No Equipment in entity</v>
      </c>
    </row>
    <row r="87" spans="1:4" x14ac:dyDescent="0.3">
      <c r="A87" t="s">
        <v>6050</v>
      </c>
      <c r="B87" t="s">
        <v>6789</v>
      </c>
      <c r="C87" t="s">
        <v>6790</v>
      </c>
      <c r="D87" t="str" cm="1">
        <f t="array" ref="D87">TRANSPOSE(_xlfn._xlws.FILTER('Controllable Asset Registry'!$A$4:$A$764,IFERROR('Controllable Asset Registry'!$E$4:$E$764=A87,FALSE),"No Equipment in entity"))</f>
        <v>FCU0016</v>
      </c>
    </row>
    <row r="88" spans="1:4" x14ac:dyDescent="0.3">
      <c r="A88" t="s">
        <v>6132</v>
      </c>
      <c r="B88" t="s">
        <v>6791</v>
      </c>
      <c r="C88" t="s">
        <v>6779</v>
      </c>
      <c r="D88" t="str" cm="1">
        <f t="array" ref="D88">TRANSPOSE(_xlfn._xlws.FILTER('Controllable Asset Registry'!$A$4:$A$764,IFERROR('Controllable Asset Registry'!$E$4:$E$764=A88,FALSE),"No Equipment in entity"))</f>
        <v>VAV0015</v>
      </c>
    </row>
    <row r="89" spans="1:4" x14ac:dyDescent="0.3">
      <c r="A89" t="s">
        <v>6133</v>
      </c>
      <c r="B89" t="s">
        <v>6792</v>
      </c>
      <c r="C89" t="s">
        <v>6779</v>
      </c>
      <c r="D89" t="str" cm="1">
        <f t="array" ref="D89">TRANSPOSE(_xlfn._xlws.FILTER('Controllable Asset Registry'!$A$4:$A$764,IFERROR('Controllable Asset Registry'!$E$4:$E$764=A89,FALSE),"No Equipment in entity"))</f>
        <v>VAV0016</v>
      </c>
    </row>
    <row r="90" spans="1:4" x14ac:dyDescent="0.3">
      <c r="A90" t="s">
        <v>6134</v>
      </c>
      <c r="B90" t="s">
        <v>6793</v>
      </c>
      <c r="C90" t="s">
        <v>6779</v>
      </c>
      <c r="D90" t="str" cm="1">
        <f t="array" ref="D90">TRANSPOSE(_xlfn._xlws.FILTER('Controllable Asset Registry'!$A$4:$A$764,IFERROR('Controllable Asset Registry'!$E$4:$E$764=A90,FALSE),"No Equipment in entity"))</f>
        <v>VAV0017</v>
      </c>
    </row>
    <row r="91" spans="1:4" x14ac:dyDescent="0.3">
      <c r="A91" t="s">
        <v>6135</v>
      </c>
      <c r="B91" t="s">
        <v>6794</v>
      </c>
      <c r="C91" t="s">
        <v>6779</v>
      </c>
      <c r="D91" t="str" cm="1">
        <f t="array" ref="D91">TRANSPOSE(_xlfn._xlws.FILTER('Controllable Asset Registry'!$A$4:$A$764,IFERROR('Controllable Asset Registry'!$E$4:$E$764=A91,FALSE),"No Equipment in entity"))</f>
        <v>VAV0018</v>
      </c>
    </row>
    <row r="92" spans="1:4" x14ac:dyDescent="0.3">
      <c r="A92" t="s">
        <v>6136</v>
      </c>
      <c r="B92" t="s">
        <v>6795</v>
      </c>
      <c r="C92" t="s">
        <v>6796</v>
      </c>
      <c r="D92" t="str" cm="1">
        <f t="array" ref="D92">TRANSPOSE(_xlfn._xlws.FILTER('Controllable Asset Registry'!$A$4:$A$764,IFERROR('Controllable Asset Registry'!$E$4:$E$764=A92,FALSE),"No Equipment in entity"))</f>
        <v>VAV0019</v>
      </c>
    </row>
    <row r="93" spans="1:4" x14ac:dyDescent="0.3">
      <c r="A93" t="s">
        <v>6137</v>
      </c>
      <c r="B93" t="s">
        <v>6797</v>
      </c>
      <c r="C93" t="s">
        <v>6779</v>
      </c>
      <c r="D93" t="str" cm="1">
        <f t="array" ref="D93">TRANSPOSE(_xlfn._xlws.FILTER('Controllable Asset Registry'!$A$4:$A$764,IFERROR('Controllable Asset Registry'!$E$4:$E$764=A93,FALSE),"No Equipment in entity"))</f>
        <v>VAV0020</v>
      </c>
    </row>
    <row r="94" spans="1:4" x14ac:dyDescent="0.3">
      <c r="A94" t="s">
        <v>6798</v>
      </c>
      <c r="B94" t="s">
        <v>6799</v>
      </c>
      <c r="C94" t="s">
        <v>6800</v>
      </c>
      <c r="D94" t="str" cm="1">
        <f t="array" ref="D94">TRANSPOSE(_xlfn._xlws.FILTER('Controllable Asset Registry'!$A$4:$A$764,IFERROR('Controllable Asset Registry'!$E$4:$E$764=A94,FALSE),"No Equipment in entity"))</f>
        <v>No Equipment in entity</v>
      </c>
    </row>
    <row r="95" spans="1:4" x14ac:dyDescent="0.3">
      <c r="A95" t="s">
        <v>6157</v>
      </c>
      <c r="B95" t="s">
        <v>6801</v>
      </c>
      <c r="C95" t="s">
        <v>6802</v>
      </c>
      <c r="D95" t="str" cm="1">
        <f t="array" ref="D95">TRANSPOSE(_xlfn._xlws.FILTER('Controllable Asset Registry'!$A$4:$A$764,IFERROR('Controllable Asset Registry'!$E$4:$E$764=A95,FALSE),"No Equipment in entity"))</f>
        <v>VAV0044</v>
      </c>
    </row>
    <row r="96" spans="1:4" x14ac:dyDescent="0.3">
      <c r="A96" t="s">
        <v>6156</v>
      </c>
      <c r="B96" t="s">
        <v>6803</v>
      </c>
      <c r="C96" t="s">
        <v>6804</v>
      </c>
      <c r="D96" t="str" cm="1">
        <f t="array" ref="D96">TRANSPOSE(_xlfn._xlws.FILTER('Controllable Asset Registry'!$A$4:$A$764,IFERROR('Controllable Asset Registry'!$E$4:$E$764=A96,FALSE),"No Equipment in entity"))</f>
        <v>VAV0043</v>
      </c>
    </row>
    <row r="97" spans="1:7" x14ac:dyDescent="0.3">
      <c r="A97" t="s">
        <v>6805</v>
      </c>
      <c r="B97" t="s">
        <v>6806</v>
      </c>
      <c r="C97" t="s">
        <v>6788</v>
      </c>
      <c r="D97" t="str" cm="1">
        <f t="array" ref="D97">TRANSPOSE(_xlfn._xlws.FILTER('Controllable Asset Registry'!$A$4:$A$764,IFERROR('Controllable Asset Registry'!$E$4:$E$764=A97,FALSE),"No Equipment in entity"))</f>
        <v>No Equipment in entity</v>
      </c>
    </row>
    <row r="98" spans="1:7" x14ac:dyDescent="0.3">
      <c r="A98" t="s">
        <v>6155</v>
      </c>
      <c r="B98" t="s">
        <v>6807</v>
      </c>
      <c r="C98" t="s">
        <v>6808</v>
      </c>
      <c r="D98" t="str" cm="1">
        <f t="array" ref="D98">TRANSPOSE(_xlfn._xlws.FILTER('Controllable Asset Registry'!$A$4:$A$764,IFERROR('Controllable Asset Registry'!$E$4:$E$764=A98,FALSE),"No Equipment in entity"))</f>
        <v>VAV0042</v>
      </c>
    </row>
    <row r="99" spans="1:7" x14ac:dyDescent="0.3">
      <c r="A99" t="s">
        <v>6154</v>
      </c>
      <c r="B99" t="s">
        <v>6809</v>
      </c>
      <c r="C99" t="s">
        <v>6779</v>
      </c>
      <c r="D99" t="str" cm="1">
        <f t="array" ref="D99:E99">TRANSPOSE(_xlfn._xlws.FILTER('Controllable Asset Registry'!$A$4:$A$764,IFERROR('Controllable Asset Registry'!$E$4:$E$764=A99,FALSE),"No Equipment in entity"))</f>
        <v>VAV0040</v>
      </c>
      <c r="E99" t="str">
        <v>VAV0041</v>
      </c>
    </row>
    <row r="100" spans="1:7" x14ac:dyDescent="0.3">
      <c r="A100" t="s">
        <v>6810</v>
      </c>
      <c r="B100" t="s">
        <v>6811</v>
      </c>
      <c r="C100" t="s">
        <v>6779</v>
      </c>
      <c r="D100" t="str" cm="1">
        <f t="array" ref="D100">TRANSPOSE(_xlfn._xlws.FILTER('Controllable Asset Registry'!$A$4:$A$764,IFERROR('Controllable Asset Registry'!$E$4:$E$764=A100,FALSE),"No Equipment in entity"))</f>
        <v>No Equipment in entity</v>
      </c>
    </row>
    <row r="101" spans="1:7" x14ac:dyDescent="0.3">
      <c r="A101" t="s">
        <v>6049</v>
      </c>
      <c r="B101" t="s">
        <v>6812</v>
      </c>
      <c r="C101" t="s">
        <v>6779</v>
      </c>
      <c r="D101" t="str" cm="1">
        <f t="array" ref="D101">TRANSPOSE(_xlfn._xlws.FILTER('Controllable Asset Registry'!$A$4:$A$764,IFERROR('Controllable Asset Registry'!$E$4:$E$764=A101,FALSE),"No Equipment in entity"))</f>
        <v>FCU0015</v>
      </c>
    </row>
    <row r="102" spans="1:7" x14ac:dyDescent="0.3">
      <c r="A102" t="s">
        <v>6152</v>
      </c>
      <c r="B102" t="s">
        <v>6813</v>
      </c>
      <c r="C102" t="s">
        <v>6779</v>
      </c>
      <c r="D102" t="str" cm="1">
        <f t="array" ref="D102">TRANSPOSE(_xlfn._xlws.FILTER('Controllable Asset Registry'!$A$4:$A$764,IFERROR('Controllable Asset Registry'!$E$4:$E$764=A102,FALSE),"No Equipment in entity"))</f>
        <v>VAV0038</v>
      </c>
    </row>
    <row r="103" spans="1:7" x14ac:dyDescent="0.3">
      <c r="A103" t="s">
        <v>6151</v>
      </c>
      <c r="B103" t="s">
        <v>6814</v>
      </c>
      <c r="C103" t="s">
        <v>6779</v>
      </c>
      <c r="D103" t="str" cm="1">
        <f t="array" ref="D103">TRANSPOSE(_xlfn._xlws.FILTER('Controllable Asset Registry'!$A$4:$A$764,IFERROR('Controllable Asset Registry'!$E$4:$E$764=A103,FALSE),"No Equipment in entity"))</f>
        <v>VAV0037</v>
      </c>
    </row>
    <row r="104" spans="1:7" x14ac:dyDescent="0.3">
      <c r="A104" t="s">
        <v>6150</v>
      </c>
      <c r="B104" t="s">
        <v>6815</v>
      </c>
      <c r="C104" t="s">
        <v>6779</v>
      </c>
      <c r="D104" t="str" cm="1">
        <f t="array" ref="D104">TRANSPOSE(_xlfn._xlws.FILTER('Controllable Asset Registry'!$A$4:$A$764,IFERROR('Controllable Asset Registry'!$E$4:$E$764=A104,FALSE),"No Equipment in entity"))</f>
        <v>VAV0036</v>
      </c>
    </row>
    <row r="105" spans="1:7" x14ac:dyDescent="0.3">
      <c r="A105" t="s">
        <v>6149</v>
      </c>
      <c r="B105" t="s">
        <v>6816</v>
      </c>
      <c r="C105" t="s">
        <v>6779</v>
      </c>
      <c r="D105" t="str" cm="1">
        <f t="array" ref="D105">TRANSPOSE(_xlfn._xlws.FILTER('Controllable Asset Registry'!$A$4:$A$764,IFERROR('Controllable Asset Registry'!$E$4:$E$764=A105,FALSE),"No Equipment in entity"))</f>
        <v>VAV0035</v>
      </c>
    </row>
    <row r="106" spans="1:7" x14ac:dyDescent="0.3">
      <c r="A106" t="s">
        <v>6148</v>
      </c>
      <c r="B106" t="s">
        <v>6817</v>
      </c>
      <c r="C106" t="s">
        <v>6779</v>
      </c>
      <c r="D106" t="str" cm="1">
        <f t="array" ref="D106">TRANSPOSE(_xlfn._xlws.FILTER('Controllable Asset Registry'!$A$4:$A$764,IFERROR('Controllable Asset Registry'!$E$4:$E$764=A106,FALSE),"No Equipment in entity"))</f>
        <v>VAV0034</v>
      </c>
    </row>
    <row r="107" spans="1:7" x14ac:dyDescent="0.3">
      <c r="A107" t="s">
        <v>6147</v>
      </c>
      <c r="B107" t="s">
        <v>6818</v>
      </c>
      <c r="C107" t="s">
        <v>6779</v>
      </c>
      <c r="D107" t="str" cm="1">
        <f t="array" ref="D107">TRANSPOSE(_xlfn._xlws.FILTER('Controllable Asset Registry'!$A$4:$A$764,IFERROR('Controllable Asset Registry'!$E$4:$E$764=A107,FALSE),"No Equipment in entity"))</f>
        <v>VAV0033</v>
      </c>
    </row>
    <row r="108" spans="1:7" x14ac:dyDescent="0.3">
      <c r="A108" t="s">
        <v>6146</v>
      </c>
      <c r="B108" t="s">
        <v>6819</v>
      </c>
      <c r="C108" t="s">
        <v>6779</v>
      </c>
      <c r="D108" t="str" cm="1">
        <f t="array" ref="D108">TRANSPOSE(_xlfn._xlws.FILTER('Controllable Asset Registry'!$A$4:$A$764,IFERROR('Controllable Asset Registry'!$E$4:$E$764=A108,FALSE),"No Equipment in entity"))</f>
        <v>VAV0032</v>
      </c>
    </row>
    <row r="109" spans="1:7" x14ac:dyDescent="0.3">
      <c r="A109" t="s">
        <v>6820</v>
      </c>
      <c r="B109" t="s">
        <v>6821</v>
      </c>
      <c r="C109" t="s">
        <v>6779</v>
      </c>
      <c r="D109" t="str" cm="1">
        <f t="array" ref="D109">TRANSPOSE(_xlfn._xlws.FILTER('Controllable Asset Registry'!$A$4:$A$764,IFERROR('Controllable Asset Registry'!$E$4:$E$764=A109,FALSE),"No Equipment in entity"))</f>
        <v>No Equipment in entity</v>
      </c>
    </row>
    <row r="110" spans="1:7" x14ac:dyDescent="0.3">
      <c r="A110" t="s">
        <v>6161</v>
      </c>
      <c r="B110" t="s">
        <v>6822</v>
      </c>
      <c r="C110" t="s">
        <v>6823</v>
      </c>
      <c r="D110" t="str" cm="1">
        <f t="array" ref="D110:G110">TRANSPOSE(_xlfn._xlws.FILTER('Controllable Asset Registry'!$A$4:$A$764,IFERROR('Controllable Asset Registry'!$E$4:$E$764=A110,FALSE),"No Equipment in entity"))</f>
        <v>VAV0048</v>
      </c>
      <c r="E110" t="str">
        <v>VAV0049</v>
      </c>
      <c r="F110" t="str">
        <v>VAV0050</v>
      </c>
      <c r="G110" t="str">
        <v>VAV0051</v>
      </c>
    </row>
    <row r="111" spans="1:7" x14ac:dyDescent="0.3">
      <c r="A111" t="s">
        <v>6824</v>
      </c>
      <c r="B111" t="s">
        <v>6825</v>
      </c>
      <c r="C111" t="s">
        <v>6826</v>
      </c>
      <c r="D111" t="str" cm="1">
        <f t="array" ref="D111">TRANSPOSE(_xlfn._xlws.FILTER('Controllable Asset Registry'!$A$4:$A$764,IFERROR('Controllable Asset Registry'!$E$4:$E$764=A111,FALSE),"No Equipment in entity"))</f>
        <v>No Equipment in entity</v>
      </c>
    </row>
    <row r="112" spans="1:7" x14ac:dyDescent="0.3">
      <c r="A112" t="s">
        <v>6141</v>
      </c>
      <c r="B112" t="s">
        <v>6827</v>
      </c>
      <c r="C112" t="s">
        <v>5869</v>
      </c>
      <c r="D112" t="str" cm="1">
        <f t="array" ref="D112">TRANSPOSE(_xlfn._xlws.FILTER('Controllable Asset Registry'!$A$4:$A$764,IFERROR('Controllable Asset Registry'!$E$4:$E$764=A112,FALSE),"No Equipment in entity"))</f>
        <v>VAV0026</v>
      </c>
    </row>
    <row r="113" spans="1:9" x14ac:dyDescent="0.3">
      <c r="A113" t="s">
        <v>6140</v>
      </c>
      <c r="B113" t="s">
        <v>6828</v>
      </c>
      <c r="C113" t="s">
        <v>6007</v>
      </c>
      <c r="D113" t="str" cm="1">
        <f t="array" ref="D113:I113">TRANSPOSE(_xlfn._xlws.FILTER('Controllable Asset Registry'!$A$4:$A$764,IFERROR('Controllable Asset Registry'!$E$4:$E$764=A113,FALSE),"No Equipment in entity"))</f>
        <v>VAV0024</v>
      </c>
      <c r="E113" t="str">
        <v>VAV0025</v>
      </c>
      <c r="F113" t="str">
        <v>VAV0103</v>
      </c>
      <c r="G113" t="str">
        <v>VAV0104</v>
      </c>
      <c r="H113" t="str">
        <v>VAV0105</v>
      </c>
      <c r="I113" t="str">
        <v>VAV0106</v>
      </c>
    </row>
    <row r="114" spans="1:9" x14ac:dyDescent="0.3">
      <c r="A114" t="s">
        <v>6139</v>
      </c>
      <c r="B114" t="s">
        <v>6829</v>
      </c>
      <c r="C114" t="s">
        <v>6830</v>
      </c>
      <c r="D114" t="str" cm="1">
        <f t="array" ref="D114">TRANSPOSE(_xlfn._xlws.FILTER('Controllable Asset Registry'!$A$4:$A$764,IFERROR('Controllable Asset Registry'!$E$4:$E$764=A114,FALSE),"No Equipment in entity"))</f>
        <v>VAV0023</v>
      </c>
    </row>
    <row r="115" spans="1:9" x14ac:dyDescent="0.3">
      <c r="A115" t="s">
        <v>6831</v>
      </c>
      <c r="B115" t="s">
        <v>6832</v>
      </c>
      <c r="C115" t="s">
        <v>6833</v>
      </c>
      <c r="D115" t="str" cm="1">
        <f t="array" ref="D115">TRANSPOSE(_xlfn._xlws.FILTER('Controllable Asset Registry'!$A$4:$A$764,IFERROR('Controllable Asset Registry'!$E$4:$E$764=A115,FALSE),"No Equipment in entity"))</f>
        <v>No Equipment in entity</v>
      </c>
    </row>
    <row r="116" spans="1:9" x14ac:dyDescent="0.3">
      <c r="A116" t="s">
        <v>6158</v>
      </c>
      <c r="B116" t="s">
        <v>6834</v>
      </c>
      <c r="C116" t="s">
        <v>6835</v>
      </c>
      <c r="D116" t="str" cm="1">
        <f t="array" ref="D116">TRANSPOSE(_xlfn._xlws.FILTER('Controllable Asset Registry'!$A$4:$A$764,IFERROR('Controllable Asset Registry'!$E$4:$E$764=A116,FALSE),"No Equipment in entity"))</f>
        <v>VAV0045</v>
      </c>
    </row>
    <row r="117" spans="1:9" x14ac:dyDescent="0.3">
      <c r="A117" t="s">
        <v>6162</v>
      </c>
      <c r="B117" t="s">
        <v>6836</v>
      </c>
      <c r="C117" t="s">
        <v>6837</v>
      </c>
      <c r="D117" t="str" cm="1">
        <f t="array" ref="D117:E117">TRANSPOSE(_xlfn._xlws.FILTER('Controllable Asset Registry'!$A$4:$A$764,IFERROR('Controllable Asset Registry'!$E$4:$E$764=A117,FALSE),"No Equipment in entity"))</f>
        <v>VAV0052</v>
      </c>
      <c r="E117" t="str">
        <v>VAV0053</v>
      </c>
    </row>
    <row r="118" spans="1:9" x14ac:dyDescent="0.3">
      <c r="A118" t="s">
        <v>6838</v>
      </c>
      <c r="B118" t="s">
        <v>6839</v>
      </c>
      <c r="C118" t="s">
        <v>6833</v>
      </c>
      <c r="D118" t="str" cm="1">
        <f t="array" ref="D118">TRANSPOSE(_xlfn._xlws.FILTER('Controllable Asset Registry'!$A$4:$A$764,IFERROR('Controllable Asset Registry'!$E$4:$E$764=A118,FALSE),"No Equipment in entity"))</f>
        <v>No Equipment in entity</v>
      </c>
    </row>
    <row r="119" spans="1:9" x14ac:dyDescent="0.3">
      <c r="A119" t="s">
        <v>6840</v>
      </c>
      <c r="B119" t="s">
        <v>6841</v>
      </c>
      <c r="C119" t="s">
        <v>6709</v>
      </c>
      <c r="D119" t="str" cm="1">
        <f t="array" ref="D119">TRANSPOSE(_xlfn._xlws.FILTER('Controllable Asset Registry'!$A$4:$A$764,IFERROR('Controllable Asset Registry'!$E$4:$E$764=A119,FALSE),"No Equipment in entity"))</f>
        <v>No Equipment in entity</v>
      </c>
    </row>
    <row r="120" spans="1:9" x14ac:dyDescent="0.3">
      <c r="A120" t="s">
        <v>6842</v>
      </c>
      <c r="B120" t="s">
        <v>6843</v>
      </c>
      <c r="C120" t="s">
        <v>6706</v>
      </c>
      <c r="D120" t="str" cm="1">
        <f t="array" ref="D120">TRANSPOSE(_xlfn._xlws.FILTER('Controllable Asset Registry'!$A$4:$A$764,IFERROR('Controllable Asset Registry'!$E$4:$E$764=A120,FALSE),"No Equipment in entity"))</f>
        <v>No Equipment in entity</v>
      </c>
    </row>
    <row r="121" spans="1:9" x14ac:dyDescent="0.3">
      <c r="A121" t="s">
        <v>6844</v>
      </c>
      <c r="B121" t="s">
        <v>6845</v>
      </c>
      <c r="C121" t="s">
        <v>6709</v>
      </c>
      <c r="D121" t="str" cm="1">
        <f t="array" ref="D121">TRANSPOSE(_xlfn._xlws.FILTER('Controllable Asset Registry'!$A$4:$A$764,IFERROR('Controllable Asset Registry'!$E$4:$E$764=A121,FALSE),"No Equipment in entity"))</f>
        <v>No Equipment in entity</v>
      </c>
    </row>
    <row r="122" spans="1:9" x14ac:dyDescent="0.3">
      <c r="A122" t="s">
        <v>6846</v>
      </c>
      <c r="B122" t="s">
        <v>6847</v>
      </c>
      <c r="C122" t="s">
        <v>6706</v>
      </c>
      <c r="D122" t="str" cm="1">
        <f t="array" ref="D122">TRANSPOSE(_xlfn._xlws.FILTER('Controllable Asset Registry'!$A$4:$A$764,IFERROR('Controllable Asset Registry'!$E$4:$E$764=A122,FALSE),"No Equipment in entity"))</f>
        <v>No Equipment in entity</v>
      </c>
    </row>
    <row r="123" spans="1:9" x14ac:dyDescent="0.3">
      <c r="A123" t="s">
        <v>6603</v>
      </c>
      <c r="B123" t="s">
        <v>6848</v>
      </c>
      <c r="C123" t="s">
        <v>5842</v>
      </c>
      <c r="D123" t="str" cm="1">
        <f t="array" ref="D123">TRANSPOSE(_xlfn._xlws.FILTER('Controllable Asset Registry'!$A$4:$A$764,IFERROR('Controllable Asset Registry'!$E$4:$E$764=A123,FALSE),"No Equipment in entity"))</f>
        <v>VAV0608</v>
      </c>
    </row>
    <row r="124" spans="1:9" x14ac:dyDescent="0.3">
      <c r="A124" t="s">
        <v>6052</v>
      </c>
      <c r="B124" t="s">
        <v>6849</v>
      </c>
      <c r="C124" t="s">
        <v>5839</v>
      </c>
      <c r="D124" t="str" cm="1">
        <f t="array" ref="D124">TRANSPOSE(_xlfn._xlws.FILTER('Controllable Asset Registry'!$A$4:$A$764,IFERROR('Controllable Asset Registry'!$E$4:$E$764=A124,FALSE),"No Equipment in entity"))</f>
        <v>FCU0018</v>
      </c>
    </row>
    <row r="125" spans="1:9" x14ac:dyDescent="0.3">
      <c r="A125" t="s">
        <v>6048</v>
      </c>
      <c r="B125" t="s">
        <v>6850</v>
      </c>
      <c r="C125" t="s">
        <v>6715</v>
      </c>
      <c r="D125" t="str" cm="1">
        <f t="array" ref="D125:E125">TRANSPOSE(_xlfn._xlws.FILTER('Controllable Asset Registry'!$A$4:$A$764,IFERROR('Controllable Asset Registry'!$E$4:$E$764=A125,FALSE),"No Equipment in entity"))</f>
        <v>FCU0014</v>
      </c>
      <c r="E125" t="str">
        <v>FCU0111</v>
      </c>
    </row>
    <row r="126" spans="1:9" x14ac:dyDescent="0.3">
      <c r="A126" t="s">
        <v>6851</v>
      </c>
      <c r="B126" t="s">
        <v>6852</v>
      </c>
      <c r="C126" t="s">
        <v>6853</v>
      </c>
      <c r="D126" t="str" cm="1">
        <f t="array" ref="D126">TRANSPOSE(_xlfn._xlws.FILTER('Controllable Asset Registry'!$A$4:$A$764,IFERROR('Controllable Asset Registry'!$E$4:$E$764=A126,FALSE),"No Equipment in entity"))</f>
        <v>No Equipment in entity</v>
      </c>
    </row>
    <row r="127" spans="1:9" x14ac:dyDescent="0.3">
      <c r="A127" t="s">
        <v>6047</v>
      </c>
      <c r="B127" t="s">
        <v>6854</v>
      </c>
      <c r="C127" t="s">
        <v>6715</v>
      </c>
      <c r="D127" t="str" cm="1">
        <f t="array" ref="D127:E127">TRANSPOSE(_xlfn._xlws.FILTER('Controllable Asset Registry'!$A$4:$A$764,IFERROR('Controllable Asset Registry'!$E$4:$E$764=A127,FALSE),"No Equipment in entity"))</f>
        <v>FCU0012</v>
      </c>
      <c r="E127" t="str">
        <v>FCU0013</v>
      </c>
    </row>
    <row r="128" spans="1:9" x14ac:dyDescent="0.3">
      <c r="A128" t="s">
        <v>6855</v>
      </c>
      <c r="B128" t="s">
        <v>6856</v>
      </c>
      <c r="C128" t="s">
        <v>6857</v>
      </c>
      <c r="D128" t="str" cm="1">
        <f t="array" ref="D128">TRANSPOSE(_xlfn._xlws.FILTER('Controllable Asset Registry'!$A$4:$A$764,IFERROR('Controllable Asset Registry'!$E$4:$E$764=A128,FALSE),"No Equipment in entity"))</f>
        <v>No Equipment in entity</v>
      </c>
    </row>
    <row r="129" spans="1:5" x14ac:dyDescent="0.3">
      <c r="A129" t="s">
        <v>6858</v>
      </c>
      <c r="B129" t="s">
        <v>6859</v>
      </c>
      <c r="C129" t="s">
        <v>6860</v>
      </c>
      <c r="D129" t="str" cm="1">
        <f t="array" ref="D129">TRANSPOSE(_xlfn._xlws.FILTER('Controllable Asset Registry'!$A$4:$A$764,IFERROR('Controllable Asset Registry'!$E$4:$E$764=A129,FALSE),"No Equipment in entity"))</f>
        <v>No Equipment in entity</v>
      </c>
    </row>
    <row r="130" spans="1:5" x14ac:dyDescent="0.3">
      <c r="A130" t="s">
        <v>6861</v>
      </c>
      <c r="B130" t="s">
        <v>6862</v>
      </c>
      <c r="C130" t="s">
        <v>6863</v>
      </c>
      <c r="D130" t="str" cm="1">
        <f t="array" ref="D130">TRANSPOSE(_xlfn._xlws.FILTER('Controllable Asset Registry'!$A$4:$A$764,IFERROR('Controllable Asset Registry'!$E$4:$E$764=A130,FALSE),"No Equipment in entity"))</f>
        <v>No Equipment in entity</v>
      </c>
    </row>
    <row r="131" spans="1:5" x14ac:dyDescent="0.3">
      <c r="A131" t="s">
        <v>6864</v>
      </c>
      <c r="B131" t="s">
        <v>6865</v>
      </c>
      <c r="C131" t="s">
        <v>6853</v>
      </c>
      <c r="D131" t="str" cm="1">
        <f t="array" ref="D131">TRANSPOSE(_xlfn._xlws.FILTER('Controllable Asset Registry'!$A$4:$A$764,IFERROR('Controllable Asset Registry'!$E$4:$E$764=A131,FALSE),"No Equipment in entity"))</f>
        <v>No Equipment in entity</v>
      </c>
    </row>
    <row r="132" spans="1:5" x14ac:dyDescent="0.3">
      <c r="A132" t="s">
        <v>6866</v>
      </c>
      <c r="B132" t="s">
        <v>6867</v>
      </c>
      <c r="C132" t="s">
        <v>5839</v>
      </c>
      <c r="D132" t="str" cm="1">
        <f t="array" ref="D132">TRANSPOSE(_xlfn._xlws.FILTER('Controllable Asset Registry'!$A$4:$A$764,IFERROR('Controllable Asset Registry'!$E$4:$E$764=A132,FALSE),"No Equipment in entity"))</f>
        <v>No Equipment in entity</v>
      </c>
    </row>
    <row r="133" spans="1:5" x14ac:dyDescent="0.3">
      <c r="A133" t="s">
        <v>6138</v>
      </c>
      <c r="B133" t="s">
        <v>6868</v>
      </c>
      <c r="C133" t="s">
        <v>5816</v>
      </c>
      <c r="D133" t="str" cm="1">
        <f t="array" ref="D133:E133">TRANSPOSE(_xlfn._xlws.FILTER('Controllable Asset Registry'!$A$4:$A$764,IFERROR('Controllable Asset Registry'!$E$4:$E$764=A133,FALSE),"No Equipment in entity"))</f>
        <v>VAV0021</v>
      </c>
      <c r="E133" t="str">
        <v>VAV0022</v>
      </c>
    </row>
    <row r="134" spans="1:5" x14ac:dyDescent="0.3">
      <c r="A134" t="s">
        <v>6869</v>
      </c>
      <c r="B134" t="s">
        <v>6870</v>
      </c>
      <c r="C134" t="s">
        <v>6871</v>
      </c>
      <c r="D134" t="str" cm="1">
        <f t="array" ref="D134">TRANSPOSE(_xlfn._xlws.FILTER('Controllable Asset Registry'!$A$4:$A$764,IFERROR('Controllable Asset Registry'!$E$4:$E$764=A134,FALSE),"No Equipment in entity"))</f>
        <v>No Equipment in entity</v>
      </c>
    </row>
    <row r="135" spans="1:5" x14ac:dyDescent="0.3">
      <c r="A135" t="s">
        <v>6872</v>
      </c>
      <c r="B135" t="s">
        <v>6873</v>
      </c>
      <c r="C135" t="s">
        <v>6874</v>
      </c>
      <c r="D135" t="str" cm="1">
        <f t="array" ref="D135">TRANSPOSE(_xlfn._xlws.FILTER('Controllable Asset Registry'!$A$4:$A$764,IFERROR('Controllable Asset Registry'!$E$4:$E$764=A135,FALSE),"No Equipment in entity"))</f>
        <v>No Equipment in entity</v>
      </c>
    </row>
    <row r="136" spans="1:5" x14ac:dyDescent="0.3">
      <c r="A136" t="s">
        <v>6875</v>
      </c>
      <c r="B136" t="s">
        <v>6876</v>
      </c>
      <c r="C136" t="s">
        <v>6877</v>
      </c>
      <c r="D136" t="str" cm="1">
        <f t="array" ref="D136">TRANSPOSE(_xlfn._xlws.FILTER('Controllable Asset Registry'!$A$4:$A$764,IFERROR('Controllable Asset Registry'!$E$4:$E$764=A136,FALSE),"No Equipment in entity"))</f>
        <v>No Equipment in entity</v>
      </c>
    </row>
    <row r="137" spans="1:5" x14ac:dyDescent="0.3">
      <c r="A137" t="s">
        <v>6878</v>
      </c>
      <c r="B137" t="s">
        <v>6879</v>
      </c>
      <c r="C137" t="s">
        <v>6880</v>
      </c>
      <c r="D137" t="str" cm="1">
        <f t="array" ref="D137">TRANSPOSE(_xlfn._xlws.FILTER('Controllable Asset Registry'!$A$4:$A$764,IFERROR('Controllable Asset Registry'!$E$4:$E$764=A137,FALSE),"No Equipment in entity"))</f>
        <v>No Equipment in entity</v>
      </c>
    </row>
    <row r="138" spans="1:5" x14ac:dyDescent="0.3">
      <c r="A138" t="s">
        <v>6881</v>
      </c>
      <c r="B138" t="s">
        <v>6882</v>
      </c>
      <c r="C138" t="s">
        <v>6744</v>
      </c>
      <c r="D138" t="str" cm="1">
        <f t="array" ref="D138">TRANSPOSE(_xlfn._xlws.FILTER('Controllable Asset Registry'!$A$4:$A$764,IFERROR('Controllable Asset Registry'!$E$4:$E$764=A138,FALSE),"No Equipment in entity"))</f>
        <v>No Equipment in entity</v>
      </c>
    </row>
    <row r="139" spans="1:5" x14ac:dyDescent="0.3">
      <c r="A139" t="s">
        <v>6883</v>
      </c>
      <c r="B139" t="s">
        <v>6884</v>
      </c>
      <c r="C139" t="s">
        <v>6747</v>
      </c>
      <c r="D139" t="str" cm="1">
        <f t="array" ref="D139">TRANSPOSE(_xlfn._xlws.FILTER('Controllable Asset Registry'!$A$4:$A$764,IFERROR('Controllable Asset Registry'!$E$4:$E$764=A139,FALSE),"No Equipment in entity"))</f>
        <v>No Equipment in entity</v>
      </c>
    </row>
    <row r="140" spans="1:5" x14ac:dyDescent="0.3">
      <c r="A140" t="s">
        <v>6885</v>
      </c>
      <c r="B140" t="s">
        <v>6886</v>
      </c>
      <c r="C140" t="s">
        <v>6750</v>
      </c>
      <c r="D140" t="str" cm="1">
        <f t="array" ref="D140">TRANSPOSE(_xlfn._xlws.FILTER('Controllable Asset Registry'!$A$4:$A$764,IFERROR('Controllable Asset Registry'!$E$4:$E$764=A140,FALSE),"No Equipment in entity"))</f>
        <v>No Equipment in entity</v>
      </c>
    </row>
    <row r="141" spans="1:5" x14ac:dyDescent="0.3">
      <c r="A141" t="s">
        <v>6887</v>
      </c>
      <c r="B141" t="s">
        <v>6888</v>
      </c>
      <c r="C141" t="s">
        <v>6889</v>
      </c>
      <c r="D141" t="str" cm="1">
        <f t="array" ref="D141">TRANSPOSE(_xlfn._xlws.FILTER('Controllable Asset Registry'!$A$4:$A$764,IFERROR('Controllable Asset Registry'!$E$4:$E$764=A141,FALSE),"No Equipment in entity"))</f>
        <v>No Equipment in entity</v>
      </c>
    </row>
    <row r="142" spans="1:5" x14ac:dyDescent="0.3">
      <c r="A142" t="s">
        <v>6890</v>
      </c>
      <c r="B142" t="s">
        <v>6891</v>
      </c>
      <c r="C142" t="s">
        <v>6755</v>
      </c>
      <c r="D142" t="str" cm="1">
        <f t="array" ref="D142">TRANSPOSE(_xlfn._xlws.FILTER('Controllable Asset Registry'!$A$4:$A$764,IFERROR('Controllable Asset Registry'!$E$4:$E$764=A142,FALSE),"No Equipment in entity"))</f>
        <v>No Equipment in entity</v>
      </c>
    </row>
    <row r="143" spans="1:5" x14ac:dyDescent="0.3">
      <c r="A143" t="s">
        <v>6892</v>
      </c>
      <c r="B143" t="s">
        <v>6893</v>
      </c>
      <c r="C143" t="s">
        <v>6757</v>
      </c>
      <c r="D143" t="str" cm="1">
        <f t="array" ref="D143">TRANSPOSE(_xlfn._xlws.FILTER('Controllable Asset Registry'!$A$4:$A$764,IFERROR('Controllable Asset Registry'!$E$4:$E$764=A143,FALSE),"No Equipment in entity"))</f>
        <v>No Equipment in entity</v>
      </c>
    </row>
    <row r="144" spans="1:5" x14ac:dyDescent="0.3">
      <c r="A144" t="s">
        <v>6894</v>
      </c>
      <c r="B144" t="s">
        <v>6895</v>
      </c>
      <c r="C144" t="s">
        <v>6896</v>
      </c>
      <c r="D144" t="str" cm="1">
        <f t="array" ref="D144">TRANSPOSE(_xlfn._xlws.FILTER('Controllable Asset Registry'!$A$4:$A$764,IFERROR('Controllable Asset Registry'!$E$4:$E$764=A144,FALSE),"No Equipment in entity"))</f>
        <v>No Equipment in entity</v>
      </c>
    </row>
    <row r="145" spans="1:4" x14ac:dyDescent="0.3">
      <c r="A145" t="s">
        <v>6897</v>
      </c>
      <c r="B145" t="s">
        <v>6898</v>
      </c>
      <c r="C145" t="s">
        <v>6760</v>
      </c>
      <c r="D145" t="str" cm="1">
        <f t="array" ref="D145">TRANSPOSE(_xlfn._xlws.FILTER('Controllable Asset Registry'!$A$4:$A$764,IFERROR('Controllable Asset Registry'!$E$4:$E$764=A145,FALSE),"No Equipment in entity"))</f>
        <v>No Equipment in entity</v>
      </c>
    </row>
    <row r="146" spans="1:4" x14ac:dyDescent="0.3">
      <c r="A146" t="s">
        <v>6182</v>
      </c>
      <c r="B146" t="s">
        <v>7470</v>
      </c>
      <c r="C146" t="s">
        <v>6899</v>
      </c>
      <c r="D146" t="str" cm="1">
        <f t="array" ref="D146">TRANSPOSE(_xlfn._xlws.FILTER('Controllable Asset Registry'!$A$4:$A$764,IFERROR('Controllable Asset Registry'!$E$4:$E$764=A146,FALSE),"No Equipment in entity"))</f>
        <v>VAV0073</v>
      </c>
    </row>
    <row r="147" spans="1:4" x14ac:dyDescent="0.3">
      <c r="A147" t="s">
        <v>6183</v>
      </c>
      <c r="B147" t="s">
        <v>7471</v>
      </c>
      <c r="C147" t="s">
        <v>6900</v>
      </c>
      <c r="D147" t="str" cm="1">
        <f t="array" ref="D147">TRANSPOSE(_xlfn._xlws.FILTER('Controllable Asset Registry'!$A$4:$A$764,IFERROR('Controllable Asset Registry'!$E$4:$E$764=A147,FALSE),"No Equipment in entity"))</f>
        <v>VAV0074</v>
      </c>
    </row>
    <row r="148" spans="1:4" x14ac:dyDescent="0.3">
      <c r="A148" t="s">
        <v>6184</v>
      </c>
      <c r="B148" t="s">
        <v>7472</v>
      </c>
      <c r="C148" t="s">
        <v>6901</v>
      </c>
      <c r="D148" t="str" cm="1">
        <f t="array" ref="D148">TRANSPOSE(_xlfn._xlws.FILTER('Controllable Asset Registry'!$A$4:$A$764,IFERROR('Controllable Asset Registry'!$E$4:$E$764=A148,FALSE),"No Equipment in entity"))</f>
        <v>VAV0075</v>
      </c>
    </row>
    <row r="149" spans="1:4" x14ac:dyDescent="0.3">
      <c r="A149" t="s">
        <v>6185</v>
      </c>
      <c r="B149" t="s">
        <v>7473</v>
      </c>
      <c r="C149" t="s">
        <v>6901</v>
      </c>
      <c r="D149" t="str" cm="1">
        <f t="array" ref="D149">TRANSPOSE(_xlfn._xlws.FILTER('Controllable Asset Registry'!$A$4:$A$764,IFERROR('Controllable Asset Registry'!$E$4:$E$764=A149,FALSE),"No Equipment in entity"))</f>
        <v>VAV0076</v>
      </c>
    </row>
    <row r="150" spans="1:4" x14ac:dyDescent="0.3">
      <c r="A150" t="s">
        <v>6186</v>
      </c>
      <c r="B150" t="s">
        <v>7474</v>
      </c>
      <c r="C150" t="s">
        <v>6902</v>
      </c>
      <c r="D150" t="str" cm="1">
        <f t="array" ref="D150">TRANSPOSE(_xlfn._xlws.FILTER('Controllable Asset Registry'!$A$4:$A$764,IFERROR('Controllable Asset Registry'!$E$4:$E$764=A150,FALSE),"No Equipment in entity"))</f>
        <v>VAV0077</v>
      </c>
    </row>
    <row r="151" spans="1:4" x14ac:dyDescent="0.3">
      <c r="A151" t="s">
        <v>6187</v>
      </c>
      <c r="B151" t="s">
        <v>7475</v>
      </c>
      <c r="C151" t="s">
        <v>6903</v>
      </c>
      <c r="D151" t="str" cm="1">
        <f t="array" ref="D151">TRANSPOSE(_xlfn._xlws.FILTER('Controllable Asset Registry'!$A$4:$A$764,IFERROR('Controllable Asset Registry'!$E$4:$E$764=A151,FALSE),"No Equipment in entity"))</f>
        <v>VAV0078</v>
      </c>
    </row>
    <row r="152" spans="1:4" x14ac:dyDescent="0.3">
      <c r="A152" t="s">
        <v>6188</v>
      </c>
      <c r="B152" t="s">
        <v>7476</v>
      </c>
      <c r="C152" t="s">
        <v>6904</v>
      </c>
      <c r="D152" t="str" cm="1">
        <f t="array" ref="D152">TRANSPOSE(_xlfn._xlws.FILTER('Controllable Asset Registry'!$A$4:$A$764,IFERROR('Controllable Asset Registry'!$E$4:$E$764=A152,FALSE),"No Equipment in entity"))</f>
        <v>VAV0079</v>
      </c>
    </row>
    <row r="153" spans="1:4" x14ac:dyDescent="0.3">
      <c r="A153" t="s">
        <v>6905</v>
      </c>
      <c r="B153" t="s">
        <v>7477</v>
      </c>
      <c r="C153" t="s">
        <v>6901</v>
      </c>
      <c r="D153" t="str" cm="1">
        <f t="array" ref="D153">TRANSPOSE(_xlfn._xlws.FILTER('Controllable Asset Registry'!$A$4:$A$764,IFERROR('Controllable Asset Registry'!$E$4:$E$764=A153,FALSE),"No Equipment in entity"))</f>
        <v>No Equipment in entity</v>
      </c>
    </row>
    <row r="154" spans="1:4" x14ac:dyDescent="0.3">
      <c r="A154" t="s">
        <v>6163</v>
      </c>
      <c r="B154" t="s">
        <v>7478</v>
      </c>
      <c r="C154" t="s">
        <v>6901</v>
      </c>
      <c r="D154" t="str" cm="1">
        <f t="array" ref="D154">TRANSPOSE(_xlfn._xlws.FILTER('Controllable Asset Registry'!$A$4:$A$764,IFERROR('Controllable Asset Registry'!$E$4:$E$764=A154,FALSE),"No Equipment in entity"))</f>
        <v>VAV0054</v>
      </c>
    </row>
    <row r="155" spans="1:4" x14ac:dyDescent="0.3">
      <c r="A155" t="s">
        <v>6164</v>
      </c>
      <c r="B155" t="s">
        <v>7479</v>
      </c>
      <c r="C155" t="s">
        <v>6901</v>
      </c>
      <c r="D155" t="str" cm="1">
        <f t="array" ref="D155">TRANSPOSE(_xlfn._xlws.FILTER('Controllable Asset Registry'!$A$4:$A$764,IFERROR('Controllable Asset Registry'!$E$4:$E$764=A155,FALSE),"No Equipment in entity"))</f>
        <v>VAV0055</v>
      </c>
    </row>
    <row r="156" spans="1:4" x14ac:dyDescent="0.3">
      <c r="A156" t="s">
        <v>6165</v>
      </c>
      <c r="B156" t="s">
        <v>7480</v>
      </c>
      <c r="C156" t="s">
        <v>6901</v>
      </c>
      <c r="D156" t="str" cm="1">
        <f t="array" ref="D156">TRANSPOSE(_xlfn._xlws.FILTER('Controllable Asset Registry'!$A$4:$A$764,IFERROR('Controllable Asset Registry'!$E$4:$E$764=A156,FALSE),"No Equipment in entity"))</f>
        <v>VAV0056</v>
      </c>
    </row>
    <row r="157" spans="1:4" x14ac:dyDescent="0.3">
      <c r="A157" t="s">
        <v>6166</v>
      </c>
      <c r="B157" t="s">
        <v>7481</v>
      </c>
      <c r="C157" t="s">
        <v>6903</v>
      </c>
      <c r="D157" t="str" cm="1">
        <f t="array" ref="D157">TRANSPOSE(_xlfn._xlws.FILTER('Controllable Asset Registry'!$A$4:$A$764,IFERROR('Controllable Asset Registry'!$E$4:$E$764=A157,FALSE),"No Equipment in entity"))</f>
        <v>VAV0057</v>
      </c>
    </row>
    <row r="158" spans="1:4" x14ac:dyDescent="0.3">
      <c r="A158" t="s">
        <v>6167</v>
      </c>
      <c r="B158" t="s">
        <v>7482</v>
      </c>
      <c r="C158" t="s">
        <v>6903</v>
      </c>
      <c r="D158" t="str" cm="1">
        <f t="array" ref="D158">TRANSPOSE(_xlfn._xlws.FILTER('Controllable Asset Registry'!$A$4:$A$764,IFERROR('Controllable Asset Registry'!$E$4:$E$764=A158,FALSE),"No Equipment in entity"))</f>
        <v>VAV0058</v>
      </c>
    </row>
    <row r="159" spans="1:4" x14ac:dyDescent="0.3">
      <c r="A159" t="s">
        <v>6168</v>
      </c>
      <c r="B159" t="s">
        <v>7483</v>
      </c>
      <c r="C159" t="s">
        <v>6902</v>
      </c>
      <c r="D159" t="str" cm="1">
        <f t="array" ref="D159">TRANSPOSE(_xlfn._xlws.FILTER('Controllable Asset Registry'!$A$4:$A$764,IFERROR('Controllable Asset Registry'!$E$4:$E$764=A159,FALSE),"No Equipment in entity"))</f>
        <v>VAV0059</v>
      </c>
    </row>
    <row r="160" spans="1:4" x14ac:dyDescent="0.3">
      <c r="A160" t="s">
        <v>6169</v>
      </c>
      <c r="B160" t="s">
        <v>7484</v>
      </c>
      <c r="C160" t="s">
        <v>6906</v>
      </c>
      <c r="D160" t="str" cm="1">
        <f t="array" ref="D160">TRANSPOSE(_xlfn._xlws.FILTER('Controllable Asset Registry'!$A$4:$A$764,IFERROR('Controllable Asset Registry'!$E$4:$E$764=A160,FALSE),"No Equipment in entity"))</f>
        <v>VAV0060</v>
      </c>
    </row>
    <row r="161" spans="1:8" x14ac:dyDescent="0.3">
      <c r="A161" t="s">
        <v>6170</v>
      </c>
      <c r="B161" t="s">
        <v>7485</v>
      </c>
      <c r="C161" t="s">
        <v>6901</v>
      </c>
      <c r="D161" t="str" cm="1">
        <f t="array" ref="D161">TRANSPOSE(_xlfn._xlws.FILTER('Controllable Asset Registry'!$A$4:$A$764,IFERROR('Controllable Asset Registry'!$E$4:$E$764=A161,FALSE),"No Equipment in entity"))</f>
        <v>VAV0061</v>
      </c>
    </row>
    <row r="162" spans="1:8" x14ac:dyDescent="0.3">
      <c r="A162" t="s">
        <v>6171</v>
      </c>
      <c r="B162" t="s">
        <v>7486</v>
      </c>
      <c r="C162" t="s">
        <v>6901</v>
      </c>
      <c r="D162" t="str" cm="1">
        <f t="array" ref="D162">TRANSPOSE(_xlfn._xlws.FILTER('Controllable Asset Registry'!$A$4:$A$764,IFERROR('Controllable Asset Registry'!$E$4:$E$764=A162,FALSE),"No Equipment in entity"))</f>
        <v>VAV0062</v>
      </c>
    </row>
    <row r="163" spans="1:8" x14ac:dyDescent="0.3">
      <c r="A163" t="s">
        <v>6172</v>
      </c>
      <c r="B163" t="s">
        <v>7487</v>
      </c>
      <c r="C163" t="s">
        <v>6901</v>
      </c>
      <c r="D163" t="str" cm="1">
        <f t="array" ref="D163">TRANSPOSE(_xlfn._xlws.FILTER('Controllable Asset Registry'!$A$4:$A$764,IFERROR('Controllable Asset Registry'!$E$4:$E$764=A163,FALSE),"No Equipment in entity"))</f>
        <v>VAV0063</v>
      </c>
    </row>
    <row r="164" spans="1:8" x14ac:dyDescent="0.3">
      <c r="A164" t="s">
        <v>6173</v>
      </c>
      <c r="B164" t="s">
        <v>7488</v>
      </c>
      <c r="C164" t="s">
        <v>6902</v>
      </c>
      <c r="D164" t="str" cm="1">
        <f t="array" ref="D164">TRANSPOSE(_xlfn._xlws.FILTER('Controllable Asset Registry'!$A$4:$A$764,IFERROR('Controllable Asset Registry'!$E$4:$E$764=A164,FALSE),"No Equipment in entity"))</f>
        <v>VAV0064</v>
      </c>
    </row>
    <row r="165" spans="1:8" x14ac:dyDescent="0.3">
      <c r="A165" t="s">
        <v>6174</v>
      </c>
      <c r="B165" t="s">
        <v>7489</v>
      </c>
      <c r="C165" t="s">
        <v>6902</v>
      </c>
      <c r="D165" t="str" cm="1">
        <f t="array" ref="D165">TRANSPOSE(_xlfn._xlws.FILTER('Controllable Asset Registry'!$A$4:$A$764,IFERROR('Controllable Asset Registry'!$E$4:$E$764=A165,FALSE),"No Equipment in entity"))</f>
        <v>VAV0065</v>
      </c>
    </row>
    <row r="166" spans="1:8" x14ac:dyDescent="0.3">
      <c r="A166" t="s">
        <v>6175</v>
      </c>
      <c r="B166" t="s">
        <v>7490</v>
      </c>
      <c r="C166" t="s">
        <v>6907</v>
      </c>
      <c r="D166" t="str" cm="1">
        <f t="array" ref="D166">TRANSPOSE(_xlfn._xlws.FILTER('Controllable Asset Registry'!$A$4:$A$764,IFERROR('Controllable Asset Registry'!$E$4:$E$764=A166,FALSE),"No Equipment in entity"))</f>
        <v>VAV0066</v>
      </c>
    </row>
    <row r="167" spans="1:8" x14ac:dyDescent="0.3">
      <c r="A167" t="s">
        <v>6176</v>
      </c>
      <c r="B167" t="s">
        <v>7491</v>
      </c>
      <c r="C167" t="s">
        <v>6907</v>
      </c>
      <c r="D167" t="str" cm="1">
        <f t="array" ref="D167">TRANSPOSE(_xlfn._xlws.FILTER('Controllable Asset Registry'!$A$4:$A$764,IFERROR('Controllable Asset Registry'!$E$4:$E$764=A167,FALSE),"No Equipment in entity"))</f>
        <v>VAV0067</v>
      </c>
    </row>
    <row r="168" spans="1:8" x14ac:dyDescent="0.3">
      <c r="A168" t="s">
        <v>6177</v>
      </c>
      <c r="B168" t="s">
        <v>7492</v>
      </c>
      <c r="C168" t="s">
        <v>6903</v>
      </c>
      <c r="D168" t="str" cm="1">
        <f t="array" ref="D168">TRANSPOSE(_xlfn._xlws.FILTER('Controllable Asset Registry'!$A$4:$A$764,IFERROR('Controllable Asset Registry'!$E$4:$E$764=A168,FALSE),"No Equipment in entity"))</f>
        <v>VAV0068</v>
      </c>
    </row>
    <row r="169" spans="1:8" x14ac:dyDescent="0.3">
      <c r="A169" t="s">
        <v>6178</v>
      </c>
      <c r="B169" t="s">
        <v>7493</v>
      </c>
      <c r="C169" t="s">
        <v>6903</v>
      </c>
      <c r="D169" t="str" cm="1">
        <f t="array" ref="D169">TRANSPOSE(_xlfn._xlws.FILTER('Controllable Asset Registry'!$A$4:$A$764,IFERROR('Controllable Asset Registry'!$E$4:$E$764=A169,FALSE),"No Equipment in entity"))</f>
        <v>VAV0069</v>
      </c>
    </row>
    <row r="170" spans="1:8" x14ac:dyDescent="0.3">
      <c r="A170" t="s">
        <v>6179</v>
      </c>
      <c r="B170" t="s">
        <v>7494</v>
      </c>
      <c r="C170" t="s">
        <v>6907</v>
      </c>
      <c r="D170" t="str" cm="1">
        <f t="array" ref="D170">TRANSPOSE(_xlfn._xlws.FILTER('Controllable Asset Registry'!$A$4:$A$764,IFERROR('Controllable Asset Registry'!$E$4:$E$764=A170,FALSE),"No Equipment in entity"))</f>
        <v>VAV0070</v>
      </c>
    </row>
    <row r="171" spans="1:8" x14ac:dyDescent="0.3">
      <c r="A171" t="s">
        <v>6180</v>
      </c>
      <c r="B171" t="s">
        <v>7495</v>
      </c>
      <c r="C171" t="s">
        <v>6901</v>
      </c>
      <c r="D171" t="str" cm="1">
        <f t="array" ref="D171">TRANSPOSE(_xlfn._xlws.FILTER('Controllable Asset Registry'!$A$4:$A$764,IFERROR('Controllable Asset Registry'!$E$4:$E$764=A171,FALSE),"No Equipment in entity"))</f>
        <v>VAV0071</v>
      </c>
    </row>
    <row r="172" spans="1:8" x14ac:dyDescent="0.3">
      <c r="A172" t="s">
        <v>6190</v>
      </c>
      <c r="B172" t="s">
        <v>7496</v>
      </c>
      <c r="C172" t="s">
        <v>6908</v>
      </c>
      <c r="D172" t="str" cm="1">
        <f t="array" ref="D172:H172">TRANSPOSE(_xlfn._xlws.FILTER('Controllable Asset Registry'!$A$4:$A$764,IFERROR('Controllable Asset Registry'!$E$4:$E$764=A172,FALSE),"No Equipment in entity"))</f>
        <v>VAV0083</v>
      </c>
      <c r="E172" t="str">
        <v>VAV0084</v>
      </c>
      <c r="F172" t="str">
        <v>VAV0085</v>
      </c>
      <c r="G172" t="str">
        <v>VAV0086</v>
      </c>
      <c r="H172" t="str">
        <v>VAV0096</v>
      </c>
    </row>
    <row r="173" spans="1:8" x14ac:dyDescent="0.3">
      <c r="A173" t="s">
        <v>6909</v>
      </c>
      <c r="B173" t="s">
        <v>7497</v>
      </c>
      <c r="C173" t="s">
        <v>6910</v>
      </c>
      <c r="D173" t="str" cm="1">
        <f t="array" ref="D173">TRANSPOSE(_xlfn._xlws.FILTER('Controllable Asset Registry'!$A$4:$A$764,IFERROR('Controllable Asset Registry'!$E$4:$E$764=A173,FALSE),"No Equipment in entity"))</f>
        <v>No Equipment in entity</v>
      </c>
    </row>
    <row r="174" spans="1:8" x14ac:dyDescent="0.3">
      <c r="A174" t="s">
        <v>6911</v>
      </c>
      <c r="B174" t="s">
        <v>7498</v>
      </c>
      <c r="C174" t="s">
        <v>6912</v>
      </c>
      <c r="D174" t="str" cm="1">
        <f t="array" ref="D174">TRANSPOSE(_xlfn._xlws.FILTER('Controllable Asset Registry'!$A$4:$A$764,IFERROR('Controllable Asset Registry'!$E$4:$E$764=A174,FALSE),"No Equipment in entity"))</f>
        <v>No Equipment in entity</v>
      </c>
    </row>
    <row r="175" spans="1:8" x14ac:dyDescent="0.3">
      <c r="A175" t="s">
        <v>6913</v>
      </c>
      <c r="B175" t="s">
        <v>7499</v>
      </c>
      <c r="C175" t="s">
        <v>6912</v>
      </c>
      <c r="D175" t="str" cm="1">
        <f t="array" ref="D175">TRANSPOSE(_xlfn._xlws.FILTER('Controllable Asset Registry'!$A$4:$A$764,IFERROR('Controllable Asset Registry'!$E$4:$E$764=A175,FALSE),"No Equipment in entity"))</f>
        <v>No Equipment in entity</v>
      </c>
    </row>
    <row r="176" spans="1:8" x14ac:dyDescent="0.3">
      <c r="A176" t="s">
        <v>6194</v>
      </c>
      <c r="B176" t="s">
        <v>7500</v>
      </c>
      <c r="C176" t="s">
        <v>6914</v>
      </c>
      <c r="D176" t="str" cm="1">
        <f t="array" ref="D176">TRANSPOSE(_xlfn._xlws.FILTER('Controllable Asset Registry'!$A$4:$A$764,IFERROR('Controllable Asset Registry'!$E$4:$E$764=A176,FALSE),"No Equipment in entity"))</f>
        <v>VAV0091</v>
      </c>
    </row>
    <row r="177" spans="1:5" x14ac:dyDescent="0.3">
      <c r="A177" t="s">
        <v>6195</v>
      </c>
      <c r="B177" t="s">
        <v>7501</v>
      </c>
      <c r="C177" t="s">
        <v>6804</v>
      </c>
      <c r="D177" t="str" cm="1">
        <f t="array" ref="D177">TRANSPOSE(_xlfn._xlws.FILTER('Controllable Asset Registry'!$A$4:$A$764,IFERROR('Controllable Asset Registry'!$E$4:$E$764=A177,FALSE),"No Equipment in entity"))</f>
        <v>VAV0092</v>
      </c>
    </row>
    <row r="178" spans="1:5" x14ac:dyDescent="0.3">
      <c r="A178" t="s">
        <v>6191</v>
      </c>
      <c r="B178" t="s">
        <v>7502</v>
      </c>
      <c r="C178" t="s">
        <v>6915</v>
      </c>
      <c r="D178" t="str" cm="1">
        <f t="array" ref="D178">TRANSPOSE(_xlfn._xlws.FILTER('Controllable Asset Registry'!$A$4:$A$764,IFERROR('Controllable Asset Registry'!$E$4:$E$764=A178,FALSE),"No Equipment in entity"))</f>
        <v>VAV0087</v>
      </c>
    </row>
    <row r="179" spans="1:5" x14ac:dyDescent="0.3">
      <c r="A179" t="s">
        <v>6192</v>
      </c>
      <c r="B179" t="s">
        <v>7503</v>
      </c>
      <c r="C179" t="s">
        <v>6837</v>
      </c>
      <c r="D179" t="str" cm="1">
        <f t="array" ref="D179:E179">TRANSPOSE(_xlfn._xlws.FILTER('Controllable Asset Registry'!$A$4:$A$764,IFERROR('Controllable Asset Registry'!$E$4:$E$764=A179,FALSE),"No Equipment in entity"))</f>
        <v>VAV0088</v>
      </c>
      <c r="E179" t="str">
        <v>VAV0089</v>
      </c>
    </row>
    <row r="180" spans="1:5" x14ac:dyDescent="0.3">
      <c r="A180" t="s">
        <v>6193</v>
      </c>
      <c r="B180" t="s">
        <v>7504</v>
      </c>
      <c r="C180" t="s">
        <v>6823</v>
      </c>
      <c r="D180" t="str" cm="1">
        <f t="array" ref="D180">TRANSPOSE(_xlfn._xlws.FILTER('Controllable Asset Registry'!$A$4:$A$764,IFERROR('Controllable Asset Registry'!$E$4:$E$764=A180,FALSE),"No Equipment in entity"))</f>
        <v>VAV0090</v>
      </c>
    </row>
    <row r="181" spans="1:5" x14ac:dyDescent="0.3">
      <c r="A181" t="s">
        <v>6201</v>
      </c>
      <c r="B181" t="s">
        <v>7505</v>
      </c>
      <c r="C181" t="s">
        <v>6916</v>
      </c>
      <c r="D181" t="str" cm="1">
        <f t="array" ref="D181">TRANSPOSE(_xlfn._xlws.FILTER('Controllable Asset Registry'!$A$4:$A$764,IFERROR('Controllable Asset Registry'!$E$4:$E$764=A181,FALSE),"No Equipment in entity"))</f>
        <v>VAV0100</v>
      </c>
    </row>
    <row r="182" spans="1:5" x14ac:dyDescent="0.3">
      <c r="A182" t="s">
        <v>6055</v>
      </c>
      <c r="B182" t="s">
        <v>7506</v>
      </c>
      <c r="C182" t="s">
        <v>6917</v>
      </c>
      <c r="D182" t="str" cm="1">
        <f t="array" ref="D182">TRANSPOSE(_xlfn._xlws.FILTER('Controllable Asset Registry'!$A$4:$A$764,IFERROR('Controllable Asset Registry'!$E$4:$E$764=A182,FALSE),"No Equipment in entity"))</f>
        <v>FCU0022</v>
      </c>
    </row>
    <row r="183" spans="1:5" x14ac:dyDescent="0.3">
      <c r="A183" t="s">
        <v>6918</v>
      </c>
      <c r="B183" t="s">
        <v>7507</v>
      </c>
      <c r="C183" t="s">
        <v>6788</v>
      </c>
      <c r="D183" t="str" cm="1">
        <f t="array" ref="D183">TRANSPOSE(_xlfn._xlws.FILTER('Controllable Asset Registry'!$A$4:$A$764,IFERROR('Controllable Asset Registry'!$E$4:$E$764=A183,FALSE),"No Equipment in entity"))</f>
        <v>No Equipment in entity</v>
      </c>
    </row>
    <row r="184" spans="1:5" x14ac:dyDescent="0.3">
      <c r="A184" t="s">
        <v>6106</v>
      </c>
      <c r="B184" t="s">
        <v>7508</v>
      </c>
      <c r="C184" t="s">
        <v>6919</v>
      </c>
      <c r="D184" t="str" cm="1">
        <f t="array" ref="D184">TRANSPOSE(_xlfn._xlws.FILTER('Controllable Asset Registry'!$A$4:$A$764,IFERROR('Controllable Asset Registry'!$E$4:$E$764=A184,FALSE),"No Equipment in entity"))</f>
        <v>FCU0114</v>
      </c>
    </row>
    <row r="185" spans="1:5" x14ac:dyDescent="0.3">
      <c r="A185" t="s">
        <v>6198</v>
      </c>
      <c r="B185" t="s">
        <v>7509</v>
      </c>
      <c r="C185" t="s">
        <v>6907</v>
      </c>
      <c r="D185" t="str" cm="1">
        <f t="array" ref="D185">TRANSPOSE(_xlfn._xlws.FILTER('Controllable Asset Registry'!$A$4:$A$764,IFERROR('Controllable Asset Registry'!$E$4:$E$764=A185,FALSE),"No Equipment in entity"))</f>
        <v>VAV0095</v>
      </c>
    </row>
    <row r="186" spans="1:5" x14ac:dyDescent="0.3">
      <c r="A186" t="s">
        <v>6196</v>
      </c>
      <c r="B186" t="s">
        <v>7510</v>
      </c>
      <c r="C186" t="s">
        <v>6920</v>
      </c>
      <c r="D186" t="str" cm="1">
        <f t="array" ref="D186">TRANSPOSE(_xlfn._xlws.FILTER('Controllable Asset Registry'!$A$4:$A$764,IFERROR('Controllable Asset Registry'!$E$4:$E$764=A186,FALSE),"No Equipment in entity"))</f>
        <v>VAV0093</v>
      </c>
    </row>
    <row r="187" spans="1:5" x14ac:dyDescent="0.3">
      <c r="A187" t="s">
        <v>6197</v>
      </c>
      <c r="B187" t="s">
        <v>7511</v>
      </c>
      <c r="C187" t="s">
        <v>6907</v>
      </c>
      <c r="D187" t="str" cm="1">
        <f t="array" ref="D187">TRANSPOSE(_xlfn._xlws.FILTER('Controllable Asset Registry'!$A$4:$A$764,IFERROR('Controllable Asset Registry'!$E$4:$E$764=A187,FALSE),"No Equipment in entity"))</f>
        <v>VAV0094</v>
      </c>
    </row>
    <row r="188" spans="1:5" x14ac:dyDescent="0.3">
      <c r="A188" t="s">
        <v>6921</v>
      </c>
      <c r="B188" t="s">
        <v>7512</v>
      </c>
      <c r="C188" t="s">
        <v>6706</v>
      </c>
      <c r="D188" t="str" cm="1">
        <f t="array" ref="D188">TRANSPOSE(_xlfn._xlws.FILTER('Controllable Asset Registry'!$A$4:$A$764,IFERROR('Controllable Asset Registry'!$E$4:$E$764=A188,FALSE),"No Equipment in entity"))</f>
        <v>No Equipment in entity</v>
      </c>
    </row>
    <row r="189" spans="1:5" x14ac:dyDescent="0.3">
      <c r="A189" t="s">
        <v>6922</v>
      </c>
      <c r="B189" t="s">
        <v>7513</v>
      </c>
      <c r="C189" t="s">
        <v>6709</v>
      </c>
      <c r="D189" t="str" cm="1">
        <f t="array" ref="D189">TRANSPOSE(_xlfn._xlws.FILTER('Controllable Asset Registry'!$A$4:$A$764,IFERROR('Controllable Asset Registry'!$E$4:$E$764=A189,FALSE),"No Equipment in entity"))</f>
        <v>No Equipment in entity</v>
      </c>
    </row>
    <row r="190" spans="1:5" x14ac:dyDescent="0.3">
      <c r="A190" t="s">
        <v>6923</v>
      </c>
      <c r="B190" t="s">
        <v>7514</v>
      </c>
      <c r="C190" t="s">
        <v>5842</v>
      </c>
      <c r="D190" t="str" cm="1">
        <f t="array" ref="D190">TRANSPOSE(_xlfn._xlws.FILTER('Controllable Asset Registry'!$A$4:$A$764,IFERROR('Controllable Asset Registry'!$E$4:$E$764=A190,FALSE),"No Equipment in entity"))</f>
        <v>No Equipment in entity</v>
      </c>
    </row>
    <row r="191" spans="1:5" x14ac:dyDescent="0.3">
      <c r="A191" t="s">
        <v>6054</v>
      </c>
      <c r="B191" t="s">
        <v>7515</v>
      </c>
      <c r="C191" t="s">
        <v>6715</v>
      </c>
      <c r="D191" t="str" cm="1">
        <f t="array" ref="D191">TRANSPOSE(_xlfn._xlws.FILTER('Controllable Asset Registry'!$A$4:$A$764,IFERROR('Controllable Asset Registry'!$E$4:$E$764=A191,FALSE),"No Equipment in entity"))</f>
        <v>FCU0021</v>
      </c>
    </row>
    <row r="192" spans="1:5" x14ac:dyDescent="0.3">
      <c r="A192" t="s">
        <v>6924</v>
      </c>
      <c r="B192" t="s">
        <v>7516</v>
      </c>
      <c r="C192" t="s">
        <v>5839</v>
      </c>
      <c r="D192" t="str" cm="1">
        <f t="array" ref="D192">TRANSPOSE(_xlfn._xlws.FILTER('Controllable Asset Registry'!$A$4:$A$764,IFERROR('Controllable Asset Registry'!$E$4:$E$764=A192,FALSE),"No Equipment in entity"))</f>
        <v>No Equipment in entity</v>
      </c>
    </row>
    <row r="193" spans="1:5" x14ac:dyDescent="0.3">
      <c r="A193" t="s">
        <v>6053</v>
      </c>
      <c r="B193" t="s">
        <v>7517</v>
      </c>
      <c r="C193" t="s">
        <v>6715</v>
      </c>
      <c r="D193" t="str" cm="1">
        <f t="array" ref="D193:E193">TRANSPOSE(_xlfn._xlws.FILTER('Controllable Asset Registry'!$A$4:$A$764,IFERROR('Controllable Asset Registry'!$E$4:$E$764=A193,FALSE),"No Equipment in entity"))</f>
        <v>FCU0019</v>
      </c>
      <c r="E193" t="str">
        <v>FCU0020</v>
      </c>
    </row>
    <row r="194" spans="1:5" x14ac:dyDescent="0.3">
      <c r="A194" t="s">
        <v>6925</v>
      </c>
      <c r="B194" t="s">
        <v>7518</v>
      </c>
      <c r="C194" t="s">
        <v>6857</v>
      </c>
      <c r="D194" t="str" cm="1">
        <f t="array" ref="D194">TRANSPOSE(_xlfn._xlws.FILTER('Controllable Asset Registry'!$A$4:$A$764,IFERROR('Controllable Asset Registry'!$E$4:$E$764=A194,FALSE),"No Equipment in entity"))</f>
        <v>No Equipment in entity</v>
      </c>
    </row>
    <row r="195" spans="1:5" x14ac:dyDescent="0.3">
      <c r="A195" t="s">
        <v>6926</v>
      </c>
      <c r="B195" t="s">
        <v>7519</v>
      </c>
      <c r="C195" t="s">
        <v>6860</v>
      </c>
      <c r="D195" t="str" cm="1">
        <f t="array" ref="D195">TRANSPOSE(_xlfn._xlws.FILTER('Controllable Asset Registry'!$A$4:$A$764,IFERROR('Controllable Asset Registry'!$E$4:$E$764=A195,FALSE),"No Equipment in entity"))</f>
        <v>No Equipment in entity</v>
      </c>
    </row>
    <row r="196" spans="1:5" x14ac:dyDescent="0.3">
      <c r="A196" t="s">
        <v>6927</v>
      </c>
      <c r="B196" t="s">
        <v>7520</v>
      </c>
      <c r="C196" t="s">
        <v>5839</v>
      </c>
      <c r="D196" t="str" cm="1">
        <f t="array" ref="D196">TRANSPOSE(_xlfn._xlws.FILTER('Controllable Asset Registry'!$A$4:$A$764,IFERROR('Controllable Asset Registry'!$E$4:$E$764=A196,FALSE),"No Equipment in entity"))</f>
        <v>No Equipment in entity</v>
      </c>
    </row>
    <row r="197" spans="1:5" x14ac:dyDescent="0.3">
      <c r="A197" t="s">
        <v>6200</v>
      </c>
      <c r="B197" t="s">
        <v>7521</v>
      </c>
      <c r="C197" t="s">
        <v>5816</v>
      </c>
      <c r="D197" t="str" cm="1">
        <f t="array" ref="D197">TRANSPOSE(_xlfn._xlws.FILTER('Controllable Asset Registry'!$A$4:$A$764,IFERROR('Controllable Asset Registry'!$E$4:$E$764=A197,FALSE),"No Equipment in entity"))</f>
        <v>VAV0099</v>
      </c>
    </row>
    <row r="198" spans="1:5" x14ac:dyDescent="0.3">
      <c r="A198" t="s">
        <v>6199</v>
      </c>
      <c r="B198" t="s">
        <v>7522</v>
      </c>
      <c r="C198" t="s">
        <v>5816</v>
      </c>
      <c r="D198" t="str" cm="1">
        <f t="array" ref="D198:E198">TRANSPOSE(_xlfn._xlws.FILTER('Controllable Asset Registry'!$A$4:$A$764,IFERROR('Controllable Asset Registry'!$E$4:$E$764=A198,FALSE),"No Equipment in entity"))</f>
        <v>VAV0097</v>
      </c>
      <c r="E198" t="str">
        <v>VAV0098</v>
      </c>
    </row>
    <row r="199" spans="1:5" x14ac:dyDescent="0.3">
      <c r="A199" t="s">
        <v>6928</v>
      </c>
      <c r="B199" t="s">
        <v>7523</v>
      </c>
      <c r="C199" t="s">
        <v>5816</v>
      </c>
      <c r="D199" t="str" cm="1">
        <f t="array" ref="D199">TRANSPOSE(_xlfn._xlws.FILTER('Controllable Asset Registry'!$A$4:$A$764,IFERROR('Controllable Asset Registry'!$E$4:$E$764=A199,FALSE),"No Equipment in entity"))</f>
        <v>No Equipment in entity</v>
      </c>
    </row>
    <row r="200" spans="1:5" x14ac:dyDescent="0.3">
      <c r="A200" t="s">
        <v>6204</v>
      </c>
      <c r="B200" t="s">
        <v>7524</v>
      </c>
      <c r="C200" t="s">
        <v>6929</v>
      </c>
      <c r="D200" t="str" cm="1">
        <f t="array" ref="D200:E200">TRANSPOSE(_xlfn._xlws.FILTER('Controllable Asset Registry'!$A$4:$A$764,IFERROR('Controllable Asset Registry'!$E$4:$E$764=A200,FALSE),"No Equipment in entity"))</f>
        <v>VAV0107</v>
      </c>
      <c r="E200" t="str">
        <v>VAV0108</v>
      </c>
    </row>
    <row r="201" spans="1:5" x14ac:dyDescent="0.3">
      <c r="A201" t="s">
        <v>6202</v>
      </c>
      <c r="B201" t="s">
        <v>7525</v>
      </c>
      <c r="C201" t="s">
        <v>6930</v>
      </c>
      <c r="D201" t="str" cm="1">
        <f t="array" ref="D201">TRANSPOSE(_xlfn._xlws.FILTER('Controllable Asset Registry'!$A$4:$A$764,IFERROR('Controllable Asset Registry'!$E$4:$E$764=A201,FALSE),"No Equipment in entity"))</f>
        <v>VAV0101</v>
      </c>
    </row>
    <row r="202" spans="1:5" x14ac:dyDescent="0.3">
      <c r="A202" t="s">
        <v>6931</v>
      </c>
      <c r="B202" t="s">
        <v>7526</v>
      </c>
      <c r="C202" t="s">
        <v>6932</v>
      </c>
      <c r="D202" t="str" cm="1">
        <f t="array" ref="D202">TRANSPOSE(_xlfn._xlws.FILTER('Controllable Asset Registry'!$A$4:$A$764,IFERROR('Controllable Asset Registry'!$E$4:$E$764=A202,FALSE),"No Equipment in entity"))</f>
        <v>No Equipment in entity</v>
      </c>
    </row>
    <row r="203" spans="1:5" x14ac:dyDescent="0.3">
      <c r="A203" t="s">
        <v>6933</v>
      </c>
      <c r="B203" t="s">
        <v>7527</v>
      </c>
      <c r="C203" t="s">
        <v>6934</v>
      </c>
      <c r="D203" t="str" cm="1">
        <f t="array" ref="D203">TRANSPOSE(_xlfn._xlws.FILTER('Controllable Asset Registry'!$A$4:$A$764,IFERROR('Controllable Asset Registry'!$E$4:$E$764=A203,FALSE),"No Equipment in entity"))</f>
        <v>No Equipment in entity</v>
      </c>
    </row>
    <row r="204" spans="1:5" x14ac:dyDescent="0.3">
      <c r="A204" t="s">
        <v>6935</v>
      </c>
      <c r="B204" t="s">
        <v>7528</v>
      </c>
      <c r="C204" t="s">
        <v>6936</v>
      </c>
      <c r="D204" t="str" cm="1">
        <f t="array" ref="D204">TRANSPOSE(_xlfn._xlws.FILTER('Controllable Asset Registry'!$A$4:$A$764,IFERROR('Controllable Asset Registry'!$E$4:$E$764=A204,FALSE),"No Equipment in entity"))</f>
        <v>No Equipment in entity</v>
      </c>
    </row>
    <row r="205" spans="1:5" x14ac:dyDescent="0.3">
      <c r="A205" t="s">
        <v>6203</v>
      </c>
      <c r="B205" t="s">
        <v>7529</v>
      </c>
      <c r="C205" t="s">
        <v>6937</v>
      </c>
      <c r="D205" t="str" cm="1">
        <f t="array" ref="D205">TRANSPOSE(_xlfn._xlws.FILTER('Controllable Asset Registry'!$A$4:$A$764,IFERROR('Controllable Asset Registry'!$E$4:$E$764=A205,FALSE),"No Equipment in entity"))</f>
        <v>VAV0102</v>
      </c>
    </row>
    <row r="206" spans="1:5" x14ac:dyDescent="0.3">
      <c r="A206" t="s">
        <v>8219</v>
      </c>
      <c r="B206" t="s">
        <v>8220</v>
      </c>
      <c r="C206" t="s">
        <v>6871</v>
      </c>
      <c r="D206" t="str" cm="1">
        <f t="array" ref="D206">TRANSPOSE(_xlfn._xlws.FILTER('Controllable Asset Registry'!$A$4:$A$764,IFERROR('Controllable Asset Registry'!$E$4:$E$764=A206,FALSE),"No Equipment in entity"))</f>
        <v>No Equipment in entity</v>
      </c>
    </row>
    <row r="207" spans="1:5" x14ac:dyDescent="0.3">
      <c r="A207" t="s">
        <v>8221</v>
      </c>
      <c r="B207" t="s">
        <v>8222</v>
      </c>
      <c r="C207" t="s">
        <v>6874</v>
      </c>
      <c r="D207" t="str" cm="1">
        <f t="array" ref="D207">TRANSPOSE(_xlfn._xlws.FILTER('Controllable Asset Registry'!$A$4:$A$764,IFERROR('Controllable Asset Registry'!$E$4:$E$764=A207,FALSE),"No Equipment in entity"))</f>
        <v>No Equipment in entity</v>
      </c>
    </row>
    <row r="208" spans="1:5" x14ac:dyDescent="0.3">
      <c r="A208" t="s">
        <v>8223</v>
      </c>
      <c r="B208" t="s">
        <v>8224</v>
      </c>
      <c r="C208" t="s">
        <v>6877</v>
      </c>
      <c r="D208" t="str" cm="1">
        <f t="array" ref="D208">TRANSPOSE(_xlfn._xlws.FILTER('Controllable Asset Registry'!$A$4:$A$764,IFERROR('Controllable Asset Registry'!$E$4:$E$764=A208,FALSE),"No Equipment in entity"))</f>
        <v>No Equipment in entity</v>
      </c>
    </row>
    <row r="209" spans="1:4" x14ac:dyDescent="0.3">
      <c r="A209" t="s">
        <v>8225</v>
      </c>
      <c r="B209" t="s">
        <v>8226</v>
      </c>
      <c r="C209" t="s">
        <v>6880</v>
      </c>
      <c r="D209" t="str" cm="1">
        <f t="array" ref="D209">TRANSPOSE(_xlfn._xlws.FILTER('Controllable Asset Registry'!$A$4:$A$764,IFERROR('Controllable Asset Registry'!$E$4:$E$764=A209,FALSE),"No Equipment in entity"))</f>
        <v>No Equipment in entity</v>
      </c>
    </row>
    <row r="210" spans="1:4" x14ac:dyDescent="0.3">
      <c r="A210" t="s">
        <v>8227</v>
      </c>
      <c r="B210" t="s">
        <v>8228</v>
      </c>
      <c r="C210" t="s">
        <v>6744</v>
      </c>
      <c r="D210" t="str" cm="1">
        <f t="array" ref="D210">TRANSPOSE(_xlfn._xlws.FILTER('Controllable Asset Registry'!$A$4:$A$764,IFERROR('Controllable Asset Registry'!$E$4:$E$764=A210,FALSE),"No Equipment in entity"))</f>
        <v>No Equipment in entity</v>
      </c>
    </row>
    <row r="211" spans="1:4" x14ac:dyDescent="0.3">
      <c r="A211" t="s">
        <v>8229</v>
      </c>
      <c r="B211" t="s">
        <v>8230</v>
      </c>
      <c r="C211" t="s">
        <v>6747</v>
      </c>
      <c r="D211" t="str" cm="1">
        <f t="array" ref="D211">TRANSPOSE(_xlfn._xlws.FILTER('Controllable Asset Registry'!$A$4:$A$764,IFERROR('Controllable Asset Registry'!$E$4:$E$764=A211,FALSE),"No Equipment in entity"))</f>
        <v>No Equipment in entity</v>
      </c>
    </row>
    <row r="212" spans="1:4" x14ac:dyDescent="0.3">
      <c r="A212" t="s">
        <v>8231</v>
      </c>
      <c r="B212" t="s">
        <v>8232</v>
      </c>
      <c r="C212" t="s">
        <v>6750</v>
      </c>
      <c r="D212" t="str" cm="1">
        <f t="array" ref="D212">TRANSPOSE(_xlfn._xlws.FILTER('Controllable Asset Registry'!$A$4:$A$764,IFERROR('Controllable Asset Registry'!$E$4:$E$764=A212,FALSE),"No Equipment in entity"))</f>
        <v>No Equipment in entity</v>
      </c>
    </row>
    <row r="213" spans="1:4" x14ac:dyDescent="0.3">
      <c r="A213" t="s">
        <v>8233</v>
      </c>
      <c r="B213" t="s">
        <v>8234</v>
      </c>
      <c r="C213" t="s">
        <v>6889</v>
      </c>
      <c r="D213" t="str" cm="1">
        <f t="array" ref="D213">TRANSPOSE(_xlfn._xlws.FILTER('Controllable Asset Registry'!$A$4:$A$764,IFERROR('Controllable Asset Registry'!$E$4:$E$764=A213,FALSE),"No Equipment in entity"))</f>
        <v>No Equipment in entity</v>
      </c>
    </row>
    <row r="214" spans="1:4" x14ac:dyDescent="0.3">
      <c r="A214" t="s">
        <v>8235</v>
      </c>
      <c r="B214" t="s">
        <v>8236</v>
      </c>
      <c r="C214" t="s">
        <v>6755</v>
      </c>
      <c r="D214" t="str" cm="1">
        <f t="array" ref="D214">TRANSPOSE(_xlfn._xlws.FILTER('Controllable Asset Registry'!$A$4:$A$764,IFERROR('Controllable Asset Registry'!$E$4:$E$764=A214,FALSE),"No Equipment in entity"))</f>
        <v>No Equipment in entity</v>
      </c>
    </row>
    <row r="215" spans="1:4" x14ac:dyDescent="0.3">
      <c r="A215" t="s">
        <v>8237</v>
      </c>
      <c r="B215" t="s">
        <v>8238</v>
      </c>
      <c r="C215" t="s">
        <v>6757</v>
      </c>
      <c r="D215" t="str" cm="1">
        <f t="array" ref="D215">TRANSPOSE(_xlfn._xlws.FILTER('Controllable Asset Registry'!$A$4:$A$764,IFERROR('Controllable Asset Registry'!$E$4:$E$764=A215,FALSE),"No Equipment in entity"))</f>
        <v>No Equipment in entity</v>
      </c>
    </row>
    <row r="216" spans="1:4" x14ac:dyDescent="0.3">
      <c r="A216" t="s">
        <v>8239</v>
      </c>
      <c r="B216" t="s">
        <v>8240</v>
      </c>
      <c r="C216" t="s">
        <v>6896</v>
      </c>
      <c r="D216" t="str" cm="1">
        <f t="array" ref="D216">TRANSPOSE(_xlfn._xlws.FILTER('Controllable Asset Registry'!$A$4:$A$764,IFERROR('Controllable Asset Registry'!$E$4:$E$764=A216,FALSE),"No Equipment in entity"))</f>
        <v>No Equipment in entity</v>
      </c>
    </row>
    <row r="217" spans="1:4" x14ac:dyDescent="0.3">
      <c r="A217" t="s">
        <v>8241</v>
      </c>
      <c r="B217" t="s">
        <v>8242</v>
      </c>
      <c r="C217" t="s">
        <v>6760</v>
      </c>
      <c r="D217" t="str" cm="1">
        <f t="array" ref="D217">TRANSPOSE(_xlfn._xlws.FILTER('Controllable Asset Registry'!$A$4:$A$764,IFERROR('Controllable Asset Registry'!$E$4:$E$764=A217,FALSE),"No Equipment in entity"))</f>
        <v>No Equipment in entity</v>
      </c>
    </row>
    <row r="218" spans="1:4" x14ac:dyDescent="0.3">
      <c r="A218" t="s">
        <v>6247</v>
      </c>
      <c r="B218" t="s">
        <v>7530</v>
      </c>
      <c r="C218" t="s">
        <v>6833</v>
      </c>
      <c r="D218" t="str" cm="1">
        <f t="array" ref="D218">TRANSPOSE(_xlfn._xlws.FILTER('Controllable Asset Registry'!$A$4:$A$764,IFERROR('Controllable Asset Registry'!$E$4:$E$764=A218,FALSE),"No Equipment in entity"))</f>
        <v>VAV0154</v>
      </c>
    </row>
    <row r="219" spans="1:4" x14ac:dyDescent="0.3">
      <c r="A219" t="s">
        <v>6246</v>
      </c>
      <c r="B219" t="s">
        <v>7531</v>
      </c>
      <c r="C219" t="s">
        <v>6938</v>
      </c>
      <c r="D219" t="str" cm="1">
        <f t="array" ref="D219">TRANSPOSE(_xlfn._xlws.FILTER('Controllable Asset Registry'!$A$4:$A$764,IFERROR('Controllable Asset Registry'!$E$4:$E$764=A219,FALSE),"No Equipment in entity"))</f>
        <v>VAV0153</v>
      </c>
    </row>
    <row r="220" spans="1:4" x14ac:dyDescent="0.3">
      <c r="A220" t="s">
        <v>6245</v>
      </c>
      <c r="B220" t="s">
        <v>7532</v>
      </c>
      <c r="C220" t="s">
        <v>6938</v>
      </c>
      <c r="D220" t="str" cm="1">
        <f t="array" ref="D220">TRANSPOSE(_xlfn._xlws.FILTER('Controllable Asset Registry'!$A$4:$A$764,IFERROR('Controllable Asset Registry'!$E$4:$E$764=A220,FALSE),"No Equipment in entity"))</f>
        <v>VAV0152</v>
      </c>
    </row>
    <row r="221" spans="1:4" x14ac:dyDescent="0.3">
      <c r="A221" t="s">
        <v>6244</v>
      </c>
      <c r="B221" t="s">
        <v>7533</v>
      </c>
      <c r="C221" t="s">
        <v>6939</v>
      </c>
      <c r="D221" t="str" cm="1">
        <f t="array" ref="D221">TRANSPOSE(_xlfn._xlws.FILTER('Controllable Asset Registry'!$A$4:$A$764,IFERROR('Controllable Asset Registry'!$E$4:$E$764=A221,FALSE),"No Equipment in entity"))</f>
        <v>VAV0151</v>
      </c>
    </row>
    <row r="222" spans="1:4" x14ac:dyDescent="0.3">
      <c r="A222" t="s">
        <v>6243</v>
      </c>
      <c r="B222" t="s">
        <v>7534</v>
      </c>
      <c r="C222" t="s">
        <v>6938</v>
      </c>
      <c r="D222" t="str" cm="1">
        <f t="array" ref="D222">TRANSPOSE(_xlfn._xlws.FILTER('Controllable Asset Registry'!$A$4:$A$764,IFERROR('Controllable Asset Registry'!$E$4:$E$764=A222,FALSE),"No Equipment in entity"))</f>
        <v>VAV0150</v>
      </c>
    </row>
    <row r="223" spans="1:4" x14ac:dyDescent="0.3">
      <c r="A223" t="s">
        <v>6242</v>
      </c>
      <c r="B223" t="s">
        <v>7535</v>
      </c>
      <c r="C223" t="s">
        <v>6938</v>
      </c>
      <c r="D223" t="str" cm="1">
        <f t="array" ref="D223">TRANSPOSE(_xlfn._xlws.FILTER('Controllable Asset Registry'!$A$4:$A$764,IFERROR('Controllable Asset Registry'!$E$4:$E$764=A223,FALSE),"No Equipment in entity"))</f>
        <v>VAV0149</v>
      </c>
    </row>
    <row r="224" spans="1:4" x14ac:dyDescent="0.3">
      <c r="A224" t="s">
        <v>6241</v>
      </c>
      <c r="B224" t="s">
        <v>7536</v>
      </c>
      <c r="C224" t="s">
        <v>6938</v>
      </c>
      <c r="D224" t="str" cm="1">
        <f t="array" ref="D224">TRANSPOSE(_xlfn._xlws.FILTER('Controllable Asset Registry'!$A$4:$A$764,IFERROR('Controllable Asset Registry'!$E$4:$E$764=A224,FALSE),"No Equipment in entity"))</f>
        <v>VAV0148</v>
      </c>
    </row>
    <row r="225" spans="1:4" x14ac:dyDescent="0.3">
      <c r="A225" t="s">
        <v>6240</v>
      </c>
      <c r="B225" t="s">
        <v>7537</v>
      </c>
      <c r="C225" t="s">
        <v>6938</v>
      </c>
      <c r="D225" t="str" cm="1">
        <f t="array" ref="D225">TRANSPOSE(_xlfn._xlws.FILTER('Controllable Asset Registry'!$A$4:$A$764,IFERROR('Controllable Asset Registry'!$E$4:$E$764=A225,FALSE),"No Equipment in entity"))</f>
        <v>VAV0147</v>
      </c>
    </row>
    <row r="226" spans="1:4" x14ac:dyDescent="0.3">
      <c r="A226" t="s">
        <v>6239</v>
      </c>
      <c r="B226" t="s">
        <v>7538</v>
      </c>
      <c r="C226" t="s">
        <v>6940</v>
      </c>
      <c r="D226" t="str" cm="1">
        <f t="array" ref="D226">TRANSPOSE(_xlfn._xlws.FILTER('Controllable Asset Registry'!$A$4:$A$764,IFERROR('Controllable Asset Registry'!$E$4:$E$764=A226,FALSE),"No Equipment in entity"))</f>
        <v>VAV0146</v>
      </c>
    </row>
    <row r="227" spans="1:4" x14ac:dyDescent="0.3">
      <c r="A227" t="s">
        <v>6238</v>
      </c>
      <c r="B227" t="s">
        <v>7539</v>
      </c>
      <c r="C227" t="s">
        <v>6941</v>
      </c>
      <c r="D227" t="str" cm="1">
        <f t="array" ref="D227">TRANSPOSE(_xlfn._xlws.FILTER('Controllable Asset Registry'!$A$4:$A$764,IFERROR('Controllable Asset Registry'!$E$4:$E$764=A227,FALSE),"No Equipment in entity"))</f>
        <v>VAV0145</v>
      </c>
    </row>
    <row r="228" spans="1:4" x14ac:dyDescent="0.3">
      <c r="A228" t="s">
        <v>6237</v>
      </c>
      <c r="B228" t="s">
        <v>7540</v>
      </c>
      <c r="C228" t="s">
        <v>6941</v>
      </c>
      <c r="D228" t="str" cm="1">
        <f t="array" ref="D228">TRANSPOSE(_xlfn._xlws.FILTER('Controllable Asset Registry'!$A$4:$A$764,IFERROR('Controllable Asset Registry'!$E$4:$E$764=A228,FALSE),"No Equipment in entity"))</f>
        <v>VAV0144</v>
      </c>
    </row>
    <row r="229" spans="1:4" x14ac:dyDescent="0.3">
      <c r="A229" t="s">
        <v>6236</v>
      </c>
      <c r="B229" t="s">
        <v>7541</v>
      </c>
      <c r="C229" t="s">
        <v>6941</v>
      </c>
      <c r="D229" t="str" cm="1">
        <f t="array" ref="D229">TRANSPOSE(_xlfn._xlws.FILTER('Controllable Asset Registry'!$A$4:$A$764,IFERROR('Controllable Asset Registry'!$E$4:$E$764=A229,FALSE),"No Equipment in entity"))</f>
        <v>VAV0143</v>
      </c>
    </row>
    <row r="230" spans="1:4" x14ac:dyDescent="0.3">
      <c r="A230" t="s">
        <v>6235</v>
      </c>
      <c r="B230" t="s">
        <v>7542</v>
      </c>
      <c r="C230" t="s">
        <v>6940</v>
      </c>
      <c r="D230" t="str" cm="1">
        <f t="array" ref="D230">TRANSPOSE(_xlfn._xlws.FILTER('Controllable Asset Registry'!$A$4:$A$764,IFERROR('Controllable Asset Registry'!$E$4:$E$764=A230,FALSE),"No Equipment in entity"))</f>
        <v>VAV0142</v>
      </c>
    </row>
    <row r="231" spans="1:4" x14ac:dyDescent="0.3">
      <c r="A231" t="s">
        <v>6234</v>
      </c>
      <c r="B231" t="s">
        <v>7543</v>
      </c>
      <c r="C231" t="s">
        <v>6941</v>
      </c>
      <c r="D231" t="str" cm="1">
        <f t="array" ref="D231">TRANSPOSE(_xlfn._xlws.FILTER('Controllable Asset Registry'!$A$4:$A$764,IFERROR('Controllable Asset Registry'!$E$4:$E$764=A231,FALSE),"No Equipment in entity"))</f>
        <v>VAV0141</v>
      </c>
    </row>
    <row r="232" spans="1:4" x14ac:dyDescent="0.3">
      <c r="A232" t="s">
        <v>6233</v>
      </c>
      <c r="B232" t="s">
        <v>7544</v>
      </c>
      <c r="C232" t="s">
        <v>6941</v>
      </c>
      <c r="D232" t="str" cm="1">
        <f t="array" ref="D232">TRANSPOSE(_xlfn._xlws.FILTER('Controllable Asset Registry'!$A$4:$A$764,IFERROR('Controllable Asset Registry'!$E$4:$E$764=A232,FALSE),"No Equipment in entity"))</f>
        <v>VAV0140</v>
      </c>
    </row>
    <row r="233" spans="1:4" x14ac:dyDescent="0.3">
      <c r="A233" t="s">
        <v>6232</v>
      </c>
      <c r="B233" t="s">
        <v>7545</v>
      </c>
      <c r="C233" t="s">
        <v>6941</v>
      </c>
      <c r="D233" t="str" cm="1">
        <f t="array" ref="D233">TRANSPOSE(_xlfn._xlws.FILTER('Controllable Asset Registry'!$A$4:$A$764,IFERROR('Controllable Asset Registry'!$E$4:$E$764=A233,FALSE),"No Equipment in entity"))</f>
        <v>VAV0139</v>
      </c>
    </row>
    <row r="234" spans="1:4" x14ac:dyDescent="0.3">
      <c r="A234" t="s">
        <v>6231</v>
      </c>
      <c r="B234" t="s">
        <v>7546</v>
      </c>
      <c r="C234" t="s">
        <v>6940</v>
      </c>
      <c r="D234" t="str" cm="1">
        <f t="array" ref="D234">TRANSPOSE(_xlfn._xlws.FILTER('Controllable Asset Registry'!$A$4:$A$764,IFERROR('Controllable Asset Registry'!$E$4:$E$764=A234,FALSE),"No Equipment in entity"))</f>
        <v>VAV0138</v>
      </c>
    </row>
    <row r="235" spans="1:4" x14ac:dyDescent="0.3">
      <c r="A235" t="s">
        <v>6205</v>
      </c>
      <c r="B235" t="s">
        <v>7547</v>
      </c>
      <c r="C235" t="s">
        <v>6942</v>
      </c>
      <c r="D235" t="str" cm="1">
        <f t="array" ref="D235">TRANSPOSE(_xlfn._xlws.FILTER('Controllable Asset Registry'!$A$4:$A$764,IFERROR('Controllable Asset Registry'!$E$4:$E$764=A235,FALSE),"No Equipment in entity"))</f>
        <v>VAV0109</v>
      </c>
    </row>
    <row r="236" spans="1:4" x14ac:dyDescent="0.3">
      <c r="A236" t="s">
        <v>6206</v>
      </c>
      <c r="B236" t="s">
        <v>7548</v>
      </c>
      <c r="C236" t="s">
        <v>6941</v>
      </c>
      <c r="D236" t="str" cm="1">
        <f t="array" ref="D236">TRANSPOSE(_xlfn._xlws.FILTER('Controllable Asset Registry'!$A$4:$A$764,IFERROR('Controllable Asset Registry'!$E$4:$E$764=A236,FALSE),"No Equipment in entity"))</f>
        <v>VAV0110</v>
      </c>
    </row>
    <row r="237" spans="1:4" x14ac:dyDescent="0.3">
      <c r="A237" t="s">
        <v>6207</v>
      </c>
      <c r="B237" t="s">
        <v>7549</v>
      </c>
      <c r="C237" t="s">
        <v>6941</v>
      </c>
      <c r="D237" t="str" cm="1">
        <f t="array" ref="D237">TRANSPOSE(_xlfn._xlws.FILTER('Controllable Asset Registry'!$A$4:$A$764,IFERROR('Controllable Asset Registry'!$E$4:$E$764=A237,FALSE),"No Equipment in entity"))</f>
        <v>VAV0111</v>
      </c>
    </row>
    <row r="238" spans="1:4" x14ac:dyDescent="0.3">
      <c r="A238" t="s">
        <v>6208</v>
      </c>
      <c r="B238" t="s">
        <v>7550</v>
      </c>
      <c r="C238" t="s">
        <v>6941</v>
      </c>
      <c r="D238" t="str" cm="1">
        <f t="array" ref="D238">TRANSPOSE(_xlfn._xlws.FILTER('Controllable Asset Registry'!$A$4:$A$764,IFERROR('Controllable Asset Registry'!$E$4:$E$764=A238,FALSE),"No Equipment in entity"))</f>
        <v>VAV0112</v>
      </c>
    </row>
    <row r="239" spans="1:4" x14ac:dyDescent="0.3">
      <c r="A239" t="s">
        <v>6209</v>
      </c>
      <c r="B239" t="s">
        <v>7551</v>
      </c>
      <c r="C239" t="s">
        <v>6940</v>
      </c>
      <c r="D239" t="str" cm="1">
        <f t="array" ref="D239">TRANSPOSE(_xlfn._xlws.FILTER('Controllable Asset Registry'!$A$4:$A$764,IFERROR('Controllable Asset Registry'!$E$4:$E$764=A239,FALSE),"No Equipment in entity"))</f>
        <v>VAV0113</v>
      </c>
    </row>
    <row r="240" spans="1:4" x14ac:dyDescent="0.3">
      <c r="A240" t="s">
        <v>6210</v>
      </c>
      <c r="B240" t="s">
        <v>7552</v>
      </c>
      <c r="C240" t="s">
        <v>6941</v>
      </c>
      <c r="D240" t="str" cm="1">
        <f t="array" ref="D240">TRANSPOSE(_xlfn._xlws.FILTER('Controllable Asset Registry'!$A$4:$A$764,IFERROR('Controllable Asset Registry'!$E$4:$E$764=A240,FALSE),"No Equipment in entity"))</f>
        <v>VAV0114</v>
      </c>
    </row>
    <row r="241" spans="1:5" x14ac:dyDescent="0.3">
      <c r="A241" t="s">
        <v>6211</v>
      </c>
      <c r="B241" t="s">
        <v>7553</v>
      </c>
      <c r="C241" t="s">
        <v>6941</v>
      </c>
      <c r="D241" t="str" cm="1">
        <f t="array" ref="D241">TRANSPOSE(_xlfn._xlws.FILTER('Controllable Asset Registry'!$A$4:$A$764,IFERROR('Controllable Asset Registry'!$E$4:$E$764=A241,FALSE),"No Equipment in entity"))</f>
        <v>VAV0115</v>
      </c>
    </row>
    <row r="242" spans="1:5" x14ac:dyDescent="0.3">
      <c r="A242" t="s">
        <v>6212</v>
      </c>
      <c r="B242" t="s">
        <v>7554</v>
      </c>
      <c r="C242" t="s">
        <v>6941</v>
      </c>
      <c r="D242" t="str" cm="1">
        <f t="array" ref="D242">TRANSPOSE(_xlfn._xlws.FILTER('Controllable Asset Registry'!$A$4:$A$764,IFERROR('Controllable Asset Registry'!$E$4:$E$764=A242,FALSE),"No Equipment in entity"))</f>
        <v>VAV0116</v>
      </c>
    </row>
    <row r="243" spans="1:5" x14ac:dyDescent="0.3">
      <c r="A243" t="s">
        <v>6213</v>
      </c>
      <c r="B243" t="s">
        <v>7555</v>
      </c>
      <c r="C243" t="s">
        <v>6940</v>
      </c>
      <c r="D243" t="str" cm="1">
        <f t="array" ref="D243">TRANSPOSE(_xlfn._xlws.FILTER('Controllable Asset Registry'!$A$4:$A$764,IFERROR('Controllable Asset Registry'!$E$4:$E$764=A243,FALSE),"No Equipment in entity"))</f>
        <v>VAV0117</v>
      </c>
    </row>
    <row r="244" spans="1:5" x14ac:dyDescent="0.3">
      <c r="A244" t="s">
        <v>6214</v>
      </c>
      <c r="B244" t="s">
        <v>7556</v>
      </c>
      <c r="C244" t="s">
        <v>6941</v>
      </c>
      <c r="D244" t="str" cm="1">
        <f t="array" ref="D244">TRANSPOSE(_xlfn._xlws.FILTER('Controllable Asset Registry'!$A$4:$A$764,IFERROR('Controllable Asset Registry'!$E$4:$E$764=A244,FALSE),"No Equipment in entity"))</f>
        <v>VAV0118</v>
      </c>
    </row>
    <row r="245" spans="1:5" x14ac:dyDescent="0.3">
      <c r="A245" t="s">
        <v>6215</v>
      </c>
      <c r="B245" t="s">
        <v>7557</v>
      </c>
      <c r="C245" t="s">
        <v>6941</v>
      </c>
      <c r="D245" t="str" cm="1">
        <f t="array" ref="D245">TRANSPOSE(_xlfn._xlws.FILTER('Controllable Asset Registry'!$A$4:$A$764,IFERROR('Controllable Asset Registry'!$E$4:$E$764=A245,FALSE),"No Equipment in entity"))</f>
        <v>VAV0119</v>
      </c>
    </row>
    <row r="246" spans="1:5" x14ac:dyDescent="0.3">
      <c r="A246" t="s">
        <v>6216</v>
      </c>
      <c r="B246" t="s">
        <v>7558</v>
      </c>
      <c r="C246" t="s">
        <v>6941</v>
      </c>
      <c r="D246" t="str" cm="1">
        <f t="array" ref="D246">TRANSPOSE(_xlfn._xlws.FILTER('Controllable Asset Registry'!$A$4:$A$764,IFERROR('Controllable Asset Registry'!$E$4:$E$764=A246,FALSE),"No Equipment in entity"))</f>
        <v>VAV0120</v>
      </c>
    </row>
    <row r="247" spans="1:5" x14ac:dyDescent="0.3">
      <c r="A247" t="s">
        <v>6217</v>
      </c>
      <c r="B247" t="s">
        <v>7559</v>
      </c>
      <c r="C247" t="s">
        <v>6940</v>
      </c>
      <c r="D247" t="str" cm="1">
        <f t="array" ref="D247">TRANSPOSE(_xlfn._xlws.FILTER('Controllable Asset Registry'!$A$4:$A$764,IFERROR('Controllable Asset Registry'!$E$4:$E$764=A247,FALSE),"No Equipment in entity"))</f>
        <v>VAV0121</v>
      </c>
    </row>
    <row r="248" spans="1:5" x14ac:dyDescent="0.3">
      <c r="A248" t="s">
        <v>6218</v>
      </c>
      <c r="B248" t="s">
        <v>7560</v>
      </c>
      <c r="C248" t="s">
        <v>6941</v>
      </c>
      <c r="D248" t="str" cm="1">
        <f t="array" ref="D248">TRANSPOSE(_xlfn._xlws.FILTER('Controllable Asset Registry'!$A$4:$A$764,IFERROR('Controllable Asset Registry'!$E$4:$E$764=A248,FALSE),"No Equipment in entity"))</f>
        <v>VAV0122</v>
      </c>
    </row>
    <row r="249" spans="1:5" x14ac:dyDescent="0.3">
      <c r="A249" t="s">
        <v>6219</v>
      </c>
      <c r="B249" t="s">
        <v>7561</v>
      </c>
      <c r="C249" t="s">
        <v>6941</v>
      </c>
      <c r="D249" t="str" cm="1">
        <f t="array" ref="D249">TRANSPOSE(_xlfn._xlws.FILTER('Controllable Asset Registry'!$A$4:$A$764,IFERROR('Controllable Asset Registry'!$E$4:$E$764=A249,FALSE),"No Equipment in entity"))</f>
        <v>VAV0123</v>
      </c>
    </row>
    <row r="250" spans="1:5" x14ac:dyDescent="0.3">
      <c r="A250" t="s">
        <v>6220</v>
      </c>
      <c r="B250" t="s">
        <v>7562</v>
      </c>
      <c r="C250" t="s">
        <v>6941</v>
      </c>
      <c r="D250" t="str" cm="1">
        <f t="array" ref="D250">TRANSPOSE(_xlfn._xlws.FILTER('Controllable Asset Registry'!$A$4:$A$764,IFERROR('Controllable Asset Registry'!$E$4:$E$764=A250,FALSE),"No Equipment in entity"))</f>
        <v>VAV0124</v>
      </c>
    </row>
    <row r="251" spans="1:5" x14ac:dyDescent="0.3">
      <c r="A251" t="s">
        <v>6221</v>
      </c>
      <c r="B251" t="s">
        <v>7563</v>
      </c>
      <c r="C251" t="s">
        <v>6940</v>
      </c>
      <c r="D251" t="str" cm="1">
        <f t="array" ref="D251">TRANSPOSE(_xlfn._xlws.FILTER('Controllable Asset Registry'!$A$4:$A$764,IFERROR('Controllable Asset Registry'!$E$4:$E$764=A251,FALSE),"No Equipment in entity"))</f>
        <v>VAV0125</v>
      </c>
    </row>
    <row r="252" spans="1:5" x14ac:dyDescent="0.3">
      <c r="A252" t="s">
        <v>6222</v>
      </c>
      <c r="B252" t="s">
        <v>7564</v>
      </c>
      <c r="C252" t="s">
        <v>6941</v>
      </c>
      <c r="D252" t="str" cm="1">
        <f t="array" ref="D252">TRANSPOSE(_xlfn._xlws.FILTER('Controllable Asset Registry'!$A$4:$A$764,IFERROR('Controllable Asset Registry'!$E$4:$E$764=A252,FALSE),"No Equipment in entity"))</f>
        <v>VAV0126</v>
      </c>
    </row>
    <row r="253" spans="1:5" x14ac:dyDescent="0.3">
      <c r="A253" t="s">
        <v>6223</v>
      </c>
      <c r="B253" t="s">
        <v>7565</v>
      </c>
      <c r="C253" t="s">
        <v>6941</v>
      </c>
      <c r="D253" t="str" cm="1">
        <f t="array" ref="D253">TRANSPOSE(_xlfn._xlws.FILTER('Controllable Asset Registry'!$A$4:$A$764,IFERROR('Controllable Asset Registry'!$E$4:$E$764=A253,FALSE),"No Equipment in entity"))</f>
        <v>VAV0127</v>
      </c>
    </row>
    <row r="254" spans="1:5" x14ac:dyDescent="0.3">
      <c r="A254" t="s">
        <v>6230</v>
      </c>
      <c r="B254" t="s">
        <v>7566</v>
      </c>
      <c r="C254" t="s">
        <v>6943</v>
      </c>
      <c r="D254" t="str" cm="1">
        <f t="array" ref="D254">TRANSPOSE(_xlfn._xlws.FILTER('Controllable Asset Registry'!$A$4:$A$764,IFERROR('Controllable Asset Registry'!$E$4:$E$764=A254,FALSE),"No Equipment in entity"))</f>
        <v>VAV0137</v>
      </c>
    </row>
    <row r="255" spans="1:5" x14ac:dyDescent="0.3">
      <c r="A255" t="s">
        <v>6058</v>
      </c>
      <c r="B255" t="s">
        <v>7567</v>
      </c>
      <c r="C255" t="s">
        <v>6917</v>
      </c>
      <c r="D255" t="str" cm="1">
        <f t="array" ref="D255">TRANSPOSE(_xlfn._xlws.FILTER('Controllable Asset Registry'!$A$4:$A$764,IFERROR('Controllable Asset Registry'!$E$4:$E$764=A255,FALSE),"No Equipment in entity"))</f>
        <v>FCU0028</v>
      </c>
    </row>
    <row r="256" spans="1:5" x14ac:dyDescent="0.3">
      <c r="A256" t="s">
        <v>6229</v>
      </c>
      <c r="B256" t="s">
        <v>7568</v>
      </c>
      <c r="C256" t="s">
        <v>6943</v>
      </c>
      <c r="D256" t="str" cm="1">
        <f t="array" ref="D256:E256">TRANSPOSE(_xlfn._xlws.FILTER('Controllable Asset Registry'!$A$4:$A$764,IFERROR('Controllable Asset Registry'!$E$4:$E$764=A256,FALSE),"No Equipment in entity"))</f>
        <v>VAV0135</v>
      </c>
      <c r="E256" t="str">
        <v>VAV0136</v>
      </c>
    </row>
    <row r="257" spans="1:6" x14ac:dyDescent="0.3">
      <c r="A257" t="s">
        <v>6228</v>
      </c>
      <c r="B257" t="s">
        <v>7569</v>
      </c>
      <c r="C257" t="s">
        <v>5973</v>
      </c>
      <c r="D257" t="str" cm="1">
        <f t="array" ref="D257">TRANSPOSE(_xlfn._xlws.FILTER('Controllable Asset Registry'!$A$4:$A$764,IFERROR('Controllable Asset Registry'!$E$4:$E$764=A257,FALSE),"No Equipment in entity"))</f>
        <v>VAV0134</v>
      </c>
    </row>
    <row r="258" spans="1:6" x14ac:dyDescent="0.3">
      <c r="A258" t="s">
        <v>6944</v>
      </c>
      <c r="B258" t="s">
        <v>7570</v>
      </c>
      <c r="C258" t="s">
        <v>6788</v>
      </c>
      <c r="D258" t="str" cm="1">
        <f t="array" ref="D258">TRANSPOSE(_xlfn._xlws.FILTER('Controllable Asset Registry'!$A$4:$A$764,IFERROR('Controllable Asset Registry'!$E$4:$E$764=A258,FALSE),"No Equipment in entity"))</f>
        <v>No Equipment in entity</v>
      </c>
    </row>
    <row r="259" spans="1:6" x14ac:dyDescent="0.3">
      <c r="A259" t="s">
        <v>6945</v>
      </c>
      <c r="B259" t="s">
        <v>7571</v>
      </c>
      <c r="C259" t="s">
        <v>6946</v>
      </c>
      <c r="D259" t="str" cm="1">
        <f t="array" ref="D259">TRANSPOSE(_xlfn._xlws.FILTER('Controllable Asset Registry'!$A$4:$A$764,IFERROR('Controllable Asset Registry'!$E$4:$E$764=A259,FALSE),"No Equipment in entity"))</f>
        <v>No Equipment in entity</v>
      </c>
    </row>
    <row r="260" spans="1:6" x14ac:dyDescent="0.3">
      <c r="A260" t="s">
        <v>6227</v>
      </c>
      <c r="B260" t="s">
        <v>7572</v>
      </c>
      <c r="C260" t="s">
        <v>6947</v>
      </c>
      <c r="D260" t="str" cm="1">
        <f t="array" ref="D260:E260">TRANSPOSE(_xlfn._xlws.FILTER('Controllable Asset Registry'!$A$4:$A$764,IFERROR('Controllable Asset Registry'!$E$4:$E$764=A260,FALSE),"No Equipment in entity"))</f>
        <v>VAV0132</v>
      </c>
      <c r="E260" t="str">
        <v>VAV0133</v>
      </c>
    </row>
    <row r="261" spans="1:6" x14ac:dyDescent="0.3">
      <c r="A261" t="s">
        <v>6226</v>
      </c>
      <c r="B261" t="s">
        <v>7573</v>
      </c>
      <c r="C261" t="s">
        <v>6948</v>
      </c>
      <c r="D261" t="str" cm="1">
        <f t="array" ref="D261">TRANSPOSE(_xlfn._xlws.FILTER('Controllable Asset Registry'!$A$4:$A$764,IFERROR('Controllable Asset Registry'!$E$4:$E$764=A261,FALSE),"No Equipment in entity"))</f>
        <v>VAV0131</v>
      </c>
    </row>
    <row r="262" spans="1:6" x14ac:dyDescent="0.3">
      <c r="A262" t="s">
        <v>6949</v>
      </c>
      <c r="B262" t="s">
        <v>7574</v>
      </c>
      <c r="C262" t="s">
        <v>6948</v>
      </c>
      <c r="D262" t="str" cm="1">
        <f t="array" ref="D262">TRANSPOSE(_xlfn._xlws.FILTER('Controllable Asset Registry'!$A$4:$A$764,IFERROR('Controllable Asset Registry'!$E$4:$E$764=A262,FALSE),"No Equipment in entity"))</f>
        <v>No Equipment in entity</v>
      </c>
    </row>
    <row r="263" spans="1:6" x14ac:dyDescent="0.3">
      <c r="A263" t="s">
        <v>6950</v>
      </c>
      <c r="B263" t="s">
        <v>7575</v>
      </c>
      <c r="C263" t="s">
        <v>6695</v>
      </c>
      <c r="D263" t="str" cm="1">
        <f t="array" ref="D263">TRANSPOSE(_xlfn._xlws.FILTER('Controllable Asset Registry'!$A$4:$A$764,IFERROR('Controllable Asset Registry'!$E$4:$E$764=A263,FALSE),"No Equipment in entity"))</f>
        <v>No Equipment in entity</v>
      </c>
    </row>
    <row r="264" spans="1:6" x14ac:dyDescent="0.3">
      <c r="A264" t="s">
        <v>6069</v>
      </c>
      <c r="B264" t="s">
        <v>7576</v>
      </c>
      <c r="C264" t="s">
        <v>6951</v>
      </c>
      <c r="D264" t="str" cm="1">
        <f t="array" ref="D264:F264">TRANSPOSE(_xlfn._xlws.FILTER('Controllable Asset Registry'!$A$4:$A$764,IFERROR('Controllable Asset Registry'!$E$4:$E$764=A264,FALSE),"No Equipment in entity"))</f>
        <v>FCU0045</v>
      </c>
      <c r="E264" t="str">
        <v>FCU0046</v>
      </c>
      <c r="F264" t="str">
        <v>FCU0047</v>
      </c>
    </row>
    <row r="265" spans="1:6" x14ac:dyDescent="0.3">
      <c r="A265" t="s">
        <v>6070</v>
      </c>
      <c r="B265" t="s">
        <v>7577</v>
      </c>
      <c r="C265" t="s">
        <v>6952</v>
      </c>
      <c r="D265" t="str" cm="1">
        <f t="array" ref="D265">TRANSPOSE(_xlfn._xlws.FILTER('Controllable Asset Registry'!$A$4:$A$764,IFERROR('Controllable Asset Registry'!$E$4:$E$764=A265,FALSE),"No Equipment in entity"))</f>
        <v>FCU0048</v>
      </c>
    </row>
    <row r="266" spans="1:6" x14ac:dyDescent="0.3">
      <c r="A266" t="s">
        <v>6071</v>
      </c>
      <c r="B266" t="s">
        <v>7578</v>
      </c>
      <c r="C266" t="s">
        <v>6953</v>
      </c>
      <c r="D266" t="str" cm="1">
        <f t="array" ref="D266">TRANSPOSE(_xlfn._xlws.FILTER('Controllable Asset Registry'!$A$4:$A$764,IFERROR('Controllable Asset Registry'!$E$4:$E$764=A266,FALSE),"No Equipment in entity"))</f>
        <v>FCU0049</v>
      </c>
    </row>
    <row r="267" spans="1:6" x14ac:dyDescent="0.3">
      <c r="A267" t="s">
        <v>6072</v>
      </c>
      <c r="B267" t="s">
        <v>7579</v>
      </c>
      <c r="C267" t="s">
        <v>6954</v>
      </c>
      <c r="D267" t="str" cm="1">
        <f t="array" ref="D267">TRANSPOSE(_xlfn._xlws.FILTER('Controllable Asset Registry'!$A$4:$A$764,IFERROR('Controllable Asset Registry'!$E$4:$E$764=A267,FALSE),"No Equipment in entity"))</f>
        <v>FCU0050</v>
      </c>
    </row>
    <row r="268" spans="1:6" x14ac:dyDescent="0.3">
      <c r="A268" t="s">
        <v>6073</v>
      </c>
      <c r="B268" t="s">
        <v>7580</v>
      </c>
      <c r="C268" t="s">
        <v>6955</v>
      </c>
      <c r="D268" t="str" cm="1">
        <f t="array" ref="D268:E268">TRANSPOSE(_xlfn._xlws.FILTER('Controllable Asset Registry'!$A$4:$A$764,IFERROR('Controllable Asset Registry'!$E$4:$E$764=A268,FALSE),"No Equipment in entity"))</f>
        <v>FCU0051</v>
      </c>
      <c r="E268" t="str">
        <v>FCU0052</v>
      </c>
    </row>
    <row r="269" spans="1:6" x14ac:dyDescent="0.3">
      <c r="A269" t="s">
        <v>6074</v>
      </c>
      <c r="B269" t="s">
        <v>7581</v>
      </c>
      <c r="C269" t="s">
        <v>6956</v>
      </c>
      <c r="D269" t="str" cm="1">
        <f t="array" ref="D269">TRANSPOSE(_xlfn._xlws.FILTER('Controllable Asset Registry'!$A$4:$A$764,IFERROR('Controllable Asset Registry'!$E$4:$E$764=A269,FALSE),"No Equipment in entity"))</f>
        <v>FCU0053</v>
      </c>
    </row>
    <row r="270" spans="1:6" x14ac:dyDescent="0.3">
      <c r="A270" t="s">
        <v>6059</v>
      </c>
      <c r="B270" t="s">
        <v>7582</v>
      </c>
      <c r="C270" t="s">
        <v>6957</v>
      </c>
      <c r="D270" t="str" cm="1">
        <f t="array" ref="D270:E270">TRANSPOSE(_xlfn._xlws.FILTER('Controllable Asset Registry'!$A$4:$A$764,IFERROR('Controllable Asset Registry'!$E$4:$E$764=A270,FALSE),"No Equipment in entity"))</f>
        <v>FCU0029</v>
      </c>
      <c r="E270" t="str">
        <v>FCU0030</v>
      </c>
    </row>
    <row r="271" spans="1:6" x14ac:dyDescent="0.3">
      <c r="A271" t="s">
        <v>6060</v>
      </c>
      <c r="B271" t="s">
        <v>7583</v>
      </c>
      <c r="C271" t="s">
        <v>6958</v>
      </c>
      <c r="D271" t="str" cm="1">
        <f t="array" ref="D271:F271">TRANSPOSE(_xlfn._xlws.FILTER('Controllable Asset Registry'!$A$4:$A$764,IFERROR('Controllable Asset Registry'!$E$4:$E$764=A271,FALSE),"No Equipment in entity"))</f>
        <v>FCU0031</v>
      </c>
      <c r="E271" t="str">
        <v>FCU0032</v>
      </c>
      <c r="F271" t="str">
        <v>FCU0033</v>
      </c>
    </row>
    <row r="272" spans="1:6" x14ac:dyDescent="0.3">
      <c r="A272" t="s">
        <v>6061</v>
      </c>
      <c r="B272" t="s">
        <v>7584</v>
      </c>
      <c r="C272" t="s">
        <v>6959</v>
      </c>
      <c r="D272" t="str" cm="1">
        <f t="array" ref="D272">TRANSPOSE(_xlfn._xlws.FILTER('Controllable Asset Registry'!$A$4:$A$764,IFERROR('Controllable Asset Registry'!$E$4:$E$764=A272,FALSE),"No Equipment in entity"))</f>
        <v>FCU0034</v>
      </c>
    </row>
    <row r="273" spans="1:6" x14ac:dyDescent="0.3">
      <c r="A273" t="s">
        <v>6062</v>
      </c>
      <c r="B273" t="s">
        <v>7585</v>
      </c>
      <c r="C273" t="s">
        <v>6960</v>
      </c>
      <c r="D273" t="str" cm="1">
        <f t="array" ref="D273">TRANSPOSE(_xlfn._xlws.FILTER('Controllable Asset Registry'!$A$4:$A$764,IFERROR('Controllable Asset Registry'!$E$4:$E$764=A273,FALSE),"No Equipment in entity"))</f>
        <v>FCU0035</v>
      </c>
    </row>
    <row r="274" spans="1:6" x14ac:dyDescent="0.3">
      <c r="A274" t="s">
        <v>6063</v>
      </c>
      <c r="B274" t="s">
        <v>7586</v>
      </c>
      <c r="C274" t="s">
        <v>6961</v>
      </c>
      <c r="D274" t="str" cm="1">
        <f t="array" ref="D274:E274">TRANSPOSE(_xlfn._xlws.FILTER('Controllable Asset Registry'!$A$4:$A$764,IFERROR('Controllable Asset Registry'!$E$4:$E$764=A274,FALSE),"No Equipment in entity"))</f>
        <v>FCU0036</v>
      </c>
      <c r="E274" t="str">
        <v>FCU0037</v>
      </c>
    </row>
    <row r="275" spans="1:6" x14ac:dyDescent="0.3">
      <c r="A275" t="s">
        <v>6064</v>
      </c>
      <c r="B275" t="s">
        <v>7587</v>
      </c>
      <c r="C275" t="s">
        <v>6962</v>
      </c>
      <c r="D275" t="str" cm="1">
        <f t="array" ref="D275">TRANSPOSE(_xlfn._xlws.FILTER('Controllable Asset Registry'!$A$4:$A$764,IFERROR('Controllable Asset Registry'!$E$4:$E$764=A275,FALSE),"No Equipment in entity"))</f>
        <v>FCU0038</v>
      </c>
    </row>
    <row r="276" spans="1:6" x14ac:dyDescent="0.3">
      <c r="A276" t="s">
        <v>6065</v>
      </c>
      <c r="B276" t="s">
        <v>7588</v>
      </c>
      <c r="C276" t="s">
        <v>6963</v>
      </c>
      <c r="D276" t="str" cm="1">
        <f t="array" ref="D276:E276">TRANSPOSE(_xlfn._xlws.FILTER('Controllable Asset Registry'!$A$4:$A$764,IFERROR('Controllable Asset Registry'!$E$4:$E$764=A276,FALSE),"No Equipment in entity"))</f>
        <v>FCU0039</v>
      </c>
      <c r="E276" t="str">
        <v>FCU0040</v>
      </c>
    </row>
    <row r="277" spans="1:6" x14ac:dyDescent="0.3">
      <c r="A277" t="s">
        <v>6066</v>
      </c>
      <c r="B277" t="s">
        <v>7589</v>
      </c>
      <c r="C277" t="s">
        <v>6964</v>
      </c>
      <c r="D277" t="str" cm="1">
        <f t="array" ref="D277">TRANSPOSE(_xlfn._xlws.FILTER('Controllable Asset Registry'!$A$4:$A$764,IFERROR('Controllable Asset Registry'!$E$4:$E$764=A277,FALSE),"No Equipment in entity"))</f>
        <v>FCU0041</v>
      </c>
    </row>
    <row r="278" spans="1:6" x14ac:dyDescent="0.3">
      <c r="A278" t="s">
        <v>6067</v>
      </c>
      <c r="B278" t="s">
        <v>7590</v>
      </c>
      <c r="C278" t="s">
        <v>6965</v>
      </c>
      <c r="D278" t="str" cm="1">
        <f t="array" ref="D278">TRANSPOSE(_xlfn._xlws.FILTER('Controllable Asset Registry'!$A$4:$A$764,IFERROR('Controllable Asset Registry'!$E$4:$E$764=A278,FALSE),"No Equipment in entity"))</f>
        <v>FCU0042</v>
      </c>
    </row>
    <row r="279" spans="1:6" x14ac:dyDescent="0.3">
      <c r="A279" t="s">
        <v>6068</v>
      </c>
      <c r="B279" t="s">
        <v>7591</v>
      </c>
      <c r="C279" t="s">
        <v>6966</v>
      </c>
      <c r="D279" t="str" cm="1">
        <f t="array" ref="D279:E279">TRANSPOSE(_xlfn._xlws.FILTER('Controllable Asset Registry'!$A$4:$A$764,IFERROR('Controllable Asset Registry'!$E$4:$E$764=A279,FALSE),"No Equipment in entity"))</f>
        <v>FCU0043</v>
      </c>
      <c r="E279" t="str">
        <v>FCU0044</v>
      </c>
    </row>
    <row r="280" spans="1:6" x14ac:dyDescent="0.3">
      <c r="A280" t="s">
        <v>6967</v>
      </c>
      <c r="B280" t="s">
        <v>7592</v>
      </c>
      <c r="C280" t="s">
        <v>6968</v>
      </c>
      <c r="D280" t="str" cm="1">
        <f t="array" ref="D280">TRANSPOSE(_xlfn._xlws.FILTER('Controllable Asset Registry'!$A$4:$A$764,IFERROR('Controllable Asset Registry'!$E$4:$E$764=A280,FALSE),"No Equipment in entity"))</f>
        <v>No Equipment in entity</v>
      </c>
    </row>
    <row r="281" spans="1:6" x14ac:dyDescent="0.3">
      <c r="A281" t="s">
        <v>6969</v>
      </c>
      <c r="B281" t="s">
        <v>7593</v>
      </c>
      <c r="C281" t="s">
        <v>6968</v>
      </c>
      <c r="D281" t="str" cm="1">
        <f t="array" ref="D281">TRANSPOSE(_xlfn._xlws.FILTER('Controllable Asset Registry'!$A$4:$A$764,IFERROR('Controllable Asset Registry'!$E$4:$E$764=A281,FALSE),"No Equipment in entity"))</f>
        <v>No Equipment in entity</v>
      </c>
    </row>
    <row r="282" spans="1:6" x14ac:dyDescent="0.3">
      <c r="A282" t="s">
        <v>6970</v>
      </c>
      <c r="B282" t="s">
        <v>7594</v>
      </c>
      <c r="C282" t="s">
        <v>6968</v>
      </c>
      <c r="D282" t="str" cm="1">
        <f t="array" ref="D282">TRANSPOSE(_xlfn._xlws.FILTER('Controllable Asset Registry'!$A$4:$A$764,IFERROR('Controllable Asset Registry'!$E$4:$E$764=A282,FALSE),"No Equipment in entity"))</f>
        <v>No Equipment in entity</v>
      </c>
    </row>
    <row r="283" spans="1:6" x14ac:dyDescent="0.3">
      <c r="A283" t="s">
        <v>6971</v>
      </c>
      <c r="B283" t="s">
        <v>7595</v>
      </c>
      <c r="C283" t="s">
        <v>6972</v>
      </c>
      <c r="D283" t="str" cm="1">
        <f t="array" ref="D283">TRANSPOSE(_xlfn._xlws.FILTER('Controllable Asset Registry'!$A$4:$A$764,IFERROR('Controllable Asset Registry'!$E$4:$E$764=A283,FALSE),"No Equipment in entity"))</f>
        <v>No Equipment in entity</v>
      </c>
    </row>
    <row r="284" spans="1:6" x14ac:dyDescent="0.3">
      <c r="A284" t="s">
        <v>6973</v>
      </c>
      <c r="B284" t="s">
        <v>7596</v>
      </c>
      <c r="C284" t="s">
        <v>6974</v>
      </c>
      <c r="D284" t="str" cm="1">
        <f t="array" ref="D284">TRANSPOSE(_xlfn._xlws.FILTER('Controllable Asset Registry'!$A$4:$A$764,IFERROR('Controllable Asset Registry'!$E$4:$E$764=A284,FALSE),"No Equipment in entity"))</f>
        <v>No Equipment in entity</v>
      </c>
    </row>
    <row r="285" spans="1:6" x14ac:dyDescent="0.3">
      <c r="A285" t="s">
        <v>6028</v>
      </c>
      <c r="B285" t="s">
        <v>7597</v>
      </c>
      <c r="C285" t="s">
        <v>6975</v>
      </c>
      <c r="D285" t="str" cm="1">
        <f t="array" ref="D285:F285">TRANSPOSE(_xlfn._xlws.FILTER('Controllable Asset Registry'!$A$4:$A$764,IFERROR('Controllable Asset Registry'!$E$4:$E$764=A285,FALSE),"No Equipment in entity"))</f>
        <v>AHU2_0001</v>
      </c>
      <c r="E285" t="str">
        <v>FCU0057</v>
      </c>
      <c r="F285" t="str">
        <v>FCU0058</v>
      </c>
    </row>
    <row r="286" spans="1:6" x14ac:dyDescent="0.3">
      <c r="A286" t="s">
        <v>6976</v>
      </c>
      <c r="B286" t="s">
        <v>7598</v>
      </c>
      <c r="C286" t="s">
        <v>6974</v>
      </c>
      <c r="D286" t="str" cm="1">
        <f t="array" ref="D286">TRANSPOSE(_xlfn._xlws.FILTER('Controllable Asset Registry'!$A$4:$A$764,IFERROR('Controllable Asset Registry'!$E$4:$E$764=A286,FALSE),"No Equipment in entity"))</f>
        <v>No Equipment in entity</v>
      </c>
    </row>
    <row r="287" spans="1:6" x14ac:dyDescent="0.3">
      <c r="A287" t="s">
        <v>6977</v>
      </c>
      <c r="B287" t="s">
        <v>7599</v>
      </c>
      <c r="C287" t="s">
        <v>6978</v>
      </c>
      <c r="D287" t="str" cm="1">
        <f t="array" ref="D287">TRANSPOSE(_xlfn._xlws.FILTER('Controllable Asset Registry'!$A$4:$A$764,IFERROR('Controllable Asset Registry'!$E$4:$E$764=A287,FALSE),"No Equipment in entity"))</f>
        <v>No Equipment in entity</v>
      </c>
    </row>
    <row r="288" spans="1:6" x14ac:dyDescent="0.3">
      <c r="A288" t="s">
        <v>6979</v>
      </c>
      <c r="B288" t="s">
        <v>7600</v>
      </c>
      <c r="C288" t="s">
        <v>6980</v>
      </c>
      <c r="D288" t="str" cm="1">
        <f t="array" ref="D288">TRANSPOSE(_xlfn._xlws.FILTER('Controllable Asset Registry'!$A$4:$A$764,IFERROR('Controllable Asset Registry'!$E$4:$E$764=A288,FALSE),"No Equipment in entity"))</f>
        <v>No Equipment in entity</v>
      </c>
    </row>
    <row r="289" spans="1:4" x14ac:dyDescent="0.3">
      <c r="A289" t="s">
        <v>6981</v>
      </c>
      <c r="B289" t="s">
        <v>7601</v>
      </c>
      <c r="C289" t="s">
        <v>6982</v>
      </c>
      <c r="D289" t="str" cm="1">
        <f t="array" ref="D289">TRANSPOSE(_xlfn._xlws.FILTER('Controllable Asset Registry'!$A$4:$A$764,IFERROR('Controllable Asset Registry'!$E$4:$E$764=A289,FALSE),"No Equipment in entity"))</f>
        <v>No Equipment in entity</v>
      </c>
    </row>
    <row r="290" spans="1:4" x14ac:dyDescent="0.3">
      <c r="A290" t="s">
        <v>6983</v>
      </c>
      <c r="B290" t="s">
        <v>7602</v>
      </c>
      <c r="C290" t="s">
        <v>6984</v>
      </c>
      <c r="D290" t="str" cm="1">
        <f t="array" ref="D290">TRANSPOSE(_xlfn._xlws.FILTER('Controllable Asset Registry'!$A$4:$A$764,IFERROR('Controllable Asset Registry'!$E$4:$E$764=A290,FALSE),"No Equipment in entity"))</f>
        <v>No Equipment in entity</v>
      </c>
    </row>
    <row r="291" spans="1:4" x14ac:dyDescent="0.3">
      <c r="A291" t="s">
        <v>6985</v>
      </c>
      <c r="B291" t="s">
        <v>7603</v>
      </c>
      <c r="C291" t="s">
        <v>6986</v>
      </c>
      <c r="D291" t="str" cm="1">
        <f t="array" ref="D291">TRANSPOSE(_xlfn._xlws.FILTER('Controllable Asset Registry'!$A$4:$A$764,IFERROR('Controllable Asset Registry'!$E$4:$E$764=A291,FALSE),"No Equipment in entity"))</f>
        <v>No Equipment in entity</v>
      </c>
    </row>
    <row r="292" spans="1:4" x14ac:dyDescent="0.3">
      <c r="A292" t="s">
        <v>6987</v>
      </c>
      <c r="B292" t="s">
        <v>7604</v>
      </c>
      <c r="C292" t="s">
        <v>6988</v>
      </c>
      <c r="D292" t="str" cm="1">
        <f t="array" ref="D292">TRANSPOSE(_xlfn._xlws.FILTER('Controllable Asset Registry'!$A$4:$A$764,IFERROR('Controllable Asset Registry'!$E$4:$E$764=A292,FALSE),"No Equipment in entity"))</f>
        <v>No Equipment in entity</v>
      </c>
    </row>
    <row r="293" spans="1:4" x14ac:dyDescent="0.3">
      <c r="A293" t="s">
        <v>6989</v>
      </c>
      <c r="B293" t="s">
        <v>7605</v>
      </c>
      <c r="C293" t="s">
        <v>6990</v>
      </c>
      <c r="D293" t="str" cm="1">
        <f t="array" ref="D293">TRANSPOSE(_xlfn._xlws.FILTER('Controllable Asset Registry'!$A$4:$A$764,IFERROR('Controllable Asset Registry'!$E$4:$E$764=A293,FALSE),"No Equipment in entity"))</f>
        <v>No Equipment in entity</v>
      </c>
    </row>
    <row r="294" spans="1:4" x14ac:dyDescent="0.3">
      <c r="A294" t="s">
        <v>6991</v>
      </c>
      <c r="B294" t="s">
        <v>7606</v>
      </c>
      <c r="C294" t="s">
        <v>6992</v>
      </c>
      <c r="D294" t="str" cm="1">
        <f t="array" ref="D294">TRANSPOSE(_xlfn._xlws.FILTER('Controllable Asset Registry'!$A$4:$A$764,IFERROR('Controllable Asset Registry'!$E$4:$E$764=A294,FALSE),"No Equipment in entity"))</f>
        <v>No Equipment in entity</v>
      </c>
    </row>
    <row r="295" spans="1:4" x14ac:dyDescent="0.3">
      <c r="A295" t="s">
        <v>6993</v>
      </c>
      <c r="B295" t="s">
        <v>7607</v>
      </c>
      <c r="C295" t="s">
        <v>6988</v>
      </c>
      <c r="D295" t="str" cm="1">
        <f t="array" ref="D295">TRANSPOSE(_xlfn._xlws.FILTER('Controllable Asset Registry'!$A$4:$A$764,IFERROR('Controllable Asset Registry'!$E$4:$E$764=A295,FALSE),"No Equipment in entity"))</f>
        <v>No Equipment in entity</v>
      </c>
    </row>
    <row r="296" spans="1:4" x14ac:dyDescent="0.3">
      <c r="A296" t="s">
        <v>6994</v>
      </c>
      <c r="B296" t="s">
        <v>7608</v>
      </c>
      <c r="C296" t="s">
        <v>6986</v>
      </c>
      <c r="D296" t="str" cm="1">
        <f t="array" ref="D296">TRANSPOSE(_xlfn._xlws.FILTER('Controllable Asset Registry'!$A$4:$A$764,IFERROR('Controllable Asset Registry'!$E$4:$E$764=A296,FALSE),"No Equipment in entity"))</f>
        <v>No Equipment in entity</v>
      </c>
    </row>
    <row r="297" spans="1:4" x14ac:dyDescent="0.3">
      <c r="A297" t="s">
        <v>6995</v>
      </c>
      <c r="B297" t="s">
        <v>7609</v>
      </c>
      <c r="C297" t="s">
        <v>6984</v>
      </c>
      <c r="D297" t="str" cm="1">
        <f t="array" ref="D297">TRANSPOSE(_xlfn._xlws.FILTER('Controllable Asset Registry'!$A$4:$A$764,IFERROR('Controllable Asset Registry'!$E$4:$E$764=A297,FALSE),"No Equipment in entity"))</f>
        <v>No Equipment in entity</v>
      </c>
    </row>
    <row r="298" spans="1:4" x14ac:dyDescent="0.3">
      <c r="A298" t="s">
        <v>6996</v>
      </c>
      <c r="B298" t="s">
        <v>7610</v>
      </c>
      <c r="C298" t="s">
        <v>6982</v>
      </c>
      <c r="D298" t="str" cm="1">
        <f t="array" ref="D298">TRANSPOSE(_xlfn._xlws.FILTER('Controllable Asset Registry'!$A$4:$A$764,IFERROR('Controllable Asset Registry'!$E$4:$E$764=A298,FALSE),"No Equipment in entity"))</f>
        <v>No Equipment in entity</v>
      </c>
    </row>
    <row r="299" spans="1:4" x14ac:dyDescent="0.3">
      <c r="A299" t="s">
        <v>6997</v>
      </c>
      <c r="B299" t="s">
        <v>7611</v>
      </c>
      <c r="C299" t="s">
        <v>6980</v>
      </c>
      <c r="D299" t="str" cm="1">
        <f t="array" ref="D299">TRANSPOSE(_xlfn._xlws.FILTER('Controllable Asset Registry'!$A$4:$A$764,IFERROR('Controllable Asset Registry'!$E$4:$E$764=A299,FALSE),"No Equipment in entity"))</f>
        <v>No Equipment in entity</v>
      </c>
    </row>
    <row r="300" spans="1:4" x14ac:dyDescent="0.3">
      <c r="A300" t="s">
        <v>6998</v>
      </c>
      <c r="B300" t="s">
        <v>7612</v>
      </c>
      <c r="C300" t="s">
        <v>6990</v>
      </c>
      <c r="D300" t="str" cm="1">
        <f t="array" ref="D300">TRANSPOSE(_xlfn._xlws.FILTER('Controllable Asset Registry'!$A$4:$A$764,IFERROR('Controllable Asset Registry'!$E$4:$E$764=A300,FALSE),"No Equipment in entity"))</f>
        <v>No Equipment in entity</v>
      </c>
    </row>
    <row r="301" spans="1:4" x14ac:dyDescent="0.3">
      <c r="A301" t="s">
        <v>6999</v>
      </c>
      <c r="B301" t="s">
        <v>7613</v>
      </c>
      <c r="C301" t="s">
        <v>6990</v>
      </c>
      <c r="D301" t="str" cm="1">
        <f t="array" ref="D301">TRANSPOSE(_xlfn._xlws.FILTER('Controllable Asset Registry'!$A$4:$A$764,IFERROR('Controllable Asset Registry'!$E$4:$E$764=A301,FALSE),"No Equipment in entity"))</f>
        <v>No Equipment in entity</v>
      </c>
    </row>
    <row r="302" spans="1:4" x14ac:dyDescent="0.3">
      <c r="A302" t="s">
        <v>7000</v>
      </c>
      <c r="B302" t="s">
        <v>7614</v>
      </c>
      <c r="C302" t="s">
        <v>6706</v>
      </c>
      <c r="D302" t="str" cm="1">
        <f t="array" ref="D302">TRANSPOSE(_xlfn._xlws.FILTER('Controllable Asset Registry'!$A$4:$A$764,IFERROR('Controllable Asset Registry'!$E$4:$E$764=A302,FALSE),"No Equipment in entity"))</f>
        <v>No Equipment in entity</v>
      </c>
    </row>
    <row r="303" spans="1:4" x14ac:dyDescent="0.3">
      <c r="A303" t="s">
        <v>7001</v>
      </c>
      <c r="B303" t="s">
        <v>7615</v>
      </c>
      <c r="C303" t="s">
        <v>6709</v>
      </c>
      <c r="D303" t="str" cm="1">
        <f t="array" ref="D303">TRANSPOSE(_xlfn._xlws.FILTER('Controllable Asset Registry'!$A$4:$A$764,IFERROR('Controllable Asset Registry'!$E$4:$E$764=A303,FALSE),"No Equipment in entity"))</f>
        <v>No Equipment in entity</v>
      </c>
    </row>
    <row r="304" spans="1:4" x14ac:dyDescent="0.3">
      <c r="A304" t="s">
        <v>7002</v>
      </c>
      <c r="B304" t="s">
        <v>7616</v>
      </c>
      <c r="C304" t="s">
        <v>6706</v>
      </c>
      <c r="D304" t="str" cm="1">
        <f t="array" ref="D304">TRANSPOSE(_xlfn._xlws.FILTER('Controllable Asset Registry'!$A$4:$A$764,IFERROR('Controllable Asset Registry'!$E$4:$E$764=A304,FALSE),"No Equipment in entity"))</f>
        <v>No Equipment in entity</v>
      </c>
    </row>
    <row r="305" spans="1:6" x14ac:dyDescent="0.3">
      <c r="A305" t="s">
        <v>7003</v>
      </c>
      <c r="B305" t="s">
        <v>7617</v>
      </c>
      <c r="C305" t="s">
        <v>6709</v>
      </c>
      <c r="D305" t="str" cm="1">
        <f t="array" ref="D305">TRANSPOSE(_xlfn._xlws.FILTER('Controllable Asset Registry'!$A$4:$A$764,IFERROR('Controllable Asset Registry'!$E$4:$E$764=A305,FALSE),"No Equipment in entity"))</f>
        <v>No Equipment in entity</v>
      </c>
    </row>
    <row r="306" spans="1:6" x14ac:dyDescent="0.3">
      <c r="A306" t="s">
        <v>7004</v>
      </c>
      <c r="B306" t="s">
        <v>7618</v>
      </c>
      <c r="C306" t="s">
        <v>5842</v>
      </c>
      <c r="D306" t="str" cm="1">
        <f t="array" ref="D306">TRANSPOSE(_xlfn._xlws.FILTER('Controllable Asset Registry'!$A$4:$A$764,IFERROR('Controllable Asset Registry'!$E$4:$E$764=A306,FALSE),"No Equipment in entity"))</f>
        <v>No Equipment in entity</v>
      </c>
    </row>
    <row r="307" spans="1:6" x14ac:dyDescent="0.3">
      <c r="A307" t="s">
        <v>7005</v>
      </c>
      <c r="B307" t="s">
        <v>7619</v>
      </c>
      <c r="C307" t="s">
        <v>7006</v>
      </c>
      <c r="D307" t="str" cm="1">
        <f t="array" ref="D307">TRANSPOSE(_xlfn._xlws.FILTER('Controllable Asset Registry'!$A$4:$A$764,IFERROR('Controllable Asset Registry'!$E$4:$E$764=A307,FALSE),"No Equipment in entity"))</f>
        <v>No Equipment in entity</v>
      </c>
    </row>
    <row r="308" spans="1:6" x14ac:dyDescent="0.3">
      <c r="A308" t="s">
        <v>7007</v>
      </c>
      <c r="B308" t="s">
        <v>7620</v>
      </c>
      <c r="C308" t="s">
        <v>7008</v>
      </c>
      <c r="D308" t="str" cm="1">
        <f t="array" ref="D308">TRANSPOSE(_xlfn._xlws.FILTER('Controllable Asset Registry'!$A$4:$A$764,IFERROR('Controllable Asset Registry'!$E$4:$E$764=A308,FALSE),"No Equipment in entity"))</f>
        <v>No Equipment in entity</v>
      </c>
    </row>
    <row r="309" spans="1:6" x14ac:dyDescent="0.3">
      <c r="A309" t="s">
        <v>6076</v>
      </c>
      <c r="B309" t="s">
        <v>7621</v>
      </c>
      <c r="C309" t="s">
        <v>7009</v>
      </c>
      <c r="D309" t="str" cm="1">
        <f t="array" ref="D309">TRANSPOSE(_xlfn._xlws.FILTER('Controllable Asset Registry'!$A$4:$A$764,IFERROR('Controllable Asset Registry'!$E$4:$E$764=A309,FALSE),"No Equipment in entity"))</f>
        <v>FCU0056</v>
      </c>
    </row>
    <row r="310" spans="1:6" x14ac:dyDescent="0.3">
      <c r="A310" t="s">
        <v>7010</v>
      </c>
      <c r="B310" t="s">
        <v>7622</v>
      </c>
      <c r="C310" t="s">
        <v>5839</v>
      </c>
      <c r="D310" t="str" cm="1">
        <f t="array" ref="D310">TRANSPOSE(_xlfn._xlws.FILTER('Controllable Asset Registry'!$A$4:$A$764,IFERROR('Controllable Asset Registry'!$E$4:$E$764=A310,FALSE),"No Equipment in entity"))</f>
        <v>No Equipment in entity</v>
      </c>
    </row>
    <row r="311" spans="1:6" x14ac:dyDescent="0.3">
      <c r="A311" t="s">
        <v>6056</v>
      </c>
      <c r="B311" t="s">
        <v>7623</v>
      </c>
      <c r="C311" t="s">
        <v>6715</v>
      </c>
      <c r="D311" t="str" cm="1">
        <f t="array" ref="D311:E311">TRANSPOSE(_xlfn._xlws.FILTER('Controllable Asset Registry'!$A$4:$A$764,IFERROR('Controllable Asset Registry'!$E$4:$E$764=A311,FALSE),"No Equipment in entity"))</f>
        <v>FCU0023</v>
      </c>
      <c r="E311" t="str">
        <v>FCU0024</v>
      </c>
    </row>
    <row r="312" spans="1:6" x14ac:dyDescent="0.3">
      <c r="A312" t="s">
        <v>7011</v>
      </c>
      <c r="B312" t="s">
        <v>7624</v>
      </c>
      <c r="C312" t="s">
        <v>6857</v>
      </c>
      <c r="D312" t="str" cm="1">
        <f t="array" ref="D312">TRANSPOSE(_xlfn._xlws.FILTER('Controllable Asset Registry'!$A$4:$A$764,IFERROR('Controllable Asset Registry'!$E$4:$E$764=A312,FALSE),"No Equipment in entity"))</f>
        <v>No Equipment in entity</v>
      </c>
    </row>
    <row r="313" spans="1:6" x14ac:dyDescent="0.3">
      <c r="A313" t="s">
        <v>7012</v>
      </c>
      <c r="B313" t="s">
        <v>7625</v>
      </c>
      <c r="C313" t="s">
        <v>6860</v>
      </c>
      <c r="D313" t="str" cm="1">
        <f t="array" ref="D313">TRANSPOSE(_xlfn._xlws.FILTER('Controllable Asset Registry'!$A$4:$A$764,IFERROR('Controllable Asset Registry'!$E$4:$E$764=A313,FALSE),"No Equipment in entity"))</f>
        <v>No Equipment in entity</v>
      </c>
    </row>
    <row r="314" spans="1:6" x14ac:dyDescent="0.3">
      <c r="A314" t="s">
        <v>7013</v>
      </c>
      <c r="B314" t="s">
        <v>7626</v>
      </c>
      <c r="C314" t="s">
        <v>5839</v>
      </c>
      <c r="D314" t="str" cm="1">
        <f t="array" ref="D314">TRANSPOSE(_xlfn._xlws.FILTER('Controllable Asset Registry'!$A$4:$A$764,IFERROR('Controllable Asset Registry'!$E$4:$E$764=A314,FALSE),"No Equipment in entity"))</f>
        <v>No Equipment in entity</v>
      </c>
    </row>
    <row r="315" spans="1:6" x14ac:dyDescent="0.3">
      <c r="A315" t="s">
        <v>6225</v>
      </c>
      <c r="B315" t="s">
        <v>7627</v>
      </c>
      <c r="C315" t="s">
        <v>7014</v>
      </c>
      <c r="D315" t="str" cm="1">
        <f t="array" ref="D315:F315">TRANSPOSE(_xlfn._xlws.FILTER('Controllable Asset Registry'!$A$4:$A$764,IFERROR('Controllable Asset Registry'!$E$4:$E$764=A315,FALSE),"No Equipment in entity"))</f>
        <v>VAV0129</v>
      </c>
      <c r="E315" t="str">
        <v>VAV0130</v>
      </c>
      <c r="F315" t="str">
        <v>VAV0156</v>
      </c>
    </row>
    <row r="316" spans="1:6" x14ac:dyDescent="0.3">
      <c r="A316" t="s">
        <v>7015</v>
      </c>
      <c r="B316" t="s">
        <v>7628</v>
      </c>
      <c r="C316" t="s">
        <v>7016</v>
      </c>
      <c r="D316" t="str" cm="1">
        <f t="array" ref="D316">TRANSPOSE(_xlfn._xlws.FILTER('Controllable Asset Registry'!$A$4:$A$764,IFERROR('Controllable Asset Registry'!$E$4:$E$764=A316,FALSE),"No Equipment in entity"))</f>
        <v>No Equipment in entity</v>
      </c>
    </row>
    <row r="317" spans="1:6" x14ac:dyDescent="0.3">
      <c r="A317" t="s">
        <v>6075</v>
      </c>
      <c r="B317" t="s">
        <v>7629</v>
      </c>
      <c r="C317" t="s">
        <v>7017</v>
      </c>
      <c r="D317" t="str" cm="1">
        <f t="array" ref="D317:E317">TRANSPOSE(_xlfn._xlws.FILTER('Controllable Asset Registry'!$A$4:$A$764,IFERROR('Controllable Asset Registry'!$E$4:$E$764=A317,FALSE),"No Equipment in entity"))</f>
        <v>FCU0054</v>
      </c>
      <c r="E317" t="str">
        <v>FCU0055</v>
      </c>
    </row>
    <row r="318" spans="1:6" x14ac:dyDescent="0.3">
      <c r="A318" t="s">
        <v>7018</v>
      </c>
      <c r="B318" t="s">
        <v>7630</v>
      </c>
      <c r="C318" t="s">
        <v>7016</v>
      </c>
      <c r="D318" t="str" cm="1">
        <f t="array" ref="D318">TRANSPOSE(_xlfn._xlws.FILTER('Controllable Asset Registry'!$A$4:$A$764,IFERROR('Controllable Asset Registry'!$E$4:$E$764=A318,FALSE),"No Equipment in entity"))</f>
        <v>No Equipment in entity</v>
      </c>
    </row>
    <row r="319" spans="1:6" x14ac:dyDescent="0.3">
      <c r="A319" t="s">
        <v>8243</v>
      </c>
      <c r="B319" t="s">
        <v>8244</v>
      </c>
      <c r="C319" t="s">
        <v>6871</v>
      </c>
      <c r="D319" t="str" cm="1">
        <f t="array" ref="D319">TRANSPOSE(_xlfn._xlws.FILTER('Controllable Asset Registry'!$A$4:$A$764,IFERROR('Controllable Asset Registry'!$E$4:$E$764=A319,FALSE),"No Equipment in entity"))</f>
        <v>No Equipment in entity</v>
      </c>
    </row>
    <row r="320" spans="1:6" x14ac:dyDescent="0.3">
      <c r="A320" t="s">
        <v>8245</v>
      </c>
      <c r="B320" t="s">
        <v>8246</v>
      </c>
      <c r="C320" t="s">
        <v>6874</v>
      </c>
      <c r="D320" t="str" cm="1">
        <f t="array" ref="D320">TRANSPOSE(_xlfn._xlws.FILTER('Controllable Asset Registry'!$A$4:$A$764,IFERROR('Controllable Asset Registry'!$E$4:$E$764=A320,FALSE),"No Equipment in entity"))</f>
        <v>No Equipment in entity</v>
      </c>
    </row>
    <row r="321" spans="1:4" x14ac:dyDescent="0.3">
      <c r="A321" t="s">
        <v>8247</v>
      </c>
      <c r="B321" t="s">
        <v>8248</v>
      </c>
      <c r="C321" t="s">
        <v>6877</v>
      </c>
      <c r="D321" t="str" cm="1">
        <f t="array" ref="D321">TRANSPOSE(_xlfn._xlws.FILTER('Controllable Asset Registry'!$A$4:$A$764,IFERROR('Controllable Asset Registry'!$E$4:$E$764=A321,FALSE),"No Equipment in entity"))</f>
        <v>No Equipment in entity</v>
      </c>
    </row>
    <row r="322" spans="1:4" x14ac:dyDescent="0.3">
      <c r="A322" t="s">
        <v>8249</v>
      </c>
      <c r="B322" t="s">
        <v>8250</v>
      </c>
      <c r="C322" t="s">
        <v>6880</v>
      </c>
      <c r="D322" t="str" cm="1">
        <f t="array" ref="D322">TRANSPOSE(_xlfn._xlws.FILTER('Controllable Asset Registry'!$A$4:$A$764,IFERROR('Controllable Asset Registry'!$E$4:$E$764=A322,FALSE),"No Equipment in entity"))</f>
        <v>No Equipment in entity</v>
      </c>
    </row>
    <row r="323" spans="1:4" x14ac:dyDescent="0.3">
      <c r="A323" t="s">
        <v>8251</v>
      </c>
      <c r="B323" t="s">
        <v>8252</v>
      </c>
      <c r="C323" t="s">
        <v>6744</v>
      </c>
      <c r="D323" t="str" cm="1">
        <f t="array" ref="D323">TRANSPOSE(_xlfn._xlws.FILTER('Controllable Asset Registry'!$A$4:$A$764,IFERROR('Controllable Asset Registry'!$E$4:$E$764=A323,FALSE),"No Equipment in entity"))</f>
        <v>No Equipment in entity</v>
      </c>
    </row>
    <row r="324" spans="1:4" x14ac:dyDescent="0.3">
      <c r="A324" t="s">
        <v>8253</v>
      </c>
      <c r="B324" t="s">
        <v>8254</v>
      </c>
      <c r="C324" t="s">
        <v>6747</v>
      </c>
      <c r="D324" t="str" cm="1">
        <f t="array" ref="D324">TRANSPOSE(_xlfn._xlws.FILTER('Controllable Asset Registry'!$A$4:$A$764,IFERROR('Controllable Asset Registry'!$E$4:$E$764=A324,FALSE),"No Equipment in entity"))</f>
        <v>No Equipment in entity</v>
      </c>
    </row>
    <row r="325" spans="1:4" x14ac:dyDescent="0.3">
      <c r="A325" t="s">
        <v>8255</v>
      </c>
      <c r="B325" t="s">
        <v>8256</v>
      </c>
      <c r="C325" t="s">
        <v>6750</v>
      </c>
      <c r="D325" t="str" cm="1">
        <f t="array" ref="D325">TRANSPOSE(_xlfn._xlws.FILTER('Controllable Asset Registry'!$A$4:$A$764,IFERROR('Controllable Asset Registry'!$E$4:$E$764=A325,FALSE),"No Equipment in entity"))</f>
        <v>No Equipment in entity</v>
      </c>
    </row>
    <row r="326" spans="1:4" x14ac:dyDescent="0.3">
      <c r="A326" t="s">
        <v>8257</v>
      </c>
      <c r="B326" t="s">
        <v>8258</v>
      </c>
      <c r="C326" t="s">
        <v>6889</v>
      </c>
      <c r="D326" t="str" cm="1">
        <f t="array" ref="D326">TRANSPOSE(_xlfn._xlws.FILTER('Controllable Asset Registry'!$A$4:$A$764,IFERROR('Controllable Asset Registry'!$E$4:$E$764=A326,FALSE),"No Equipment in entity"))</f>
        <v>No Equipment in entity</v>
      </c>
    </row>
    <row r="327" spans="1:4" x14ac:dyDescent="0.3">
      <c r="A327" t="s">
        <v>8259</v>
      </c>
      <c r="B327" t="s">
        <v>8260</v>
      </c>
      <c r="C327" t="s">
        <v>6755</v>
      </c>
      <c r="D327" t="str" cm="1">
        <f t="array" ref="D327">TRANSPOSE(_xlfn._xlws.FILTER('Controllable Asset Registry'!$A$4:$A$764,IFERROR('Controllable Asset Registry'!$E$4:$E$764=A327,FALSE),"No Equipment in entity"))</f>
        <v>No Equipment in entity</v>
      </c>
    </row>
    <row r="328" spans="1:4" x14ac:dyDescent="0.3">
      <c r="A328" t="s">
        <v>8261</v>
      </c>
      <c r="B328" t="s">
        <v>8262</v>
      </c>
      <c r="C328" t="s">
        <v>6757</v>
      </c>
      <c r="D328" t="str" cm="1">
        <f t="array" ref="D328">TRANSPOSE(_xlfn._xlws.FILTER('Controllable Asset Registry'!$A$4:$A$764,IFERROR('Controllable Asset Registry'!$E$4:$E$764=A328,FALSE),"No Equipment in entity"))</f>
        <v>No Equipment in entity</v>
      </c>
    </row>
    <row r="329" spans="1:4" x14ac:dyDescent="0.3">
      <c r="A329" t="s">
        <v>8263</v>
      </c>
      <c r="B329" t="s">
        <v>8264</v>
      </c>
      <c r="C329" t="s">
        <v>6896</v>
      </c>
      <c r="D329" t="str" cm="1">
        <f t="array" ref="D329">TRANSPOSE(_xlfn._xlws.FILTER('Controllable Asset Registry'!$A$4:$A$764,IFERROR('Controllable Asset Registry'!$E$4:$E$764=A329,FALSE),"No Equipment in entity"))</f>
        <v>No Equipment in entity</v>
      </c>
    </row>
    <row r="330" spans="1:4" x14ac:dyDescent="0.3">
      <c r="A330" t="s">
        <v>8265</v>
      </c>
      <c r="B330" t="s">
        <v>8266</v>
      </c>
      <c r="C330" t="s">
        <v>6760</v>
      </c>
      <c r="D330" t="str" cm="1">
        <f t="array" ref="D330">TRANSPOSE(_xlfn._xlws.FILTER('Controllable Asset Registry'!$A$4:$A$764,IFERROR('Controllable Asset Registry'!$E$4:$E$764=A330,FALSE),"No Equipment in entity"))</f>
        <v>No Equipment in entity</v>
      </c>
    </row>
    <row r="331" spans="1:4" x14ac:dyDescent="0.3">
      <c r="A331" t="s">
        <v>6270</v>
      </c>
      <c r="B331" t="s">
        <v>7631</v>
      </c>
      <c r="C331" t="s">
        <v>5973</v>
      </c>
      <c r="D331" t="str" cm="1">
        <f t="array" ref="D331">TRANSPOSE(_xlfn._xlws.FILTER('Controllable Asset Registry'!$A$4:$A$764,IFERROR('Controllable Asset Registry'!$E$4:$E$764=A331,FALSE),"No Equipment in entity"))</f>
        <v>VAV0180</v>
      </c>
    </row>
    <row r="332" spans="1:4" x14ac:dyDescent="0.3">
      <c r="A332" t="s">
        <v>6288</v>
      </c>
      <c r="B332" t="s">
        <v>7632</v>
      </c>
      <c r="C332" t="s">
        <v>7019</v>
      </c>
      <c r="D332" t="str" cm="1">
        <f t="array" ref="D332">TRANSPOSE(_xlfn._xlws.FILTER('Controllable Asset Registry'!$A$4:$A$764,IFERROR('Controllable Asset Registry'!$E$4:$E$764=A332,FALSE),"No Equipment in entity"))</f>
        <v>VAV0200</v>
      </c>
    </row>
    <row r="333" spans="1:4" x14ac:dyDescent="0.3">
      <c r="A333" t="s">
        <v>6278</v>
      </c>
      <c r="B333" t="s">
        <v>7633</v>
      </c>
      <c r="C333" t="s">
        <v>7019</v>
      </c>
      <c r="D333" t="str" cm="1">
        <f t="array" ref="D333">TRANSPOSE(_xlfn._xlws.FILTER('Controllable Asset Registry'!$A$4:$A$764,IFERROR('Controllable Asset Registry'!$E$4:$E$764=A333,FALSE),"No Equipment in entity"))</f>
        <v>VAV0190</v>
      </c>
    </row>
    <row r="334" spans="1:4" x14ac:dyDescent="0.3">
      <c r="A334" t="s">
        <v>6279</v>
      </c>
      <c r="B334" t="s">
        <v>7634</v>
      </c>
      <c r="C334" t="s">
        <v>7019</v>
      </c>
      <c r="D334" t="str" cm="1">
        <f t="array" ref="D334">TRANSPOSE(_xlfn._xlws.FILTER('Controllable Asset Registry'!$A$4:$A$764,IFERROR('Controllable Asset Registry'!$E$4:$E$764=A334,FALSE),"No Equipment in entity"))</f>
        <v>VAV0191</v>
      </c>
    </row>
    <row r="335" spans="1:4" x14ac:dyDescent="0.3">
      <c r="A335" t="s">
        <v>6280</v>
      </c>
      <c r="B335" t="s">
        <v>7635</v>
      </c>
      <c r="C335" t="s">
        <v>7019</v>
      </c>
      <c r="D335" t="str" cm="1">
        <f t="array" ref="D335">TRANSPOSE(_xlfn._xlws.FILTER('Controllable Asset Registry'!$A$4:$A$764,IFERROR('Controllable Asset Registry'!$E$4:$E$764=A335,FALSE),"No Equipment in entity"))</f>
        <v>VAV0192</v>
      </c>
    </row>
    <row r="336" spans="1:4" x14ac:dyDescent="0.3">
      <c r="A336" t="s">
        <v>6281</v>
      </c>
      <c r="B336" t="s">
        <v>7636</v>
      </c>
      <c r="C336" t="s">
        <v>7019</v>
      </c>
      <c r="D336" t="str" cm="1">
        <f t="array" ref="D336">TRANSPOSE(_xlfn._xlws.FILTER('Controllable Asset Registry'!$A$4:$A$764,IFERROR('Controllable Asset Registry'!$E$4:$E$764=A336,FALSE),"No Equipment in entity"))</f>
        <v>VAV0193</v>
      </c>
    </row>
    <row r="337" spans="1:4" x14ac:dyDescent="0.3">
      <c r="A337" t="s">
        <v>6282</v>
      </c>
      <c r="B337" t="s">
        <v>7637</v>
      </c>
      <c r="C337" t="s">
        <v>7019</v>
      </c>
      <c r="D337" t="str" cm="1">
        <f t="array" ref="D337">TRANSPOSE(_xlfn._xlws.FILTER('Controllable Asset Registry'!$A$4:$A$764,IFERROR('Controllable Asset Registry'!$E$4:$E$764=A337,FALSE),"No Equipment in entity"))</f>
        <v>VAV0194</v>
      </c>
    </row>
    <row r="338" spans="1:4" x14ac:dyDescent="0.3">
      <c r="A338" t="s">
        <v>6283</v>
      </c>
      <c r="B338" t="s">
        <v>7638</v>
      </c>
      <c r="C338" t="s">
        <v>7019</v>
      </c>
      <c r="D338" t="str" cm="1">
        <f t="array" ref="D338">TRANSPOSE(_xlfn._xlws.FILTER('Controllable Asset Registry'!$A$4:$A$764,IFERROR('Controllable Asset Registry'!$E$4:$E$764=A338,FALSE),"No Equipment in entity"))</f>
        <v>VAV0195</v>
      </c>
    </row>
    <row r="339" spans="1:4" x14ac:dyDescent="0.3">
      <c r="A339" t="s">
        <v>6284</v>
      </c>
      <c r="B339" t="s">
        <v>7639</v>
      </c>
      <c r="C339" t="s">
        <v>7020</v>
      </c>
      <c r="D339" t="str" cm="1">
        <f t="array" ref="D339">TRANSPOSE(_xlfn._xlws.FILTER('Controllable Asset Registry'!$A$4:$A$764,IFERROR('Controllable Asset Registry'!$E$4:$E$764=A339,FALSE),"No Equipment in entity"))</f>
        <v>VAV0196</v>
      </c>
    </row>
    <row r="340" spans="1:4" x14ac:dyDescent="0.3">
      <c r="A340" t="s">
        <v>6285</v>
      </c>
      <c r="B340" t="s">
        <v>7640</v>
      </c>
      <c r="C340" t="s">
        <v>7019</v>
      </c>
      <c r="D340" t="str" cm="1">
        <f t="array" ref="D340">TRANSPOSE(_xlfn._xlws.FILTER('Controllable Asset Registry'!$A$4:$A$764,IFERROR('Controllable Asset Registry'!$E$4:$E$764=A340,FALSE),"No Equipment in entity"))</f>
        <v>VAV0197</v>
      </c>
    </row>
    <row r="341" spans="1:4" x14ac:dyDescent="0.3">
      <c r="A341" t="s">
        <v>6286</v>
      </c>
      <c r="B341" t="s">
        <v>7641</v>
      </c>
      <c r="C341" t="s">
        <v>7019</v>
      </c>
      <c r="D341" t="str" cm="1">
        <f t="array" ref="D341">TRANSPOSE(_xlfn._xlws.FILTER('Controllable Asset Registry'!$A$4:$A$764,IFERROR('Controllable Asset Registry'!$E$4:$E$764=A341,FALSE),"No Equipment in entity"))</f>
        <v>VAV0198</v>
      </c>
    </row>
    <row r="342" spans="1:4" x14ac:dyDescent="0.3">
      <c r="A342" t="s">
        <v>6273</v>
      </c>
      <c r="B342" t="s">
        <v>7642</v>
      </c>
      <c r="C342" t="s">
        <v>7019</v>
      </c>
      <c r="D342" t="str" cm="1">
        <f t="array" ref="D342">TRANSPOSE(_xlfn._xlws.FILTER('Controllable Asset Registry'!$A$4:$A$764,IFERROR('Controllable Asset Registry'!$E$4:$E$764=A342,FALSE),"No Equipment in entity"))</f>
        <v>VAV0185</v>
      </c>
    </row>
    <row r="343" spans="1:4" x14ac:dyDescent="0.3">
      <c r="A343" t="s">
        <v>6274</v>
      </c>
      <c r="B343" t="s">
        <v>7643</v>
      </c>
      <c r="C343" t="s">
        <v>7019</v>
      </c>
      <c r="D343" t="str" cm="1">
        <f t="array" ref="D343">TRANSPOSE(_xlfn._xlws.FILTER('Controllable Asset Registry'!$A$4:$A$764,IFERROR('Controllable Asset Registry'!$E$4:$E$764=A343,FALSE),"No Equipment in entity"))</f>
        <v>VAV0186</v>
      </c>
    </row>
    <row r="344" spans="1:4" x14ac:dyDescent="0.3">
      <c r="A344" t="s">
        <v>6275</v>
      </c>
      <c r="B344" t="s">
        <v>7644</v>
      </c>
      <c r="C344" t="s">
        <v>7019</v>
      </c>
      <c r="D344" t="str" cm="1">
        <f t="array" ref="D344">TRANSPOSE(_xlfn._xlws.FILTER('Controllable Asset Registry'!$A$4:$A$764,IFERROR('Controllable Asset Registry'!$E$4:$E$764=A344,FALSE),"No Equipment in entity"))</f>
        <v>VAV0187</v>
      </c>
    </row>
    <row r="345" spans="1:4" x14ac:dyDescent="0.3">
      <c r="A345" t="s">
        <v>6276</v>
      </c>
      <c r="B345" t="s">
        <v>7645</v>
      </c>
      <c r="C345" t="s">
        <v>7019</v>
      </c>
      <c r="D345" t="str" cm="1">
        <f t="array" ref="D345">TRANSPOSE(_xlfn._xlws.FILTER('Controllable Asset Registry'!$A$4:$A$764,IFERROR('Controllable Asset Registry'!$E$4:$E$764=A345,FALSE),"No Equipment in entity"))</f>
        <v>VAV0188</v>
      </c>
    </row>
    <row r="346" spans="1:4" x14ac:dyDescent="0.3">
      <c r="A346" t="s">
        <v>6277</v>
      </c>
      <c r="B346" t="s">
        <v>7646</v>
      </c>
      <c r="C346" t="s">
        <v>7019</v>
      </c>
      <c r="D346" t="str" cm="1">
        <f t="array" ref="D346">TRANSPOSE(_xlfn._xlws.FILTER('Controllable Asset Registry'!$A$4:$A$764,IFERROR('Controllable Asset Registry'!$E$4:$E$764=A346,FALSE),"No Equipment in entity"))</f>
        <v>VAV0189</v>
      </c>
    </row>
    <row r="347" spans="1:4" x14ac:dyDescent="0.3">
      <c r="A347" t="s">
        <v>6249</v>
      </c>
      <c r="B347" t="s">
        <v>7647</v>
      </c>
      <c r="C347" t="s">
        <v>7019</v>
      </c>
      <c r="D347" t="str" cm="1">
        <f t="array" ref="D347">TRANSPOSE(_xlfn._xlws.FILTER('Controllable Asset Registry'!$A$4:$A$764,IFERROR('Controllable Asset Registry'!$E$4:$E$764=A347,FALSE),"No Equipment in entity"))</f>
        <v>VAV0157</v>
      </c>
    </row>
    <row r="348" spans="1:4" x14ac:dyDescent="0.3">
      <c r="A348" t="s">
        <v>6250</v>
      </c>
      <c r="B348" t="s">
        <v>7648</v>
      </c>
      <c r="C348" t="s">
        <v>7019</v>
      </c>
      <c r="D348" t="str" cm="1">
        <f t="array" ref="D348">TRANSPOSE(_xlfn._xlws.FILTER('Controllable Asset Registry'!$A$4:$A$764,IFERROR('Controllable Asset Registry'!$E$4:$E$764=A348,FALSE),"No Equipment in entity"))</f>
        <v>VAV0158</v>
      </c>
    </row>
    <row r="349" spans="1:4" x14ac:dyDescent="0.3">
      <c r="A349" t="s">
        <v>6251</v>
      </c>
      <c r="B349" t="s">
        <v>7649</v>
      </c>
      <c r="C349" t="s">
        <v>7019</v>
      </c>
      <c r="D349" t="str" cm="1">
        <f t="array" ref="D349">TRANSPOSE(_xlfn._xlws.FILTER('Controllable Asset Registry'!$A$4:$A$764,IFERROR('Controllable Asset Registry'!$E$4:$E$764=A349,FALSE),"No Equipment in entity"))</f>
        <v>VAV0159</v>
      </c>
    </row>
    <row r="350" spans="1:4" x14ac:dyDescent="0.3">
      <c r="A350" t="s">
        <v>6252</v>
      </c>
      <c r="B350" t="s">
        <v>7650</v>
      </c>
      <c r="C350" t="s">
        <v>7019</v>
      </c>
      <c r="D350" t="str" cm="1">
        <f t="array" ref="D350">TRANSPOSE(_xlfn._xlws.FILTER('Controllable Asset Registry'!$A$4:$A$764,IFERROR('Controllable Asset Registry'!$E$4:$E$764=A350,FALSE),"No Equipment in entity"))</f>
        <v>VAV0160</v>
      </c>
    </row>
    <row r="351" spans="1:4" x14ac:dyDescent="0.3">
      <c r="A351" t="s">
        <v>6253</v>
      </c>
      <c r="B351" t="s">
        <v>7651</v>
      </c>
      <c r="C351" t="s">
        <v>7019</v>
      </c>
      <c r="D351" t="str" cm="1">
        <f t="array" ref="D351">TRANSPOSE(_xlfn._xlws.FILTER('Controllable Asset Registry'!$A$4:$A$764,IFERROR('Controllable Asset Registry'!$E$4:$E$764=A351,FALSE),"No Equipment in entity"))</f>
        <v>VAV0161</v>
      </c>
    </row>
    <row r="352" spans="1:4" x14ac:dyDescent="0.3">
      <c r="A352" t="s">
        <v>6254</v>
      </c>
      <c r="B352" t="s">
        <v>7652</v>
      </c>
      <c r="C352" t="s">
        <v>7021</v>
      </c>
      <c r="D352" t="str" cm="1">
        <f t="array" ref="D352">TRANSPOSE(_xlfn._xlws.FILTER('Controllable Asset Registry'!$A$4:$A$764,IFERROR('Controllable Asset Registry'!$E$4:$E$764=A352,FALSE),"No Equipment in entity"))</f>
        <v>VAV0162</v>
      </c>
    </row>
    <row r="353" spans="1:6" x14ac:dyDescent="0.3">
      <c r="A353" t="s">
        <v>6255</v>
      </c>
      <c r="B353" t="s">
        <v>7653</v>
      </c>
      <c r="C353" t="s">
        <v>7019</v>
      </c>
      <c r="D353" t="str" cm="1">
        <f t="array" ref="D353">TRANSPOSE(_xlfn._xlws.FILTER('Controllable Asset Registry'!$A$4:$A$764,IFERROR('Controllable Asset Registry'!$E$4:$E$764=A353,FALSE),"No Equipment in entity"))</f>
        <v>VAV0163</v>
      </c>
    </row>
    <row r="354" spans="1:6" x14ac:dyDescent="0.3">
      <c r="A354" t="s">
        <v>6256</v>
      </c>
      <c r="B354" t="s">
        <v>7654</v>
      </c>
      <c r="C354" t="s">
        <v>7019</v>
      </c>
      <c r="D354" t="str" cm="1">
        <f t="array" ref="D354">TRANSPOSE(_xlfn._xlws.FILTER('Controllable Asset Registry'!$A$4:$A$764,IFERROR('Controllable Asset Registry'!$E$4:$E$764=A354,FALSE),"No Equipment in entity"))</f>
        <v>VAV0164</v>
      </c>
    </row>
    <row r="355" spans="1:6" x14ac:dyDescent="0.3">
      <c r="A355" t="s">
        <v>6257</v>
      </c>
      <c r="B355" t="s">
        <v>7655</v>
      </c>
      <c r="C355" t="s">
        <v>7019</v>
      </c>
      <c r="D355" t="str" cm="1">
        <f t="array" ref="D355">TRANSPOSE(_xlfn._xlws.FILTER('Controllable Asset Registry'!$A$4:$A$764,IFERROR('Controllable Asset Registry'!$E$4:$E$764=A355,FALSE),"No Equipment in entity"))</f>
        <v>VAV0165</v>
      </c>
    </row>
    <row r="356" spans="1:6" x14ac:dyDescent="0.3">
      <c r="A356" t="s">
        <v>6258</v>
      </c>
      <c r="B356" t="s">
        <v>7656</v>
      </c>
      <c r="C356" t="s">
        <v>7019</v>
      </c>
      <c r="D356" t="str" cm="1">
        <f t="array" ref="D356">TRANSPOSE(_xlfn._xlws.FILTER('Controllable Asset Registry'!$A$4:$A$764,IFERROR('Controllable Asset Registry'!$E$4:$E$764=A356,FALSE),"No Equipment in entity"))</f>
        <v>VAV0166</v>
      </c>
    </row>
    <row r="357" spans="1:6" x14ac:dyDescent="0.3">
      <c r="A357" t="s">
        <v>6259</v>
      </c>
      <c r="B357" t="s">
        <v>7657</v>
      </c>
      <c r="C357" t="s">
        <v>7019</v>
      </c>
      <c r="D357" t="str" cm="1">
        <f t="array" ref="D357">TRANSPOSE(_xlfn._xlws.FILTER('Controllable Asset Registry'!$A$4:$A$764,IFERROR('Controllable Asset Registry'!$E$4:$E$764=A357,FALSE),"No Equipment in entity"))</f>
        <v>VAV0167</v>
      </c>
    </row>
    <row r="358" spans="1:6" x14ac:dyDescent="0.3">
      <c r="A358" t="s">
        <v>6260</v>
      </c>
      <c r="B358" t="s">
        <v>7658</v>
      </c>
      <c r="C358" t="s">
        <v>7019</v>
      </c>
      <c r="D358" t="str" cm="1">
        <f t="array" ref="D358">TRANSPOSE(_xlfn._xlws.FILTER('Controllable Asset Registry'!$A$4:$A$764,IFERROR('Controllable Asset Registry'!$E$4:$E$764=A358,FALSE),"No Equipment in entity"))</f>
        <v>VAV0168</v>
      </c>
    </row>
    <row r="359" spans="1:6" x14ac:dyDescent="0.3">
      <c r="A359" t="s">
        <v>6261</v>
      </c>
      <c r="B359" t="s">
        <v>7659</v>
      </c>
      <c r="C359" t="s">
        <v>7019</v>
      </c>
      <c r="D359" t="str" cm="1">
        <f t="array" ref="D359">TRANSPOSE(_xlfn._xlws.FILTER('Controllable Asset Registry'!$A$4:$A$764,IFERROR('Controllable Asset Registry'!$E$4:$E$764=A359,FALSE),"No Equipment in entity"))</f>
        <v>VAV0169</v>
      </c>
    </row>
    <row r="360" spans="1:6" x14ac:dyDescent="0.3">
      <c r="A360" t="s">
        <v>6262</v>
      </c>
      <c r="B360" t="s">
        <v>7660</v>
      </c>
      <c r="C360" t="s">
        <v>7019</v>
      </c>
      <c r="D360" t="str" cm="1">
        <f t="array" ref="D360">TRANSPOSE(_xlfn._xlws.FILTER('Controllable Asset Registry'!$A$4:$A$764,IFERROR('Controllable Asset Registry'!$E$4:$E$764=A360,FALSE),"No Equipment in entity"))</f>
        <v>VAV0170</v>
      </c>
    </row>
    <row r="361" spans="1:6" x14ac:dyDescent="0.3">
      <c r="A361" t="s">
        <v>6263</v>
      </c>
      <c r="B361" t="s">
        <v>7661</v>
      </c>
      <c r="C361" t="s">
        <v>7019</v>
      </c>
      <c r="D361" t="str" cm="1">
        <f t="array" ref="D361">TRANSPOSE(_xlfn._xlws.FILTER('Controllable Asset Registry'!$A$4:$A$764,IFERROR('Controllable Asset Registry'!$E$4:$E$764=A361,FALSE),"No Equipment in entity"))</f>
        <v>VAV0171</v>
      </c>
    </row>
    <row r="362" spans="1:6" x14ac:dyDescent="0.3">
      <c r="A362" t="s">
        <v>6264</v>
      </c>
      <c r="B362" t="s">
        <v>7662</v>
      </c>
      <c r="C362" t="s">
        <v>7021</v>
      </c>
      <c r="D362" t="str" cm="1">
        <f t="array" ref="D362">TRANSPOSE(_xlfn._xlws.FILTER('Controllable Asset Registry'!$A$4:$A$764,IFERROR('Controllable Asset Registry'!$E$4:$E$764=A362,FALSE),"No Equipment in entity"))</f>
        <v>VAV0172</v>
      </c>
    </row>
    <row r="363" spans="1:6" x14ac:dyDescent="0.3">
      <c r="A363" t="s">
        <v>6265</v>
      </c>
      <c r="B363" t="s">
        <v>7663</v>
      </c>
      <c r="C363" t="s">
        <v>7022</v>
      </c>
      <c r="D363" t="str" cm="1">
        <f t="array" ref="D363:E363">TRANSPOSE(_xlfn._xlws.FILTER('Controllable Asset Registry'!$A$4:$A$764,IFERROR('Controllable Asset Registry'!$E$4:$E$764=A363,FALSE),"No Equipment in entity"))</f>
        <v>VAV0173</v>
      </c>
      <c r="E363" t="str">
        <v>VAV0174</v>
      </c>
    </row>
    <row r="364" spans="1:6" x14ac:dyDescent="0.3">
      <c r="A364" t="s">
        <v>6287</v>
      </c>
      <c r="B364" t="s">
        <v>7664</v>
      </c>
      <c r="C364" t="s">
        <v>6948</v>
      </c>
      <c r="D364" t="str" cm="1">
        <f t="array" ref="D364">TRANSPOSE(_xlfn._xlws.FILTER('Controllable Asset Registry'!$A$4:$A$764,IFERROR('Controllable Asset Registry'!$E$4:$E$764=A364,FALSE),"No Equipment in entity"))</f>
        <v>VAV0199</v>
      </c>
    </row>
    <row r="365" spans="1:6" x14ac:dyDescent="0.3">
      <c r="A365" t="s">
        <v>6271</v>
      </c>
      <c r="B365" t="s">
        <v>7665</v>
      </c>
      <c r="C365" t="s">
        <v>6837</v>
      </c>
      <c r="D365" t="str" cm="1">
        <f t="array" ref="D365:F365">TRANSPOSE(_xlfn._xlws.FILTER('Controllable Asset Registry'!$A$4:$A$764,IFERROR('Controllable Asset Registry'!$E$4:$E$764=A365,FALSE),"No Equipment in entity"))</f>
        <v>VAV0181</v>
      </c>
      <c r="E365" t="str">
        <v>VAV0182</v>
      </c>
      <c r="F365" t="str">
        <v>VAV0183</v>
      </c>
    </row>
    <row r="366" spans="1:6" x14ac:dyDescent="0.3">
      <c r="A366" t="s">
        <v>6080</v>
      </c>
      <c r="B366" t="s">
        <v>7666</v>
      </c>
      <c r="C366" t="s">
        <v>6917</v>
      </c>
      <c r="D366" t="str" cm="1">
        <f t="array" ref="D366">TRANSPOSE(_xlfn._xlws.FILTER('Controllable Asset Registry'!$A$4:$A$764,IFERROR('Controllable Asset Registry'!$E$4:$E$764=A366,FALSE),"No Equipment in entity"))</f>
        <v>FCU0063</v>
      </c>
    </row>
    <row r="367" spans="1:6" x14ac:dyDescent="0.3">
      <c r="A367" t="s">
        <v>6272</v>
      </c>
      <c r="B367" t="s">
        <v>7667</v>
      </c>
      <c r="C367" t="s">
        <v>7021</v>
      </c>
      <c r="D367" t="str" cm="1">
        <f t="array" ref="D367">TRANSPOSE(_xlfn._xlws.FILTER('Controllable Asset Registry'!$A$4:$A$764,IFERROR('Controllable Asset Registry'!$E$4:$E$764=A367,FALSE),"No Equipment in entity"))</f>
        <v>VAV0184</v>
      </c>
    </row>
    <row r="368" spans="1:6" x14ac:dyDescent="0.3">
      <c r="A368" t="s">
        <v>7023</v>
      </c>
      <c r="B368" t="s">
        <v>7668</v>
      </c>
      <c r="C368" t="s">
        <v>6788</v>
      </c>
      <c r="D368" t="str" cm="1">
        <f t="array" ref="D368">TRANSPOSE(_xlfn._xlws.FILTER('Controllable Asset Registry'!$A$4:$A$764,IFERROR('Controllable Asset Registry'!$E$4:$E$764=A368,FALSE),"No Equipment in entity"))</f>
        <v>No Equipment in entity</v>
      </c>
    </row>
    <row r="369" spans="1:5" x14ac:dyDescent="0.3">
      <c r="A369" t="s">
        <v>7024</v>
      </c>
      <c r="B369" t="s">
        <v>7669</v>
      </c>
      <c r="C369" t="s">
        <v>6946</v>
      </c>
      <c r="D369" t="str" cm="1">
        <f t="array" ref="D369">TRANSPOSE(_xlfn._xlws.FILTER('Controllable Asset Registry'!$A$4:$A$764,IFERROR('Controllable Asset Registry'!$E$4:$E$764=A369,FALSE),"No Equipment in entity"))</f>
        <v>No Equipment in entity</v>
      </c>
    </row>
    <row r="370" spans="1:5" x14ac:dyDescent="0.3">
      <c r="A370" t="s">
        <v>7025</v>
      </c>
      <c r="B370" t="s">
        <v>7670</v>
      </c>
      <c r="C370" t="s">
        <v>6948</v>
      </c>
      <c r="D370" t="str" cm="1">
        <f t="array" ref="D370">TRANSPOSE(_xlfn._xlws.FILTER('Controllable Asset Registry'!$A$4:$A$764,IFERROR('Controllable Asset Registry'!$E$4:$E$764=A370,FALSE),"No Equipment in entity"))</f>
        <v>No Equipment in entity</v>
      </c>
    </row>
    <row r="371" spans="1:5" x14ac:dyDescent="0.3">
      <c r="A371" t="s">
        <v>7026</v>
      </c>
      <c r="B371" t="s">
        <v>7671</v>
      </c>
      <c r="C371" t="s">
        <v>6695</v>
      </c>
      <c r="D371" t="str" cm="1">
        <f t="array" ref="D371">TRANSPOSE(_xlfn._xlws.FILTER('Controllable Asset Registry'!$A$4:$A$764,IFERROR('Controllable Asset Registry'!$E$4:$E$764=A371,FALSE),"No Equipment in entity"))</f>
        <v>No Equipment in entity</v>
      </c>
    </row>
    <row r="372" spans="1:5" x14ac:dyDescent="0.3">
      <c r="A372" t="s">
        <v>6303</v>
      </c>
      <c r="B372" t="s">
        <v>7672</v>
      </c>
      <c r="C372" t="s">
        <v>7027</v>
      </c>
      <c r="D372" t="str" cm="1">
        <f t="array" ref="D372">TRANSPOSE(_xlfn._xlws.FILTER('Controllable Asset Registry'!$A$4:$A$764,IFERROR('Controllable Asset Registry'!$E$4:$E$764=A372,FALSE),"No Equipment in entity"))</f>
        <v>VAV0217</v>
      </c>
    </row>
    <row r="373" spans="1:5" x14ac:dyDescent="0.3">
      <c r="A373" t="s">
        <v>6079</v>
      </c>
      <c r="B373" t="s">
        <v>7673</v>
      </c>
      <c r="C373" t="s">
        <v>7028</v>
      </c>
      <c r="D373" t="str" cm="1">
        <f t="array" ref="D373">TRANSPOSE(_xlfn._xlws.FILTER('Controllable Asset Registry'!$A$4:$A$764,IFERROR('Controllable Asset Registry'!$E$4:$E$764=A373,FALSE),"No Equipment in entity"))</f>
        <v>FCU0062</v>
      </c>
    </row>
    <row r="374" spans="1:5" x14ac:dyDescent="0.3">
      <c r="A374" t="s">
        <v>7029</v>
      </c>
      <c r="B374" t="s">
        <v>7674</v>
      </c>
      <c r="C374" t="s">
        <v>6788</v>
      </c>
      <c r="D374" t="str" cm="1">
        <f t="array" ref="D374">TRANSPOSE(_xlfn._xlws.FILTER('Controllable Asset Registry'!$A$4:$A$764,IFERROR('Controllable Asset Registry'!$E$4:$E$764=A374,FALSE),"No Equipment in entity"))</f>
        <v>No Equipment in entity</v>
      </c>
    </row>
    <row r="375" spans="1:5" x14ac:dyDescent="0.3">
      <c r="A375" t="s">
        <v>6291</v>
      </c>
      <c r="B375" t="s">
        <v>7675</v>
      </c>
      <c r="C375" t="s">
        <v>7030</v>
      </c>
      <c r="D375" t="str" cm="1">
        <f t="array" ref="D375">TRANSPOSE(_xlfn._xlws.FILTER('Controllable Asset Registry'!$A$4:$A$764,IFERROR('Controllable Asset Registry'!$E$4:$E$764=A375,FALSE),"No Equipment in entity"))</f>
        <v>VAV0204</v>
      </c>
    </row>
    <row r="376" spans="1:5" x14ac:dyDescent="0.3">
      <c r="A376" t="s">
        <v>6292</v>
      </c>
      <c r="B376" t="s">
        <v>7676</v>
      </c>
      <c r="C376" t="s">
        <v>7031</v>
      </c>
      <c r="D376" t="str" cm="1">
        <f t="array" ref="D376">TRANSPOSE(_xlfn._xlws.FILTER('Controllable Asset Registry'!$A$4:$A$764,IFERROR('Controllable Asset Registry'!$E$4:$E$764=A376,FALSE),"No Equipment in entity"))</f>
        <v>VAV0205</v>
      </c>
    </row>
    <row r="377" spans="1:5" x14ac:dyDescent="0.3">
      <c r="A377" t="s">
        <v>6293</v>
      </c>
      <c r="B377" t="s">
        <v>7677</v>
      </c>
      <c r="C377" t="s">
        <v>7031</v>
      </c>
      <c r="D377" t="str" cm="1">
        <f t="array" ref="D377">TRANSPOSE(_xlfn._xlws.FILTER('Controllable Asset Registry'!$A$4:$A$764,IFERROR('Controllable Asset Registry'!$E$4:$E$764=A377,FALSE),"No Equipment in entity"))</f>
        <v>VAV0206</v>
      </c>
    </row>
    <row r="378" spans="1:5" x14ac:dyDescent="0.3">
      <c r="A378" t="s">
        <v>6294</v>
      </c>
      <c r="B378" t="s">
        <v>7678</v>
      </c>
      <c r="C378" t="s">
        <v>7031</v>
      </c>
      <c r="D378" t="str" cm="1">
        <f t="array" ref="D378">TRANSPOSE(_xlfn._xlws.FILTER('Controllable Asset Registry'!$A$4:$A$764,IFERROR('Controllable Asset Registry'!$E$4:$E$764=A378,FALSE),"No Equipment in entity"))</f>
        <v>VAV0207</v>
      </c>
    </row>
    <row r="379" spans="1:5" x14ac:dyDescent="0.3">
      <c r="A379" t="s">
        <v>6295</v>
      </c>
      <c r="B379" t="s">
        <v>7679</v>
      </c>
      <c r="C379" t="s">
        <v>7031</v>
      </c>
      <c r="D379" t="str" cm="1">
        <f t="array" ref="D379">TRANSPOSE(_xlfn._xlws.FILTER('Controllable Asset Registry'!$A$4:$A$764,IFERROR('Controllable Asset Registry'!$E$4:$E$764=A379,FALSE),"No Equipment in entity"))</f>
        <v>VAV0208</v>
      </c>
    </row>
    <row r="380" spans="1:5" x14ac:dyDescent="0.3">
      <c r="A380" t="s">
        <v>6296</v>
      </c>
      <c r="B380" t="s">
        <v>7680</v>
      </c>
      <c r="C380" t="s">
        <v>7032</v>
      </c>
      <c r="D380" t="str" cm="1">
        <f t="array" ref="D380:E380">TRANSPOSE(_xlfn._xlws.FILTER('Controllable Asset Registry'!$A$4:$A$764,IFERROR('Controllable Asset Registry'!$E$4:$E$764=A380,FALSE),"No Equipment in entity"))</f>
        <v>VAV0209</v>
      </c>
      <c r="E380" t="str">
        <v>VAV0210</v>
      </c>
    </row>
    <row r="381" spans="1:5" x14ac:dyDescent="0.3">
      <c r="A381" t="s">
        <v>6297</v>
      </c>
      <c r="B381" t="s">
        <v>7681</v>
      </c>
      <c r="C381" t="s">
        <v>7031</v>
      </c>
      <c r="D381" t="str" cm="1">
        <f t="array" ref="D381">TRANSPOSE(_xlfn._xlws.FILTER('Controllable Asset Registry'!$A$4:$A$764,IFERROR('Controllable Asset Registry'!$E$4:$E$764=A381,FALSE),"No Equipment in entity"))</f>
        <v>VAV0211</v>
      </c>
    </row>
    <row r="382" spans="1:5" x14ac:dyDescent="0.3">
      <c r="A382" t="s">
        <v>6298</v>
      </c>
      <c r="B382" t="s">
        <v>7682</v>
      </c>
      <c r="C382" t="s">
        <v>7033</v>
      </c>
      <c r="D382" t="str" cm="1">
        <f t="array" ref="D382">TRANSPOSE(_xlfn._xlws.FILTER('Controllable Asset Registry'!$A$4:$A$764,IFERROR('Controllable Asset Registry'!$E$4:$E$764=A382,FALSE),"No Equipment in entity"))</f>
        <v>VAV0212</v>
      </c>
    </row>
    <row r="383" spans="1:5" x14ac:dyDescent="0.3">
      <c r="A383" t="s">
        <v>6299</v>
      </c>
      <c r="B383" t="s">
        <v>7683</v>
      </c>
      <c r="C383" t="s">
        <v>7034</v>
      </c>
      <c r="D383" t="str" cm="1">
        <f t="array" ref="D383">TRANSPOSE(_xlfn._xlws.FILTER('Controllable Asset Registry'!$A$4:$A$764,IFERROR('Controllable Asset Registry'!$E$4:$E$764=A383,FALSE),"No Equipment in entity"))</f>
        <v>VAV0213</v>
      </c>
    </row>
    <row r="384" spans="1:5" x14ac:dyDescent="0.3">
      <c r="A384" t="s">
        <v>6300</v>
      </c>
      <c r="B384" t="s">
        <v>7684</v>
      </c>
      <c r="C384" t="s">
        <v>7035</v>
      </c>
      <c r="D384" t="str" cm="1">
        <f t="array" ref="D384">TRANSPOSE(_xlfn._xlws.FILTER('Controllable Asset Registry'!$A$4:$A$764,IFERROR('Controllable Asset Registry'!$E$4:$E$764=A384,FALSE),"No Equipment in entity"))</f>
        <v>VAV0214</v>
      </c>
    </row>
    <row r="385" spans="1:5" x14ac:dyDescent="0.3">
      <c r="A385" t="s">
        <v>6301</v>
      </c>
      <c r="B385" t="s">
        <v>7685</v>
      </c>
      <c r="C385" t="s">
        <v>7036</v>
      </c>
      <c r="D385" t="str" cm="1">
        <f t="array" ref="D385">TRANSPOSE(_xlfn._xlws.FILTER('Controllable Asset Registry'!$A$4:$A$764,IFERROR('Controllable Asset Registry'!$E$4:$E$764=A385,FALSE),"No Equipment in entity"))</f>
        <v>VAV0215</v>
      </c>
    </row>
    <row r="386" spans="1:5" x14ac:dyDescent="0.3">
      <c r="A386" t="s">
        <v>6302</v>
      </c>
      <c r="B386" t="s">
        <v>7686</v>
      </c>
      <c r="C386" t="s">
        <v>7037</v>
      </c>
      <c r="D386" t="str" cm="1">
        <f t="array" ref="D386">TRANSPOSE(_xlfn._xlws.FILTER('Controllable Asset Registry'!$A$4:$A$764,IFERROR('Controllable Asset Registry'!$E$4:$E$764=A386,FALSE),"No Equipment in entity"))</f>
        <v>VAV0216</v>
      </c>
    </row>
    <row r="387" spans="1:5" x14ac:dyDescent="0.3">
      <c r="A387" t="s">
        <v>6304</v>
      </c>
      <c r="B387" t="s">
        <v>7687</v>
      </c>
      <c r="C387" t="s">
        <v>7038</v>
      </c>
      <c r="D387" t="str" cm="1">
        <f t="array" ref="D387:E387">TRANSPOSE(_xlfn._xlws.FILTER('Controllable Asset Registry'!$A$4:$A$764,IFERROR('Controllable Asset Registry'!$E$4:$E$764=A387,FALSE),"No Equipment in entity"))</f>
        <v>VAV0218</v>
      </c>
      <c r="E387" t="str">
        <v>VAV0219</v>
      </c>
    </row>
    <row r="388" spans="1:5" x14ac:dyDescent="0.3">
      <c r="A388" t="s">
        <v>6305</v>
      </c>
      <c r="B388" t="s">
        <v>7688</v>
      </c>
      <c r="C388" t="s">
        <v>7039</v>
      </c>
      <c r="D388" t="str" cm="1">
        <f t="array" ref="D388">TRANSPOSE(_xlfn._xlws.FILTER('Controllable Asset Registry'!$A$4:$A$764,IFERROR('Controllable Asset Registry'!$E$4:$E$764=A388,FALSE),"No Equipment in entity"))</f>
        <v>VAV0220</v>
      </c>
    </row>
    <row r="389" spans="1:5" x14ac:dyDescent="0.3">
      <c r="A389" t="s">
        <v>7040</v>
      </c>
      <c r="B389" t="s">
        <v>7689</v>
      </c>
      <c r="C389" t="s">
        <v>6706</v>
      </c>
      <c r="D389" t="str" cm="1">
        <f t="array" ref="D389">TRANSPOSE(_xlfn._xlws.FILTER('Controllable Asset Registry'!$A$4:$A$764,IFERROR('Controllable Asset Registry'!$E$4:$E$764=A389,FALSE),"No Equipment in entity"))</f>
        <v>No Equipment in entity</v>
      </c>
    </row>
    <row r="390" spans="1:5" x14ac:dyDescent="0.3">
      <c r="A390" t="s">
        <v>7041</v>
      </c>
      <c r="B390" t="s">
        <v>7690</v>
      </c>
      <c r="C390" t="s">
        <v>6709</v>
      </c>
      <c r="D390" t="str" cm="1">
        <f t="array" ref="D390">TRANSPOSE(_xlfn._xlws.FILTER('Controllable Asset Registry'!$A$4:$A$764,IFERROR('Controllable Asset Registry'!$E$4:$E$764=A390,FALSE),"No Equipment in entity"))</f>
        <v>No Equipment in entity</v>
      </c>
    </row>
    <row r="391" spans="1:5" x14ac:dyDescent="0.3">
      <c r="A391" t="s">
        <v>7042</v>
      </c>
      <c r="B391" t="s">
        <v>7691</v>
      </c>
      <c r="C391" t="s">
        <v>6706</v>
      </c>
      <c r="D391" t="str" cm="1">
        <f t="array" ref="D391">TRANSPOSE(_xlfn._xlws.FILTER('Controllable Asset Registry'!$A$4:$A$764,IFERROR('Controllable Asset Registry'!$E$4:$E$764=A391,FALSE),"No Equipment in entity"))</f>
        <v>No Equipment in entity</v>
      </c>
    </row>
    <row r="392" spans="1:5" x14ac:dyDescent="0.3">
      <c r="A392" t="s">
        <v>7043</v>
      </c>
      <c r="B392" t="s">
        <v>7692</v>
      </c>
      <c r="C392" t="s">
        <v>6709</v>
      </c>
      <c r="D392" t="str" cm="1">
        <f t="array" ref="D392">TRANSPOSE(_xlfn._xlws.FILTER('Controllable Asset Registry'!$A$4:$A$764,IFERROR('Controllable Asset Registry'!$E$4:$E$764=A392,FALSE),"No Equipment in entity"))</f>
        <v>No Equipment in entity</v>
      </c>
    </row>
    <row r="393" spans="1:5" x14ac:dyDescent="0.3">
      <c r="A393" t="s">
        <v>7044</v>
      </c>
      <c r="B393" t="s">
        <v>7693</v>
      </c>
      <c r="C393" t="s">
        <v>6706</v>
      </c>
      <c r="D393" t="str" cm="1">
        <f t="array" ref="D393">TRANSPOSE(_xlfn._xlws.FILTER('Controllable Asset Registry'!$A$4:$A$764,IFERROR('Controllable Asset Registry'!$E$4:$E$764=A393,FALSE),"No Equipment in entity"))</f>
        <v>No Equipment in entity</v>
      </c>
    </row>
    <row r="394" spans="1:5" x14ac:dyDescent="0.3">
      <c r="A394" t="s">
        <v>7045</v>
      </c>
      <c r="B394" t="s">
        <v>7694</v>
      </c>
      <c r="C394" t="s">
        <v>6709</v>
      </c>
      <c r="D394" t="str" cm="1">
        <f t="array" ref="D394">TRANSPOSE(_xlfn._xlws.FILTER('Controllable Asset Registry'!$A$4:$A$764,IFERROR('Controllable Asset Registry'!$E$4:$E$764=A394,FALSE),"No Equipment in entity"))</f>
        <v>No Equipment in entity</v>
      </c>
    </row>
    <row r="395" spans="1:5" x14ac:dyDescent="0.3">
      <c r="A395" t="s">
        <v>7046</v>
      </c>
      <c r="B395" t="s">
        <v>7695</v>
      </c>
      <c r="C395" t="s">
        <v>5842</v>
      </c>
      <c r="D395" t="str" cm="1">
        <f t="array" ref="D395">TRANSPOSE(_xlfn._xlws.FILTER('Controllable Asset Registry'!$A$4:$A$764,IFERROR('Controllable Asset Registry'!$E$4:$E$764=A395,FALSE),"No Equipment in entity"))</f>
        <v>No Equipment in entity</v>
      </c>
    </row>
    <row r="396" spans="1:5" x14ac:dyDescent="0.3">
      <c r="A396" t="s">
        <v>7047</v>
      </c>
      <c r="B396" t="s">
        <v>7696</v>
      </c>
      <c r="C396" t="s">
        <v>5842</v>
      </c>
      <c r="D396" t="str" cm="1">
        <f t="array" ref="D396">TRANSPOSE(_xlfn._xlws.FILTER('Controllable Asset Registry'!$A$4:$A$764,IFERROR('Controllable Asset Registry'!$E$4:$E$764=A396,FALSE),"No Equipment in entity"))</f>
        <v>No Equipment in entity</v>
      </c>
    </row>
    <row r="397" spans="1:5" x14ac:dyDescent="0.3">
      <c r="A397" t="s">
        <v>7048</v>
      </c>
      <c r="B397" t="s">
        <v>7697</v>
      </c>
      <c r="C397" t="s">
        <v>5842</v>
      </c>
      <c r="D397" t="str" cm="1">
        <f t="array" ref="D397">TRANSPOSE(_xlfn._xlws.FILTER('Controllable Asset Registry'!$A$4:$A$764,IFERROR('Controllable Asset Registry'!$E$4:$E$764=A397,FALSE),"No Equipment in entity"))</f>
        <v>No Equipment in entity</v>
      </c>
    </row>
    <row r="398" spans="1:5" x14ac:dyDescent="0.3">
      <c r="A398" t="s">
        <v>7049</v>
      </c>
      <c r="B398" t="s">
        <v>7698</v>
      </c>
      <c r="C398" t="s">
        <v>5839</v>
      </c>
      <c r="D398" t="str" cm="1">
        <f t="array" ref="D398">TRANSPOSE(_xlfn._xlws.FILTER('Controllable Asset Registry'!$A$4:$A$764,IFERROR('Controllable Asset Registry'!$E$4:$E$764=A398,FALSE),"No Equipment in entity"))</f>
        <v>No Equipment in entity</v>
      </c>
    </row>
    <row r="399" spans="1:5" x14ac:dyDescent="0.3">
      <c r="A399" t="s">
        <v>6078</v>
      </c>
      <c r="B399" t="s">
        <v>7699</v>
      </c>
      <c r="C399" t="s">
        <v>6715</v>
      </c>
      <c r="D399" t="str" cm="1">
        <f t="array" ref="D399">TRANSPOSE(_xlfn._xlws.FILTER('Controllable Asset Registry'!$A$4:$A$764,IFERROR('Controllable Asset Registry'!$E$4:$E$764=A399,FALSE),"No Equipment in entity"))</f>
        <v>FCU0061</v>
      </c>
    </row>
    <row r="400" spans="1:5" x14ac:dyDescent="0.3">
      <c r="A400" t="s">
        <v>7050</v>
      </c>
      <c r="B400" t="s">
        <v>7700</v>
      </c>
      <c r="C400" t="s">
        <v>5839</v>
      </c>
      <c r="D400" t="str" cm="1">
        <f t="array" ref="D400">TRANSPOSE(_xlfn._xlws.FILTER('Controllable Asset Registry'!$A$4:$A$764,IFERROR('Controllable Asset Registry'!$E$4:$E$764=A400,FALSE),"No Equipment in entity"))</f>
        <v>No Equipment in entity</v>
      </c>
    </row>
    <row r="401" spans="1:6" x14ac:dyDescent="0.3">
      <c r="A401" t="s">
        <v>6077</v>
      </c>
      <c r="B401" t="s">
        <v>7701</v>
      </c>
      <c r="C401" t="s">
        <v>6715</v>
      </c>
      <c r="D401" t="str" cm="1">
        <f t="array" ref="D401:E401">TRANSPOSE(_xlfn._xlws.FILTER('Controllable Asset Registry'!$A$4:$A$764,IFERROR('Controllable Asset Registry'!$E$4:$E$764=A401,FALSE),"No Equipment in entity"))</f>
        <v>FCU0059</v>
      </c>
      <c r="E401" t="str">
        <v>FCU0060</v>
      </c>
    </row>
    <row r="402" spans="1:6" x14ac:dyDescent="0.3">
      <c r="A402" t="s">
        <v>7051</v>
      </c>
      <c r="B402" t="s">
        <v>7702</v>
      </c>
      <c r="C402" t="s">
        <v>6857</v>
      </c>
      <c r="D402" t="str" cm="1">
        <f t="array" ref="D402">TRANSPOSE(_xlfn._xlws.FILTER('Controllable Asset Registry'!$A$4:$A$764,IFERROR('Controllable Asset Registry'!$E$4:$E$764=A402,FALSE),"No Equipment in entity"))</f>
        <v>No Equipment in entity</v>
      </c>
    </row>
    <row r="403" spans="1:6" x14ac:dyDescent="0.3">
      <c r="A403" t="s">
        <v>7052</v>
      </c>
      <c r="B403" t="s">
        <v>7703</v>
      </c>
      <c r="C403" t="s">
        <v>7053</v>
      </c>
      <c r="D403" t="str" cm="1">
        <f t="array" ref="D403">TRANSPOSE(_xlfn._xlws.FILTER('Controllable Asset Registry'!$A$4:$A$764,IFERROR('Controllable Asset Registry'!$E$4:$E$764=A403,FALSE),"No Equipment in entity"))</f>
        <v>No Equipment in entity</v>
      </c>
    </row>
    <row r="404" spans="1:6" x14ac:dyDescent="0.3">
      <c r="A404" t="s">
        <v>7054</v>
      </c>
      <c r="B404" t="s">
        <v>7704</v>
      </c>
      <c r="C404" t="s">
        <v>5839</v>
      </c>
      <c r="D404" t="str" cm="1">
        <f t="array" ref="D404">TRANSPOSE(_xlfn._xlws.FILTER('Controllable Asset Registry'!$A$4:$A$764,IFERROR('Controllable Asset Registry'!$E$4:$E$764=A404,FALSE),"No Equipment in entity"))</f>
        <v>No Equipment in entity</v>
      </c>
    </row>
    <row r="405" spans="1:6" x14ac:dyDescent="0.3">
      <c r="A405" t="s">
        <v>6267</v>
      </c>
      <c r="B405" t="s">
        <v>7705</v>
      </c>
      <c r="C405" t="s">
        <v>7014</v>
      </c>
      <c r="D405" t="str" cm="1">
        <f t="array" ref="D405:F405">TRANSPOSE(_xlfn._xlws.FILTER('Controllable Asset Registry'!$A$4:$A$764,IFERROR('Controllable Asset Registry'!$E$4:$E$764=A405,FALSE),"No Equipment in entity"))</f>
        <v>VAV0176</v>
      </c>
      <c r="E405" t="str">
        <v>VAV0179</v>
      </c>
      <c r="F405" t="str">
        <v>VAV0201</v>
      </c>
    </row>
    <row r="406" spans="1:6" x14ac:dyDescent="0.3">
      <c r="A406" t="s">
        <v>6306</v>
      </c>
      <c r="B406" t="s">
        <v>7706</v>
      </c>
      <c r="C406" t="s">
        <v>7055</v>
      </c>
      <c r="D406" t="str" cm="1">
        <f t="array" ref="D406">TRANSPOSE(_xlfn._xlws.FILTER('Controllable Asset Registry'!$A$4:$A$764,IFERROR('Controllable Asset Registry'!$E$4:$E$764=A406,FALSE),"No Equipment in entity"))</f>
        <v>VAV0221</v>
      </c>
    </row>
    <row r="407" spans="1:6" x14ac:dyDescent="0.3">
      <c r="A407" t="s">
        <v>6081</v>
      </c>
      <c r="B407" t="s">
        <v>7707</v>
      </c>
      <c r="C407" t="s">
        <v>7056</v>
      </c>
      <c r="D407" t="str" cm="1">
        <f t="array" ref="D407:F407">TRANSPOSE(_xlfn._xlws.FILTER('Controllable Asset Registry'!$A$4:$A$764,IFERROR('Controllable Asset Registry'!$E$4:$E$764=A407,FALSE),"No Equipment in entity"))</f>
        <v>FCU0064</v>
      </c>
      <c r="E407" t="str">
        <v>FCU0065</v>
      </c>
      <c r="F407" t="str">
        <v>FCU0066</v>
      </c>
    </row>
    <row r="408" spans="1:6" x14ac:dyDescent="0.3">
      <c r="A408" t="s">
        <v>8267</v>
      </c>
      <c r="B408" t="s">
        <v>8268</v>
      </c>
      <c r="C408" t="s">
        <v>6871</v>
      </c>
      <c r="D408" t="str" cm="1">
        <f t="array" ref="D408">TRANSPOSE(_xlfn._xlws.FILTER('Controllable Asset Registry'!$A$4:$A$764,IFERROR('Controllable Asset Registry'!$E$4:$E$764=A408,FALSE),"No Equipment in entity"))</f>
        <v>No Equipment in entity</v>
      </c>
    </row>
    <row r="409" spans="1:6" x14ac:dyDescent="0.3">
      <c r="A409" t="s">
        <v>8269</v>
      </c>
      <c r="B409" t="s">
        <v>8270</v>
      </c>
      <c r="C409" t="s">
        <v>6874</v>
      </c>
      <c r="D409" t="str" cm="1">
        <f t="array" ref="D409">TRANSPOSE(_xlfn._xlws.FILTER('Controllable Asset Registry'!$A$4:$A$764,IFERROR('Controllable Asset Registry'!$E$4:$E$764=A409,FALSE),"No Equipment in entity"))</f>
        <v>No Equipment in entity</v>
      </c>
    </row>
    <row r="410" spans="1:6" x14ac:dyDescent="0.3">
      <c r="A410" t="s">
        <v>8271</v>
      </c>
      <c r="B410" t="s">
        <v>8272</v>
      </c>
      <c r="C410" t="s">
        <v>6877</v>
      </c>
      <c r="D410" t="str" cm="1">
        <f t="array" ref="D410">TRANSPOSE(_xlfn._xlws.FILTER('Controllable Asset Registry'!$A$4:$A$764,IFERROR('Controllable Asset Registry'!$E$4:$E$764=A410,FALSE),"No Equipment in entity"))</f>
        <v>No Equipment in entity</v>
      </c>
    </row>
    <row r="411" spans="1:6" x14ac:dyDescent="0.3">
      <c r="A411" t="s">
        <v>8273</v>
      </c>
      <c r="B411" t="s">
        <v>8274</v>
      </c>
      <c r="C411" t="s">
        <v>6880</v>
      </c>
      <c r="D411" t="str" cm="1">
        <f t="array" ref="D411">TRANSPOSE(_xlfn._xlws.FILTER('Controllable Asset Registry'!$A$4:$A$764,IFERROR('Controllable Asset Registry'!$E$4:$E$764=A411,FALSE),"No Equipment in entity"))</f>
        <v>No Equipment in entity</v>
      </c>
    </row>
    <row r="412" spans="1:6" x14ac:dyDescent="0.3">
      <c r="A412" t="s">
        <v>8275</v>
      </c>
      <c r="B412" t="s">
        <v>8276</v>
      </c>
      <c r="C412" t="s">
        <v>6744</v>
      </c>
      <c r="D412" t="str" cm="1">
        <f t="array" ref="D412">TRANSPOSE(_xlfn._xlws.FILTER('Controllable Asset Registry'!$A$4:$A$764,IFERROR('Controllable Asset Registry'!$E$4:$E$764=A412,FALSE),"No Equipment in entity"))</f>
        <v>No Equipment in entity</v>
      </c>
    </row>
    <row r="413" spans="1:6" x14ac:dyDescent="0.3">
      <c r="A413" t="s">
        <v>8277</v>
      </c>
      <c r="B413" t="s">
        <v>8278</v>
      </c>
      <c r="C413" t="s">
        <v>6747</v>
      </c>
      <c r="D413" t="str" cm="1">
        <f t="array" ref="D413">TRANSPOSE(_xlfn._xlws.FILTER('Controllable Asset Registry'!$A$4:$A$764,IFERROR('Controllable Asset Registry'!$E$4:$E$764=A413,FALSE),"No Equipment in entity"))</f>
        <v>No Equipment in entity</v>
      </c>
    </row>
    <row r="414" spans="1:6" x14ac:dyDescent="0.3">
      <c r="A414" t="s">
        <v>8279</v>
      </c>
      <c r="B414" t="s">
        <v>8280</v>
      </c>
      <c r="C414" t="s">
        <v>6750</v>
      </c>
      <c r="D414" t="str" cm="1">
        <f t="array" ref="D414">TRANSPOSE(_xlfn._xlws.FILTER('Controllable Asset Registry'!$A$4:$A$764,IFERROR('Controllable Asset Registry'!$E$4:$E$764=A414,FALSE),"No Equipment in entity"))</f>
        <v>No Equipment in entity</v>
      </c>
    </row>
    <row r="415" spans="1:6" x14ac:dyDescent="0.3">
      <c r="A415" t="s">
        <v>8281</v>
      </c>
      <c r="B415" t="s">
        <v>8282</v>
      </c>
      <c r="C415" t="s">
        <v>6889</v>
      </c>
      <c r="D415" t="str" cm="1">
        <f t="array" ref="D415">TRANSPOSE(_xlfn._xlws.FILTER('Controllable Asset Registry'!$A$4:$A$764,IFERROR('Controllable Asset Registry'!$E$4:$E$764=A415,FALSE),"No Equipment in entity"))</f>
        <v>No Equipment in entity</v>
      </c>
    </row>
    <row r="416" spans="1:6" x14ac:dyDescent="0.3">
      <c r="A416" t="s">
        <v>8283</v>
      </c>
      <c r="B416" t="s">
        <v>8284</v>
      </c>
      <c r="C416" t="s">
        <v>6755</v>
      </c>
      <c r="D416" t="str" cm="1">
        <f t="array" ref="D416">TRANSPOSE(_xlfn._xlws.FILTER('Controllable Asset Registry'!$A$4:$A$764,IFERROR('Controllable Asset Registry'!$E$4:$E$764=A416,FALSE),"No Equipment in entity"))</f>
        <v>No Equipment in entity</v>
      </c>
    </row>
    <row r="417" spans="1:4" x14ac:dyDescent="0.3">
      <c r="A417" t="s">
        <v>8285</v>
      </c>
      <c r="B417" t="s">
        <v>8286</v>
      </c>
      <c r="C417" t="s">
        <v>6757</v>
      </c>
      <c r="D417" t="str" cm="1">
        <f t="array" ref="D417">TRANSPOSE(_xlfn._xlws.FILTER('Controllable Asset Registry'!$A$4:$A$764,IFERROR('Controllable Asset Registry'!$E$4:$E$764=A417,FALSE),"No Equipment in entity"))</f>
        <v>No Equipment in entity</v>
      </c>
    </row>
    <row r="418" spans="1:4" x14ac:dyDescent="0.3">
      <c r="A418" t="s">
        <v>8287</v>
      </c>
      <c r="B418" t="s">
        <v>8288</v>
      </c>
      <c r="C418" t="s">
        <v>6896</v>
      </c>
      <c r="D418" t="str" cm="1">
        <f t="array" ref="D418">TRANSPOSE(_xlfn._xlws.FILTER('Controllable Asset Registry'!$A$4:$A$764,IFERROR('Controllable Asset Registry'!$E$4:$E$764=A418,FALSE),"No Equipment in entity"))</f>
        <v>No Equipment in entity</v>
      </c>
    </row>
    <row r="419" spans="1:4" x14ac:dyDescent="0.3">
      <c r="A419" t="s">
        <v>8289</v>
      </c>
      <c r="B419" t="s">
        <v>8290</v>
      </c>
      <c r="C419" t="s">
        <v>6760</v>
      </c>
      <c r="D419" t="str" cm="1">
        <f t="array" ref="D419">TRANSPOSE(_xlfn._xlws.FILTER('Controllable Asset Registry'!$A$4:$A$764,IFERROR('Controllable Asset Registry'!$E$4:$E$764=A419,FALSE),"No Equipment in entity"))</f>
        <v>No Equipment in entity</v>
      </c>
    </row>
    <row r="420" spans="1:4" x14ac:dyDescent="0.3">
      <c r="A420" t="s">
        <v>6322</v>
      </c>
      <c r="B420" t="s">
        <v>7708</v>
      </c>
      <c r="C420" t="s">
        <v>7057</v>
      </c>
      <c r="D420" t="str" cm="1">
        <f t="array" ref="D420">TRANSPOSE(_xlfn._xlws.FILTER('Controllable Asset Registry'!$A$4:$A$764,IFERROR('Controllable Asset Registry'!$E$4:$E$764=A420,FALSE),"No Equipment in entity"))</f>
        <v>VAV0242</v>
      </c>
    </row>
    <row r="421" spans="1:4" x14ac:dyDescent="0.3">
      <c r="A421" t="s">
        <v>7058</v>
      </c>
      <c r="B421" t="s">
        <v>7059</v>
      </c>
      <c r="C421" t="s">
        <v>7060</v>
      </c>
      <c r="D421" t="str" cm="1">
        <f t="array" ref="D421">TRANSPOSE(_xlfn._xlws.FILTER('Controllable Asset Registry'!$A$4:$A$764,IFERROR('Controllable Asset Registry'!$E$4:$E$764=A421,FALSE),"No Equipment in entity"))</f>
        <v>No Equipment in entity</v>
      </c>
    </row>
    <row r="422" spans="1:4" x14ac:dyDescent="0.3">
      <c r="A422" t="s">
        <v>7061</v>
      </c>
      <c r="B422" t="s">
        <v>7062</v>
      </c>
      <c r="C422" t="s">
        <v>7063</v>
      </c>
      <c r="D422" t="str" cm="1">
        <f t="array" ref="D422">TRANSPOSE(_xlfn._xlws.FILTER('Controllable Asset Registry'!$A$4:$A$764,IFERROR('Controllable Asset Registry'!$E$4:$E$764=A422,FALSE),"No Equipment in entity"))</f>
        <v>No Equipment in entity</v>
      </c>
    </row>
    <row r="423" spans="1:4" x14ac:dyDescent="0.3">
      <c r="A423" t="s">
        <v>6307</v>
      </c>
      <c r="B423" t="s">
        <v>7709</v>
      </c>
      <c r="C423" t="s">
        <v>7064</v>
      </c>
      <c r="D423" t="str" cm="1">
        <f t="array" ref="D423">TRANSPOSE(_xlfn._xlws.FILTER('Controllable Asset Registry'!$A$4:$A$764,IFERROR('Controllable Asset Registry'!$E$4:$E$764=A423,FALSE),"No Equipment in entity"))</f>
        <v>VAV0223</v>
      </c>
    </row>
    <row r="424" spans="1:4" x14ac:dyDescent="0.3">
      <c r="A424" t="s">
        <v>6308</v>
      </c>
      <c r="B424" t="s">
        <v>7710</v>
      </c>
      <c r="C424" t="s">
        <v>7057</v>
      </c>
      <c r="D424" t="str" cm="1">
        <f t="array" ref="D424">TRANSPOSE(_xlfn._xlws.FILTER('Controllable Asset Registry'!$A$4:$A$764,IFERROR('Controllable Asset Registry'!$E$4:$E$764=A424,FALSE),"No Equipment in entity"))</f>
        <v>VAV0224</v>
      </c>
    </row>
    <row r="425" spans="1:4" x14ac:dyDescent="0.3">
      <c r="A425" t="s">
        <v>6309</v>
      </c>
      <c r="B425" t="s">
        <v>7711</v>
      </c>
      <c r="C425" t="s">
        <v>7057</v>
      </c>
      <c r="D425" t="str" cm="1">
        <f t="array" ref="D425">TRANSPOSE(_xlfn._xlws.FILTER('Controllable Asset Registry'!$A$4:$A$764,IFERROR('Controllable Asset Registry'!$E$4:$E$764=A425,FALSE),"No Equipment in entity"))</f>
        <v>VAV0225</v>
      </c>
    </row>
    <row r="426" spans="1:4" x14ac:dyDescent="0.3">
      <c r="A426" t="s">
        <v>6310</v>
      </c>
      <c r="B426" t="s">
        <v>7712</v>
      </c>
      <c r="C426" t="s">
        <v>7057</v>
      </c>
      <c r="D426" t="str" cm="1">
        <f t="array" ref="D426">TRANSPOSE(_xlfn._xlws.FILTER('Controllable Asset Registry'!$A$4:$A$764,IFERROR('Controllable Asset Registry'!$E$4:$E$764=A426,FALSE),"No Equipment in entity"))</f>
        <v>VAV0226</v>
      </c>
    </row>
    <row r="427" spans="1:4" x14ac:dyDescent="0.3">
      <c r="A427" t="s">
        <v>6311</v>
      </c>
      <c r="B427" t="s">
        <v>7713</v>
      </c>
      <c r="C427" t="s">
        <v>7065</v>
      </c>
      <c r="D427" t="str" cm="1">
        <f t="array" ref="D427">TRANSPOSE(_xlfn._xlws.FILTER('Controllable Asset Registry'!$A$4:$A$764,IFERROR('Controllable Asset Registry'!$E$4:$E$764=A427,FALSE),"No Equipment in entity"))</f>
        <v>VAV0227</v>
      </c>
    </row>
    <row r="428" spans="1:4" x14ac:dyDescent="0.3">
      <c r="A428" t="s">
        <v>6312</v>
      </c>
      <c r="B428" t="s">
        <v>7714</v>
      </c>
      <c r="C428" t="s">
        <v>7065</v>
      </c>
      <c r="D428" t="str" cm="1">
        <f t="array" ref="D428">TRANSPOSE(_xlfn._xlws.FILTER('Controllable Asset Registry'!$A$4:$A$764,IFERROR('Controllable Asset Registry'!$E$4:$E$764=A428,FALSE),"No Equipment in entity"))</f>
        <v>VAV0228</v>
      </c>
    </row>
    <row r="429" spans="1:4" x14ac:dyDescent="0.3">
      <c r="A429" t="s">
        <v>6313</v>
      </c>
      <c r="B429" t="s">
        <v>7715</v>
      </c>
      <c r="C429" t="s">
        <v>7065</v>
      </c>
      <c r="D429" t="str" cm="1">
        <f t="array" ref="D429">TRANSPOSE(_xlfn._xlws.FILTER('Controllable Asset Registry'!$A$4:$A$764,IFERROR('Controllable Asset Registry'!$E$4:$E$764=A429,FALSE),"No Equipment in entity"))</f>
        <v>VAV0229</v>
      </c>
    </row>
    <row r="430" spans="1:4" x14ac:dyDescent="0.3">
      <c r="A430" t="s">
        <v>6314</v>
      </c>
      <c r="B430" t="s">
        <v>7716</v>
      </c>
      <c r="C430" t="s">
        <v>7065</v>
      </c>
      <c r="D430" t="str" cm="1">
        <f t="array" ref="D430">TRANSPOSE(_xlfn._xlws.FILTER('Controllable Asset Registry'!$A$4:$A$764,IFERROR('Controllable Asset Registry'!$E$4:$E$764=A430,FALSE),"No Equipment in entity"))</f>
        <v>VAV0230</v>
      </c>
    </row>
    <row r="431" spans="1:4" x14ac:dyDescent="0.3">
      <c r="A431" t="s">
        <v>6315</v>
      </c>
      <c r="B431" t="s">
        <v>7717</v>
      </c>
      <c r="C431" t="s">
        <v>7065</v>
      </c>
      <c r="D431" t="str" cm="1">
        <f t="array" ref="D431">TRANSPOSE(_xlfn._xlws.FILTER('Controllable Asset Registry'!$A$4:$A$764,IFERROR('Controllable Asset Registry'!$E$4:$E$764=A431,FALSE),"No Equipment in entity"))</f>
        <v>VAV0231</v>
      </c>
    </row>
    <row r="432" spans="1:4" x14ac:dyDescent="0.3">
      <c r="A432" t="s">
        <v>6316</v>
      </c>
      <c r="B432" t="s">
        <v>7718</v>
      </c>
      <c r="C432" t="s">
        <v>7057</v>
      </c>
      <c r="D432" t="str" cm="1">
        <f t="array" ref="D432">TRANSPOSE(_xlfn._xlws.FILTER('Controllable Asset Registry'!$A$4:$A$764,IFERROR('Controllable Asset Registry'!$E$4:$E$764=A432,FALSE),"No Equipment in entity"))</f>
        <v>VAV0232</v>
      </c>
    </row>
    <row r="433" spans="1:5" x14ac:dyDescent="0.3">
      <c r="A433" t="s">
        <v>6324</v>
      </c>
      <c r="B433" t="s">
        <v>7719</v>
      </c>
      <c r="C433" t="s">
        <v>6948</v>
      </c>
      <c r="D433" t="str" cm="1">
        <f t="array" ref="D433">TRANSPOSE(_xlfn._xlws.FILTER('Controllable Asset Registry'!$A$4:$A$764,IFERROR('Controllable Asset Registry'!$E$4:$E$764=A433,FALSE),"No Equipment in entity"))</f>
        <v>VAV0250</v>
      </c>
    </row>
    <row r="434" spans="1:5" x14ac:dyDescent="0.3">
      <c r="A434" t="s">
        <v>6323</v>
      </c>
      <c r="B434" t="s">
        <v>7720</v>
      </c>
      <c r="C434" t="s">
        <v>6948</v>
      </c>
      <c r="D434" t="str" cm="1">
        <f t="array" ref="D434">TRANSPOSE(_xlfn._xlws.FILTER('Controllable Asset Registry'!$A$4:$A$764,IFERROR('Controllable Asset Registry'!$E$4:$E$764=A434,FALSE),"No Equipment in entity"))</f>
        <v>VAV0249</v>
      </c>
    </row>
    <row r="435" spans="1:5" x14ac:dyDescent="0.3">
      <c r="A435" t="s">
        <v>7066</v>
      </c>
      <c r="B435" t="s">
        <v>7067</v>
      </c>
      <c r="C435" t="s">
        <v>6695</v>
      </c>
      <c r="D435" t="str" cm="1">
        <f t="array" ref="D435">TRANSPOSE(_xlfn._xlws.FILTER('Controllable Asset Registry'!$A$4:$A$764,IFERROR('Controllable Asset Registry'!$E$4:$E$764=A435,FALSE),"No Equipment in entity"))</f>
        <v>No Equipment in entity</v>
      </c>
    </row>
    <row r="436" spans="1:5" x14ac:dyDescent="0.3">
      <c r="A436" t="s">
        <v>7068</v>
      </c>
      <c r="B436" t="s">
        <v>7069</v>
      </c>
      <c r="C436" t="s">
        <v>7070</v>
      </c>
      <c r="D436" t="str" cm="1">
        <f t="array" ref="D436">TRANSPOSE(_xlfn._xlws.FILTER('Controllable Asset Registry'!$A$4:$A$764,IFERROR('Controllable Asset Registry'!$E$4:$E$764=A436,FALSE),"No Equipment in entity"))</f>
        <v>No Equipment in entity</v>
      </c>
    </row>
    <row r="437" spans="1:5" x14ac:dyDescent="0.3">
      <c r="A437" t="s">
        <v>6321</v>
      </c>
      <c r="B437" t="s">
        <v>7721</v>
      </c>
      <c r="C437" t="s">
        <v>7071</v>
      </c>
      <c r="D437" t="str" cm="1">
        <f t="array" ref="D437:E437">TRANSPOSE(_xlfn._xlws.FILTER('Controllable Asset Registry'!$A$4:$A$764,IFERROR('Controllable Asset Registry'!$E$4:$E$764=A437,FALSE),"No Equipment in entity"))</f>
        <v>VAV0240</v>
      </c>
      <c r="E437" t="str">
        <v>VAV0241</v>
      </c>
    </row>
    <row r="438" spans="1:5" x14ac:dyDescent="0.3">
      <c r="A438" t="s">
        <v>7072</v>
      </c>
      <c r="B438" t="s">
        <v>7073</v>
      </c>
      <c r="C438" t="s">
        <v>6946</v>
      </c>
      <c r="D438" t="str" cm="1">
        <f t="array" ref="D438">TRANSPOSE(_xlfn._xlws.FILTER('Controllable Asset Registry'!$A$4:$A$764,IFERROR('Controllable Asset Registry'!$E$4:$E$764=A438,FALSE),"No Equipment in entity"))</f>
        <v>No Equipment in entity</v>
      </c>
    </row>
    <row r="439" spans="1:5" x14ac:dyDescent="0.3">
      <c r="A439" t="s">
        <v>7074</v>
      </c>
      <c r="B439" t="s">
        <v>7075</v>
      </c>
      <c r="C439" t="s">
        <v>6788</v>
      </c>
      <c r="D439" t="str" cm="1">
        <f t="array" ref="D439">TRANSPOSE(_xlfn._xlws.FILTER('Controllable Asset Registry'!$A$4:$A$764,IFERROR('Controllable Asset Registry'!$E$4:$E$764=A439,FALSE),"No Equipment in entity"))</f>
        <v>No Equipment in entity</v>
      </c>
    </row>
    <row r="440" spans="1:5" x14ac:dyDescent="0.3">
      <c r="A440" t="s">
        <v>6320</v>
      </c>
      <c r="B440" t="s">
        <v>7722</v>
      </c>
      <c r="C440" t="s">
        <v>7076</v>
      </c>
      <c r="D440" t="str" cm="1">
        <f t="array" ref="D440">TRANSPOSE(_xlfn._xlws.FILTER('Controllable Asset Registry'!$A$4:$A$764,IFERROR('Controllable Asset Registry'!$E$4:$E$764=A440,FALSE),"No Equipment in entity"))</f>
        <v>VAV0239</v>
      </c>
    </row>
    <row r="441" spans="1:5" x14ac:dyDescent="0.3">
      <c r="A441" t="s">
        <v>6319</v>
      </c>
      <c r="B441" t="s">
        <v>7723</v>
      </c>
      <c r="C441" t="s">
        <v>7077</v>
      </c>
      <c r="D441" t="str" cm="1">
        <f t="array" ref="D441">TRANSPOSE(_xlfn._xlws.FILTER('Controllable Asset Registry'!$A$4:$A$764,IFERROR('Controllable Asset Registry'!$E$4:$E$764=A441,FALSE),"No Equipment in entity"))</f>
        <v>VAV0238</v>
      </c>
    </row>
    <row r="442" spans="1:5" x14ac:dyDescent="0.3">
      <c r="A442" t="s">
        <v>6318</v>
      </c>
      <c r="B442" t="s">
        <v>7724</v>
      </c>
      <c r="C442" t="s">
        <v>7078</v>
      </c>
      <c r="D442" t="str" cm="1">
        <f t="array" ref="D442">TRANSPOSE(_xlfn._xlws.FILTER('Controllable Asset Registry'!$A$4:$A$764,IFERROR('Controllable Asset Registry'!$E$4:$E$764=A442,FALSE),"No Equipment in entity"))</f>
        <v>VAV0236</v>
      </c>
    </row>
    <row r="443" spans="1:5" x14ac:dyDescent="0.3">
      <c r="A443" t="s">
        <v>6325</v>
      </c>
      <c r="B443" t="s">
        <v>7725</v>
      </c>
      <c r="C443" t="s">
        <v>6948</v>
      </c>
      <c r="D443" t="str" cm="1">
        <f t="array" ref="D443">TRANSPOSE(_xlfn._xlws.FILTER('Controllable Asset Registry'!$A$4:$A$764,IFERROR('Controllable Asset Registry'!$E$4:$E$764=A443,FALSE),"No Equipment in entity"))</f>
        <v>VAV0252</v>
      </c>
    </row>
    <row r="444" spans="1:5" x14ac:dyDescent="0.3">
      <c r="A444" t="s">
        <v>7079</v>
      </c>
      <c r="B444" t="s">
        <v>7726</v>
      </c>
      <c r="C444" t="s">
        <v>6917</v>
      </c>
      <c r="D444" t="str" cm="1">
        <f t="array" ref="D444">TRANSPOSE(_xlfn._xlws.FILTER('Controllable Asset Registry'!$A$4:$A$764,IFERROR('Controllable Asset Registry'!$E$4:$E$764=A444,FALSE),"No Equipment in entity"))</f>
        <v>No Equipment in entity</v>
      </c>
    </row>
    <row r="445" spans="1:5" x14ac:dyDescent="0.3">
      <c r="A445" t="s">
        <v>7080</v>
      </c>
      <c r="B445" t="s">
        <v>7727</v>
      </c>
      <c r="C445" t="s">
        <v>6788</v>
      </c>
      <c r="D445" t="str" cm="1">
        <f t="array" ref="D445">TRANSPOSE(_xlfn._xlws.FILTER('Controllable Asset Registry'!$A$4:$A$764,IFERROR('Controllable Asset Registry'!$E$4:$E$764=A445,FALSE),"No Equipment in entity"))</f>
        <v>No Equipment in entity</v>
      </c>
    </row>
    <row r="446" spans="1:5" x14ac:dyDescent="0.3">
      <c r="A446" t="s">
        <v>6326</v>
      </c>
      <c r="B446" t="s">
        <v>7728</v>
      </c>
      <c r="C446" t="s">
        <v>6948</v>
      </c>
      <c r="D446" t="str" cm="1">
        <f t="array" ref="D446">TRANSPOSE(_xlfn._xlws.FILTER('Controllable Asset Registry'!$A$4:$A$764,IFERROR('Controllable Asset Registry'!$E$4:$E$764=A446,FALSE),"No Equipment in entity"))</f>
        <v>VAV0253</v>
      </c>
    </row>
    <row r="447" spans="1:5" x14ac:dyDescent="0.3">
      <c r="A447" t="s">
        <v>6327</v>
      </c>
      <c r="B447" t="s">
        <v>7729</v>
      </c>
      <c r="C447" t="s">
        <v>7081</v>
      </c>
      <c r="D447" t="str" cm="1">
        <f t="array" ref="D447">TRANSPOSE(_xlfn._xlws.FILTER('Controllable Asset Registry'!$A$4:$A$764,IFERROR('Controllable Asset Registry'!$E$4:$E$764=A447,FALSE),"No Equipment in entity"))</f>
        <v>VAV0254</v>
      </c>
    </row>
    <row r="448" spans="1:5" x14ac:dyDescent="0.3">
      <c r="A448" t="s">
        <v>6328</v>
      </c>
      <c r="B448" t="s">
        <v>7730</v>
      </c>
      <c r="C448" t="s">
        <v>7081</v>
      </c>
      <c r="D448" t="str" cm="1">
        <f t="array" ref="D448">TRANSPOSE(_xlfn._xlws.FILTER('Controllable Asset Registry'!$A$4:$A$764,IFERROR('Controllable Asset Registry'!$E$4:$E$764=A448,FALSE),"No Equipment in entity"))</f>
        <v>VAV0255</v>
      </c>
    </row>
    <row r="449" spans="1:5" x14ac:dyDescent="0.3">
      <c r="A449" t="s">
        <v>7082</v>
      </c>
      <c r="B449" t="s">
        <v>7731</v>
      </c>
      <c r="C449" t="s">
        <v>7083</v>
      </c>
      <c r="D449" t="str" cm="1">
        <f t="array" ref="D449">TRANSPOSE(_xlfn._xlws.FILTER('Controllable Asset Registry'!$A$4:$A$764,IFERROR('Controllable Asset Registry'!$E$4:$E$764=A449,FALSE),"No Equipment in entity"))</f>
        <v>No Equipment in entity</v>
      </c>
    </row>
    <row r="450" spans="1:5" x14ac:dyDescent="0.3">
      <c r="A450" t="s">
        <v>6329</v>
      </c>
      <c r="B450" t="s">
        <v>7732</v>
      </c>
      <c r="C450" t="s">
        <v>7084</v>
      </c>
      <c r="D450" t="str" cm="1">
        <f t="array" ref="D450:E450">TRANSPOSE(_xlfn._xlws.FILTER('Controllable Asset Registry'!$A$4:$A$764,IFERROR('Controllable Asset Registry'!$E$4:$E$764=A450,FALSE),"No Equipment in entity"))</f>
        <v>VAV0256</v>
      </c>
      <c r="E450" t="str">
        <v>VAV0257</v>
      </c>
    </row>
    <row r="451" spans="1:5" x14ac:dyDescent="0.3">
      <c r="A451" t="s">
        <v>6330</v>
      </c>
      <c r="B451" t="s">
        <v>7733</v>
      </c>
      <c r="C451" t="s">
        <v>7081</v>
      </c>
      <c r="D451" t="str" cm="1">
        <f t="array" ref="D451">TRANSPOSE(_xlfn._xlws.FILTER('Controllable Asset Registry'!$A$4:$A$764,IFERROR('Controllable Asset Registry'!$E$4:$E$764=A451,FALSE),"No Equipment in entity"))</f>
        <v>VAV0258</v>
      </c>
    </row>
    <row r="452" spans="1:5" x14ac:dyDescent="0.3">
      <c r="A452" t="s">
        <v>6331</v>
      </c>
      <c r="B452" t="s">
        <v>7734</v>
      </c>
      <c r="C452" t="s">
        <v>7081</v>
      </c>
      <c r="D452" t="str" cm="1">
        <f t="array" ref="D452">TRANSPOSE(_xlfn._xlws.FILTER('Controllable Asset Registry'!$A$4:$A$764,IFERROR('Controllable Asset Registry'!$E$4:$E$764=A452,FALSE),"No Equipment in entity"))</f>
        <v>VAV0259</v>
      </c>
    </row>
    <row r="453" spans="1:5" x14ac:dyDescent="0.3">
      <c r="A453" t="s">
        <v>6332</v>
      </c>
      <c r="B453" t="s">
        <v>7735</v>
      </c>
      <c r="C453" t="s">
        <v>7081</v>
      </c>
      <c r="D453" t="str" cm="1">
        <f t="array" ref="D453">TRANSPOSE(_xlfn._xlws.FILTER('Controllable Asset Registry'!$A$4:$A$764,IFERROR('Controllable Asset Registry'!$E$4:$E$764=A453,FALSE),"No Equipment in entity"))</f>
        <v>VAV0260</v>
      </c>
    </row>
    <row r="454" spans="1:5" x14ac:dyDescent="0.3">
      <c r="A454" t="s">
        <v>6333</v>
      </c>
      <c r="B454" t="s">
        <v>7736</v>
      </c>
      <c r="C454" t="s">
        <v>7085</v>
      </c>
      <c r="D454" t="str" cm="1">
        <f t="array" ref="D454">TRANSPOSE(_xlfn._xlws.FILTER('Controllable Asset Registry'!$A$4:$A$764,IFERROR('Controllable Asset Registry'!$E$4:$E$764=A454,FALSE),"No Equipment in entity"))</f>
        <v>VAV0261</v>
      </c>
    </row>
    <row r="455" spans="1:5" x14ac:dyDescent="0.3">
      <c r="A455" t="s">
        <v>6334</v>
      </c>
      <c r="B455" t="s">
        <v>7737</v>
      </c>
      <c r="C455" t="s">
        <v>7086</v>
      </c>
      <c r="D455" t="str" cm="1">
        <f t="array" ref="D455">TRANSPOSE(_xlfn._xlws.FILTER('Controllable Asset Registry'!$A$4:$A$764,IFERROR('Controllable Asset Registry'!$E$4:$E$764=A455,FALSE),"No Equipment in entity"))</f>
        <v>VAV0262</v>
      </c>
    </row>
    <row r="456" spans="1:5" x14ac:dyDescent="0.3">
      <c r="A456" t="s">
        <v>7087</v>
      </c>
      <c r="B456" t="s">
        <v>7738</v>
      </c>
      <c r="C456" t="s">
        <v>7088</v>
      </c>
      <c r="D456" t="str" cm="1">
        <f t="array" ref="D456">TRANSPOSE(_xlfn._xlws.FILTER('Controllable Asset Registry'!$A$4:$A$764,IFERROR('Controllable Asset Registry'!$E$4:$E$764=A456,FALSE),"No Equipment in entity"))</f>
        <v>No Equipment in entity</v>
      </c>
    </row>
    <row r="457" spans="1:5" x14ac:dyDescent="0.3">
      <c r="A457" t="s">
        <v>6335</v>
      </c>
      <c r="B457" t="s">
        <v>7739</v>
      </c>
      <c r="C457" t="s">
        <v>7089</v>
      </c>
      <c r="D457" t="str" cm="1">
        <f t="array" ref="D457:E457">TRANSPOSE(_xlfn._xlws.FILTER('Controllable Asset Registry'!$A$4:$A$764,IFERROR('Controllable Asset Registry'!$E$4:$E$764=A457,FALSE),"No Equipment in entity"))</f>
        <v>VAV0263</v>
      </c>
      <c r="E457" t="str">
        <v>VAV0264</v>
      </c>
    </row>
    <row r="458" spans="1:5" x14ac:dyDescent="0.3">
      <c r="A458" t="s">
        <v>7090</v>
      </c>
      <c r="B458" t="s">
        <v>7740</v>
      </c>
      <c r="C458" t="s">
        <v>6706</v>
      </c>
      <c r="D458" t="str" cm="1">
        <f t="array" ref="D458">TRANSPOSE(_xlfn._xlws.FILTER('Controllable Asset Registry'!$A$4:$A$764,IFERROR('Controllable Asset Registry'!$E$4:$E$764=A458,FALSE),"No Equipment in entity"))</f>
        <v>No Equipment in entity</v>
      </c>
    </row>
    <row r="459" spans="1:5" x14ac:dyDescent="0.3">
      <c r="A459" t="s">
        <v>7091</v>
      </c>
      <c r="B459" t="s">
        <v>7741</v>
      </c>
      <c r="C459" t="s">
        <v>6709</v>
      </c>
      <c r="D459" t="str" cm="1">
        <f t="array" ref="D459">TRANSPOSE(_xlfn._xlws.FILTER('Controllable Asset Registry'!$A$4:$A$764,IFERROR('Controllable Asset Registry'!$E$4:$E$764=A459,FALSE),"No Equipment in entity"))</f>
        <v>No Equipment in entity</v>
      </c>
    </row>
    <row r="460" spans="1:5" x14ac:dyDescent="0.3">
      <c r="A460" t="s">
        <v>7092</v>
      </c>
      <c r="B460" t="s">
        <v>7742</v>
      </c>
      <c r="C460" t="s">
        <v>6706</v>
      </c>
      <c r="D460" t="str" cm="1">
        <f t="array" ref="D460">TRANSPOSE(_xlfn._xlws.FILTER('Controllable Asset Registry'!$A$4:$A$764,IFERROR('Controllable Asset Registry'!$E$4:$E$764=A460,FALSE),"No Equipment in entity"))</f>
        <v>No Equipment in entity</v>
      </c>
    </row>
    <row r="461" spans="1:5" x14ac:dyDescent="0.3">
      <c r="A461" t="s">
        <v>7093</v>
      </c>
      <c r="B461" t="s">
        <v>7743</v>
      </c>
      <c r="C461" t="s">
        <v>6709</v>
      </c>
      <c r="D461" t="str" cm="1">
        <f t="array" ref="D461">TRANSPOSE(_xlfn._xlws.FILTER('Controllable Asset Registry'!$A$4:$A$764,IFERROR('Controllable Asset Registry'!$E$4:$E$764=A461,FALSE),"No Equipment in entity"))</f>
        <v>No Equipment in entity</v>
      </c>
    </row>
    <row r="462" spans="1:5" x14ac:dyDescent="0.3">
      <c r="A462" t="s">
        <v>7094</v>
      </c>
      <c r="B462" t="s">
        <v>7744</v>
      </c>
      <c r="C462" t="s">
        <v>5842</v>
      </c>
      <c r="D462" t="str" cm="1">
        <f t="array" ref="D462">TRANSPOSE(_xlfn._xlws.FILTER('Controllable Asset Registry'!$A$4:$A$764,IFERROR('Controllable Asset Registry'!$E$4:$E$764=A462,FALSE),"No Equipment in entity"))</f>
        <v>No Equipment in entity</v>
      </c>
    </row>
    <row r="463" spans="1:5" x14ac:dyDescent="0.3">
      <c r="A463" t="s">
        <v>7095</v>
      </c>
      <c r="B463" t="s">
        <v>7745</v>
      </c>
      <c r="C463" t="s">
        <v>5842</v>
      </c>
      <c r="D463" t="str" cm="1">
        <f t="array" ref="D463">TRANSPOSE(_xlfn._xlws.FILTER('Controllable Asset Registry'!$A$4:$A$764,IFERROR('Controllable Asset Registry'!$E$4:$E$764=A463,FALSE),"No Equipment in entity"))</f>
        <v>No Equipment in entity</v>
      </c>
    </row>
    <row r="464" spans="1:5" x14ac:dyDescent="0.3">
      <c r="A464" t="s">
        <v>7096</v>
      </c>
      <c r="B464" t="s">
        <v>7746</v>
      </c>
      <c r="C464" t="s">
        <v>5839</v>
      </c>
      <c r="D464" t="str" cm="1">
        <f t="array" ref="D464">TRANSPOSE(_xlfn._xlws.FILTER('Controllable Asset Registry'!$A$4:$A$764,IFERROR('Controllable Asset Registry'!$E$4:$E$764=A464,FALSE),"No Equipment in entity"))</f>
        <v>No Equipment in entity</v>
      </c>
    </row>
    <row r="465" spans="1:7" x14ac:dyDescent="0.3">
      <c r="A465" t="s">
        <v>6084</v>
      </c>
      <c r="B465" t="s">
        <v>7747</v>
      </c>
      <c r="C465" t="s">
        <v>6715</v>
      </c>
      <c r="D465" t="str" cm="1">
        <f t="array" ref="D465">TRANSPOSE(_xlfn._xlws.FILTER('Controllable Asset Registry'!$A$4:$A$764,IFERROR('Controllable Asset Registry'!$E$4:$E$764=A465,FALSE),"No Equipment in entity"))</f>
        <v>FCU0073</v>
      </c>
    </row>
    <row r="466" spans="1:7" x14ac:dyDescent="0.3">
      <c r="A466" t="s">
        <v>7097</v>
      </c>
      <c r="B466" t="s">
        <v>7748</v>
      </c>
      <c r="C466" t="s">
        <v>5839</v>
      </c>
      <c r="D466" t="str" cm="1">
        <f t="array" ref="D466">TRANSPOSE(_xlfn._xlws.FILTER('Controllable Asset Registry'!$A$4:$A$764,IFERROR('Controllable Asset Registry'!$E$4:$E$764=A466,FALSE),"No Equipment in entity"))</f>
        <v>No Equipment in entity</v>
      </c>
    </row>
    <row r="467" spans="1:7" x14ac:dyDescent="0.3">
      <c r="A467" t="s">
        <v>7098</v>
      </c>
      <c r="B467" t="s">
        <v>7749</v>
      </c>
      <c r="C467" t="s">
        <v>5839</v>
      </c>
      <c r="D467" t="str" cm="1">
        <f t="array" ref="D467">TRANSPOSE(_xlfn._xlws.FILTER('Controllable Asset Registry'!$A$4:$A$764,IFERROR('Controllable Asset Registry'!$E$4:$E$764=A467,FALSE),"No Equipment in entity"))</f>
        <v>No Equipment in entity</v>
      </c>
    </row>
    <row r="468" spans="1:7" x14ac:dyDescent="0.3">
      <c r="A468" t="s">
        <v>6083</v>
      </c>
      <c r="B468" t="s">
        <v>7750</v>
      </c>
      <c r="C468" t="s">
        <v>6715</v>
      </c>
      <c r="D468" t="str" cm="1">
        <f t="array" ref="D468:E468">TRANSPOSE(_xlfn._xlws.FILTER('Controllable Asset Registry'!$A$4:$A$764,IFERROR('Controllable Asset Registry'!$E$4:$E$764=A468,FALSE),"No Equipment in entity"))</f>
        <v>FCU0071</v>
      </c>
      <c r="E468" t="str">
        <v>FCU0072</v>
      </c>
    </row>
    <row r="469" spans="1:7" x14ac:dyDescent="0.3">
      <c r="A469" t="s">
        <v>7099</v>
      </c>
      <c r="B469" t="s">
        <v>7751</v>
      </c>
      <c r="C469" t="s">
        <v>7100</v>
      </c>
      <c r="D469" t="str" cm="1">
        <f t="array" ref="D469">TRANSPOSE(_xlfn._xlws.FILTER('Controllable Asset Registry'!$A$4:$A$764,IFERROR('Controllable Asset Registry'!$E$4:$E$764=A469,FALSE),"No Equipment in entity"))</f>
        <v>No Equipment in entity</v>
      </c>
    </row>
    <row r="470" spans="1:7" x14ac:dyDescent="0.3">
      <c r="A470" t="s">
        <v>7101</v>
      </c>
      <c r="B470" t="s">
        <v>7752</v>
      </c>
      <c r="C470" t="s">
        <v>6860</v>
      </c>
      <c r="D470" t="str" cm="1">
        <f t="array" ref="D470">TRANSPOSE(_xlfn._xlws.FILTER('Controllable Asset Registry'!$A$4:$A$764,IFERROR('Controllable Asset Registry'!$E$4:$E$764=A470,FALSE),"No Equipment in entity"))</f>
        <v>No Equipment in entity</v>
      </c>
    </row>
    <row r="471" spans="1:7" x14ac:dyDescent="0.3">
      <c r="A471" t="s">
        <v>6317</v>
      </c>
      <c r="B471" t="s">
        <v>7753</v>
      </c>
      <c r="C471" t="s">
        <v>7014</v>
      </c>
      <c r="D471" t="str" cm="1">
        <f t="array" ref="D471:F471">TRANSPOSE(_xlfn._xlws.FILTER('Controllable Asset Registry'!$A$4:$A$764,IFERROR('Controllable Asset Registry'!$E$4:$E$764=A471,FALSE),"No Equipment in entity"))</f>
        <v>VAV0235</v>
      </c>
      <c r="E471" t="str">
        <v>VAV0237</v>
      </c>
      <c r="F471" t="str">
        <v>VAV0251</v>
      </c>
    </row>
    <row r="472" spans="1:7" x14ac:dyDescent="0.3">
      <c r="A472" t="s">
        <v>7102</v>
      </c>
      <c r="B472" t="s">
        <v>7754</v>
      </c>
      <c r="C472" t="s">
        <v>7103</v>
      </c>
      <c r="D472" t="str" cm="1">
        <f t="array" ref="D472">TRANSPOSE(_xlfn._xlws.FILTER('Controllable Asset Registry'!$A$4:$A$764,IFERROR('Controllable Asset Registry'!$E$4:$E$764=A472,FALSE),"No Equipment in entity"))</f>
        <v>No Equipment in entity</v>
      </c>
    </row>
    <row r="473" spans="1:7" x14ac:dyDescent="0.3">
      <c r="A473" t="s">
        <v>6336</v>
      </c>
      <c r="B473" t="s">
        <v>7755</v>
      </c>
      <c r="C473" t="s">
        <v>7055</v>
      </c>
      <c r="D473" t="str" cm="1">
        <f t="array" ref="D473:E473">TRANSPOSE(_xlfn._xlws.FILTER('Controllable Asset Registry'!$A$4:$A$764,IFERROR('Controllable Asset Registry'!$E$4:$E$764=A473,FALSE),"No Equipment in entity"))</f>
        <v>VAV0265</v>
      </c>
      <c r="E473" t="str">
        <v>VAV0266</v>
      </c>
    </row>
    <row r="474" spans="1:7" x14ac:dyDescent="0.3">
      <c r="A474" t="s">
        <v>7104</v>
      </c>
      <c r="B474" t="s">
        <v>7756</v>
      </c>
      <c r="C474" t="s">
        <v>6917</v>
      </c>
      <c r="D474" t="str" cm="1">
        <f t="array" ref="D474">TRANSPOSE(_xlfn._xlws.FILTER('Controllable Asset Registry'!$A$4:$A$764,IFERROR('Controllable Asset Registry'!$E$4:$E$764=A474,FALSE),"No Equipment in entity"))</f>
        <v>No Equipment in entity</v>
      </c>
    </row>
    <row r="475" spans="1:7" x14ac:dyDescent="0.3">
      <c r="A475" t="s">
        <v>6086</v>
      </c>
      <c r="B475" t="s">
        <v>7757</v>
      </c>
      <c r="C475" t="s">
        <v>7105</v>
      </c>
      <c r="D475" t="str" cm="1">
        <f t="array" ref="D475:G475">TRANSPOSE(_xlfn._xlws.FILTER('Controllable Asset Registry'!$A$4:$A$764,IFERROR('Controllable Asset Registry'!$E$4:$E$764=A475,FALSE),"No Equipment in entity"))</f>
        <v>FCU0077</v>
      </c>
      <c r="E475" t="str">
        <v>FCU0078</v>
      </c>
      <c r="F475" t="str">
        <v>FCU0079</v>
      </c>
      <c r="G475" t="str">
        <v>FCU0080</v>
      </c>
    </row>
    <row r="476" spans="1:7" x14ac:dyDescent="0.3">
      <c r="A476" t="s">
        <v>6087</v>
      </c>
      <c r="B476" t="s">
        <v>7758</v>
      </c>
      <c r="C476" t="s">
        <v>7106</v>
      </c>
      <c r="D476" t="str" cm="1">
        <f t="array" ref="D476:E476">TRANSPOSE(_xlfn._xlws.FILTER('Controllable Asset Registry'!$A$4:$A$764,IFERROR('Controllable Asset Registry'!$E$4:$E$764=A476,FALSE),"No Equipment in entity"))</f>
        <v>FCU0081</v>
      </c>
      <c r="E476" t="str">
        <v>FCU0083</v>
      </c>
    </row>
    <row r="477" spans="1:7" x14ac:dyDescent="0.3">
      <c r="A477" t="s">
        <v>6088</v>
      </c>
      <c r="B477" t="s">
        <v>7759</v>
      </c>
      <c r="C477" t="s">
        <v>7106</v>
      </c>
      <c r="D477" t="str" cm="1">
        <f t="array" ref="D477">TRANSPOSE(_xlfn._xlws.FILTER('Controllable Asset Registry'!$A$4:$A$764,IFERROR('Controllable Asset Registry'!$E$4:$E$764=A477,FALSE),"No Equipment in entity"))</f>
        <v>FCU0082</v>
      </c>
    </row>
    <row r="478" spans="1:7" x14ac:dyDescent="0.3">
      <c r="A478" t="s">
        <v>8291</v>
      </c>
      <c r="B478" t="s">
        <v>8292</v>
      </c>
      <c r="C478" t="s">
        <v>6874</v>
      </c>
      <c r="D478" t="str" cm="1">
        <f t="array" ref="D478">TRANSPOSE(_xlfn._xlws.FILTER('Controllable Asset Registry'!$A$4:$A$764,IFERROR('Controllable Asset Registry'!$E$4:$E$764=A478,FALSE),"No Equipment in entity"))</f>
        <v>No Equipment in entity</v>
      </c>
    </row>
    <row r="479" spans="1:7" x14ac:dyDescent="0.3">
      <c r="A479" t="s">
        <v>8293</v>
      </c>
      <c r="B479" t="s">
        <v>8294</v>
      </c>
      <c r="C479" t="s">
        <v>6877</v>
      </c>
      <c r="D479" t="str" cm="1">
        <f t="array" ref="D479">TRANSPOSE(_xlfn._xlws.FILTER('Controllable Asset Registry'!$A$4:$A$764,IFERROR('Controllable Asset Registry'!$E$4:$E$764=A479,FALSE),"No Equipment in entity"))</f>
        <v>No Equipment in entity</v>
      </c>
    </row>
    <row r="480" spans="1:7" x14ac:dyDescent="0.3">
      <c r="A480" t="s">
        <v>8295</v>
      </c>
      <c r="B480" t="s">
        <v>8296</v>
      </c>
      <c r="C480" t="s">
        <v>6880</v>
      </c>
      <c r="D480" t="str" cm="1">
        <f t="array" ref="D480">TRANSPOSE(_xlfn._xlws.FILTER('Controllable Asset Registry'!$A$4:$A$764,IFERROR('Controllable Asset Registry'!$E$4:$E$764=A480,FALSE),"No Equipment in entity"))</f>
        <v>No Equipment in entity</v>
      </c>
    </row>
    <row r="481" spans="1:4" x14ac:dyDescent="0.3">
      <c r="A481" t="s">
        <v>8297</v>
      </c>
      <c r="B481" t="s">
        <v>8298</v>
      </c>
      <c r="C481" t="s">
        <v>6744</v>
      </c>
      <c r="D481" t="str" cm="1">
        <f t="array" ref="D481">TRANSPOSE(_xlfn._xlws.FILTER('Controllable Asset Registry'!$A$4:$A$764,IFERROR('Controllable Asset Registry'!$E$4:$E$764=A481,FALSE),"No Equipment in entity"))</f>
        <v>No Equipment in entity</v>
      </c>
    </row>
    <row r="482" spans="1:4" x14ac:dyDescent="0.3">
      <c r="A482" t="s">
        <v>8299</v>
      </c>
      <c r="B482" t="s">
        <v>8300</v>
      </c>
      <c r="C482" t="s">
        <v>6747</v>
      </c>
      <c r="D482" t="str" cm="1">
        <f t="array" ref="D482">TRANSPOSE(_xlfn._xlws.FILTER('Controllable Asset Registry'!$A$4:$A$764,IFERROR('Controllable Asset Registry'!$E$4:$E$764=A482,FALSE),"No Equipment in entity"))</f>
        <v>No Equipment in entity</v>
      </c>
    </row>
    <row r="483" spans="1:4" x14ac:dyDescent="0.3">
      <c r="A483" t="s">
        <v>8301</v>
      </c>
      <c r="B483" t="s">
        <v>8302</v>
      </c>
      <c r="C483" t="s">
        <v>6750</v>
      </c>
      <c r="D483" t="str" cm="1">
        <f t="array" ref="D483">TRANSPOSE(_xlfn._xlws.FILTER('Controllable Asset Registry'!$A$4:$A$764,IFERROR('Controllable Asset Registry'!$E$4:$E$764=A483,FALSE),"No Equipment in entity"))</f>
        <v>No Equipment in entity</v>
      </c>
    </row>
    <row r="484" spans="1:4" x14ac:dyDescent="0.3">
      <c r="A484" t="s">
        <v>8303</v>
      </c>
      <c r="B484" t="s">
        <v>8304</v>
      </c>
      <c r="C484" t="s">
        <v>6889</v>
      </c>
      <c r="D484" t="str" cm="1">
        <f t="array" ref="D484">TRANSPOSE(_xlfn._xlws.FILTER('Controllable Asset Registry'!$A$4:$A$764,IFERROR('Controllable Asset Registry'!$E$4:$E$764=A484,FALSE),"No Equipment in entity"))</f>
        <v>No Equipment in entity</v>
      </c>
    </row>
    <row r="485" spans="1:4" x14ac:dyDescent="0.3">
      <c r="A485" t="s">
        <v>8305</v>
      </c>
      <c r="B485" t="s">
        <v>8306</v>
      </c>
      <c r="C485" t="s">
        <v>6755</v>
      </c>
      <c r="D485" t="str" cm="1">
        <f t="array" ref="D485">TRANSPOSE(_xlfn._xlws.FILTER('Controllable Asset Registry'!$A$4:$A$764,IFERROR('Controllable Asset Registry'!$E$4:$E$764=A485,FALSE),"No Equipment in entity"))</f>
        <v>No Equipment in entity</v>
      </c>
    </row>
    <row r="486" spans="1:4" x14ac:dyDescent="0.3">
      <c r="A486" t="s">
        <v>8307</v>
      </c>
      <c r="B486" t="s">
        <v>8308</v>
      </c>
      <c r="C486" t="s">
        <v>6757</v>
      </c>
      <c r="D486" t="str" cm="1">
        <f t="array" ref="D486">TRANSPOSE(_xlfn._xlws.FILTER('Controllable Asset Registry'!$A$4:$A$764,IFERROR('Controllable Asset Registry'!$E$4:$E$764=A486,FALSE),"No Equipment in entity"))</f>
        <v>No Equipment in entity</v>
      </c>
    </row>
    <row r="487" spans="1:4" x14ac:dyDescent="0.3">
      <c r="A487" t="s">
        <v>8309</v>
      </c>
      <c r="B487" t="s">
        <v>8310</v>
      </c>
      <c r="C487" t="s">
        <v>6896</v>
      </c>
      <c r="D487" t="str" cm="1">
        <f t="array" ref="D487">TRANSPOSE(_xlfn._xlws.FILTER('Controllable Asset Registry'!$A$4:$A$764,IFERROR('Controllable Asset Registry'!$E$4:$E$764=A487,FALSE),"No Equipment in entity"))</f>
        <v>No Equipment in entity</v>
      </c>
    </row>
    <row r="488" spans="1:4" x14ac:dyDescent="0.3">
      <c r="A488" t="s">
        <v>8311</v>
      </c>
      <c r="B488" t="s">
        <v>8312</v>
      </c>
      <c r="C488" t="s">
        <v>6760</v>
      </c>
      <c r="D488" t="str" cm="1">
        <f t="array" ref="D488">TRANSPOSE(_xlfn._xlws.FILTER('Controllable Asset Registry'!$A$4:$A$764,IFERROR('Controllable Asset Registry'!$E$4:$E$764=A488,FALSE),"No Equipment in entity"))</f>
        <v>No Equipment in entity</v>
      </c>
    </row>
    <row r="489" spans="1:4" x14ac:dyDescent="0.3">
      <c r="A489" t="s">
        <v>6367</v>
      </c>
      <c r="B489" t="s">
        <v>7760</v>
      </c>
      <c r="C489" t="s">
        <v>7107</v>
      </c>
      <c r="D489" t="str" cm="1">
        <f t="array" ref="D489">TRANSPOSE(_xlfn._xlws.FILTER('Controllable Asset Registry'!$A$4:$A$764,IFERROR('Controllable Asset Registry'!$E$4:$E$764=A489,FALSE),"No Equipment in entity"))</f>
        <v>VAV0303</v>
      </c>
    </row>
    <row r="490" spans="1:4" x14ac:dyDescent="0.3">
      <c r="A490" t="s">
        <v>6358</v>
      </c>
      <c r="B490" t="s">
        <v>7761</v>
      </c>
      <c r="C490" t="s">
        <v>7108</v>
      </c>
      <c r="D490" t="str" cm="1">
        <f t="array" ref="D490">TRANSPOSE(_xlfn._xlws.FILTER('Controllable Asset Registry'!$A$4:$A$764,IFERROR('Controllable Asset Registry'!$E$4:$E$764=A490,FALSE),"No Equipment in entity"))</f>
        <v>VAV0293</v>
      </c>
    </row>
    <row r="491" spans="1:4" x14ac:dyDescent="0.3">
      <c r="A491" t="s">
        <v>6359</v>
      </c>
      <c r="B491" t="s">
        <v>7762</v>
      </c>
      <c r="C491" t="s">
        <v>7109</v>
      </c>
      <c r="D491" t="str" cm="1">
        <f t="array" ref="D491">TRANSPOSE(_xlfn._xlws.FILTER('Controllable Asset Registry'!$A$4:$A$764,IFERROR('Controllable Asset Registry'!$E$4:$E$764=A491,FALSE),"No Equipment in entity"))</f>
        <v>VAV0294</v>
      </c>
    </row>
    <row r="492" spans="1:4" x14ac:dyDescent="0.3">
      <c r="A492" t="s">
        <v>6360</v>
      </c>
      <c r="B492" t="s">
        <v>7763</v>
      </c>
      <c r="C492" t="s">
        <v>7107</v>
      </c>
      <c r="D492" t="str" cm="1">
        <f t="array" ref="D492">TRANSPOSE(_xlfn._xlws.FILTER('Controllable Asset Registry'!$A$4:$A$764,IFERROR('Controllable Asset Registry'!$E$4:$E$764=A492,FALSE),"No Equipment in entity"))</f>
        <v>VAV0295</v>
      </c>
    </row>
    <row r="493" spans="1:4" x14ac:dyDescent="0.3">
      <c r="A493" t="s">
        <v>6361</v>
      </c>
      <c r="B493" t="s">
        <v>7764</v>
      </c>
      <c r="C493" t="s">
        <v>7110</v>
      </c>
      <c r="D493" t="str" cm="1">
        <f t="array" ref="D493">TRANSPOSE(_xlfn._xlws.FILTER('Controllable Asset Registry'!$A$4:$A$764,IFERROR('Controllable Asset Registry'!$E$4:$E$764=A493,FALSE),"No Equipment in entity"))</f>
        <v>VAV0296</v>
      </c>
    </row>
    <row r="494" spans="1:4" x14ac:dyDescent="0.3">
      <c r="A494" t="s">
        <v>6362</v>
      </c>
      <c r="B494" t="s">
        <v>7765</v>
      </c>
      <c r="C494" t="s">
        <v>7110</v>
      </c>
      <c r="D494" t="str" cm="1">
        <f t="array" ref="D494">TRANSPOSE(_xlfn._xlws.FILTER('Controllable Asset Registry'!$A$4:$A$764,IFERROR('Controllable Asset Registry'!$E$4:$E$764=A494,FALSE),"No Equipment in entity"))</f>
        <v>VAV0297</v>
      </c>
    </row>
    <row r="495" spans="1:4" x14ac:dyDescent="0.3">
      <c r="A495" t="s">
        <v>6363</v>
      </c>
      <c r="B495" t="s">
        <v>7766</v>
      </c>
      <c r="C495" t="s">
        <v>7110</v>
      </c>
      <c r="D495" t="str" cm="1">
        <f t="array" ref="D495">TRANSPOSE(_xlfn._xlws.FILTER('Controllable Asset Registry'!$A$4:$A$764,IFERROR('Controllable Asset Registry'!$E$4:$E$764=A495,FALSE),"No Equipment in entity"))</f>
        <v>VAV0298</v>
      </c>
    </row>
    <row r="496" spans="1:4" x14ac:dyDescent="0.3">
      <c r="A496" t="s">
        <v>6364</v>
      </c>
      <c r="B496" t="s">
        <v>7767</v>
      </c>
      <c r="C496" t="s">
        <v>7107</v>
      </c>
      <c r="D496" t="str" cm="1">
        <f t="array" ref="D496">TRANSPOSE(_xlfn._xlws.FILTER('Controllable Asset Registry'!$A$4:$A$764,IFERROR('Controllable Asset Registry'!$E$4:$E$764=A496,FALSE),"No Equipment in entity"))</f>
        <v>VAV0299</v>
      </c>
    </row>
    <row r="497" spans="1:4" x14ac:dyDescent="0.3">
      <c r="A497" t="s">
        <v>8209</v>
      </c>
      <c r="B497" t="s">
        <v>8313</v>
      </c>
      <c r="C497" t="s">
        <v>7110</v>
      </c>
      <c r="D497" t="str" cm="1">
        <f t="array" ref="D497">TRANSPOSE(_xlfn._xlws.FILTER('Controllable Asset Registry'!$A$4:$A$764,IFERROR('Controllable Asset Registry'!$E$4:$E$764=A497,FALSE),"No Equipment in entity"))</f>
        <v>VAV0290</v>
      </c>
    </row>
    <row r="498" spans="1:4" x14ac:dyDescent="0.3">
      <c r="A498" t="s">
        <v>8314</v>
      </c>
      <c r="B498" t="s">
        <v>8313</v>
      </c>
      <c r="C498" t="s">
        <v>7107</v>
      </c>
      <c r="D498" t="str" cm="1">
        <f t="array" ref="D498">TRANSPOSE(_xlfn._xlws.FILTER('Controllable Asset Registry'!$A$4:$A$764,IFERROR('Controllable Asset Registry'!$E$4:$E$764=A498,FALSE),"No Equipment in entity"))</f>
        <v>No Equipment in entity</v>
      </c>
    </row>
    <row r="499" spans="1:4" x14ac:dyDescent="0.3">
      <c r="A499" t="s">
        <v>8210</v>
      </c>
      <c r="B499" t="s">
        <v>8315</v>
      </c>
      <c r="C499" t="s">
        <v>7110</v>
      </c>
      <c r="D499" t="str" cm="1">
        <f t="array" ref="D499">TRANSPOSE(_xlfn._xlws.FILTER('Controllable Asset Registry'!$A$4:$A$764,IFERROR('Controllable Asset Registry'!$E$4:$E$764=A499,FALSE),"No Equipment in entity"))</f>
        <v>VAV0291</v>
      </c>
    </row>
    <row r="500" spans="1:4" x14ac:dyDescent="0.3">
      <c r="A500" t="s">
        <v>6357</v>
      </c>
      <c r="B500" t="s">
        <v>7768</v>
      </c>
      <c r="C500" t="s">
        <v>7107</v>
      </c>
      <c r="D500" t="str" cm="1">
        <f t="array" ref="D500">TRANSPOSE(_xlfn._xlws.FILTER('Controllable Asset Registry'!$A$4:$A$764,IFERROR('Controllable Asset Registry'!$E$4:$E$764=A500,FALSE),"No Equipment in entity"))</f>
        <v>VAV0292</v>
      </c>
    </row>
    <row r="501" spans="1:4" x14ac:dyDescent="0.3">
      <c r="A501" t="s">
        <v>6337</v>
      </c>
      <c r="B501" t="s">
        <v>7769</v>
      </c>
      <c r="C501" t="s">
        <v>7111</v>
      </c>
      <c r="D501" t="str" cm="1">
        <f t="array" ref="D501">TRANSPOSE(_xlfn._xlws.FILTER('Controllable Asset Registry'!$A$4:$A$764,IFERROR('Controllable Asset Registry'!$E$4:$E$764=A501,FALSE),"No Equipment in entity"))</f>
        <v>VAV0267</v>
      </c>
    </row>
    <row r="502" spans="1:4" x14ac:dyDescent="0.3">
      <c r="A502" t="s">
        <v>6338</v>
      </c>
      <c r="B502" t="s">
        <v>7770</v>
      </c>
      <c r="C502" t="s">
        <v>7109</v>
      </c>
      <c r="D502" t="str" cm="1">
        <f t="array" ref="D502">TRANSPOSE(_xlfn._xlws.FILTER('Controllable Asset Registry'!$A$4:$A$764,IFERROR('Controllable Asset Registry'!$E$4:$E$764=A502,FALSE),"No Equipment in entity"))</f>
        <v>VAV0268</v>
      </c>
    </row>
    <row r="503" spans="1:4" x14ac:dyDescent="0.3">
      <c r="A503" t="s">
        <v>6339</v>
      </c>
      <c r="B503" t="s">
        <v>7771</v>
      </c>
      <c r="C503" t="s">
        <v>7107</v>
      </c>
      <c r="D503" t="str" cm="1">
        <f t="array" ref="D503">TRANSPOSE(_xlfn._xlws.FILTER('Controllable Asset Registry'!$A$4:$A$764,IFERROR('Controllable Asset Registry'!$E$4:$E$764=A503,FALSE),"No Equipment in entity"))</f>
        <v>VAV0269</v>
      </c>
    </row>
    <row r="504" spans="1:4" x14ac:dyDescent="0.3">
      <c r="A504" t="s">
        <v>6340</v>
      </c>
      <c r="B504" t="s">
        <v>7772</v>
      </c>
      <c r="C504" t="s">
        <v>7107</v>
      </c>
      <c r="D504" t="str" cm="1">
        <f t="array" ref="D504">TRANSPOSE(_xlfn._xlws.FILTER('Controllable Asset Registry'!$A$4:$A$764,IFERROR('Controllable Asset Registry'!$E$4:$E$764=A504,FALSE),"No Equipment in entity"))</f>
        <v>VAV0270</v>
      </c>
    </row>
    <row r="505" spans="1:4" x14ac:dyDescent="0.3">
      <c r="A505" t="s">
        <v>6341</v>
      </c>
      <c r="B505" t="s">
        <v>7773</v>
      </c>
      <c r="C505" t="s">
        <v>7107</v>
      </c>
      <c r="D505" t="str" cm="1">
        <f t="array" ref="D505">TRANSPOSE(_xlfn._xlws.FILTER('Controllable Asset Registry'!$A$4:$A$764,IFERROR('Controllable Asset Registry'!$E$4:$E$764=A505,FALSE),"No Equipment in entity"))</f>
        <v>VAV0271</v>
      </c>
    </row>
    <row r="506" spans="1:4" x14ac:dyDescent="0.3">
      <c r="A506" t="s">
        <v>6342</v>
      </c>
      <c r="B506" t="s">
        <v>7774</v>
      </c>
      <c r="C506" t="s">
        <v>7107</v>
      </c>
      <c r="D506" t="str" cm="1">
        <f t="array" ref="D506">TRANSPOSE(_xlfn._xlws.FILTER('Controllable Asset Registry'!$A$4:$A$764,IFERROR('Controllable Asset Registry'!$E$4:$E$764=A506,FALSE),"No Equipment in entity"))</f>
        <v>VAV0272</v>
      </c>
    </row>
    <row r="507" spans="1:4" x14ac:dyDescent="0.3">
      <c r="A507" t="s">
        <v>6343</v>
      </c>
      <c r="B507" t="s">
        <v>7775</v>
      </c>
      <c r="C507" t="s">
        <v>7110</v>
      </c>
      <c r="D507" t="str" cm="1">
        <f t="array" ref="D507">TRANSPOSE(_xlfn._xlws.FILTER('Controllable Asset Registry'!$A$4:$A$764,IFERROR('Controllable Asset Registry'!$E$4:$E$764=A507,FALSE),"No Equipment in entity"))</f>
        <v>VAV0273</v>
      </c>
    </row>
    <row r="508" spans="1:4" x14ac:dyDescent="0.3">
      <c r="A508" t="s">
        <v>6344</v>
      </c>
      <c r="B508" t="s">
        <v>7776</v>
      </c>
      <c r="C508" t="s">
        <v>7110</v>
      </c>
      <c r="D508" t="str" cm="1">
        <f t="array" ref="D508">TRANSPOSE(_xlfn._xlws.FILTER('Controllable Asset Registry'!$A$4:$A$764,IFERROR('Controllable Asset Registry'!$E$4:$E$764=A508,FALSE),"No Equipment in entity"))</f>
        <v>VAV0274</v>
      </c>
    </row>
    <row r="509" spans="1:4" x14ac:dyDescent="0.3">
      <c r="A509" t="s">
        <v>8208</v>
      </c>
      <c r="B509" t="s">
        <v>8316</v>
      </c>
      <c r="C509" t="s">
        <v>7110</v>
      </c>
      <c r="D509" t="str" cm="1">
        <f t="array" ref="D509">TRANSPOSE(_xlfn._xlws.FILTER('Controllable Asset Registry'!$A$4:$A$764,IFERROR('Controllable Asset Registry'!$E$4:$E$764=A509,FALSE),"No Equipment in entity"))</f>
        <v>VAV0275</v>
      </c>
    </row>
    <row r="510" spans="1:4" x14ac:dyDescent="0.3">
      <c r="A510" t="s">
        <v>6345</v>
      </c>
      <c r="B510" t="s">
        <v>7777</v>
      </c>
      <c r="C510" t="s">
        <v>7110</v>
      </c>
      <c r="D510" t="str" cm="1">
        <f t="array" ref="D510">TRANSPOSE(_xlfn._xlws.FILTER('Controllable Asset Registry'!$A$4:$A$764,IFERROR('Controllable Asset Registry'!$E$4:$E$764=A510,FALSE),"No Equipment in entity"))</f>
        <v>VAV0276</v>
      </c>
    </row>
    <row r="511" spans="1:4" x14ac:dyDescent="0.3">
      <c r="A511" t="s">
        <v>6346</v>
      </c>
      <c r="B511" t="s">
        <v>7778</v>
      </c>
      <c r="C511" t="s">
        <v>7110</v>
      </c>
      <c r="D511" t="str" cm="1">
        <f t="array" ref="D511">TRANSPOSE(_xlfn._xlws.FILTER('Controllable Asset Registry'!$A$4:$A$764,IFERROR('Controllable Asset Registry'!$E$4:$E$764=A511,FALSE),"No Equipment in entity"))</f>
        <v>VAV0277</v>
      </c>
    </row>
    <row r="512" spans="1:4" x14ac:dyDescent="0.3">
      <c r="A512" t="s">
        <v>6347</v>
      </c>
      <c r="B512" t="s">
        <v>7779</v>
      </c>
      <c r="C512" t="s">
        <v>7110</v>
      </c>
      <c r="D512" t="str" cm="1">
        <f t="array" ref="D512">TRANSPOSE(_xlfn._xlws.FILTER('Controllable Asset Registry'!$A$4:$A$764,IFERROR('Controllable Asset Registry'!$E$4:$E$764=A512,FALSE),"No Equipment in entity"))</f>
        <v>VAV0278</v>
      </c>
    </row>
    <row r="513" spans="1:5" x14ac:dyDescent="0.3">
      <c r="A513" t="s">
        <v>6348</v>
      </c>
      <c r="B513" t="s">
        <v>7780</v>
      </c>
      <c r="C513" t="s">
        <v>7109</v>
      </c>
      <c r="D513" t="str" cm="1">
        <f t="array" ref="D513">TRANSPOSE(_xlfn._xlws.FILTER('Controllable Asset Registry'!$A$4:$A$764,IFERROR('Controllable Asset Registry'!$E$4:$E$764=A513,FALSE),"No Equipment in entity"))</f>
        <v>VAV0279</v>
      </c>
    </row>
    <row r="514" spans="1:5" x14ac:dyDescent="0.3">
      <c r="A514" t="s">
        <v>6349</v>
      </c>
      <c r="B514" t="s">
        <v>7781</v>
      </c>
      <c r="C514" t="s">
        <v>7111</v>
      </c>
      <c r="D514" t="str" cm="1">
        <f t="array" ref="D514">TRANSPOSE(_xlfn._xlws.FILTER('Controllable Asset Registry'!$A$4:$A$764,IFERROR('Controllable Asset Registry'!$E$4:$E$764=A514,FALSE),"No Equipment in entity"))</f>
        <v>VAV0280</v>
      </c>
    </row>
    <row r="515" spans="1:5" x14ac:dyDescent="0.3">
      <c r="A515" t="s">
        <v>6350</v>
      </c>
      <c r="B515" t="s">
        <v>7782</v>
      </c>
      <c r="C515" t="s">
        <v>7107</v>
      </c>
      <c r="D515" t="str" cm="1">
        <f t="array" ref="D515">TRANSPOSE(_xlfn._xlws.FILTER('Controllable Asset Registry'!$A$4:$A$764,IFERROR('Controllable Asset Registry'!$E$4:$E$764=A515,FALSE),"No Equipment in entity"))</f>
        <v>VAV0281</v>
      </c>
    </row>
    <row r="516" spans="1:5" x14ac:dyDescent="0.3">
      <c r="A516" t="s">
        <v>6378</v>
      </c>
      <c r="B516" t="s">
        <v>7783</v>
      </c>
      <c r="C516" t="s">
        <v>7110</v>
      </c>
      <c r="D516" t="str" cm="1">
        <f t="array" ref="D516">TRANSPOSE(_xlfn._xlws.FILTER('Controllable Asset Registry'!$A$4:$A$764,IFERROR('Controllable Asset Registry'!$E$4:$E$764=A516,FALSE),"No Equipment in entity"))</f>
        <v>VAV0322</v>
      </c>
    </row>
    <row r="517" spans="1:5" x14ac:dyDescent="0.3">
      <c r="A517" t="s">
        <v>6366</v>
      </c>
      <c r="B517" t="s">
        <v>7784</v>
      </c>
      <c r="C517" t="s">
        <v>7112</v>
      </c>
      <c r="D517" t="str" cm="1">
        <f t="array" ref="D517">TRANSPOSE(_xlfn._xlws.FILTER('Controllable Asset Registry'!$A$4:$A$764,IFERROR('Controllable Asset Registry'!$E$4:$E$764=A517,FALSE),"No Equipment in entity"))</f>
        <v>VAV0302</v>
      </c>
    </row>
    <row r="518" spans="1:5" x14ac:dyDescent="0.3">
      <c r="A518" t="s">
        <v>6365</v>
      </c>
      <c r="B518" t="s">
        <v>7785</v>
      </c>
      <c r="C518" t="s">
        <v>7022</v>
      </c>
      <c r="D518" t="str" cm="1">
        <f t="array" ref="D518:E518">TRANSPOSE(_xlfn._xlws.FILTER('Controllable Asset Registry'!$A$4:$A$764,IFERROR('Controllable Asset Registry'!$E$4:$E$764=A518,FALSE),"No Equipment in entity"))</f>
        <v>VAV0300</v>
      </c>
      <c r="E518" t="str">
        <v>VAV0301</v>
      </c>
    </row>
    <row r="519" spans="1:5" x14ac:dyDescent="0.3">
      <c r="A519" t="s">
        <v>6091</v>
      </c>
      <c r="B519" t="s">
        <v>7786</v>
      </c>
      <c r="C519" t="s">
        <v>6917</v>
      </c>
      <c r="D519" t="str" cm="1">
        <f t="array" ref="D519">TRANSPOSE(_xlfn._xlws.FILTER('Controllable Asset Registry'!$A$4:$A$764,IFERROR('Controllable Asset Registry'!$E$4:$E$764=A519,FALSE),"No Equipment in entity"))</f>
        <v>FCU0088</v>
      </c>
    </row>
    <row r="520" spans="1:5" x14ac:dyDescent="0.3">
      <c r="A520" t="s">
        <v>6356</v>
      </c>
      <c r="B520" t="s">
        <v>7787</v>
      </c>
      <c r="C520" t="s">
        <v>7113</v>
      </c>
      <c r="D520" t="str" cm="1">
        <f t="array" ref="D520:E520">TRANSPOSE(_xlfn._xlws.FILTER('Controllable Asset Registry'!$A$4:$A$764,IFERROR('Controllable Asset Registry'!$E$4:$E$764=A520,FALSE),"No Equipment in entity"))</f>
        <v>VAV0288</v>
      </c>
      <c r="E520" t="str">
        <v>VAV0289</v>
      </c>
    </row>
    <row r="521" spans="1:5" x14ac:dyDescent="0.3">
      <c r="A521" t="s">
        <v>7114</v>
      </c>
      <c r="B521" t="s">
        <v>7788</v>
      </c>
      <c r="C521" t="s">
        <v>6788</v>
      </c>
      <c r="D521" t="str" cm="1">
        <f t="array" ref="D521">TRANSPOSE(_xlfn._xlws.FILTER('Controllable Asset Registry'!$A$4:$A$764,IFERROR('Controllable Asset Registry'!$E$4:$E$764=A521,FALSE),"No Equipment in entity"))</f>
        <v>No Equipment in entity</v>
      </c>
    </row>
    <row r="522" spans="1:5" x14ac:dyDescent="0.3">
      <c r="A522" t="s">
        <v>7115</v>
      </c>
      <c r="B522" t="s">
        <v>7789</v>
      </c>
      <c r="C522" t="s">
        <v>6946</v>
      </c>
      <c r="D522" t="str" cm="1">
        <f t="array" ref="D522">TRANSPOSE(_xlfn._xlws.FILTER('Controllable Asset Registry'!$A$4:$A$764,IFERROR('Controllable Asset Registry'!$E$4:$E$764=A522,FALSE),"No Equipment in entity"))</f>
        <v>No Equipment in entity</v>
      </c>
    </row>
    <row r="523" spans="1:5" x14ac:dyDescent="0.3">
      <c r="A523" t="s">
        <v>6355</v>
      </c>
      <c r="B523" t="s">
        <v>7790</v>
      </c>
      <c r="C523" t="s">
        <v>7116</v>
      </c>
      <c r="D523" t="str" cm="1">
        <f t="array" ref="D523:E523">TRANSPOSE(_xlfn._xlws.FILTER('Controllable Asset Registry'!$A$4:$A$764,IFERROR('Controllable Asset Registry'!$E$4:$E$764=A523,FALSE),"No Equipment in entity"))</f>
        <v>VAV0286</v>
      </c>
      <c r="E523" t="str">
        <v>VAV0287</v>
      </c>
    </row>
    <row r="524" spans="1:5" x14ac:dyDescent="0.3">
      <c r="A524" t="s">
        <v>6354</v>
      </c>
      <c r="B524" t="s">
        <v>7791</v>
      </c>
      <c r="C524" t="s">
        <v>7107</v>
      </c>
      <c r="D524" t="str" cm="1">
        <f t="array" ref="D524">TRANSPOSE(_xlfn._xlws.FILTER('Controllable Asset Registry'!$A$4:$A$764,IFERROR('Controllable Asset Registry'!$E$4:$E$764=A524,FALSE),"No Equipment in entity"))</f>
        <v>VAV0285</v>
      </c>
    </row>
    <row r="525" spans="1:5" x14ac:dyDescent="0.3">
      <c r="A525" t="s">
        <v>6353</v>
      </c>
      <c r="B525" t="s">
        <v>7792</v>
      </c>
      <c r="C525" t="s">
        <v>6695</v>
      </c>
      <c r="D525" t="str" cm="1">
        <f t="array" ref="D525">TRANSPOSE(_xlfn._xlws.FILTER('Controllable Asset Registry'!$A$4:$A$764,IFERROR('Controllable Asset Registry'!$E$4:$E$764=A525,FALSE),"No Equipment in entity"))</f>
        <v>VAV0284</v>
      </c>
    </row>
    <row r="526" spans="1:5" x14ac:dyDescent="0.3">
      <c r="A526" t="s">
        <v>6368</v>
      </c>
      <c r="B526" t="s">
        <v>7793</v>
      </c>
      <c r="C526" t="s">
        <v>7117</v>
      </c>
      <c r="D526" t="str" cm="1">
        <f t="array" ref="D526">TRANSPOSE(_xlfn._xlws.FILTER('Controllable Asset Registry'!$A$4:$A$764,IFERROR('Controllable Asset Registry'!$E$4:$E$764=A526,FALSE),"No Equipment in entity"))</f>
        <v>VAV0305</v>
      </c>
    </row>
    <row r="527" spans="1:5" x14ac:dyDescent="0.3">
      <c r="A527" t="s">
        <v>6085</v>
      </c>
      <c r="B527" t="s">
        <v>7794</v>
      </c>
      <c r="C527" t="s">
        <v>7117</v>
      </c>
      <c r="D527" t="str" cm="1">
        <f t="array" ref="D527">TRANSPOSE(_xlfn._xlws.FILTER('Controllable Asset Registry'!$A$4:$A$764,IFERROR('Controllable Asset Registry'!$E$4:$E$764=A527,FALSE),"No Equipment in entity"))</f>
        <v>VAV0306</v>
      </c>
    </row>
    <row r="528" spans="1:5" x14ac:dyDescent="0.3">
      <c r="A528" t="s">
        <v>6369</v>
      </c>
      <c r="B528" t="s">
        <v>7795</v>
      </c>
      <c r="C528" t="s">
        <v>7117</v>
      </c>
      <c r="D528" t="str" cm="1">
        <f t="array" ref="D528">TRANSPOSE(_xlfn._xlws.FILTER('Controllable Asset Registry'!$A$4:$A$764,IFERROR('Controllable Asset Registry'!$E$4:$E$764=A528,FALSE),"No Equipment in entity"))</f>
        <v>VAV0307</v>
      </c>
    </row>
    <row r="529" spans="1:5" x14ac:dyDescent="0.3">
      <c r="A529" t="s">
        <v>7118</v>
      </c>
      <c r="B529" t="s">
        <v>7796</v>
      </c>
      <c r="C529" t="s">
        <v>6788</v>
      </c>
      <c r="D529" t="str" cm="1">
        <f t="array" ref="D529">TRANSPOSE(_xlfn._xlws.FILTER('Controllable Asset Registry'!$A$4:$A$764,IFERROR('Controllable Asset Registry'!$E$4:$E$764=A529,FALSE),"No Equipment in entity"))</f>
        <v>No Equipment in entity</v>
      </c>
    </row>
    <row r="530" spans="1:5" x14ac:dyDescent="0.3">
      <c r="A530" t="s">
        <v>6370</v>
      </c>
      <c r="B530" t="s">
        <v>7797</v>
      </c>
      <c r="C530" t="s">
        <v>7119</v>
      </c>
      <c r="D530" t="str" cm="1">
        <f t="array" ref="D530:E530">TRANSPOSE(_xlfn._xlws.FILTER('Controllable Asset Registry'!$A$4:$A$764,IFERROR('Controllable Asset Registry'!$E$4:$E$764=A530,FALSE),"No Equipment in entity"))</f>
        <v>VAV0308</v>
      </c>
      <c r="E530" t="str">
        <v>VAV0309</v>
      </c>
    </row>
    <row r="531" spans="1:5" x14ac:dyDescent="0.3">
      <c r="A531" t="s">
        <v>6371</v>
      </c>
      <c r="B531" t="s">
        <v>7798</v>
      </c>
      <c r="C531" t="s">
        <v>7117</v>
      </c>
      <c r="D531" t="str" cm="1">
        <f t="array" ref="D531">TRANSPOSE(_xlfn._xlws.FILTER('Controllable Asset Registry'!$A$4:$A$764,IFERROR('Controllable Asset Registry'!$E$4:$E$764=A531,FALSE),"No Equipment in entity"))</f>
        <v>VAV0310</v>
      </c>
    </row>
    <row r="532" spans="1:5" x14ac:dyDescent="0.3">
      <c r="A532" t="s">
        <v>6372</v>
      </c>
      <c r="B532" t="s">
        <v>7799</v>
      </c>
      <c r="C532" t="s">
        <v>7117</v>
      </c>
      <c r="D532" t="str" cm="1">
        <f t="array" ref="D532">TRANSPOSE(_xlfn._xlws.FILTER('Controllable Asset Registry'!$A$4:$A$764,IFERROR('Controllable Asset Registry'!$E$4:$E$764=A532,FALSE),"No Equipment in entity"))</f>
        <v>VAV0311</v>
      </c>
    </row>
    <row r="533" spans="1:5" x14ac:dyDescent="0.3">
      <c r="A533" t="s">
        <v>6373</v>
      </c>
      <c r="B533" t="s">
        <v>7800</v>
      </c>
      <c r="C533" t="s">
        <v>7117</v>
      </c>
      <c r="D533" t="str" cm="1">
        <f t="array" ref="D533">TRANSPOSE(_xlfn._xlws.FILTER('Controllable Asset Registry'!$A$4:$A$764,IFERROR('Controllable Asset Registry'!$E$4:$E$764=A533,FALSE),"No Equipment in entity"))</f>
        <v>VAV0312</v>
      </c>
    </row>
    <row r="534" spans="1:5" x14ac:dyDescent="0.3">
      <c r="A534" t="s">
        <v>6374</v>
      </c>
      <c r="B534" t="s">
        <v>7801</v>
      </c>
      <c r="C534" t="s">
        <v>7117</v>
      </c>
      <c r="D534" t="str" cm="1">
        <f t="array" ref="D534">TRANSPOSE(_xlfn._xlws.FILTER('Controllable Asset Registry'!$A$4:$A$764,IFERROR('Controllable Asset Registry'!$E$4:$E$764=A534,FALSE),"No Equipment in entity"))</f>
        <v>VAV0313</v>
      </c>
    </row>
    <row r="535" spans="1:5" x14ac:dyDescent="0.3">
      <c r="A535" t="s">
        <v>8211</v>
      </c>
      <c r="B535" t="s">
        <v>8317</v>
      </c>
      <c r="C535" t="s">
        <v>7120</v>
      </c>
      <c r="D535" t="str" cm="1">
        <f t="array" ref="D535">TRANSPOSE(_xlfn._xlws.FILTER('Controllable Asset Registry'!$A$4:$A$764,IFERROR('Controllable Asset Registry'!$E$4:$E$764=A535,FALSE),"No Equipment in entity"))</f>
        <v>VAV0314</v>
      </c>
    </row>
    <row r="536" spans="1:5" x14ac:dyDescent="0.3">
      <c r="A536" t="s">
        <v>6375</v>
      </c>
      <c r="B536" t="s">
        <v>7802</v>
      </c>
      <c r="C536" t="s">
        <v>7121</v>
      </c>
      <c r="D536" t="str" cm="1">
        <f t="array" ref="D536">TRANSPOSE(_xlfn._xlws.FILTER('Controllable Asset Registry'!$A$4:$A$764,IFERROR('Controllable Asset Registry'!$E$4:$E$764=A536,FALSE),"No Equipment in entity"))</f>
        <v>VAV0315</v>
      </c>
    </row>
    <row r="537" spans="1:5" x14ac:dyDescent="0.3">
      <c r="A537" t="s">
        <v>6376</v>
      </c>
      <c r="B537" t="s">
        <v>7803</v>
      </c>
      <c r="C537" t="s">
        <v>7117</v>
      </c>
      <c r="D537" t="str" cm="1">
        <f t="array" ref="D537">TRANSPOSE(_xlfn._xlws.FILTER('Controllable Asset Registry'!$A$4:$A$764,IFERROR('Controllable Asset Registry'!$E$4:$E$764=A537,FALSE),"No Equipment in entity"))</f>
        <v>VAV0316</v>
      </c>
    </row>
    <row r="538" spans="1:5" x14ac:dyDescent="0.3">
      <c r="A538" t="s">
        <v>6377</v>
      </c>
      <c r="B538" t="s">
        <v>7804</v>
      </c>
      <c r="C538" t="s">
        <v>7111</v>
      </c>
      <c r="D538" t="str" cm="1">
        <f t="array" ref="D538">TRANSPOSE(_xlfn._xlws.FILTER('Controllable Asset Registry'!$A$4:$A$764,IFERROR('Controllable Asset Registry'!$E$4:$E$764=A538,FALSE),"No Equipment in entity"))</f>
        <v>VAV0317</v>
      </c>
    </row>
    <row r="539" spans="1:5" x14ac:dyDescent="0.3">
      <c r="A539" t="s">
        <v>6029</v>
      </c>
      <c r="B539" t="s">
        <v>7805</v>
      </c>
      <c r="C539" t="s">
        <v>7122</v>
      </c>
      <c r="D539" t="str" cm="1">
        <f t="array" ref="D539:E539">TRANSPOSE(_xlfn._xlws.FILTER('Controllable Asset Registry'!$A$4:$A$764,IFERROR('Controllable Asset Registry'!$E$4:$E$764=A539,FALSE),"No Equipment in entity"))</f>
        <v>AHU5_0001</v>
      </c>
      <c r="E539" t="str">
        <v>AHU5_0002</v>
      </c>
    </row>
    <row r="540" spans="1:5" x14ac:dyDescent="0.3">
      <c r="A540" t="s">
        <v>7123</v>
      </c>
      <c r="B540" t="s">
        <v>7806</v>
      </c>
      <c r="C540" t="s">
        <v>6706</v>
      </c>
      <c r="D540" t="str" cm="1">
        <f t="array" ref="D540">TRANSPOSE(_xlfn._xlws.FILTER('Controllable Asset Registry'!$A$4:$A$764,IFERROR('Controllable Asset Registry'!$E$4:$E$764=A540,FALSE),"No Equipment in entity"))</f>
        <v>No Equipment in entity</v>
      </c>
    </row>
    <row r="541" spans="1:5" x14ac:dyDescent="0.3">
      <c r="A541" t="s">
        <v>7124</v>
      </c>
      <c r="B541" t="s">
        <v>7807</v>
      </c>
      <c r="C541" t="s">
        <v>6709</v>
      </c>
      <c r="D541" t="str" cm="1">
        <f t="array" ref="D541">TRANSPOSE(_xlfn._xlws.FILTER('Controllable Asset Registry'!$A$4:$A$764,IFERROR('Controllable Asset Registry'!$E$4:$E$764=A541,FALSE),"No Equipment in entity"))</f>
        <v>No Equipment in entity</v>
      </c>
    </row>
    <row r="542" spans="1:5" x14ac:dyDescent="0.3">
      <c r="A542" t="s">
        <v>7125</v>
      </c>
      <c r="B542" t="s">
        <v>7808</v>
      </c>
      <c r="C542" t="s">
        <v>6706</v>
      </c>
      <c r="D542" t="str" cm="1">
        <f t="array" ref="D542">TRANSPOSE(_xlfn._xlws.FILTER('Controllable Asset Registry'!$A$4:$A$764,IFERROR('Controllable Asset Registry'!$E$4:$E$764=A542,FALSE),"No Equipment in entity"))</f>
        <v>No Equipment in entity</v>
      </c>
    </row>
    <row r="543" spans="1:5" x14ac:dyDescent="0.3">
      <c r="A543" t="s">
        <v>7126</v>
      </c>
      <c r="B543" t="s">
        <v>7809</v>
      </c>
      <c r="C543" t="s">
        <v>6709</v>
      </c>
      <c r="D543" t="str" cm="1">
        <f t="array" ref="D543">TRANSPOSE(_xlfn._xlws.FILTER('Controllable Asset Registry'!$A$4:$A$764,IFERROR('Controllable Asset Registry'!$E$4:$E$764=A543,FALSE),"No Equipment in entity"))</f>
        <v>No Equipment in entity</v>
      </c>
    </row>
    <row r="544" spans="1:5" x14ac:dyDescent="0.3">
      <c r="A544" t="s">
        <v>7127</v>
      </c>
      <c r="B544" t="s">
        <v>7810</v>
      </c>
      <c r="C544" t="s">
        <v>5842</v>
      </c>
      <c r="D544" t="str" cm="1">
        <f t="array" ref="D544">TRANSPOSE(_xlfn._xlws.FILTER('Controllable Asset Registry'!$A$4:$A$764,IFERROR('Controllable Asset Registry'!$E$4:$E$764=A544,FALSE),"No Equipment in entity"))</f>
        <v>No Equipment in entity</v>
      </c>
    </row>
    <row r="545" spans="1:11" x14ac:dyDescent="0.3">
      <c r="A545" t="s">
        <v>7128</v>
      </c>
      <c r="B545" t="s">
        <v>7811</v>
      </c>
      <c r="C545" t="s">
        <v>5842</v>
      </c>
      <c r="D545" t="str" cm="1">
        <f t="array" ref="D545">TRANSPOSE(_xlfn._xlws.FILTER('Controllable Asset Registry'!$A$4:$A$764,IFERROR('Controllable Asset Registry'!$E$4:$E$764=A545,FALSE),"No Equipment in entity"))</f>
        <v>No Equipment in entity</v>
      </c>
    </row>
    <row r="546" spans="1:11" x14ac:dyDescent="0.3">
      <c r="A546" t="s">
        <v>7129</v>
      </c>
      <c r="B546" t="s">
        <v>7812</v>
      </c>
      <c r="C546" t="s">
        <v>5842</v>
      </c>
      <c r="D546" t="str" cm="1">
        <f t="array" ref="D546">TRANSPOSE(_xlfn._xlws.FILTER('Controllable Asset Registry'!$A$4:$A$764,IFERROR('Controllable Asset Registry'!$E$4:$E$764=A546,FALSE),"No Equipment in entity"))</f>
        <v>No Equipment in entity</v>
      </c>
    </row>
    <row r="547" spans="1:11" x14ac:dyDescent="0.3">
      <c r="A547" t="s">
        <v>7130</v>
      </c>
      <c r="B547" t="s">
        <v>7813</v>
      </c>
      <c r="C547" t="s">
        <v>5842</v>
      </c>
      <c r="D547" t="str" cm="1">
        <f t="array" ref="D547">TRANSPOSE(_xlfn._xlws.FILTER('Controllable Asset Registry'!$A$4:$A$764,IFERROR('Controllable Asset Registry'!$E$4:$E$764=A547,FALSE),"No Equipment in entity"))</f>
        <v>No Equipment in entity</v>
      </c>
    </row>
    <row r="548" spans="1:11" x14ac:dyDescent="0.3">
      <c r="A548" t="s">
        <v>7131</v>
      </c>
      <c r="B548" t="s">
        <v>7814</v>
      </c>
      <c r="C548" t="s">
        <v>5842</v>
      </c>
      <c r="D548" t="str" cm="1">
        <f t="array" ref="D548">TRANSPOSE(_xlfn._xlws.FILTER('Controllable Asset Registry'!$A$4:$A$764,IFERROR('Controllable Asset Registry'!$E$4:$E$764=A548,FALSE),"No Equipment in entity"))</f>
        <v>No Equipment in entity</v>
      </c>
    </row>
    <row r="549" spans="1:11" x14ac:dyDescent="0.3">
      <c r="A549" t="s">
        <v>7132</v>
      </c>
      <c r="B549" t="s">
        <v>7815</v>
      </c>
      <c r="C549" t="s">
        <v>5839</v>
      </c>
      <c r="D549" t="str" cm="1">
        <f t="array" ref="D549">TRANSPOSE(_xlfn._xlws.FILTER('Controllable Asset Registry'!$A$4:$A$764,IFERROR('Controllable Asset Registry'!$E$4:$E$764=A549,FALSE),"No Equipment in entity"))</f>
        <v>No Equipment in entity</v>
      </c>
    </row>
    <row r="550" spans="1:11" x14ac:dyDescent="0.3">
      <c r="A550" t="s">
        <v>6090</v>
      </c>
      <c r="B550" t="s">
        <v>7816</v>
      </c>
      <c r="C550" t="s">
        <v>6715</v>
      </c>
      <c r="D550" t="str" cm="1">
        <f t="array" ref="D550">TRANSPOSE(_xlfn._xlws.FILTER('Controllable Asset Registry'!$A$4:$A$764,IFERROR('Controllable Asset Registry'!$E$4:$E$764=A550,FALSE),"No Equipment in entity"))</f>
        <v>FCU0087</v>
      </c>
    </row>
    <row r="551" spans="1:11" x14ac:dyDescent="0.3">
      <c r="A551" t="s">
        <v>7133</v>
      </c>
      <c r="B551" t="s">
        <v>7817</v>
      </c>
      <c r="C551" t="s">
        <v>5839</v>
      </c>
      <c r="D551" t="str" cm="1">
        <f t="array" ref="D551">TRANSPOSE(_xlfn._xlws.FILTER('Controllable Asset Registry'!$A$4:$A$764,IFERROR('Controllable Asset Registry'!$E$4:$E$764=A551,FALSE),"No Equipment in entity"))</f>
        <v>No Equipment in entity</v>
      </c>
    </row>
    <row r="552" spans="1:11" x14ac:dyDescent="0.3">
      <c r="A552" t="s">
        <v>6089</v>
      </c>
      <c r="B552" t="s">
        <v>7818</v>
      </c>
      <c r="C552" t="s">
        <v>6715</v>
      </c>
      <c r="D552" t="str" cm="1">
        <f t="array" ref="D552:E552">TRANSPOSE(_xlfn._xlws.FILTER('Controllable Asset Registry'!$A$4:$A$764,IFERROR('Controllable Asset Registry'!$E$4:$E$764=A552,FALSE),"No Equipment in entity"))</f>
        <v>FCU0085</v>
      </c>
      <c r="E552" t="str">
        <v>FCU0086</v>
      </c>
    </row>
    <row r="553" spans="1:11" x14ac:dyDescent="0.3">
      <c r="A553" t="s">
        <v>7134</v>
      </c>
      <c r="B553" t="s">
        <v>7819</v>
      </c>
      <c r="C553" t="s">
        <v>6857</v>
      </c>
      <c r="D553" t="str" cm="1">
        <f t="array" ref="D553">TRANSPOSE(_xlfn._xlws.FILTER('Controllable Asset Registry'!$A$4:$A$764,IFERROR('Controllable Asset Registry'!$E$4:$E$764=A553,FALSE),"No Equipment in entity"))</f>
        <v>No Equipment in entity</v>
      </c>
    </row>
    <row r="554" spans="1:11" x14ac:dyDescent="0.3">
      <c r="A554" t="s">
        <v>7135</v>
      </c>
      <c r="B554" t="s">
        <v>7820</v>
      </c>
      <c r="C554" t="s">
        <v>6860</v>
      </c>
      <c r="D554" t="str" cm="1">
        <f t="array" ref="D554">TRANSPOSE(_xlfn._xlws.FILTER('Controllable Asset Registry'!$A$4:$A$764,IFERROR('Controllable Asset Registry'!$E$4:$E$764=A554,FALSE),"No Equipment in entity"))</f>
        <v>No Equipment in entity</v>
      </c>
    </row>
    <row r="555" spans="1:11" x14ac:dyDescent="0.3">
      <c r="A555" t="s">
        <v>7136</v>
      </c>
      <c r="B555" t="s">
        <v>7821</v>
      </c>
      <c r="C555" t="s">
        <v>5839</v>
      </c>
      <c r="D555" t="str" cm="1">
        <f t="array" ref="D555">TRANSPOSE(_xlfn._xlws.FILTER('Controllable Asset Registry'!$A$4:$A$764,IFERROR('Controllable Asset Registry'!$E$4:$E$764=A555,FALSE),"No Equipment in entity"))</f>
        <v>No Equipment in entity</v>
      </c>
    </row>
    <row r="556" spans="1:11" x14ac:dyDescent="0.3">
      <c r="A556" t="s">
        <v>6351</v>
      </c>
      <c r="B556" t="s">
        <v>7822</v>
      </c>
      <c r="C556" t="s">
        <v>7014</v>
      </c>
      <c r="D556" t="str" cm="1">
        <f t="array" ref="D556:E556">TRANSPOSE(_xlfn._xlws.FILTER('Controllable Asset Registry'!$A$4:$A$764,IFERROR('Controllable Asset Registry'!$E$4:$E$764=A556,FALSE),"No Equipment in entity"))</f>
        <v>VAV0282</v>
      </c>
      <c r="E556" t="str">
        <v>VAV0304</v>
      </c>
    </row>
    <row r="557" spans="1:11" x14ac:dyDescent="0.3">
      <c r="A557" t="s">
        <v>6082</v>
      </c>
      <c r="B557" t="s">
        <v>7823</v>
      </c>
      <c r="C557" t="s">
        <v>7103</v>
      </c>
      <c r="D557" t="str" cm="1">
        <f t="array" ref="D557:K557">TRANSPOSE(_xlfn._xlws.FILTER('Controllable Asset Registry'!$A$4:$A$764,IFERROR('Controllable Asset Registry'!$E$4:$E$764=A557,FALSE),"No Equipment in entity"))</f>
        <v>FCU0067</v>
      </c>
      <c r="E557" t="str">
        <v>FCU0068</v>
      </c>
      <c r="F557" t="str">
        <v>FCU0069</v>
      </c>
      <c r="G557" t="str">
        <v>FCU0070</v>
      </c>
      <c r="H557" t="str">
        <v>FCU0092</v>
      </c>
      <c r="I557" t="str">
        <v>FCU0093</v>
      </c>
      <c r="J557" t="str">
        <v>FCU0094</v>
      </c>
      <c r="K557" t="str">
        <v>FCU0095</v>
      </c>
    </row>
    <row r="558" spans="1:11" x14ac:dyDescent="0.3">
      <c r="A558" t="s">
        <v>7137</v>
      </c>
      <c r="B558" t="s">
        <v>7824</v>
      </c>
      <c r="C558" t="s">
        <v>7103</v>
      </c>
      <c r="D558" t="str" cm="1">
        <f t="array" ref="D558">TRANSPOSE(_xlfn._xlws.FILTER('Controllable Asset Registry'!$A$4:$A$764,IFERROR('Controllable Asset Registry'!$E$4:$E$764=A558,FALSE),"No Equipment in entity"))</f>
        <v>No Equipment in entity</v>
      </c>
    </row>
    <row r="559" spans="1:11" x14ac:dyDescent="0.3">
      <c r="A559" t="s">
        <v>7138</v>
      </c>
      <c r="B559" t="s">
        <v>7825</v>
      </c>
      <c r="C559" t="s">
        <v>7106</v>
      </c>
      <c r="D559" t="str" cm="1">
        <f t="array" ref="D559">TRANSPOSE(_xlfn._xlws.FILTER('Controllable Asset Registry'!$A$4:$A$764,IFERROR('Controllable Asset Registry'!$E$4:$E$764=A559,FALSE),"No Equipment in entity"))</f>
        <v>No Equipment in entity</v>
      </c>
    </row>
    <row r="560" spans="1:11" x14ac:dyDescent="0.3">
      <c r="A560" t="s">
        <v>8318</v>
      </c>
      <c r="B560" t="s">
        <v>8319</v>
      </c>
      <c r="C560" t="s">
        <v>6874</v>
      </c>
      <c r="D560" t="str" cm="1">
        <f t="array" ref="D560">TRANSPOSE(_xlfn._xlws.FILTER('Controllable Asset Registry'!$A$4:$A$764,IFERROR('Controllable Asset Registry'!$E$4:$E$764=A560,FALSE),"No Equipment in entity"))</f>
        <v>No Equipment in entity</v>
      </c>
    </row>
    <row r="561" spans="1:4" x14ac:dyDescent="0.3">
      <c r="A561" t="s">
        <v>8320</v>
      </c>
      <c r="B561" t="s">
        <v>8321</v>
      </c>
      <c r="C561" t="s">
        <v>6877</v>
      </c>
      <c r="D561" t="str" cm="1">
        <f t="array" ref="D561">TRANSPOSE(_xlfn._xlws.FILTER('Controllable Asset Registry'!$A$4:$A$764,IFERROR('Controllable Asset Registry'!$E$4:$E$764=A561,FALSE),"No Equipment in entity"))</f>
        <v>No Equipment in entity</v>
      </c>
    </row>
    <row r="562" spans="1:4" x14ac:dyDescent="0.3">
      <c r="A562" t="s">
        <v>8322</v>
      </c>
      <c r="B562" t="s">
        <v>8323</v>
      </c>
      <c r="C562" t="s">
        <v>6880</v>
      </c>
      <c r="D562" t="str" cm="1">
        <f t="array" ref="D562">TRANSPOSE(_xlfn._xlws.FILTER('Controllable Asset Registry'!$A$4:$A$764,IFERROR('Controllable Asset Registry'!$E$4:$E$764=A562,FALSE),"No Equipment in entity"))</f>
        <v>No Equipment in entity</v>
      </c>
    </row>
    <row r="563" spans="1:4" x14ac:dyDescent="0.3">
      <c r="A563" t="s">
        <v>8324</v>
      </c>
      <c r="B563" t="s">
        <v>8325</v>
      </c>
      <c r="C563" t="s">
        <v>6744</v>
      </c>
      <c r="D563" t="str" cm="1">
        <f t="array" ref="D563">TRANSPOSE(_xlfn._xlws.FILTER('Controllable Asset Registry'!$A$4:$A$764,IFERROR('Controllable Asset Registry'!$E$4:$E$764=A563,FALSE),"No Equipment in entity"))</f>
        <v>No Equipment in entity</v>
      </c>
    </row>
    <row r="564" spans="1:4" x14ac:dyDescent="0.3">
      <c r="A564" t="s">
        <v>8326</v>
      </c>
      <c r="B564" t="s">
        <v>8327</v>
      </c>
      <c r="C564" t="s">
        <v>6747</v>
      </c>
      <c r="D564" t="str" cm="1">
        <f t="array" ref="D564">TRANSPOSE(_xlfn._xlws.FILTER('Controllable Asset Registry'!$A$4:$A$764,IFERROR('Controllable Asset Registry'!$E$4:$E$764=A564,FALSE),"No Equipment in entity"))</f>
        <v>No Equipment in entity</v>
      </c>
    </row>
    <row r="565" spans="1:4" x14ac:dyDescent="0.3">
      <c r="A565" t="s">
        <v>8328</v>
      </c>
      <c r="B565" t="s">
        <v>8329</v>
      </c>
      <c r="C565" t="s">
        <v>6750</v>
      </c>
      <c r="D565" t="str" cm="1">
        <f t="array" ref="D565">TRANSPOSE(_xlfn._xlws.FILTER('Controllable Asset Registry'!$A$4:$A$764,IFERROR('Controllable Asset Registry'!$E$4:$E$764=A565,FALSE),"No Equipment in entity"))</f>
        <v>No Equipment in entity</v>
      </c>
    </row>
    <row r="566" spans="1:4" x14ac:dyDescent="0.3">
      <c r="A566" t="s">
        <v>8330</v>
      </c>
      <c r="B566" t="s">
        <v>8331</v>
      </c>
      <c r="C566" t="s">
        <v>6889</v>
      </c>
      <c r="D566" t="str" cm="1">
        <f t="array" ref="D566">TRANSPOSE(_xlfn._xlws.FILTER('Controllable Asset Registry'!$A$4:$A$764,IFERROR('Controllable Asset Registry'!$E$4:$E$764=A566,FALSE),"No Equipment in entity"))</f>
        <v>No Equipment in entity</v>
      </c>
    </row>
    <row r="567" spans="1:4" x14ac:dyDescent="0.3">
      <c r="A567" t="s">
        <v>8332</v>
      </c>
      <c r="B567" t="s">
        <v>8333</v>
      </c>
      <c r="C567" t="s">
        <v>6755</v>
      </c>
      <c r="D567" t="str" cm="1">
        <f t="array" ref="D567">TRANSPOSE(_xlfn._xlws.FILTER('Controllable Asset Registry'!$A$4:$A$764,IFERROR('Controllable Asset Registry'!$E$4:$E$764=A567,FALSE),"No Equipment in entity"))</f>
        <v>No Equipment in entity</v>
      </c>
    </row>
    <row r="568" spans="1:4" x14ac:dyDescent="0.3">
      <c r="A568" t="s">
        <v>8334</v>
      </c>
      <c r="B568" t="s">
        <v>8335</v>
      </c>
      <c r="C568" t="s">
        <v>6757</v>
      </c>
      <c r="D568" t="str" cm="1">
        <f t="array" ref="D568">TRANSPOSE(_xlfn._xlws.FILTER('Controllable Asset Registry'!$A$4:$A$764,IFERROR('Controllable Asset Registry'!$E$4:$E$764=A568,FALSE),"No Equipment in entity"))</f>
        <v>No Equipment in entity</v>
      </c>
    </row>
    <row r="569" spans="1:4" x14ac:dyDescent="0.3">
      <c r="A569" t="s">
        <v>8336</v>
      </c>
      <c r="B569" t="s">
        <v>8337</v>
      </c>
      <c r="C569" t="s">
        <v>6896</v>
      </c>
      <c r="D569" t="str" cm="1">
        <f t="array" ref="D569">TRANSPOSE(_xlfn._xlws.FILTER('Controllable Asset Registry'!$A$4:$A$764,IFERROR('Controllable Asset Registry'!$E$4:$E$764=A569,FALSE),"No Equipment in entity"))</f>
        <v>No Equipment in entity</v>
      </c>
    </row>
    <row r="570" spans="1:4" x14ac:dyDescent="0.3">
      <c r="A570" t="s">
        <v>8338</v>
      </c>
      <c r="B570" t="s">
        <v>8339</v>
      </c>
      <c r="C570" t="s">
        <v>6760</v>
      </c>
      <c r="D570" t="str" cm="1">
        <f t="array" ref="D570">TRANSPOSE(_xlfn._xlws.FILTER('Controllable Asset Registry'!$A$4:$A$764,IFERROR('Controllable Asset Registry'!$E$4:$E$764=A570,FALSE),"No Equipment in entity"))</f>
        <v>No Equipment in entity</v>
      </c>
    </row>
    <row r="571" spans="1:4" x14ac:dyDescent="0.3">
      <c r="A571" t="s">
        <v>6413</v>
      </c>
      <c r="B571" t="s">
        <v>7826</v>
      </c>
      <c r="C571" t="s">
        <v>7139</v>
      </c>
      <c r="D571" t="str" cm="1">
        <f t="array" ref="D571">TRANSPOSE(_xlfn._xlws.FILTER('Controllable Asset Registry'!$A$4:$A$764,IFERROR('Controllable Asset Registry'!$E$4:$E$764=A571,FALSE),"No Equipment in entity"))</f>
        <v>VAV0359</v>
      </c>
    </row>
    <row r="572" spans="1:4" x14ac:dyDescent="0.3">
      <c r="A572" t="s">
        <v>6403</v>
      </c>
      <c r="B572" t="s">
        <v>7827</v>
      </c>
      <c r="C572" t="s">
        <v>7140</v>
      </c>
      <c r="D572" t="str" cm="1">
        <f t="array" ref="D572">TRANSPOSE(_xlfn._xlws.FILTER('Controllable Asset Registry'!$A$4:$A$764,IFERROR('Controllable Asset Registry'!$E$4:$E$764=A572,FALSE),"No Equipment in entity"))</f>
        <v>VAV0349</v>
      </c>
    </row>
    <row r="573" spans="1:4" x14ac:dyDescent="0.3">
      <c r="A573" t="s">
        <v>6404</v>
      </c>
      <c r="B573" t="s">
        <v>7828</v>
      </c>
      <c r="C573" t="s">
        <v>7141</v>
      </c>
      <c r="D573" t="str" cm="1">
        <f t="array" ref="D573">TRANSPOSE(_xlfn._xlws.FILTER('Controllable Asset Registry'!$A$4:$A$764,IFERROR('Controllable Asset Registry'!$E$4:$E$764=A573,FALSE),"No Equipment in entity"))</f>
        <v>VAV0350</v>
      </c>
    </row>
    <row r="574" spans="1:4" x14ac:dyDescent="0.3">
      <c r="A574" t="s">
        <v>6405</v>
      </c>
      <c r="B574" t="s">
        <v>7829</v>
      </c>
      <c r="C574" t="s">
        <v>7141</v>
      </c>
      <c r="D574" t="str" cm="1">
        <f t="array" ref="D574">TRANSPOSE(_xlfn._xlws.FILTER('Controllable Asset Registry'!$A$4:$A$764,IFERROR('Controllable Asset Registry'!$E$4:$E$764=A574,FALSE),"No Equipment in entity"))</f>
        <v>VAV0351</v>
      </c>
    </row>
    <row r="575" spans="1:4" x14ac:dyDescent="0.3">
      <c r="A575" t="s">
        <v>6406</v>
      </c>
      <c r="B575" t="s">
        <v>7830</v>
      </c>
      <c r="C575" t="s">
        <v>7141</v>
      </c>
      <c r="D575" t="str" cm="1">
        <f t="array" ref="D575">TRANSPOSE(_xlfn._xlws.FILTER('Controllable Asset Registry'!$A$4:$A$764,IFERROR('Controllable Asset Registry'!$E$4:$E$764=A575,FALSE),"No Equipment in entity"))</f>
        <v>VAV0352</v>
      </c>
    </row>
    <row r="576" spans="1:4" x14ac:dyDescent="0.3">
      <c r="A576" t="s">
        <v>6407</v>
      </c>
      <c r="B576" t="s">
        <v>7831</v>
      </c>
      <c r="C576" t="s">
        <v>7141</v>
      </c>
      <c r="D576" t="str" cm="1">
        <f t="array" ref="D576">TRANSPOSE(_xlfn._xlws.FILTER('Controllable Asset Registry'!$A$4:$A$764,IFERROR('Controllable Asset Registry'!$E$4:$E$764=A576,FALSE),"No Equipment in entity"))</f>
        <v>VAV0353</v>
      </c>
    </row>
    <row r="577" spans="1:4" x14ac:dyDescent="0.3">
      <c r="A577" t="s">
        <v>6408</v>
      </c>
      <c r="B577" t="s">
        <v>7832</v>
      </c>
      <c r="C577" t="s">
        <v>7141</v>
      </c>
      <c r="D577" t="str" cm="1">
        <f t="array" ref="D577">TRANSPOSE(_xlfn._xlws.FILTER('Controllable Asset Registry'!$A$4:$A$764,IFERROR('Controllable Asset Registry'!$E$4:$E$764=A577,FALSE),"No Equipment in entity"))</f>
        <v>VAV0354</v>
      </c>
    </row>
    <row r="578" spans="1:4" x14ac:dyDescent="0.3">
      <c r="A578" t="s">
        <v>6409</v>
      </c>
      <c r="B578" t="s">
        <v>7833</v>
      </c>
      <c r="C578" t="s">
        <v>7141</v>
      </c>
      <c r="D578" t="str" cm="1">
        <f t="array" ref="D578">TRANSPOSE(_xlfn._xlws.FILTER('Controllable Asset Registry'!$A$4:$A$764,IFERROR('Controllable Asset Registry'!$E$4:$E$764=A578,FALSE),"No Equipment in entity"))</f>
        <v>VAV0355</v>
      </c>
    </row>
    <row r="579" spans="1:4" x14ac:dyDescent="0.3">
      <c r="A579" t="s">
        <v>6400</v>
      </c>
      <c r="B579" t="s">
        <v>7834</v>
      </c>
      <c r="C579" t="s">
        <v>7141</v>
      </c>
      <c r="D579" t="str" cm="1">
        <f t="array" ref="D579">TRANSPOSE(_xlfn._xlws.FILTER('Controllable Asset Registry'!$A$4:$A$764,IFERROR('Controllable Asset Registry'!$E$4:$E$764=A579,FALSE),"No Equipment in entity"))</f>
        <v>VAV0346</v>
      </c>
    </row>
    <row r="580" spans="1:4" x14ac:dyDescent="0.3">
      <c r="A580" t="s">
        <v>6401</v>
      </c>
      <c r="B580" t="s">
        <v>7835</v>
      </c>
      <c r="C580" t="s">
        <v>7142</v>
      </c>
      <c r="D580" t="str" cm="1">
        <f t="array" ref="D580">TRANSPOSE(_xlfn._xlws.FILTER('Controllable Asset Registry'!$A$4:$A$764,IFERROR('Controllable Asset Registry'!$E$4:$E$764=A580,FALSE),"No Equipment in entity"))</f>
        <v>VAV0347</v>
      </c>
    </row>
    <row r="581" spans="1:4" x14ac:dyDescent="0.3">
      <c r="A581" t="s">
        <v>6402</v>
      </c>
      <c r="B581" t="s">
        <v>7836</v>
      </c>
      <c r="C581" t="s">
        <v>7143</v>
      </c>
      <c r="D581" t="str" cm="1">
        <f t="array" ref="D581">TRANSPOSE(_xlfn._xlws.FILTER('Controllable Asset Registry'!$A$4:$A$764,IFERROR('Controllable Asset Registry'!$E$4:$E$764=A581,FALSE),"No Equipment in entity"))</f>
        <v>VAV0348</v>
      </c>
    </row>
    <row r="582" spans="1:4" x14ac:dyDescent="0.3">
      <c r="A582" t="s">
        <v>6379</v>
      </c>
      <c r="B582" t="s">
        <v>7837</v>
      </c>
      <c r="C582" t="s">
        <v>7143</v>
      </c>
      <c r="D582" t="str" cm="1">
        <f t="array" ref="D582">TRANSPOSE(_xlfn._xlws.FILTER('Controllable Asset Registry'!$A$4:$A$764,IFERROR('Controllable Asset Registry'!$E$4:$E$764=A582,FALSE),"No Equipment in entity"))</f>
        <v>VAV0323</v>
      </c>
    </row>
    <row r="583" spans="1:4" x14ac:dyDescent="0.3">
      <c r="A583" t="s">
        <v>6380</v>
      </c>
      <c r="B583" t="s">
        <v>7838</v>
      </c>
      <c r="C583" t="s">
        <v>7142</v>
      </c>
      <c r="D583" t="str" cm="1">
        <f t="array" ref="D583">TRANSPOSE(_xlfn._xlws.FILTER('Controllable Asset Registry'!$A$4:$A$764,IFERROR('Controllable Asset Registry'!$E$4:$E$764=A583,FALSE),"No Equipment in entity"))</f>
        <v>VAV0324</v>
      </c>
    </row>
    <row r="584" spans="1:4" x14ac:dyDescent="0.3">
      <c r="A584" t="s">
        <v>6381</v>
      </c>
      <c r="B584" t="s">
        <v>7839</v>
      </c>
      <c r="C584" t="s">
        <v>7144</v>
      </c>
      <c r="D584" t="str" cm="1">
        <f t="array" ref="D584">TRANSPOSE(_xlfn._xlws.FILTER('Controllable Asset Registry'!$A$4:$A$764,IFERROR('Controllable Asset Registry'!$E$4:$E$764=A584,FALSE),"No Equipment in entity"))</f>
        <v>VAV0325</v>
      </c>
    </row>
    <row r="585" spans="1:4" x14ac:dyDescent="0.3">
      <c r="A585" t="s">
        <v>6382</v>
      </c>
      <c r="B585" t="s">
        <v>7840</v>
      </c>
      <c r="C585" t="s">
        <v>7144</v>
      </c>
      <c r="D585" t="str" cm="1">
        <f t="array" ref="D585">TRANSPOSE(_xlfn._xlws.FILTER('Controllable Asset Registry'!$A$4:$A$764,IFERROR('Controllable Asset Registry'!$E$4:$E$764=A585,FALSE),"No Equipment in entity"))</f>
        <v>VAV0326</v>
      </c>
    </row>
    <row r="586" spans="1:4" x14ac:dyDescent="0.3">
      <c r="A586" t="s">
        <v>6383</v>
      </c>
      <c r="B586" t="s">
        <v>7841</v>
      </c>
      <c r="C586" t="s">
        <v>7144</v>
      </c>
      <c r="D586" t="str" cm="1">
        <f t="array" ref="D586">TRANSPOSE(_xlfn._xlws.FILTER('Controllable Asset Registry'!$A$4:$A$764,IFERROR('Controllable Asset Registry'!$E$4:$E$764=A586,FALSE),"No Equipment in entity"))</f>
        <v>VAV0327</v>
      </c>
    </row>
    <row r="587" spans="1:4" x14ac:dyDescent="0.3">
      <c r="A587" t="s">
        <v>6384</v>
      </c>
      <c r="B587" t="s">
        <v>7842</v>
      </c>
      <c r="C587" t="s">
        <v>7144</v>
      </c>
      <c r="D587" t="str" cm="1">
        <f t="array" ref="D587">TRANSPOSE(_xlfn._xlws.FILTER('Controllable Asset Registry'!$A$4:$A$764,IFERROR('Controllable Asset Registry'!$E$4:$E$764=A587,FALSE),"No Equipment in entity"))</f>
        <v>VAV0328</v>
      </c>
    </row>
    <row r="588" spans="1:4" x14ac:dyDescent="0.3">
      <c r="A588" t="s">
        <v>6385</v>
      </c>
      <c r="B588" t="s">
        <v>7843</v>
      </c>
      <c r="C588" t="s">
        <v>7144</v>
      </c>
      <c r="D588" t="str" cm="1">
        <f t="array" ref="D588">TRANSPOSE(_xlfn._xlws.FILTER('Controllable Asset Registry'!$A$4:$A$764,IFERROR('Controllable Asset Registry'!$E$4:$E$764=A588,FALSE),"No Equipment in entity"))</f>
        <v>VAV0329</v>
      </c>
    </row>
    <row r="589" spans="1:4" x14ac:dyDescent="0.3">
      <c r="A589" t="s">
        <v>6386</v>
      </c>
      <c r="B589" t="s">
        <v>7844</v>
      </c>
      <c r="C589" t="s">
        <v>7144</v>
      </c>
      <c r="D589" t="str" cm="1">
        <f t="array" ref="D589">TRANSPOSE(_xlfn._xlws.FILTER('Controllable Asset Registry'!$A$4:$A$764,IFERROR('Controllable Asset Registry'!$E$4:$E$764=A589,FALSE),"No Equipment in entity"))</f>
        <v>VAV0330</v>
      </c>
    </row>
    <row r="590" spans="1:4" x14ac:dyDescent="0.3">
      <c r="A590" t="s">
        <v>6387</v>
      </c>
      <c r="B590" t="s">
        <v>7845</v>
      </c>
      <c r="C590" t="s">
        <v>7144</v>
      </c>
      <c r="D590" t="str" cm="1">
        <f t="array" ref="D590">TRANSPOSE(_xlfn._xlws.FILTER('Controllable Asset Registry'!$A$4:$A$764,IFERROR('Controllable Asset Registry'!$E$4:$E$764=A590,FALSE),"No Equipment in entity"))</f>
        <v>VAV0331</v>
      </c>
    </row>
    <row r="591" spans="1:4" x14ac:dyDescent="0.3">
      <c r="A591" t="s">
        <v>6388</v>
      </c>
      <c r="B591" t="s">
        <v>7846</v>
      </c>
      <c r="C591" t="s">
        <v>7145</v>
      </c>
      <c r="D591" t="str" cm="1">
        <f t="array" ref="D591">TRANSPOSE(_xlfn._xlws.FILTER('Controllable Asset Registry'!$A$4:$A$764,IFERROR('Controllable Asset Registry'!$E$4:$E$764=A591,FALSE),"No Equipment in entity"))</f>
        <v>VAV0332</v>
      </c>
    </row>
    <row r="592" spans="1:4" x14ac:dyDescent="0.3">
      <c r="A592" t="s">
        <v>6389</v>
      </c>
      <c r="B592" t="s">
        <v>7847</v>
      </c>
      <c r="C592" t="s">
        <v>7145</v>
      </c>
      <c r="D592" t="str" cm="1">
        <f t="array" ref="D592">TRANSPOSE(_xlfn._xlws.FILTER('Controllable Asset Registry'!$A$4:$A$764,IFERROR('Controllable Asset Registry'!$E$4:$E$764=A592,FALSE),"No Equipment in entity"))</f>
        <v>VAV0333</v>
      </c>
    </row>
    <row r="593" spans="1:5" x14ac:dyDescent="0.3">
      <c r="A593" t="s">
        <v>6390</v>
      </c>
      <c r="B593" t="s">
        <v>7848</v>
      </c>
      <c r="C593" t="s">
        <v>7146</v>
      </c>
      <c r="D593" t="str" cm="1">
        <f t="array" ref="D593">TRANSPOSE(_xlfn._xlws.FILTER('Controllable Asset Registry'!$A$4:$A$764,IFERROR('Controllable Asset Registry'!$E$4:$E$764=A593,FALSE),"No Equipment in entity"))</f>
        <v>VAV0334</v>
      </c>
    </row>
    <row r="594" spans="1:5" x14ac:dyDescent="0.3">
      <c r="A594" t="s">
        <v>6391</v>
      </c>
      <c r="B594" t="s">
        <v>7849</v>
      </c>
      <c r="C594" t="s">
        <v>7146</v>
      </c>
      <c r="D594" t="str" cm="1">
        <f t="array" ref="D594">TRANSPOSE(_xlfn._xlws.FILTER('Controllable Asset Registry'!$A$4:$A$764,IFERROR('Controllable Asset Registry'!$E$4:$E$764=A594,FALSE),"No Equipment in entity"))</f>
        <v>VAV0335</v>
      </c>
    </row>
    <row r="595" spans="1:5" x14ac:dyDescent="0.3">
      <c r="A595" t="s">
        <v>6392</v>
      </c>
      <c r="B595" t="s">
        <v>7850</v>
      </c>
      <c r="C595" t="s">
        <v>7147</v>
      </c>
      <c r="D595" t="str" cm="1">
        <f t="array" ref="D595">TRANSPOSE(_xlfn._xlws.FILTER('Controllable Asset Registry'!$A$4:$A$764,IFERROR('Controllable Asset Registry'!$E$4:$E$764=A595,FALSE),"No Equipment in entity"))</f>
        <v>VAV0336</v>
      </c>
    </row>
    <row r="596" spans="1:5" x14ac:dyDescent="0.3">
      <c r="A596" t="s">
        <v>6393</v>
      </c>
      <c r="B596" t="s">
        <v>7851</v>
      </c>
      <c r="C596" t="s">
        <v>7148</v>
      </c>
      <c r="D596" t="str" cm="1">
        <f t="array" ref="D596">TRANSPOSE(_xlfn._xlws.FILTER('Controllable Asset Registry'!$A$4:$A$764,IFERROR('Controllable Asset Registry'!$E$4:$E$764=A596,FALSE),"No Equipment in entity"))</f>
        <v>VAV0337</v>
      </c>
    </row>
    <row r="597" spans="1:5" x14ac:dyDescent="0.3">
      <c r="A597" t="s">
        <v>6394</v>
      </c>
      <c r="B597" t="s">
        <v>7852</v>
      </c>
      <c r="C597" t="s">
        <v>7149</v>
      </c>
      <c r="D597" t="str" cm="1">
        <f t="array" ref="D597">TRANSPOSE(_xlfn._xlws.FILTER('Controllable Asset Registry'!$A$4:$A$764,IFERROR('Controllable Asset Registry'!$E$4:$E$764=A597,FALSE),"No Equipment in entity"))</f>
        <v>VAV0338</v>
      </c>
    </row>
    <row r="598" spans="1:5" x14ac:dyDescent="0.3">
      <c r="A598" t="s">
        <v>6395</v>
      </c>
      <c r="B598" t="s">
        <v>7853</v>
      </c>
      <c r="C598" t="s">
        <v>7149</v>
      </c>
      <c r="D598" t="str" cm="1">
        <f t="array" ref="D598">TRANSPOSE(_xlfn._xlws.FILTER('Controllable Asset Registry'!$A$4:$A$764,IFERROR('Controllable Asset Registry'!$E$4:$E$764=A598,FALSE),"No Equipment in entity"))</f>
        <v>VAV0339</v>
      </c>
    </row>
    <row r="599" spans="1:5" x14ac:dyDescent="0.3">
      <c r="A599" t="s">
        <v>6412</v>
      </c>
      <c r="B599" t="s">
        <v>7854</v>
      </c>
      <c r="C599" t="s">
        <v>6948</v>
      </c>
      <c r="D599" t="str" cm="1">
        <f t="array" ref="D599">TRANSPOSE(_xlfn._xlws.FILTER('Controllable Asset Registry'!$A$4:$A$764,IFERROR('Controllable Asset Registry'!$E$4:$E$764=A599,FALSE),"No Equipment in entity"))</f>
        <v>VAV0358</v>
      </c>
    </row>
    <row r="600" spans="1:5" x14ac:dyDescent="0.3">
      <c r="A600" t="s">
        <v>6411</v>
      </c>
      <c r="B600" t="s">
        <v>7855</v>
      </c>
      <c r="C600" t="s">
        <v>6948</v>
      </c>
      <c r="D600" t="str" cm="1">
        <f t="array" ref="D600">TRANSPOSE(_xlfn._xlws.FILTER('Controllable Asset Registry'!$A$4:$A$764,IFERROR('Controllable Asset Registry'!$E$4:$E$764=A600,FALSE),"No Equipment in entity"))</f>
        <v>VAV0357</v>
      </c>
    </row>
    <row r="601" spans="1:5" x14ac:dyDescent="0.3">
      <c r="A601" t="s">
        <v>6410</v>
      </c>
      <c r="B601" t="s">
        <v>7856</v>
      </c>
      <c r="C601" t="s">
        <v>6948</v>
      </c>
      <c r="D601" t="str" cm="1">
        <f t="array" ref="D601">TRANSPOSE(_xlfn._xlws.FILTER('Controllable Asset Registry'!$A$4:$A$764,IFERROR('Controllable Asset Registry'!$E$4:$E$764=A601,FALSE),"No Equipment in entity"))</f>
        <v>VAV0356</v>
      </c>
    </row>
    <row r="602" spans="1:5" x14ac:dyDescent="0.3">
      <c r="A602" t="s">
        <v>6096</v>
      </c>
      <c r="B602" t="s">
        <v>7857</v>
      </c>
      <c r="C602" t="s">
        <v>6917</v>
      </c>
      <c r="D602" t="str" cm="1">
        <f t="array" ref="D602">TRANSPOSE(_xlfn._xlws.FILTER('Controllable Asset Registry'!$A$4:$A$764,IFERROR('Controllable Asset Registry'!$E$4:$E$764=A602,FALSE),"No Equipment in entity"))</f>
        <v>FCU0102</v>
      </c>
    </row>
    <row r="603" spans="1:5" x14ac:dyDescent="0.3">
      <c r="A603" t="s">
        <v>6399</v>
      </c>
      <c r="B603" t="s">
        <v>7858</v>
      </c>
      <c r="C603" t="s">
        <v>5973</v>
      </c>
      <c r="D603" t="str" cm="1">
        <f t="array" ref="D603:E603">TRANSPOSE(_xlfn._xlws.FILTER('Controllable Asset Registry'!$A$4:$A$764,IFERROR('Controllable Asset Registry'!$E$4:$E$764=A603,FALSE),"No Equipment in entity"))</f>
        <v>VAV0344</v>
      </c>
      <c r="E603" t="str">
        <v>VAV0345</v>
      </c>
    </row>
    <row r="604" spans="1:5" x14ac:dyDescent="0.3">
      <c r="A604" t="s">
        <v>7150</v>
      </c>
      <c r="B604" t="s">
        <v>7859</v>
      </c>
      <c r="C604" t="s">
        <v>6788</v>
      </c>
      <c r="D604" t="str" cm="1">
        <f t="array" ref="D604">TRANSPOSE(_xlfn._xlws.FILTER('Controllable Asset Registry'!$A$4:$A$764,IFERROR('Controllable Asset Registry'!$E$4:$E$764=A604,FALSE),"No Equipment in entity"))</f>
        <v>No Equipment in entity</v>
      </c>
    </row>
    <row r="605" spans="1:5" x14ac:dyDescent="0.3">
      <c r="A605" t="s">
        <v>7151</v>
      </c>
      <c r="B605" t="s">
        <v>7860</v>
      </c>
      <c r="C605" t="s">
        <v>6946</v>
      </c>
      <c r="D605" t="str" cm="1">
        <f t="array" ref="D605">TRANSPOSE(_xlfn._xlws.FILTER('Controllable Asset Registry'!$A$4:$A$764,IFERROR('Controllable Asset Registry'!$E$4:$E$764=A605,FALSE),"No Equipment in entity"))</f>
        <v>No Equipment in entity</v>
      </c>
    </row>
    <row r="606" spans="1:5" x14ac:dyDescent="0.3">
      <c r="A606" t="s">
        <v>6398</v>
      </c>
      <c r="B606" t="s">
        <v>7861</v>
      </c>
      <c r="C606" t="s">
        <v>7152</v>
      </c>
      <c r="D606" t="str" cm="1">
        <f t="array" ref="D606">TRANSPOSE(_xlfn._xlws.FILTER('Controllable Asset Registry'!$A$4:$A$764,IFERROR('Controllable Asset Registry'!$E$4:$E$764=A606,FALSE),"No Equipment in entity"))</f>
        <v>VAV0342</v>
      </c>
    </row>
    <row r="607" spans="1:5" x14ac:dyDescent="0.3">
      <c r="A607" t="s">
        <v>6397</v>
      </c>
      <c r="B607" t="s">
        <v>7862</v>
      </c>
      <c r="C607" t="s">
        <v>7153</v>
      </c>
      <c r="D607" t="str" cm="1">
        <f t="array" ref="D607">TRANSPOSE(_xlfn._xlws.FILTER('Controllable Asset Registry'!$A$4:$A$764,IFERROR('Controllable Asset Registry'!$E$4:$E$764=A607,FALSE),"No Equipment in entity"))</f>
        <v>VAV0341</v>
      </c>
    </row>
    <row r="608" spans="1:5" x14ac:dyDescent="0.3">
      <c r="A608" t="s">
        <v>7154</v>
      </c>
      <c r="B608" t="s">
        <v>7863</v>
      </c>
      <c r="C608" t="s">
        <v>6695</v>
      </c>
      <c r="D608" t="str" cm="1">
        <f t="array" ref="D608">TRANSPOSE(_xlfn._xlws.FILTER('Controllable Asset Registry'!$A$4:$A$764,IFERROR('Controllable Asset Registry'!$E$4:$E$764=A608,FALSE),"No Equipment in entity"))</f>
        <v>No Equipment in entity</v>
      </c>
    </row>
    <row r="609" spans="1:4" x14ac:dyDescent="0.3">
      <c r="A609" t="s">
        <v>6414</v>
      </c>
      <c r="B609" t="s">
        <v>7864</v>
      </c>
      <c r="C609" t="s">
        <v>7155</v>
      </c>
      <c r="D609" t="str" cm="1">
        <f t="array" ref="D609">TRANSPOSE(_xlfn._xlws.FILTER('Controllable Asset Registry'!$A$4:$A$764,IFERROR('Controllable Asset Registry'!$E$4:$E$764=A609,FALSE),"No Equipment in entity"))</f>
        <v>VAV0361</v>
      </c>
    </row>
    <row r="610" spans="1:4" x14ac:dyDescent="0.3">
      <c r="A610" t="s">
        <v>6415</v>
      </c>
      <c r="B610" t="s">
        <v>7865</v>
      </c>
      <c r="C610" t="s">
        <v>7155</v>
      </c>
      <c r="D610" t="str" cm="1">
        <f t="array" ref="D610">TRANSPOSE(_xlfn._xlws.FILTER('Controllable Asset Registry'!$A$4:$A$764,IFERROR('Controllable Asset Registry'!$E$4:$E$764=A610,FALSE),"No Equipment in entity"))</f>
        <v>VAV0362</v>
      </c>
    </row>
    <row r="611" spans="1:4" x14ac:dyDescent="0.3">
      <c r="A611" t="s">
        <v>7156</v>
      </c>
      <c r="B611" t="s">
        <v>7866</v>
      </c>
      <c r="C611" t="s">
        <v>6788</v>
      </c>
      <c r="D611" t="str" cm="1">
        <f t="array" ref="D611">TRANSPOSE(_xlfn._xlws.FILTER('Controllable Asset Registry'!$A$4:$A$764,IFERROR('Controllable Asset Registry'!$E$4:$E$764=A611,FALSE),"No Equipment in entity"))</f>
        <v>No Equipment in entity</v>
      </c>
    </row>
    <row r="612" spans="1:4" x14ac:dyDescent="0.3">
      <c r="A612" t="s">
        <v>6416</v>
      </c>
      <c r="B612" t="s">
        <v>7867</v>
      </c>
      <c r="C612" t="s">
        <v>7155</v>
      </c>
      <c r="D612" t="str" cm="1">
        <f t="array" ref="D612">TRANSPOSE(_xlfn._xlws.FILTER('Controllable Asset Registry'!$A$4:$A$764,IFERROR('Controllable Asset Registry'!$E$4:$E$764=A612,FALSE),"No Equipment in entity"))</f>
        <v>VAV0363</v>
      </c>
    </row>
    <row r="613" spans="1:4" x14ac:dyDescent="0.3">
      <c r="A613" t="s">
        <v>6417</v>
      </c>
      <c r="B613" t="s">
        <v>7868</v>
      </c>
      <c r="C613" t="s">
        <v>7149</v>
      </c>
      <c r="D613" t="str" cm="1">
        <f t="array" ref="D613">TRANSPOSE(_xlfn._xlws.FILTER('Controllable Asset Registry'!$A$4:$A$764,IFERROR('Controllable Asset Registry'!$E$4:$E$764=A613,FALSE),"No Equipment in entity"))</f>
        <v>VAV0364</v>
      </c>
    </row>
    <row r="614" spans="1:4" x14ac:dyDescent="0.3">
      <c r="A614" t="s">
        <v>6418</v>
      </c>
      <c r="B614" t="s">
        <v>7869</v>
      </c>
      <c r="C614" t="s">
        <v>7157</v>
      </c>
      <c r="D614" t="str" cm="1">
        <f t="array" ref="D614">TRANSPOSE(_xlfn._xlws.FILTER('Controllable Asset Registry'!$A$4:$A$764,IFERROR('Controllable Asset Registry'!$E$4:$E$764=A614,FALSE),"No Equipment in entity"))</f>
        <v>VAV0365</v>
      </c>
    </row>
    <row r="615" spans="1:4" x14ac:dyDescent="0.3">
      <c r="A615" t="s">
        <v>6419</v>
      </c>
      <c r="B615" t="s">
        <v>7870</v>
      </c>
      <c r="C615" t="s">
        <v>7158</v>
      </c>
      <c r="D615" t="str" cm="1">
        <f t="array" ref="D615">TRANSPOSE(_xlfn._xlws.FILTER('Controllable Asset Registry'!$A$4:$A$764,IFERROR('Controllable Asset Registry'!$E$4:$E$764=A615,FALSE),"No Equipment in entity"))</f>
        <v>VAV0366</v>
      </c>
    </row>
    <row r="616" spans="1:4" x14ac:dyDescent="0.3">
      <c r="A616" t="s">
        <v>6097</v>
      </c>
      <c r="B616" t="s">
        <v>7871</v>
      </c>
      <c r="C616" t="s">
        <v>6917</v>
      </c>
      <c r="D616" t="str" cm="1">
        <f t="array" ref="D616">TRANSPOSE(_xlfn._xlws.FILTER('Controllable Asset Registry'!$A$4:$A$764,IFERROR('Controllable Asset Registry'!$E$4:$E$764=A616,FALSE),"No Equipment in entity"))</f>
        <v>FCU0103</v>
      </c>
    </row>
    <row r="617" spans="1:4" x14ac:dyDescent="0.3">
      <c r="A617" t="s">
        <v>6420</v>
      </c>
      <c r="B617" t="s">
        <v>7872</v>
      </c>
      <c r="C617" t="s">
        <v>7159</v>
      </c>
      <c r="D617" t="str" cm="1">
        <f t="array" ref="D617">TRANSPOSE(_xlfn._xlws.FILTER('Controllable Asset Registry'!$A$4:$A$764,IFERROR('Controllable Asset Registry'!$E$4:$E$764=A617,FALSE),"No Equipment in entity"))</f>
        <v>VAV0367</v>
      </c>
    </row>
    <row r="618" spans="1:4" x14ac:dyDescent="0.3">
      <c r="A618" t="s">
        <v>6421</v>
      </c>
      <c r="B618" t="s">
        <v>7873</v>
      </c>
      <c r="C618" t="s">
        <v>7158</v>
      </c>
      <c r="D618" t="str" cm="1">
        <f t="array" ref="D618">TRANSPOSE(_xlfn._xlws.FILTER('Controllable Asset Registry'!$A$4:$A$764,IFERROR('Controllable Asset Registry'!$E$4:$E$764=A618,FALSE),"No Equipment in entity"))</f>
        <v>VAV0368</v>
      </c>
    </row>
    <row r="619" spans="1:4" x14ac:dyDescent="0.3">
      <c r="A619" t="s">
        <v>6422</v>
      </c>
      <c r="B619" t="s">
        <v>7874</v>
      </c>
      <c r="C619" t="s">
        <v>7158</v>
      </c>
      <c r="D619" t="str" cm="1">
        <f t="array" ref="D619">TRANSPOSE(_xlfn._xlws.FILTER('Controllable Asset Registry'!$A$4:$A$764,IFERROR('Controllable Asset Registry'!$E$4:$E$764=A619,FALSE),"No Equipment in entity"))</f>
        <v>VAV0369</v>
      </c>
    </row>
    <row r="620" spans="1:4" x14ac:dyDescent="0.3">
      <c r="A620" t="s">
        <v>6423</v>
      </c>
      <c r="B620" t="s">
        <v>7875</v>
      </c>
      <c r="C620" t="s">
        <v>7160</v>
      </c>
      <c r="D620" t="str" cm="1">
        <f t="array" ref="D620">TRANSPOSE(_xlfn._xlws.FILTER('Controllable Asset Registry'!$A$4:$A$764,IFERROR('Controllable Asset Registry'!$E$4:$E$764=A620,FALSE),"No Equipment in entity"))</f>
        <v>VAV0370</v>
      </c>
    </row>
    <row r="621" spans="1:4" x14ac:dyDescent="0.3">
      <c r="A621" t="s">
        <v>7161</v>
      </c>
      <c r="B621" t="s">
        <v>7876</v>
      </c>
      <c r="C621" t="s">
        <v>7162</v>
      </c>
      <c r="D621" t="str" cm="1">
        <f t="array" ref="D621">TRANSPOSE(_xlfn._xlws.FILTER('Controllable Asset Registry'!$A$4:$A$764,IFERROR('Controllable Asset Registry'!$E$4:$E$764=A621,FALSE),"No Equipment in entity"))</f>
        <v>No Equipment in entity</v>
      </c>
    </row>
    <row r="622" spans="1:4" x14ac:dyDescent="0.3">
      <c r="A622" t="s">
        <v>7163</v>
      </c>
      <c r="B622" t="s">
        <v>7877</v>
      </c>
      <c r="C622" t="s">
        <v>6706</v>
      </c>
      <c r="D622" t="str" cm="1">
        <f t="array" ref="D622">TRANSPOSE(_xlfn._xlws.FILTER('Controllable Asset Registry'!$A$4:$A$764,IFERROR('Controllable Asset Registry'!$E$4:$E$764=A622,FALSE),"No Equipment in entity"))</f>
        <v>No Equipment in entity</v>
      </c>
    </row>
    <row r="623" spans="1:4" x14ac:dyDescent="0.3">
      <c r="A623" t="s">
        <v>7164</v>
      </c>
      <c r="B623" t="s">
        <v>7878</v>
      </c>
      <c r="C623" t="s">
        <v>6709</v>
      </c>
      <c r="D623" t="str" cm="1">
        <f t="array" ref="D623">TRANSPOSE(_xlfn._xlws.FILTER('Controllable Asset Registry'!$A$4:$A$764,IFERROR('Controllable Asset Registry'!$E$4:$E$764=A623,FALSE),"No Equipment in entity"))</f>
        <v>No Equipment in entity</v>
      </c>
    </row>
    <row r="624" spans="1:4" x14ac:dyDescent="0.3">
      <c r="A624" t="s">
        <v>7165</v>
      </c>
      <c r="B624" t="s">
        <v>7879</v>
      </c>
      <c r="C624" t="s">
        <v>6706</v>
      </c>
      <c r="D624" t="str" cm="1">
        <f t="array" ref="D624">TRANSPOSE(_xlfn._xlws.FILTER('Controllable Asset Registry'!$A$4:$A$764,IFERROR('Controllable Asset Registry'!$E$4:$E$764=A624,FALSE),"No Equipment in entity"))</f>
        <v>No Equipment in entity</v>
      </c>
    </row>
    <row r="625" spans="1:6" x14ac:dyDescent="0.3">
      <c r="A625" t="s">
        <v>7166</v>
      </c>
      <c r="B625" t="s">
        <v>7880</v>
      </c>
      <c r="C625" t="s">
        <v>6709</v>
      </c>
      <c r="D625" t="str" cm="1">
        <f t="array" ref="D625">TRANSPOSE(_xlfn._xlws.FILTER('Controllable Asset Registry'!$A$4:$A$764,IFERROR('Controllable Asset Registry'!$E$4:$E$764=A625,FALSE),"No Equipment in entity"))</f>
        <v>No Equipment in entity</v>
      </c>
    </row>
    <row r="626" spans="1:6" x14ac:dyDescent="0.3">
      <c r="A626" t="s">
        <v>7167</v>
      </c>
      <c r="B626" t="s">
        <v>7881</v>
      </c>
      <c r="C626" t="s">
        <v>5842</v>
      </c>
      <c r="D626" t="str" cm="1">
        <f t="array" ref="D626">TRANSPOSE(_xlfn._xlws.FILTER('Controllable Asset Registry'!$A$4:$A$764,IFERROR('Controllable Asset Registry'!$E$4:$E$764=A626,FALSE),"No Equipment in entity"))</f>
        <v>No Equipment in entity</v>
      </c>
    </row>
    <row r="627" spans="1:6" x14ac:dyDescent="0.3">
      <c r="A627" t="s">
        <v>7168</v>
      </c>
      <c r="B627" t="s">
        <v>7882</v>
      </c>
      <c r="C627" t="s">
        <v>5842</v>
      </c>
      <c r="D627" t="str" cm="1">
        <f t="array" ref="D627">TRANSPOSE(_xlfn._xlws.FILTER('Controllable Asset Registry'!$A$4:$A$764,IFERROR('Controllable Asset Registry'!$E$4:$E$764=A627,FALSE),"No Equipment in entity"))</f>
        <v>No Equipment in entity</v>
      </c>
    </row>
    <row r="628" spans="1:6" x14ac:dyDescent="0.3">
      <c r="A628" t="s">
        <v>7169</v>
      </c>
      <c r="B628" t="s">
        <v>7883</v>
      </c>
      <c r="C628" t="s">
        <v>5842</v>
      </c>
      <c r="D628" t="str" cm="1">
        <f t="array" ref="D628">TRANSPOSE(_xlfn._xlws.FILTER('Controllable Asset Registry'!$A$4:$A$764,IFERROR('Controllable Asset Registry'!$E$4:$E$764=A628,FALSE),"No Equipment in entity"))</f>
        <v>No Equipment in entity</v>
      </c>
    </row>
    <row r="629" spans="1:6" x14ac:dyDescent="0.3">
      <c r="A629" t="s">
        <v>7170</v>
      </c>
      <c r="B629" t="s">
        <v>7884</v>
      </c>
      <c r="C629" t="s">
        <v>5839</v>
      </c>
      <c r="D629" t="str" cm="1">
        <f t="array" ref="D629">TRANSPOSE(_xlfn._xlws.FILTER('Controllable Asset Registry'!$A$4:$A$764,IFERROR('Controllable Asset Registry'!$E$4:$E$764=A629,FALSE),"No Equipment in entity"))</f>
        <v>No Equipment in entity</v>
      </c>
    </row>
    <row r="630" spans="1:6" x14ac:dyDescent="0.3">
      <c r="A630" t="s">
        <v>6094</v>
      </c>
      <c r="B630" t="s">
        <v>7885</v>
      </c>
      <c r="C630" t="s">
        <v>6715</v>
      </c>
      <c r="D630" t="str" cm="1">
        <f t="array" ref="D630">TRANSPOSE(_xlfn._xlws.FILTER('Controllable Asset Registry'!$A$4:$A$764,IFERROR('Controllable Asset Registry'!$E$4:$E$764=A630,FALSE),"No Equipment in entity"))</f>
        <v>FCU0098</v>
      </c>
    </row>
    <row r="631" spans="1:6" x14ac:dyDescent="0.3">
      <c r="A631" t="s">
        <v>7171</v>
      </c>
      <c r="B631" t="s">
        <v>7886</v>
      </c>
      <c r="C631" t="s">
        <v>5839</v>
      </c>
      <c r="D631" t="str" cm="1">
        <f t="array" ref="D631">TRANSPOSE(_xlfn._xlws.FILTER('Controllable Asset Registry'!$A$4:$A$764,IFERROR('Controllable Asset Registry'!$E$4:$E$764=A631,FALSE),"No Equipment in entity"))</f>
        <v>No Equipment in entity</v>
      </c>
    </row>
    <row r="632" spans="1:6" x14ac:dyDescent="0.3">
      <c r="A632" t="s">
        <v>6093</v>
      </c>
      <c r="B632" t="s">
        <v>7887</v>
      </c>
      <c r="C632" t="s">
        <v>6715</v>
      </c>
      <c r="D632" t="str" cm="1">
        <f t="array" ref="D632">TRANSPOSE(_xlfn._xlws.FILTER('Controllable Asset Registry'!$A$4:$A$764,IFERROR('Controllable Asset Registry'!$E$4:$E$764=A632,FALSE),"No Equipment in entity"))</f>
        <v>FCU0096</v>
      </c>
    </row>
    <row r="633" spans="1:6" x14ac:dyDescent="0.3">
      <c r="A633" t="s">
        <v>7172</v>
      </c>
      <c r="B633" t="s">
        <v>7888</v>
      </c>
      <c r="C633" t="s">
        <v>7100</v>
      </c>
      <c r="D633" t="str" cm="1">
        <f t="array" ref="D633">TRANSPOSE(_xlfn._xlws.FILTER('Controllable Asset Registry'!$A$4:$A$764,IFERROR('Controllable Asset Registry'!$E$4:$E$764=A633,FALSE),"No Equipment in entity"))</f>
        <v>No Equipment in entity</v>
      </c>
    </row>
    <row r="634" spans="1:6" x14ac:dyDescent="0.3">
      <c r="A634" t="s">
        <v>7173</v>
      </c>
      <c r="B634" t="s">
        <v>7889</v>
      </c>
      <c r="C634" t="s">
        <v>6860</v>
      </c>
      <c r="D634" t="str" cm="1">
        <f t="array" ref="D634">TRANSPOSE(_xlfn._xlws.FILTER('Controllable Asset Registry'!$A$4:$A$764,IFERROR('Controllable Asset Registry'!$E$4:$E$764=A634,FALSE),"No Equipment in entity"))</f>
        <v>No Equipment in entity</v>
      </c>
    </row>
    <row r="635" spans="1:6" x14ac:dyDescent="0.3">
      <c r="A635" t="s">
        <v>7174</v>
      </c>
      <c r="B635" t="s">
        <v>7890</v>
      </c>
      <c r="C635" t="s">
        <v>5839</v>
      </c>
      <c r="D635" t="str" cm="1">
        <f t="array" ref="D635">TRANSPOSE(_xlfn._xlws.FILTER('Controllable Asset Registry'!$A$4:$A$764,IFERROR('Controllable Asset Registry'!$E$4:$E$764=A635,FALSE),"No Equipment in entity"))</f>
        <v>No Equipment in entity</v>
      </c>
    </row>
    <row r="636" spans="1:6" x14ac:dyDescent="0.3">
      <c r="A636" t="s">
        <v>6396</v>
      </c>
      <c r="B636" t="s">
        <v>7891</v>
      </c>
      <c r="C636" t="s">
        <v>7014</v>
      </c>
      <c r="D636" t="str" cm="1">
        <f t="array" ref="D636:F636">TRANSPOSE(_xlfn._xlws.FILTER('Controllable Asset Registry'!$A$4:$A$764,IFERROR('Controllable Asset Registry'!$E$4:$E$764=A636,FALSE),"No Equipment in entity"))</f>
        <v>VAV0340</v>
      </c>
      <c r="E636" t="str">
        <v>VAV0343</v>
      </c>
      <c r="F636" t="str">
        <v>VAV0360</v>
      </c>
    </row>
    <row r="637" spans="1:6" x14ac:dyDescent="0.3">
      <c r="A637" t="s">
        <v>7175</v>
      </c>
      <c r="B637" t="s">
        <v>7892</v>
      </c>
      <c r="C637" t="s">
        <v>7176</v>
      </c>
      <c r="D637" t="str" cm="1">
        <f t="array" ref="D637">TRANSPOSE(_xlfn._xlws.FILTER('Controllable Asset Registry'!$A$4:$A$764,IFERROR('Controllable Asset Registry'!$E$4:$E$764=A637,FALSE),"No Equipment in entity"))</f>
        <v>No Equipment in entity</v>
      </c>
    </row>
    <row r="638" spans="1:6" x14ac:dyDescent="0.3">
      <c r="A638" t="s">
        <v>6424</v>
      </c>
      <c r="B638" t="s">
        <v>7893</v>
      </c>
      <c r="C638" t="s">
        <v>7055</v>
      </c>
      <c r="D638" t="str" cm="1">
        <f t="array" ref="D638:E638">TRANSPOSE(_xlfn._xlws.FILTER('Controllable Asset Registry'!$A$4:$A$764,IFERROR('Controllable Asset Registry'!$E$4:$E$764=A638,FALSE),"No Equipment in entity"))</f>
        <v>VAV0371</v>
      </c>
      <c r="E638" t="str">
        <v>VAV0372</v>
      </c>
    </row>
    <row r="639" spans="1:6" x14ac:dyDescent="0.3">
      <c r="A639" t="s">
        <v>6092</v>
      </c>
      <c r="B639" t="s">
        <v>7894</v>
      </c>
      <c r="C639" t="s">
        <v>7176</v>
      </c>
      <c r="D639" t="str" cm="1">
        <f t="array" ref="D639:F639">TRANSPOSE(_xlfn._xlws.FILTER('Controllable Asset Registry'!$A$4:$A$764,IFERROR('Controllable Asset Registry'!$E$4:$E$764=A639,FALSE),"No Equipment in entity"))</f>
        <v>FCU0089</v>
      </c>
      <c r="E639" t="str">
        <v>FCU0090</v>
      </c>
      <c r="F639" t="str">
        <v>FCU0091</v>
      </c>
    </row>
    <row r="640" spans="1:6" x14ac:dyDescent="0.3">
      <c r="A640" t="s">
        <v>8340</v>
      </c>
      <c r="B640" t="s">
        <v>8341</v>
      </c>
      <c r="C640" t="s">
        <v>6874</v>
      </c>
      <c r="D640" t="str" cm="1">
        <f t="array" ref="D640">TRANSPOSE(_xlfn._xlws.FILTER('Controllable Asset Registry'!$A$4:$A$764,IFERROR('Controllable Asset Registry'!$E$4:$E$764=A640,FALSE),"No Equipment in entity"))</f>
        <v>No Equipment in entity</v>
      </c>
    </row>
    <row r="641" spans="1:5" x14ac:dyDescent="0.3">
      <c r="A641" t="s">
        <v>8342</v>
      </c>
      <c r="B641" t="s">
        <v>8343</v>
      </c>
      <c r="C641" t="s">
        <v>6877</v>
      </c>
      <c r="D641" t="str" cm="1">
        <f t="array" ref="D641">TRANSPOSE(_xlfn._xlws.FILTER('Controllable Asset Registry'!$A$4:$A$764,IFERROR('Controllable Asset Registry'!$E$4:$E$764=A641,FALSE),"No Equipment in entity"))</f>
        <v>No Equipment in entity</v>
      </c>
    </row>
    <row r="642" spans="1:5" x14ac:dyDescent="0.3">
      <c r="A642" t="s">
        <v>8344</v>
      </c>
      <c r="B642" t="s">
        <v>8345</v>
      </c>
      <c r="C642" t="s">
        <v>6880</v>
      </c>
      <c r="D642" t="str" cm="1">
        <f t="array" ref="D642">TRANSPOSE(_xlfn._xlws.FILTER('Controllable Asset Registry'!$A$4:$A$764,IFERROR('Controllable Asset Registry'!$E$4:$E$764=A642,FALSE),"No Equipment in entity"))</f>
        <v>No Equipment in entity</v>
      </c>
    </row>
    <row r="643" spans="1:5" x14ac:dyDescent="0.3">
      <c r="A643" t="s">
        <v>8346</v>
      </c>
      <c r="B643" t="s">
        <v>8347</v>
      </c>
      <c r="C643" t="s">
        <v>6744</v>
      </c>
      <c r="D643" t="str" cm="1">
        <f t="array" ref="D643">TRANSPOSE(_xlfn._xlws.FILTER('Controllable Asset Registry'!$A$4:$A$764,IFERROR('Controllable Asset Registry'!$E$4:$E$764=A643,FALSE),"No Equipment in entity"))</f>
        <v>No Equipment in entity</v>
      </c>
    </row>
    <row r="644" spans="1:5" x14ac:dyDescent="0.3">
      <c r="A644" t="s">
        <v>8348</v>
      </c>
      <c r="B644" t="s">
        <v>8349</v>
      </c>
      <c r="C644" t="s">
        <v>6747</v>
      </c>
      <c r="D644" t="str" cm="1">
        <f t="array" ref="D644">TRANSPOSE(_xlfn._xlws.FILTER('Controllable Asset Registry'!$A$4:$A$764,IFERROR('Controllable Asset Registry'!$E$4:$E$764=A644,FALSE),"No Equipment in entity"))</f>
        <v>No Equipment in entity</v>
      </c>
    </row>
    <row r="645" spans="1:5" x14ac:dyDescent="0.3">
      <c r="A645" t="s">
        <v>8350</v>
      </c>
      <c r="B645" t="s">
        <v>8351</v>
      </c>
      <c r="C645" t="s">
        <v>6750</v>
      </c>
      <c r="D645" t="str" cm="1">
        <f t="array" ref="D645">TRANSPOSE(_xlfn._xlws.FILTER('Controllable Asset Registry'!$A$4:$A$764,IFERROR('Controllable Asset Registry'!$E$4:$E$764=A645,FALSE),"No Equipment in entity"))</f>
        <v>No Equipment in entity</v>
      </c>
    </row>
    <row r="646" spans="1:5" x14ac:dyDescent="0.3">
      <c r="A646" t="s">
        <v>8352</v>
      </c>
      <c r="B646" t="s">
        <v>8353</v>
      </c>
      <c r="C646" t="s">
        <v>6889</v>
      </c>
      <c r="D646" t="str" cm="1">
        <f t="array" ref="D646">TRANSPOSE(_xlfn._xlws.FILTER('Controllable Asset Registry'!$A$4:$A$764,IFERROR('Controllable Asset Registry'!$E$4:$E$764=A646,FALSE),"No Equipment in entity"))</f>
        <v>No Equipment in entity</v>
      </c>
    </row>
    <row r="647" spans="1:5" x14ac:dyDescent="0.3">
      <c r="A647" t="s">
        <v>8354</v>
      </c>
      <c r="B647" t="s">
        <v>8355</v>
      </c>
      <c r="C647" t="s">
        <v>6755</v>
      </c>
      <c r="D647" t="str" cm="1">
        <f t="array" ref="D647">TRANSPOSE(_xlfn._xlws.FILTER('Controllable Asset Registry'!$A$4:$A$764,IFERROR('Controllable Asset Registry'!$E$4:$E$764=A647,FALSE),"No Equipment in entity"))</f>
        <v>No Equipment in entity</v>
      </c>
    </row>
    <row r="648" spans="1:5" x14ac:dyDescent="0.3">
      <c r="A648" t="s">
        <v>8356</v>
      </c>
      <c r="B648" t="s">
        <v>8357</v>
      </c>
      <c r="C648" t="s">
        <v>6757</v>
      </c>
      <c r="D648" t="str" cm="1">
        <f t="array" ref="D648">TRANSPOSE(_xlfn._xlws.FILTER('Controllable Asset Registry'!$A$4:$A$764,IFERROR('Controllable Asset Registry'!$E$4:$E$764=A648,FALSE),"No Equipment in entity"))</f>
        <v>No Equipment in entity</v>
      </c>
    </row>
    <row r="649" spans="1:5" x14ac:dyDescent="0.3">
      <c r="A649" t="s">
        <v>8358</v>
      </c>
      <c r="B649" t="s">
        <v>8359</v>
      </c>
      <c r="C649" t="s">
        <v>6896</v>
      </c>
      <c r="D649" t="str" cm="1">
        <f t="array" ref="D649">TRANSPOSE(_xlfn._xlws.FILTER('Controllable Asset Registry'!$A$4:$A$764,IFERROR('Controllable Asset Registry'!$E$4:$E$764=A649,FALSE),"No Equipment in entity"))</f>
        <v>No Equipment in entity</v>
      </c>
    </row>
    <row r="650" spans="1:5" x14ac:dyDescent="0.3">
      <c r="A650" t="s">
        <v>8360</v>
      </c>
      <c r="B650" t="s">
        <v>8361</v>
      </c>
      <c r="C650" t="s">
        <v>6760</v>
      </c>
      <c r="D650" t="str" cm="1">
        <f t="array" ref="D650">TRANSPOSE(_xlfn._xlws.FILTER('Controllable Asset Registry'!$A$4:$A$764,IFERROR('Controllable Asset Registry'!$E$4:$E$764=A650,FALSE),"No Equipment in entity"))</f>
        <v>No Equipment in entity</v>
      </c>
    </row>
    <row r="651" spans="1:5" x14ac:dyDescent="0.3">
      <c r="A651" t="s">
        <v>6446</v>
      </c>
      <c r="B651" t="s">
        <v>7895</v>
      </c>
      <c r="C651" t="s">
        <v>7177</v>
      </c>
      <c r="D651" t="str" cm="1">
        <f t="array" ref="D651">TRANSPOSE(_xlfn._xlws.FILTER('Controllable Asset Registry'!$A$4:$A$764,IFERROR('Controllable Asset Registry'!$E$4:$E$764=A651,FALSE),"No Equipment in entity"))</f>
        <v>VAV0397</v>
      </c>
    </row>
    <row r="652" spans="1:5" x14ac:dyDescent="0.3">
      <c r="A652" t="s">
        <v>6447</v>
      </c>
      <c r="B652" t="s">
        <v>7896</v>
      </c>
      <c r="C652" t="s">
        <v>7178</v>
      </c>
      <c r="D652" t="str" cm="1">
        <f t="array" ref="D652:E652">TRANSPOSE(_xlfn._xlws.FILTER('Controllable Asset Registry'!$A$4:$A$764,IFERROR('Controllable Asset Registry'!$E$4:$E$764=A652,FALSE),"No Equipment in entity"))</f>
        <v>VAV0398</v>
      </c>
      <c r="E652" t="str">
        <v>VAV0400</v>
      </c>
    </row>
    <row r="653" spans="1:5" x14ac:dyDescent="0.3">
      <c r="A653" t="s">
        <v>6448</v>
      </c>
      <c r="B653" t="s">
        <v>7897</v>
      </c>
      <c r="C653" t="s">
        <v>7177</v>
      </c>
      <c r="D653" t="str" cm="1">
        <f t="array" ref="D653">TRANSPOSE(_xlfn._xlws.FILTER('Controllable Asset Registry'!$A$4:$A$764,IFERROR('Controllable Asset Registry'!$E$4:$E$764=A653,FALSE),"No Equipment in entity"))</f>
        <v>VAV0401</v>
      </c>
    </row>
    <row r="654" spans="1:5" x14ac:dyDescent="0.3">
      <c r="A654" t="s">
        <v>6449</v>
      </c>
      <c r="B654" t="s">
        <v>7898</v>
      </c>
      <c r="C654" t="s">
        <v>7177</v>
      </c>
      <c r="D654" t="str" cm="1">
        <f t="array" ref="D654">TRANSPOSE(_xlfn._xlws.FILTER('Controllable Asset Registry'!$A$4:$A$764,IFERROR('Controllable Asset Registry'!$E$4:$E$764=A654,FALSE),"No Equipment in entity"))</f>
        <v>VAV0402</v>
      </c>
    </row>
    <row r="655" spans="1:5" x14ac:dyDescent="0.3">
      <c r="A655" t="s">
        <v>6450</v>
      </c>
      <c r="B655" t="s">
        <v>7899</v>
      </c>
      <c r="C655" t="s">
        <v>7177</v>
      </c>
      <c r="D655" t="str" cm="1">
        <f t="array" ref="D655">TRANSPOSE(_xlfn._xlws.FILTER('Controllable Asset Registry'!$A$4:$A$764,IFERROR('Controllable Asset Registry'!$E$4:$E$764=A655,FALSE),"No Equipment in entity"))</f>
        <v>VAV0403</v>
      </c>
    </row>
    <row r="656" spans="1:5" x14ac:dyDescent="0.3">
      <c r="A656" t="s">
        <v>6451</v>
      </c>
      <c r="B656" t="s">
        <v>7900</v>
      </c>
      <c r="C656" t="s">
        <v>7177</v>
      </c>
      <c r="D656" t="str" cm="1">
        <f t="array" ref="D656">TRANSPOSE(_xlfn._xlws.FILTER('Controllable Asset Registry'!$A$4:$A$764,IFERROR('Controllable Asset Registry'!$E$4:$E$764=A656,FALSE),"No Equipment in entity"))</f>
        <v>VAV0404</v>
      </c>
    </row>
    <row r="657" spans="1:4" x14ac:dyDescent="0.3">
      <c r="A657" t="s">
        <v>6452</v>
      </c>
      <c r="B657" t="s">
        <v>7901</v>
      </c>
      <c r="C657" t="s">
        <v>7179</v>
      </c>
      <c r="D657" t="str" cm="1">
        <f t="array" ref="D657">TRANSPOSE(_xlfn._xlws.FILTER('Controllable Asset Registry'!$A$4:$A$764,IFERROR('Controllable Asset Registry'!$E$4:$E$764=A657,FALSE),"No Equipment in entity"))</f>
        <v>VAV0405</v>
      </c>
    </row>
    <row r="658" spans="1:4" x14ac:dyDescent="0.3">
      <c r="A658" t="s">
        <v>6453</v>
      </c>
      <c r="B658" t="s">
        <v>7902</v>
      </c>
      <c r="C658" t="s">
        <v>7179</v>
      </c>
      <c r="D658" t="str" cm="1">
        <f t="array" ref="D658">TRANSPOSE(_xlfn._xlws.FILTER('Controllable Asset Registry'!$A$4:$A$764,IFERROR('Controllable Asset Registry'!$E$4:$E$764=A658,FALSE),"No Equipment in entity"))</f>
        <v>VAV0406</v>
      </c>
    </row>
    <row r="659" spans="1:4" x14ac:dyDescent="0.3">
      <c r="A659" t="s">
        <v>6454</v>
      </c>
      <c r="B659" t="s">
        <v>7903</v>
      </c>
      <c r="C659" t="s">
        <v>7179</v>
      </c>
      <c r="D659" t="str" cm="1">
        <f t="array" ref="D659">TRANSPOSE(_xlfn._xlws.FILTER('Controllable Asset Registry'!$A$4:$A$764,IFERROR('Controllable Asset Registry'!$E$4:$E$764=A659,FALSE),"No Equipment in entity"))</f>
        <v>VAV0407</v>
      </c>
    </row>
    <row r="660" spans="1:4" x14ac:dyDescent="0.3">
      <c r="A660" t="s">
        <v>6455</v>
      </c>
      <c r="B660" t="s">
        <v>7904</v>
      </c>
      <c r="C660" t="s">
        <v>7179</v>
      </c>
      <c r="D660" t="str" cm="1">
        <f t="array" ref="D660">TRANSPOSE(_xlfn._xlws.FILTER('Controllable Asset Registry'!$A$4:$A$764,IFERROR('Controllable Asset Registry'!$E$4:$E$764=A660,FALSE),"No Equipment in entity"))</f>
        <v>VAV0408</v>
      </c>
    </row>
    <row r="661" spans="1:4" x14ac:dyDescent="0.3">
      <c r="A661" t="s">
        <v>6456</v>
      </c>
      <c r="B661" t="s">
        <v>7905</v>
      </c>
      <c r="C661" t="s">
        <v>7179</v>
      </c>
      <c r="D661" t="str" cm="1">
        <f t="array" ref="D661">TRANSPOSE(_xlfn._xlws.FILTER('Controllable Asset Registry'!$A$4:$A$764,IFERROR('Controllable Asset Registry'!$E$4:$E$764=A661,FALSE),"No Equipment in entity"))</f>
        <v>VAV0409</v>
      </c>
    </row>
    <row r="662" spans="1:4" x14ac:dyDescent="0.3">
      <c r="A662" t="s">
        <v>6457</v>
      </c>
      <c r="B662" t="s">
        <v>7906</v>
      </c>
      <c r="C662" t="s">
        <v>7179</v>
      </c>
      <c r="D662" t="str" cm="1">
        <f t="array" ref="D662">TRANSPOSE(_xlfn._xlws.FILTER('Controllable Asset Registry'!$A$4:$A$764,IFERROR('Controllable Asset Registry'!$E$4:$E$764=A662,FALSE),"No Equipment in entity"))</f>
        <v>VAV0410</v>
      </c>
    </row>
    <row r="663" spans="1:4" x14ac:dyDescent="0.3">
      <c r="A663" t="s">
        <v>6458</v>
      </c>
      <c r="B663" t="s">
        <v>7907</v>
      </c>
      <c r="C663" t="s">
        <v>7179</v>
      </c>
      <c r="D663" t="str" cm="1">
        <f t="array" ref="D663">TRANSPOSE(_xlfn._xlws.FILTER('Controllable Asset Registry'!$A$4:$A$764,IFERROR('Controllable Asset Registry'!$E$4:$E$764=A663,FALSE),"No Equipment in entity"))</f>
        <v>VAV0411</v>
      </c>
    </row>
    <row r="664" spans="1:4" x14ac:dyDescent="0.3">
      <c r="A664" t="s">
        <v>6459</v>
      </c>
      <c r="B664" t="s">
        <v>7908</v>
      </c>
      <c r="C664" t="s">
        <v>7179</v>
      </c>
      <c r="D664" t="str" cm="1">
        <f t="array" ref="D664">TRANSPOSE(_xlfn._xlws.FILTER('Controllable Asset Registry'!$A$4:$A$764,IFERROR('Controllable Asset Registry'!$E$4:$E$764=A664,FALSE),"No Equipment in entity"))</f>
        <v>VAV0412</v>
      </c>
    </row>
    <row r="665" spans="1:4" x14ac:dyDescent="0.3">
      <c r="A665" t="s">
        <v>6460</v>
      </c>
      <c r="B665" t="s">
        <v>7909</v>
      </c>
      <c r="C665" t="s">
        <v>7179</v>
      </c>
      <c r="D665" t="str" cm="1">
        <f t="array" ref="D665">TRANSPOSE(_xlfn._xlws.FILTER('Controllable Asset Registry'!$A$4:$A$764,IFERROR('Controllable Asset Registry'!$E$4:$E$764=A665,FALSE),"No Equipment in entity"))</f>
        <v>VAV0413</v>
      </c>
    </row>
    <row r="666" spans="1:4" x14ac:dyDescent="0.3">
      <c r="A666" t="s">
        <v>6461</v>
      </c>
      <c r="B666" t="s">
        <v>7910</v>
      </c>
      <c r="C666" t="s">
        <v>7179</v>
      </c>
      <c r="D666" t="str" cm="1">
        <f t="array" ref="D666">TRANSPOSE(_xlfn._xlws.FILTER('Controllable Asset Registry'!$A$4:$A$764,IFERROR('Controllable Asset Registry'!$E$4:$E$764=A666,FALSE),"No Equipment in entity"))</f>
        <v>VAV0414</v>
      </c>
    </row>
    <row r="667" spans="1:4" x14ac:dyDescent="0.3">
      <c r="A667" t="s">
        <v>6425</v>
      </c>
      <c r="B667" t="s">
        <v>7911</v>
      </c>
      <c r="C667" t="s">
        <v>7180</v>
      </c>
      <c r="D667" t="str" cm="1">
        <f t="array" ref="D667">TRANSPOSE(_xlfn._xlws.FILTER('Controllable Asset Registry'!$A$4:$A$764,IFERROR('Controllable Asset Registry'!$E$4:$E$764=A667,FALSE),"No Equipment in entity"))</f>
        <v>VAV0373</v>
      </c>
    </row>
    <row r="668" spans="1:4" x14ac:dyDescent="0.3">
      <c r="A668" t="s">
        <v>6426</v>
      </c>
      <c r="B668" t="s">
        <v>7912</v>
      </c>
      <c r="C668" t="s">
        <v>7181</v>
      </c>
      <c r="D668" t="str" cm="1">
        <f t="array" ref="D668">TRANSPOSE(_xlfn._xlws.FILTER('Controllable Asset Registry'!$A$4:$A$764,IFERROR('Controllable Asset Registry'!$E$4:$E$764=A668,FALSE),"No Equipment in entity"))</f>
        <v>VAV0374</v>
      </c>
    </row>
    <row r="669" spans="1:4" x14ac:dyDescent="0.3">
      <c r="A669" t="s">
        <v>6427</v>
      </c>
      <c r="B669" t="s">
        <v>7913</v>
      </c>
      <c r="C669" t="s">
        <v>7182</v>
      </c>
      <c r="D669" t="str" cm="1">
        <f t="array" ref="D669">TRANSPOSE(_xlfn._xlws.FILTER('Controllable Asset Registry'!$A$4:$A$764,IFERROR('Controllable Asset Registry'!$E$4:$E$764=A669,FALSE),"No Equipment in entity"))</f>
        <v>VAV0375</v>
      </c>
    </row>
    <row r="670" spans="1:4" x14ac:dyDescent="0.3">
      <c r="A670" t="s">
        <v>6428</v>
      </c>
      <c r="B670" t="s">
        <v>7914</v>
      </c>
      <c r="C670" t="s">
        <v>7183</v>
      </c>
      <c r="D670" t="str" cm="1">
        <f t="array" ref="D670">TRANSPOSE(_xlfn._xlws.FILTER('Controllable Asset Registry'!$A$4:$A$764,IFERROR('Controllable Asset Registry'!$E$4:$E$764=A670,FALSE),"No Equipment in entity"))</f>
        <v>VAV0376</v>
      </c>
    </row>
    <row r="671" spans="1:4" x14ac:dyDescent="0.3">
      <c r="A671" t="s">
        <v>6429</v>
      </c>
      <c r="B671" t="s">
        <v>7915</v>
      </c>
      <c r="C671" t="s">
        <v>7183</v>
      </c>
      <c r="D671" t="str" cm="1">
        <f t="array" ref="D671">TRANSPOSE(_xlfn._xlws.FILTER('Controllable Asset Registry'!$A$4:$A$764,IFERROR('Controllable Asset Registry'!$E$4:$E$764=A671,FALSE),"No Equipment in entity"))</f>
        <v>VAV0377</v>
      </c>
    </row>
    <row r="672" spans="1:4" x14ac:dyDescent="0.3">
      <c r="A672" t="s">
        <v>6430</v>
      </c>
      <c r="B672" t="s">
        <v>7916</v>
      </c>
      <c r="C672" t="s">
        <v>7183</v>
      </c>
      <c r="D672" t="str" cm="1">
        <f t="array" ref="D672">TRANSPOSE(_xlfn._xlws.FILTER('Controllable Asset Registry'!$A$4:$A$764,IFERROR('Controllable Asset Registry'!$E$4:$E$764=A672,FALSE),"No Equipment in entity"))</f>
        <v>VAV0378</v>
      </c>
    </row>
    <row r="673" spans="1:5" x14ac:dyDescent="0.3">
      <c r="A673" t="s">
        <v>6431</v>
      </c>
      <c r="B673" t="s">
        <v>7917</v>
      </c>
      <c r="C673" t="s">
        <v>7183</v>
      </c>
      <c r="D673" t="str" cm="1">
        <f t="array" ref="D673">TRANSPOSE(_xlfn._xlws.FILTER('Controllable Asset Registry'!$A$4:$A$764,IFERROR('Controllable Asset Registry'!$E$4:$E$764=A673,FALSE),"No Equipment in entity"))</f>
        <v>VAV0379</v>
      </c>
    </row>
    <row r="674" spans="1:5" x14ac:dyDescent="0.3">
      <c r="A674" t="s">
        <v>6432</v>
      </c>
      <c r="B674" t="s">
        <v>7918</v>
      </c>
      <c r="C674" t="s">
        <v>7183</v>
      </c>
      <c r="D674" t="str" cm="1">
        <f t="array" ref="D674">TRANSPOSE(_xlfn._xlws.FILTER('Controllable Asset Registry'!$A$4:$A$764,IFERROR('Controllable Asset Registry'!$E$4:$E$764=A674,FALSE),"No Equipment in entity"))</f>
        <v>VAV0380</v>
      </c>
    </row>
    <row r="675" spans="1:5" x14ac:dyDescent="0.3">
      <c r="A675" t="s">
        <v>6433</v>
      </c>
      <c r="B675" t="s">
        <v>7919</v>
      </c>
      <c r="C675" t="s">
        <v>7183</v>
      </c>
      <c r="D675" t="str" cm="1">
        <f t="array" ref="D675">TRANSPOSE(_xlfn._xlws.FILTER('Controllable Asset Registry'!$A$4:$A$764,IFERROR('Controllable Asset Registry'!$E$4:$E$764=A675,FALSE),"No Equipment in entity"))</f>
        <v>VAV0381</v>
      </c>
    </row>
    <row r="676" spans="1:5" x14ac:dyDescent="0.3">
      <c r="A676" t="s">
        <v>6434</v>
      </c>
      <c r="B676" t="s">
        <v>7920</v>
      </c>
      <c r="C676" t="s">
        <v>7183</v>
      </c>
      <c r="D676" t="str" cm="1">
        <f t="array" ref="D676">TRANSPOSE(_xlfn._xlws.FILTER('Controllable Asset Registry'!$A$4:$A$764,IFERROR('Controllable Asset Registry'!$E$4:$E$764=A676,FALSE),"No Equipment in entity"))</f>
        <v>VAV0382</v>
      </c>
    </row>
    <row r="677" spans="1:5" x14ac:dyDescent="0.3">
      <c r="A677" t="s">
        <v>6435</v>
      </c>
      <c r="B677" t="s">
        <v>7921</v>
      </c>
      <c r="C677" t="s">
        <v>7183</v>
      </c>
      <c r="D677" t="str" cm="1">
        <f t="array" ref="D677">TRANSPOSE(_xlfn._xlws.FILTER('Controllable Asset Registry'!$A$4:$A$764,IFERROR('Controllable Asset Registry'!$E$4:$E$764=A677,FALSE),"No Equipment in entity"))</f>
        <v>VAV0383</v>
      </c>
    </row>
    <row r="678" spans="1:5" x14ac:dyDescent="0.3">
      <c r="A678" t="s">
        <v>6436</v>
      </c>
      <c r="B678" t="s">
        <v>7922</v>
      </c>
      <c r="C678" t="s">
        <v>7183</v>
      </c>
      <c r="D678" t="str" cm="1">
        <f t="array" ref="D678">TRANSPOSE(_xlfn._xlws.FILTER('Controllable Asset Registry'!$A$4:$A$764,IFERROR('Controllable Asset Registry'!$E$4:$E$764=A678,FALSE),"No Equipment in entity"))</f>
        <v>VAV0384</v>
      </c>
    </row>
    <row r="679" spans="1:5" x14ac:dyDescent="0.3">
      <c r="A679" t="s">
        <v>6437</v>
      </c>
      <c r="B679" t="s">
        <v>7923</v>
      </c>
      <c r="C679" t="s">
        <v>7022</v>
      </c>
      <c r="D679" t="str" cm="1">
        <f t="array" ref="D679:E679">TRANSPOSE(_xlfn._xlws.FILTER('Controllable Asset Registry'!$A$4:$A$764,IFERROR('Controllable Asset Registry'!$E$4:$E$764=A679,FALSE),"No Equipment in entity"))</f>
        <v>VAV0385</v>
      </c>
      <c r="E679" t="str">
        <v>VAV0386</v>
      </c>
    </row>
    <row r="680" spans="1:5" x14ac:dyDescent="0.3">
      <c r="A680" t="s">
        <v>6438</v>
      </c>
      <c r="B680" t="s">
        <v>7924</v>
      </c>
      <c r="C680" t="s">
        <v>6948</v>
      </c>
      <c r="D680" t="str" cm="1">
        <f t="array" ref="D680">TRANSPOSE(_xlfn._xlws.FILTER('Controllable Asset Registry'!$A$4:$A$764,IFERROR('Controllable Asset Registry'!$E$4:$E$764=A680,FALSE),"No Equipment in entity"))</f>
        <v>VAV0387</v>
      </c>
    </row>
    <row r="681" spans="1:5" x14ac:dyDescent="0.3">
      <c r="A681" t="s">
        <v>6441</v>
      </c>
      <c r="B681" t="s">
        <v>7925</v>
      </c>
      <c r="C681" t="s">
        <v>6948</v>
      </c>
      <c r="D681" t="str" cm="1">
        <f t="array" ref="D681:E681">TRANSPOSE(_xlfn._xlws.FILTER('Controllable Asset Registry'!$A$4:$A$764,IFERROR('Controllable Asset Registry'!$E$4:$E$764=A681,FALSE),"No Equipment in entity"))</f>
        <v>VAV0391</v>
      </c>
      <c r="E681" t="str">
        <v>VAV0392</v>
      </c>
    </row>
    <row r="682" spans="1:5" x14ac:dyDescent="0.3">
      <c r="A682" t="s">
        <v>6100</v>
      </c>
      <c r="B682" t="s">
        <v>7926</v>
      </c>
      <c r="C682" t="s">
        <v>6917</v>
      </c>
      <c r="D682" t="str" cm="1">
        <f t="array" ref="D682">TRANSPOSE(_xlfn._xlws.FILTER('Controllable Asset Registry'!$A$4:$A$764,IFERROR('Controllable Asset Registry'!$E$4:$E$764=A682,FALSE),"No Equipment in entity"))</f>
        <v>FCU0107</v>
      </c>
    </row>
    <row r="683" spans="1:5" x14ac:dyDescent="0.3">
      <c r="A683" t="s">
        <v>6445</v>
      </c>
      <c r="B683" t="s">
        <v>7927</v>
      </c>
      <c r="C683" t="s">
        <v>7181</v>
      </c>
      <c r="D683" t="str" cm="1">
        <f t="array" ref="D683">TRANSPOSE(_xlfn._xlws.FILTER('Controllable Asset Registry'!$A$4:$A$764,IFERROR('Controllable Asset Registry'!$E$4:$E$764=A683,FALSE),"No Equipment in entity"))</f>
        <v>VAV0396</v>
      </c>
    </row>
    <row r="684" spans="1:5" x14ac:dyDescent="0.3">
      <c r="A684" t="s">
        <v>6444</v>
      </c>
      <c r="B684" t="s">
        <v>7928</v>
      </c>
      <c r="C684" t="s">
        <v>7181</v>
      </c>
      <c r="D684" t="str" cm="1">
        <f t="array" ref="D684">TRANSPOSE(_xlfn._xlws.FILTER('Controllable Asset Registry'!$A$4:$A$764,IFERROR('Controllable Asset Registry'!$E$4:$E$764=A684,FALSE),"No Equipment in entity"))</f>
        <v>VAV0395</v>
      </c>
    </row>
    <row r="685" spans="1:5" x14ac:dyDescent="0.3">
      <c r="A685" t="s">
        <v>6101</v>
      </c>
      <c r="B685" t="s">
        <v>7929</v>
      </c>
      <c r="C685" t="s">
        <v>6917</v>
      </c>
      <c r="D685" t="str" cm="1">
        <f t="array" ref="D685">TRANSPOSE(_xlfn._xlws.FILTER('Controllable Asset Registry'!$A$4:$A$764,IFERROR('Controllable Asset Registry'!$E$4:$E$764=A685,FALSE),"No Equipment in entity"))</f>
        <v>FCU0108</v>
      </c>
    </row>
    <row r="686" spans="1:5" x14ac:dyDescent="0.3">
      <c r="A686" t="s">
        <v>6443</v>
      </c>
      <c r="B686" t="s">
        <v>7930</v>
      </c>
      <c r="C686" t="s">
        <v>7181</v>
      </c>
      <c r="D686" t="str" cm="1">
        <f t="array" ref="D686">TRANSPOSE(_xlfn._xlws.FILTER('Controllable Asset Registry'!$A$4:$A$764,IFERROR('Controllable Asset Registry'!$E$4:$E$764=A686,FALSE),"No Equipment in entity"))</f>
        <v>VAV0394</v>
      </c>
    </row>
    <row r="687" spans="1:5" x14ac:dyDescent="0.3">
      <c r="A687" t="s">
        <v>6442</v>
      </c>
      <c r="B687" t="s">
        <v>7931</v>
      </c>
      <c r="C687" t="s">
        <v>5973</v>
      </c>
      <c r="D687" t="str" cm="1">
        <f t="array" ref="D687">TRANSPOSE(_xlfn._xlws.FILTER('Controllable Asset Registry'!$A$4:$A$764,IFERROR('Controllable Asset Registry'!$E$4:$E$764=A687,FALSE),"No Equipment in entity"))</f>
        <v>VAV0393</v>
      </c>
    </row>
    <row r="688" spans="1:5" x14ac:dyDescent="0.3">
      <c r="A688" t="s">
        <v>7184</v>
      </c>
      <c r="B688" t="s">
        <v>7932</v>
      </c>
      <c r="C688" t="s">
        <v>6788</v>
      </c>
      <c r="D688" t="str" cm="1">
        <f t="array" ref="D688">TRANSPOSE(_xlfn._xlws.FILTER('Controllable Asset Registry'!$A$4:$A$764,IFERROR('Controllable Asset Registry'!$E$4:$E$764=A688,FALSE),"No Equipment in entity"))</f>
        <v>No Equipment in entity</v>
      </c>
    </row>
    <row r="689" spans="1:5" x14ac:dyDescent="0.3">
      <c r="A689" t="s">
        <v>7185</v>
      </c>
      <c r="B689" t="s">
        <v>7933</v>
      </c>
      <c r="C689" t="s">
        <v>6946</v>
      </c>
      <c r="D689" t="str" cm="1">
        <f t="array" ref="D689">TRANSPOSE(_xlfn._xlws.FILTER('Controllable Asset Registry'!$A$4:$A$764,IFERROR('Controllable Asset Registry'!$E$4:$E$764=A689,FALSE),"No Equipment in entity"))</f>
        <v>No Equipment in entity</v>
      </c>
    </row>
    <row r="690" spans="1:5" x14ac:dyDescent="0.3">
      <c r="A690" t="s">
        <v>7186</v>
      </c>
      <c r="B690" t="s">
        <v>7934</v>
      </c>
      <c r="C690" t="s">
        <v>6695</v>
      </c>
      <c r="D690" t="str" cm="1">
        <f t="array" ref="D690">TRANSPOSE(_xlfn._xlws.FILTER('Controllable Asset Registry'!$A$4:$A$764,IFERROR('Controllable Asset Registry'!$E$4:$E$764=A690,FALSE),"No Equipment in entity"))</f>
        <v>No Equipment in entity</v>
      </c>
    </row>
    <row r="691" spans="1:5" x14ac:dyDescent="0.3">
      <c r="A691" t="s">
        <v>7187</v>
      </c>
      <c r="B691" t="s">
        <v>7935</v>
      </c>
      <c r="C691" t="s">
        <v>5839</v>
      </c>
      <c r="D691" t="str" cm="1">
        <f t="array" ref="D691">TRANSPOSE(_xlfn._xlws.FILTER('Controllable Asset Registry'!$A$4:$A$764,IFERROR('Controllable Asset Registry'!$E$4:$E$764=A691,FALSE),"No Equipment in entity"))</f>
        <v>No Equipment in entity</v>
      </c>
    </row>
    <row r="692" spans="1:5" x14ac:dyDescent="0.3">
      <c r="A692" t="s">
        <v>6462</v>
      </c>
      <c r="B692" t="s">
        <v>7936</v>
      </c>
      <c r="C692" t="s">
        <v>7188</v>
      </c>
      <c r="D692" t="str" cm="1">
        <f t="array" ref="D692">TRANSPOSE(_xlfn._xlws.FILTER('Controllable Asset Registry'!$A$4:$A$764,IFERROR('Controllable Asset Registry'!$E$4:$E$764=A692,FALSE),"No Equipment in entity"))</f>
        <v>VAV0415</v>
      </c>
    </row>
    <row r="693" spans="1:5" x14ac:dyDescent="0.3">
      <c r="A693" t="s">
        <v>6463</v>
      </c>
      <c r="B693" t="s">
        <v>7937</v>
      </c>
      <c r="C693" t="s">
        <v>7189</v>
      </c>
      <c r="D693" t="str" cm="1">
        <f t="array" ref="D693">TRANSPOSE(_xlfn._xlws.FILTER('Controllable Asset Registry'!$A$4:$A$764,IFERROR('Controllable Asset Registry'!$E$4:$E$764=A693,FALSE),"No Equipment in entity"))</f>
        <v>VAV0416</v>
      </c>
    </row>
    <row r="694" spans="1:5" x14ac:dyDescent="0.3">
      <c r="A694" t="s">
        <v>7190</v>
      </c>
      <c r="B694" t="s">
        <v>7938</v>
      </c>
      <c r="C694" t="s">
        <v>6788</v>
      </c>
      <c r="D694" t="str" cm="1">
        <f t="array" ref="D694">TRANSPOSE(_xlfn._xlws.FILTER('Controllable Asset Registry'!$A$4:$A$764,IFERROR('Controllable Asset Registry'!$E$4:$E$764=A694,FALSE),"No Equipment in entity"))</f>
        <v>No Equipment in entity</v>
      </c>
    </row>
    <row r="695" spans="1:5" x14ac:dyDescent="0.3">
      <c r="A695" t="s">
        <v>6464</v>
      </c>
      <c r="B695" t="s">
        <v>7939</v>
      </c>
      <c r="C695" t="s">
        <v>7189</v>
      </c>
      <c r="D695" t="str" cm="1">
        <f t="array" ref="D695:E695">TRANSPOSE(_xlfn._xlws.FILTER('Controllable Asset Registry'!$A$4:$A$764,IFERROR('Controllable Asset Registry'!$E$4:$E$764=A695,FALSE),"No Equipment in entity"))</f>
        <v>VAV0417</v>
      </c>
      <c r="E695" t="str">
        <v>VAV0418</v>
      </c>
    </row>
    <row r="696" spans="1:5" x14ac:dyDescent="0.3">
      <c r="A696" t="s">
        <v>6465</v>
      </c>
      <c r="B696" t="s">
        <v>7940</v>
      </c>
      <c r="C696" t="s">
        <v>7189</v>
      </c>
      <c r="D696" t="str" cm="1">
        <f t="array" ref="D696:E696">TRANSPOSE(_xlfn._xlws.FILTER('Controllable Asset Registry'!$A$4:$A$764,IFERROR('Controllable Asset Registry'!$E$4:$E$764=A696,FALSE),"No Equipment in entity"))</f>
        <v>VAV0419</v>
      </c>
      <c r="E696" t="str">
        <v>VAV0420</v>
      </c>
    </row>
    <row r="697" spans="1:5" x14ac:dyDescent="0.3">
      <c r="A697" t="s">
        <v>7191</v>
      </c>
      <c r="B697" t="s">
        <v>7941</v>
      </c>
      <c r="C697" t="s">
        <v>7189</v>
      </c>
      <c r="D697" t="str" cm="1">
        <f t="array" ref="D697">TRANSPOSE(_xlfn._xlws.FILTER('Controllable Asset Registry'!$A$4:$A$764,IFERROR('Controllable Asset Registry'!$E$4:$E$764=A697,FALSE),"No Equipment in entity"))</f>
        <v>No Equipment in entity</v>
      </c>
    </row>
    <row r="698" spans="1:5" x14ac:dyDescent="0.3">
      <c r="A698" t="s">
        <v>7192</v>
      </c>
      <c r="B698" t="s">
        <v>7942</v>
      </c>
      <c r="C698" t="s">
        <v>7189</v>
      </c>
      <c r="D698" t="str" cm="1">
        <f t="array" ref="D698">TRANSPOSE(_xlfn._xlws.FILTER('Controllable Asset Registry'!$A$4:$A$764,IFERROR('Controllable Asset Registry'!$E$4:$E$764=A698,FALSE),"No Equipment in entity"))</f>
        <v>No Equipment in entity</v>
      </c>
    </row>
    <row r="699" spans="1:5" x14ac:dyDescent="0.3">
      <c r="A699" t="s">
        <v>6466</v>
      </c>
      <c r="B699" t="s">
        <v>7943</v>
      </c>
      <c r="C699" t="s">
        <v>7193</v>
      </c>
      <c r="D699" t="str" cm="1">
        <f t="array" ref="D699">TRANSPOSE(_xlfn._xlws.FILTER('Controllable Asset Registry'!$A$4:$A$764,IFERROR('Controllable Asset Registry'!$E$4:$E$764=A699,FALSE),"No Equipment in entity"))</f>
        <v>VAV0421</v>
      </c>
    </row>
    <row r="700" spans="1:5" x14ac:dyDescent="0.3">
      <c r="A700" t="s">
        <v>6468</v>
      </c>
      <c r="B700" t="s">
        <v>7944</v>
      </c>
      <c r="C700" t="s">
        <v>7194</v>
      </c>
      <c r="D700" t="str" cm="1">
        <f t="array" ref="D700">TRANSPOSE(_xlfn._xlws.FILTER('Controllable Asset Registry'!$A$4:$A$764,IFERROR('Controllable Asset Registry'!$E$4:$E$764=A700,FALSE),"No Equipment in entity"))</f>
        <v>VAV0423</v>
      </c>
    </row>
    <row r="701" spans="1:5" x14ac:dyDescent="0.3">
      <c r="A701" t="s">
        <v>6469</v>
      </c>
      <c r="B701" t="s">
        <v>7945</v>
      </c>
      <c r="C701" t="s">
        <v>7194</v>
      </c>
      <c r="D701" t="str" cm="1">
        <f t="array" ref="D701">TRANSPOSE(_xlfn._xlws.FILTER('Controllable Asset Registry'!$A$4:$A$764,IFERROR('Controllable Asset Registry'!$E$4:$E$764=A701,FALSE),"No Equipment in entity"))</f>
        <v>VAV0424</v>
      </c>
    </row>
    <row r="702" spans="1:5" x14ac:dyDescent="0.3">
      <c r="A702" t="s">
        <v>6470</v>
      </c>
      <c r="B702" t="s">
        <v>7946</v>
      </c>
      <c r="C702" t="s">
        <v>7195</v>
      </c>
      <c r="D702" t="str" cm="1">
        <f t="array" ref="D702">TRANSPOSE(_xlfn._xlws.FILTER('Controllable Asset Registry'!$A$4:$A$764,IFERROR('Controllable Asset Registry'!$E$4:$E$764=A702,FALSE),"No Equipment in entity"))</f>
        <v>VAV0425</v>
      </c>
    </row>
    <row r="703" spans="1:5" x14ac:dyDescent="0.3">
      <c r="A703" t="s">
        <v>6471</v>
      </c>
      <c r="B703" t="s">
        <v>7947</v>
      </c>
      <c r="C703" t="s">
        <v>7196</v>
      </c>
      <c r="D703" t="str" cm="1">
        <f t="array" ref="D703">TRANSPOSE(_xlfn._xlws.FILTER('Controllable Asset Registry'!$A$4:$A$764,IFERROR('Controllable Asset Registry'!$E$4:$E$764=A703,FALSE),"No Equipment in entity"))</f>
        <v>VAV0426</v>
      </c>
    </row>
    <row r="704" spans="1:5" x14ac:dyDescent="0.3">
      <c r="A704" t="s">
        <v>6472</v>
      </c>
      <c r="B704" t="s">
        <v>7948</v>
      </c>
      <c r="C704" t="s">
        <v>7197</v>
      </c>
      <c r="D704" t="str" cm="1">
        <f t="array" ref="D704">TRANSPOSE(_xlfn._xlws.FILTER('Controllable Asset Registry'!$A$4:$A$764,IFERROR('Controllable Asset Registry'!$E$4:$E$764=A704,FALSE),"No Equipment in entity"))</f>
        <v>VAV0427</v>
      </c>
    </row>
    <row r="705" spans="1:5" x14ac:dyDescent="0.3">
      <c r="A705" t="s">
        <v>6473</v>
      </c>
      <c r="B705" t="s">
        <v>7949</v>
      </c>
      <c r="C705" t="s">
        <v>7198</v>
      </c>
      <c r="D705" t="str" cm="1">
        <f t="array" ref="D705">TRANSPOSE(_xlfn._xlws.FILTER('Controllable Asset Registry'!$A$4:$A$764,IFERROR('Controllable Asset Registry'!$E$4:$E$764=A705,FALSE),"No Equipment in entity"))</f>
        <v>VAV0428</v>
      </c>
    </row>
    <row r="706" spans="1:5" x14ac:dyDescent="0.3">
      <c r="A706" t="s">
        <v>6474</v>
      </c>
      <c r="B706" t="s">
        <v>7950</v>
      </c>
      <c r="C706" t="s">
        <v>7199</v>
      </c>
      <c r="D706" t="str" cm="1">
        <f t="array" ref="D706">TRANSPOSE(_xlfn._xlws.FILTER('Controllable Asset Registry'!$A$4:$A$764,IFERROR('Controllable Asset Registry'!$E$4:$E$764=A706,FALSE),"No Equipment in entity"))</f>
        <v>VAV0429</v>
      </c>
    </row>
    <row r="707" spans="1:5" x14ac:dyDescent="0.3">
      <c r="A707" t="s">
        <v>7200</v>
      </c>
      <c r="B707" t="s">
        <v>7951</v>
      </c>
      <c r="C707" t="s">
        <v>6709</v>
      </c>
      <c r="D707" t="str" cm="1">
        <f t="array" ref="D707">TRANSPOSE(_xlfn._xlws.FILTER('Controllable Asset Registry'!$A$4:$A$764,IFERROR('Controllable Asset Registry'!$E$4:$E$764=A707,FALSE),"No Equipment in entity"))</f>
        <v>No Equipment in entity</v>
      </c>
    </row>
    <row r="708" spans="1:5" x14ac:dyDescent="0.3">
      <c r="A708" t="s">
        <v>7201</v>
      </c>
      <c r="B708" t="s">
        <v>7952</v>
      </c>
      <c r="C708" t="s">
        <v>6706</v>
      </c>
      <c r="D708" t="str" cm="1">
        <f t="array" ref="D708">TRANSPOSE(_xlfn._xlws.FILTER('Controllable Asset Registry'!$A$4:$A$764,IFERROR('Controllable Asset Registry'!$E$4:$E$764=A708,FALSE),"No Equipment in entity"))</f>
        <v>No Equipment in entity</v>
      </c>
    </row>
    <row r="709" spans="1:5" x14ac:dyDescent="0.3">
      <c r="A709" t="s">
        <v>7202</v>
      </c>
      <c r="B709" t="s">
        <v>7953</v>
      </c>
      <c r="C709" t="s">
        <v>6706</v>
      </c>
      <c r="D709" t="str" cm="1">
        <f t="array" ref="D709">TRANSPOSE(_xlfn._xlws.FILTER('Controllable Asset Registry'!$A$4:$A$764,IFERROR('Controllable Asset Registry'!$E$4:$E$764=A709,FALSE),"No Equipment in entity"))</f>
        <v>No Equipment in entity</v>
      </c>
    </row>
    <row r="710" spans="1:5" x14ac:dyDescent="0.3">
      <c r="A710" t="s">
        <v>7203</v>
      </c>
      <c r="B710" t="s">
        <v>7954</v>
      </c>
      <c r="C710" t="s">
        <v>6709</v>
      </c>
      <c r="D710" t="str" cm="1">
        <f t="array" ref="D710">TRANSPOSE(_xlfn._xlws.FILTER('Controllable Asset Registry'!$A$4:$A$764,IFERROR('Controllable Asset Registry'!$E$4:$E$764=A710,FALSE),"No Equipment in entity"))</f>
        <v>No Equipment in entity</v>
      </c>
    </row>
    <row r="711" spans="1:5" x14ac:dyDescent="0.3">
      <c r="A711" t="s">
        <v>7204</v>
      </c>
      <c r="B711" t="s">
        <v>7955</v>
      </c>
      <c r="C711" t="s">
        <v>6706</v>
      </c>
      <c r="D711" t="str" cm="1">
        <f t="array" ref="D711">TRANSPOSE(_xlfn._xlws.FILTER('Controllable Asset Registry'!$A$4:$A$764,IFERROR('Controllable Asset Registry'!$E$4:$E$764=A711,FALSE),"No Equipment in entity"))</f>
        <v>No Equipment in entity</v>
      </c>
    </row>
    <row r="712" spans="1:5" x14ac:dyDescent="0.3">
      <c r="A712" t="s">
        <v>7205</v>
      </c>
      <c r="B712" t="s">
        <v>7956</v>
      </c>
      <c r="C712" t="s">
        <v>6709</v>
      </c>
      <c r="D712" t="str" cm="1">
        <f t="array" ref="D712">TRANSPOSE(_xlfn._xlws.FILTER('Controllable Asset Registry'!$A$4:$A$764,IFERROR('Controllable Asset Registry'!$E$4:$E$764=A712,FALSE),"No Equipment in entity"))</f>
        <v>No Equipment in entity</v>
      </c>
    </row>
    <row r="713" spans="1:5" x14ac:dyDescent="0.3">
      <c r="A713" t="s">
        <v>7206</v>
      </c>
      <c r="B713" t="s">
        <v>7957</v>
      </c>
      <c r="C713" t="s">
        <v>5842</v>
      </c>
      <c r="D713" t="str" cm="1">
        <f t="array" ref="D713">TRANSPOSE(_xlfn._xlws.FILTER('Controllable Asset Registry'!$A$4:$A$764,IFERROR('Controllable Asset Registry'!$E$4:$E$764=A713,FALSE),"No Equipment in entity"))</f>
        <v>No Equipment in entity</v>
      </c>
    </row>
    <row r="714" spans="1:5" x14ac:dyDescent="0.3">
      <c r="A714" t="s">
        <v>7207</v>
      </c>
      <c r="B714" t="s">
        <v>7958</v>
      </c>
      <c r="C714" t="s">
        <v>5842</v>
      </c>
      <c r="D714" t="str" cm="1">
        <f t="array" ref="D714">TRANSPOSE(_xlfn._xlws.FILTER('Controllable Asset Registry'!$A$4:$A$764,IFERROR('Controllable Asset Registry'!$E$4:$E$764=A714,FALSE),"No Equipment in entity"))</f>
        <v>No Equipment in entity</v>
      </c>
    </row>
    <row r="715" spans="1:5" x14ac:dyDescent="0.3">
      <c r="A715" t="s">
        <v>7208</v>
      </c>
      <c r="B715" t="s">
        <v>7959</v>
      </c>
      <c r="C715" t="s">
        <v>5842</v>
      </c>
      <c r="D715" t="str" cm="1">
        <f t="array" ref="D715">TRANSPOSE(_xlfn._xlws.FILTER('Controllable Asset Registry'!$A$4:$A$764,IFERROR('Controllable Asset Registry'!$E$4:$E$764=A715,FALSE),"No Equipment in entity"))</f>
        <v>No Equipment in entity</v>
      </c>
    </row>
    <row r="716" spans="1:5" x14ac:dyDescent="0.3">
      <c r="A716" t="s">
        <v>7209</v>
      </c>
      <c r="B716" t="s">
        <v>7960</v>
      </c>
      <c r="C716" t="s">
        <v>5839</v>
      </c>
      <c r="D716" t="str" cm="1">
        <f t="array" ref="D716">TRANSPOSE(_xlfn._xlws.FILTER('Controllable Asset Registry'!$A$4:$A$764,IFERROR('Controllable Asset Registry'!$E$4:$E$764=A716,FALSE),"No Equipment in entity"))</f>
        <v>No Equipment in entity</v>
      </c>
    </row>
    <row r="717" spans="1:5" x14ac:dyDescent="0.3">
      <c r="A717" t="s">
        <v>6099</v>
      </c>
      <c r="B717" t="s">
        <v>7961</v>
      </c>
      <c r="C717" t="s">
        <v>6715</v>
      </c>
      <c r="D717" t="str" cm="1">
        <f t="array" ref="D717">TRANSPOSE(_xlfn._xlws.FILTER('Controllable Asset Registry'!$A$4:$A$764,IFERROR('Controllable Asset Registry'!$E$4:$E$764=A717,FALSE),"No Equipment in entity"))</f>
        <v>FCU0106</v>
      </c>
    </row>
    <row r="718" spans="1:5" x14ac:dyDescent="0.3">
      <c r="A718" t="s">
        <v>6098</v>
      </c>
      <c r="B718" t="s">
        <v>7962</v>
      </c>
      <c r="C718" t="s">
        <v>6715</v>
      </c>
      <c r="D718" t="str" cm="1">
        <f t="array" ref="D718:E718">TRANSPOSE(_xlfn._xlws.FILTER('Controllable Asset Registry'!$A$4:$A$764,IFERROR('Controllable Asset Registry'!$E$4:$E$764=A718,FALSE),"No Equipment in entity"))</f>
        <v>FCU0104</v>
      </c>
      <c r="E718" t="str">
        <v>FCU0105</v>
      </c>
    </row>
    <row r="719" spans="1:5" x14ac:dyDescent="0.3">
      <c r="A719" t="s">
        <v>7210</v>
      </c>
      <c r="B719" t="s">
        <v>7963</v>
      </c>
      <c r="C719" t="s">
        <v>7100</v>
      </c>
      <c r="D719" t="str" cm="1">
        <f t="array" ref="D719">TRANSPOSE(_xlfn._xlws.FILTER('Controllable Asset Registry'!$A$4:$A$764,IFERROR('Controllable Asset Registry'!$E$4:$E$764=A719,FALSE),"No Equipment in entity"))</f>
        <v>No Equipment in entity</v>
      </c>
    </row>
    <row r="720" spans="1:5" x14ac:dyDescent="0.3">
      <c r="A720" t="s">
        <v>7211</v>
      </c>
      <c r="B720" t="s">
        <v>7964</v>
      </c>
      <c r="C720" t="s">
        <v>6860</v>
      </c>
      <c r="D720" t="str" cm="1">
        <f t="array" ref="D720">TRANSPOSE(_xlfn._xlws.FILTER('Controllable Asset Registry'!$A$4:$A$764,IFERROR('Controllable Asset Registry'!$E$4:$E$764=A720,FALSE),"No Equipment in entity"))</f>
        <v>No Equipment in entity</v>
      </c>
    </row>
    <row r="721" spans="1:8" x14ac:dyDescent="0.3">
      <c r="A721" t="s">
        <v>7212</v>
      </c>
      <c r="B721" t="s">
        <v>7965</v>
      </c>
      <c r="C721" t="s">
        <v>5839</v>
      </c>
      <c r="D721" t="str" cm="1">
        <f t="array" ref="D721">TRANSPOSE(_xlfn._xlws.FILTER('Controllable Asset Registry'!$A$4:$A$764,IFERROR('Controllable Asset Registry'!$E$4:$E$764=A721,FALSE),"No Equipment in entity"))</f>
        <v>No Equipment in entity</v>
      </c>
    </row>
    <row r="722" spans="1:8" x14ac:dyDescent="0.3">
      <c r="A722" t="s">
        <v>6440</v>
      </c>
      <c r="B722" t="s">
        <v>7966</v>
      </c>
      <c r="C722" t="s">
        <v>7014</v>
      </c>
      <c r="D722" t="str" cm="1">
        <f t="array" ref="D722:F722">TRANSPOSE(_xlfn._xlws.FILTER('Controllable Asset Registry'!$A$4:$A$764,IFERROR('Controllable Asset Registry'!$E$4:$E$764=A722,FALSE),"No Equipment in entity"))</f>
        <v>VAV0389</v>
      </c>
      <c r="E722" t="str">
        <v>VAV0390</v>
      </c>
      <c r="F722" t="str">
        <v>VAV0399</v>
      </c>
    </row>
    <row r="723" spans="1:8" x14ac:dyDescent="0.3">
      <c r="A723" t="s">
        <v>6095</v>
      </c>
      <c r="B723" t="s">
        <v>7967</v>
      </c>
      <c r="C723" t="s">
        <v>7103</v>
      </c>
      <c r="D723" t="str" cm="1">
        <f t="array" ref="D723:F723">TRANSPOSE(_xlfn._xlws.FILTER('Controllable Asset Registry'!$A$4:$A$764,IFERROR('Controllable Asset Registry'!$E$4:$E$764=A723,FALSE),"No Equipment in entity"))</f>
        <v>FCU0099</v>
      </c>
      <c r="E723" t="str">
        <v>FCU0100</v>
      </c>
      <c r="F723" t="str">
        <v>FCU0101</v>
      </c>
    </row>
    <row r="724" spans="1:8" x14ac:dyDescent="0.3">
      <c r="A724" t="s">
        <v>6467</v>
      </c>
      <c r="B724" t="s">
        <v>7968</v>
      </c>
      <c r="C724" t="s">
        <v>7055</v>
      </c>
      <c r="D724" t="str" cm="1">
        <f t="array" ref="D724">TRANSPOSE(_xlfn._xlws.FILTER('Controllable Asset Registry'!$A$4:$A$764,IFERROR('Controllable Asset Registry'!$E$4:$E$764=A724,FALSE),"No Equipment in entity"))</f>
        <v>VAV0422</v>
      </c>
    </row>
    <row r="725" spans="1:8" x14ac:dyDescent="0.3">
      <c r="A725" t="s">
        <v>8362</v>
      </c>
      <c r="B725" t="s">
        <v>8363</v>
      </c>
      <c r="C725" t="s">
        <v>6874</v>
      </c>
      <c r="D725" t="str" cm="1">
        <f t="array" ref="D725">TRANSPOSE(_xlfn._xlws.FILTER('Controllable Asset Registry'!$A$4:$A$764,IFERROR('Controllable Asset Registry'!$E$4:$E$764=A725,FALSE),"No Equipment in entity"))</f>
        <v>No Equipment in entity</v>
      </c>
    </row>
    <row r="726" spans="1:8" x14ac:dyDescent="0.3">
      <c r="A726" t="s">
        <v>8364</v>
      </c>
      <c r="B726" t="s">
        <v>8365</v>
      </c>
      <c r="C726" t="s">
        <v>6877</v>
      </c>
      <c r="D726" t="str" cm="1">
        <f t="array" ref="D726">TRANSPOSE(_xlfn._xlws.FILTER('Controllable Asset Registry'!$A$4:$A$764,IFERROR('Controllable Asset Registry'!$E$4:$E$764=A726,FALSE),"No Equipment in entity"))</f>
        <v>No Equipment in entity</v>
      </c>
    </row>
    <row r="727" spans="1:8" x14ac:dyDescent="0.3">
      <c r="A727" t="s">
        <v>8366</v>
      </c>
      <c r="B727" t="s">
        <v>8367</v>
      </c>
      <c r="C727" t="s">
        <v>6880</v>
      </c>
      <c r="D727" t="str" cm="1">
        <f t="array" ref="D727">TRANSPOSE(_xlfn._xlws.FILTER('Controllable Asset Registry'!$A$4:$A$764,IFERROR('Controllable Asset Registry'!$E$4:$E$764=A727,FALSE),"No Equipment in entity"))</f>
        <v>No Equipment in entity</v>
      </c>
    </row>
    <row r="728" spans="1:8" x14ac:dyDescent="0.3">
      <c r="A728" t="s">
        <v>8368</v>
      </c>
      <c r="B728" t="s">
        <v>8369</v>
      </c>
      <c r="C728" t="s">
        <v>6744</v>
      </c>
      <c r="D728" t="str" cm="1">
        <f t="array" ref="D728">TRANSPOSE(_xlfn._xlws.FILTER('Controllable Asset Registry'!$A$4:$A$764,IFERROR('Controllable Asset Registry'!$E$4:$E$764=A728,FALSE),"No Equipment in entity"))</f>
        <v>No Equipment in entity</v>
      </c>
    </row>
    <row r="729" spans="1:8" x14ac:dyDescent="0.3">
      <c r="A729" t="s">
        <v>8370</v>
      </c>
      <c r="B729" t="s">
        <v>8371</v>
      </c>
      <c r="C729" t="s">
        <v>6747</v>
      </c>
      <c r="D729" t="str" cm="1">
        <f t="array" ref="D729">TRANSPOSE(_xlfn._xlws.FILTER('Controllable Asset Registry'!$A$4:$A$764,IFERROR('Controllable Asset Registry'!$E$4:$E$764=A729,FALSE),"No Equipment in entity"))</f>
        <v>No Equipment in entity</v>
      </c>
    </row>
    <row r="730" spans="1:8" x14ac:dyDescent="0.3">
      <c r="A730" t="s">
        <v>8372</v>
      </c>
      <c r="B730" t="s">
        <v>8373</v>
      </c>
      <c r="C730" t="s">
        <v>6750</v>
      </c>
      <c r="D730" t="str" cm="1">
        <f t="array" ref="D730">TRANSPOSE(_xlfn._xlws.FILTER('Controllable Asset Registry'!$A$4:$A$764,IFERROR('Controllable Asset Registry'!$E$4:$E$764=A730,FALSE),"No Equipment in entity"))</f>
        <v>No Equipment in entity</v>
      </c>
    </row>
    <row r="731" spans="1:8" x14ac:dyDescent="0.3">
      <c r="A731" t="s">
        <v>8374</v>
      </c>
      <c r="B731" t="s">
        <v>8375</v>
      </c>
      <c r="C731" t="s">
        <v>6889</v>
      </c>
      <c r="D731" t="str" cm="1">
        <f t="array" ref="D731">TRANSPOSE(_xlfn._xlws.FILTER('Controllable Asset Registry'!$A$4:$A$764,IFERROR('Controllable Asset Registry'!$E$4:$E$764=A731,FALSE),"No Equipment in entity"))</f>
        <v>No Equipment in entity</v>
      </c>
    </row>
    <row r="732" spans="1:8" x14ac:dyDescent="0.3">
      <c r="A732" t="s">
        <v>8376</v>
      </c>
      <c r="B732" t="s">
        <v>8377</v>
      </c>
      <c r="C732" t="s">
        <v>6755</v>
      </c>
      <c r="D732" t="str" cm="1">
        <f t="array" ref="D732">TRANSPOSE(_xlfn._xlws.FILTER('Controllable Asset Registry'!$A$4:$A$764,IFERROR('Controllable Asset Registry'!$E$4:$E$764=A732,FALSE),"No Equipment in entity"))</f>
        <v>No Equipment in entity</v>
      </c>
    </row>
    <row r="733" spans="1:8" x14ac:dyDescent="0.3">
      <c r="A733" t="s">
        <v>8378</v>
      </c>
      <c r="B733" t="s">
        <v>8379</v>
      </c>
      <c r="C733" t="s">
        <v>6757</v>
      </c>
      <c r="D733" t="str" cm="1">
        <f t="array" ref="D733">TRANSPOSE(_xlfn._xlws.FILTER('Controllable Asset Registry'!$A$4:$A$764,IFERROR('Controllable Asset Registry'!$E$4:$E$764=A733,FALSE),"No Equipment in entity"))</f>
        <v>No Equipment in entity</v>
      </c>
    </row>
    <row r="734" spans="1:8" x14ac:dyDescent="0.3">
      <c r="A734" t="s">
        <v>8380</v>
      </c>
      <c r="B734" t="s">
        <v>8381</v>
      </c>
      <c r="C734" t="s">
        <v>6896</v>
      </c>
      <c r="D734" t="str" cm="1">
        <f t="array" ref="D734">TRANSPOSE(_xlfn._xlws.FILTER('Controllable Asset Registry'!$A$4:$A$764,IFERROR('Controllable Asset Registry'!$E$4:$E$764=A734,FALSE),"No Equipment in entity"))</f>
        <v>No Equipment in entity</v>
      </c>
    </row>
    <row r="735" spans="1:8" x14ac:dyDescent="0.3">
      <c r="A735" t="s">
        <v>8382</v>
      </c>
      <c r="B735" t="s">
        <v>8383</v>
      </c>
      <c r="C735" t="s">
        <v>6760</v>
      </c>
      <c r="D735" t="str" cm="1">
        <f t="array" ref="D735">TRANSPOSE(_xlfn._xlws.FILTER('Controllable Asset Registry'!$A$4:$A$764,IFERROR('Controllable Asset Registry'!$E$4:$E$764=A735,FALSE),"No Equipment in entity"))</f>
        <v>No Equipment in entity</v>
      </c>
    </row>
    <row r="736" spans="1:8" x14ac:dyDescent="0.3">
      <c r="A736" t="s">
        <v>6476</v>
      </c>
      <c r="B736" t="s">
        <v>7969</v>
      </c>
      <c r="C736" t="s">
        <v>7213</v>
      </c>
      <c r="D736" t="str" cm="1">
        <f t="array" ref="D736:H736">TRANSPOSE(_xlfn._xlws.FILTER('Controllable Asset Registry'!$A$4:$A$764,IFERROR('Controllable Asset Registry'!$E$4:$E$764=A736,FALSE),"No Equipment in entity"))</f>
        <v>VAV0433</v>
      </c>
      <c r="E736" t="str">
        <v>VAV0434</v>
      </c>
      <c r="F736" t="str">
        <v>VAV0435</v>
      </c>
      <c r="G736" t="str">
        <v>VAV0436</v>
      </c>
      <c r="H736" t="str">
        <v>VAV0437</v>
      </c>
    </row>
    <row r="737" spans="1:8" x14ac:dyDescent="0.3">
      <c r="A737" t="s">
        <v>6477</v>
      </c>
      <c r="B737" t="s">
        <v>7970</v>
      </c>
      <c r="C737" t="s">
        <v>7214</v>
      </c>
      <c r="D737" t="str" cm="1">
        <f t="array" ref="D737">TRANSPOSE(_xlfn._xlws.FILTER('Controllable Asset Registry'!$A$4:$A$764,IFERROR('Controllable Asset Registry'!$E$4:$E$764=A737,FALSE),"No Equipment in entity"))</f>
        <v>VAV0438</v>
      </c>
    </row>
    <row r="738" spans="1:8" x14ac:dyDescent="0.3">
      <c r="A738" t="s">
        <v>7215</v>
      </c>
      <c r="B738" t="s">
        <v>7971</v>
      </c>
      <c r="C738" t="s">
        <v>6788</v>
      </c>
      <c r="D738" t="str" cm="1">
        <f t="array" ref="D738">TRANSPOSE(_xlfn._xlws.FILTER('Controllable Asset Registry'!$A$4:$A$764,IFERROR('Controllable Asset Registry'!$E$4:$E$764=A738,FALSE),"No Equipment in entity"))</f>
        <v>No Equipment in entity</v>
      </c>
    </row>
    <row r="739" spans="1:8" x14ac:dyDescent="0.3">
      <c r="A739" t="s">
        <v>7216</v>
      </c>
      <c r="B739" t="s">
        <v>7972</v>
      </c>
      <c r="C739" t="s">
        <v>7217</v>
      </c>
      <c r="D739" t="str" cm="1">
        <f t="array" ref="D739">TRANSPOSE(_xlfn._xlws.FILTER('Controllable Asset Registry'!$A$4:$A$764,IFERROR('Controllable Asset Registry'!$E$4:$E$764=A739,FALSE),"No Equipment in entity"))</f>
        <v>No Equipment in entity</v>
      </c>
    </row>
    <row r="740" spans="1:8" x14ac:dyDescent="0.3">
      <c r="A740" t="s">
        <v>7218</v>
      </c>
      <c r="B740" t="s">
        <v>7973</v>
      </c>
      <c r="C740" t="s">
        <v>6695</v>
      </c>
      <c r="D740" t="str" cm="1">
        <f t="array" ref="D740">TRANSPOSE(_xlfn._xlws.FILTER('Controllable Asset Registry'!$A$4:$A$764,IFERROR('Controllable Asset Registry'!$E$4:$E$764=A740,FALSE),"No Equipment in entity"))</f>
        <v>No Equipment in entity</v>
      </c>
    </row>
    <row r="741" spans="1:8" x14ac:dyDescent="0.3">
      <c r="A741" t="s">
        <v>7219</v>
      </c>
      <c r="B741" t="s">
        <v>7974</v>
      </c>
      <c r="C741" t="s">
        <v>5839</v>
      </c>
      <c r="D741" t="str" cm="1">
        <f t="array" ref="D741">TRANSPOSE(_xlfn._xlws.FILTER('Controllable Asset Registry'!$A$4:$A$764,IFERROR('Controllable Asset Registry'!$E$4:$E$764=A741,FALSE),"No Equipment in entity"))</f>
        <v>No Equipment in entity</v>
      </c>
    </row>
    <row r="742" spans="1:8" x14ac:dyDescent="0.3">
      <c r="A742" t="s">
        <v>6102</v>
      </c>
      <c r="B742" t="s">
        <v>7975</v>
      </c>
      <c r="C742" t="s">
        <v>6715</v>
      </c>
      <c r="D742" t="str" cm="1">
        <f t="array" ref="D742">TRANSPOSE(_xlfn._xlws.FILTER('Controllable Asset Registry'!$A$4:$A$764,IFERROR('Controllable Asset Registry'!$E$4:$E$764=A742,FALSE),"No Equipment in entity"))</f>
        <v>FCU0109</v>
      </c>
    </row>
    <row r="743" spans="1:8" x14ac:dyDescent="0.3">
      <c r="A743" t="s">
        <v>7220</v>
      </c>
      <c r="B743" t="s">
        <v>7976</v>
      </c>
      <c r="C743" t="s">
        <v>5839</v>
      </c>
      <c r="D743" t="str" cm="1">
        <f t="array" ref="D743">TRANSPOSE(_xlfn._xlws.FILTER('Controllable Asset Registry'!$A$4:$A$764,IFERROR('Controllable Asset Registry'!$E$4:$E$764=A743,FALSE),"No Equipment in entity"))</f>
        <v>No Equipment in entity</v>
      </c>
    </row>
    <row r="744" spans="1:8" x14ac:dyDescent="0.3">
      <c r="A744" t="s">
        <v>7221</v>
      </c>
      <c r="B744" t="s">
        <v>7977</v>
      </c>
      <c r="C744" t="s">
        <v>6857</v>
      </c>
      <c r="D744" t="str" cm="1">
        <f t="array" ref="D744">TRANSPOSE(_xlfn._xlws.FILTER('Controllable Asset Registry'!$A$4:$A$764,IFERROR('Controllable Asset Registry'!$E$4:$E$764=A744,FALSE),"No Equipment in entity"))</f>
        <v>No Equipment in entity</v>
      </c>
    </row>
    <row r="745" spans="1:8" x14ac:dyDescent="0.3">
      <c r="A745" t="s">
        <v>7222</v>
      </c>
      <c r="B745" t="s">
        <v>7978</v>
      </c>
      <c r="C745" t="s">
        <v>6860</v>
      </c>
      <c r="D745" t="str" cm="1">
        <f t="array" ref="D745">TRANSPOSE(_xlfn._xlws.FILTER('Controllable Asset Registry'!$A$4:$A$764,IFERROR('Controllable Asset Registry'!$E$4:$E$764=A745,FALSE),"No Equipment in entity"))</f>
        <v>No Equipment in entity</v>
      </c>
    </row>
    <row r="746" spans="1:8" x14ac:dyDescent="0.3">
      <c r="A746" t="s">
        <v>7223</v>
      </c>
      <c r="B746" t="s">
        <v>7979</v>
      </c>
      <c r="C746" t="s">
        <v>5839</v>
      </c>
      <c r="D746" t="str" cm="1">
        <f t="array" ref="D746">TRANSPOSE(_xlfn._xlws.FILTER('Controllable Asset Registry'!$A$4:$A$764,IFERROR('Controllable Asset Registry'!$E$4:$E$764=A746,FALSE),"No Equipment in entity"))</f>
        <v>No Equipment in entity</v>
      </c>
    </row>
    <row r="747" spans="1:8" x14ac:dyDescent="0.3">
      <c r="A747" t="s">
        <v>7224</v>
      </c>
      <c r="B747" t="s">
        <v>7980</v>
      </c>
      <c r="C747" t="s">
        <v>7103</v>
      </c>
      <c r="D747" t="str" cm="1">
        <f t="array" ref="D747">TRANSPOSE(_xlfn._xlws.FILTER('Controllable Asset Registry'!$A$4:$A$764,IFERROR('Controllable Asset Registry'!$E$4:$E$764=A747,FALSE),"No Equipment in entity"))</f>
        <v>No Equipment in entity</v>
      </c>
    </row>
    <row r="748" spans="1:8" x14ac:dyDescent="0.3">
      <c r="A748" t="s">
        <v>6478</v>
      </c>
      <c r="B748" t="s">
        <v>7981</v>
      </c>
      <c r="C748" t="s">
        <v>7225</v>
      </c>
      <c r="D748" t="str" cm="1">
        <f t="array" ref="D748:H748">TRANSPOSE(_xlfn._xlws.FILTER('Controllable Asset Registry'!$A$4:$A$764,IFERROR('Controllable Asset Registry'!$E$4:$E$764=A748,FALSE),"No Equipment in entity"))</f>
        <v>VAV0439</v>
      </c>
      <c r="E748" t="str">
        <v>VAV0440</v>
      </c>
      <c r="F748" t="str">
        <v>VAV0441</v>
      </c>
      <c r="G748" t="str">
        <v>VAV0442</v>
      </c>
      <c r="H748" t="str">
        <v>VAV0443</v>
      </c>
    </row>
    <row r="749" spans="1:8" x14ac:dyDescent="0.3">
      <c r="A749" t="s">
        <v>8384</v>
      </c>
      <c r="B749" t="s">
        <v>8385</v>
      </c>
      <c r="C749" t="s">
        <v>6874</v>
      </c>
      <c r="D749" t="str" cm="1">
        <f t="array" ref="D749">TRANSPOSE(_xlfn._xlws.FILTER('Controllable Asset Registry'!$A$4:$A$764,IFERROR('Controllable Asset Registry'!$E$4:$E$764=A749,FALSE),"No Equipment in entity"))</f>
        <v>No Equipment in entity</v>
      </c>
    </row>
    <row r="750" spans="1:8" x14ac:dyDescent="0.3">
      <c r="A750" t="s">
        <v>8386</v>
      </c>
      <c r="B750" t="s">
        <v>8387</v>
      </c>
      <c r="C750" t="s">
        <v>6877</v>
      </c>
      <c r="D750" t="str" cm="1">
        <f t="array" ref="D750">TRANSPOSE(_xlfn._xlws.FILTER('Controllable Asset Registry'!$A$4:$A$764,IFERROR('Controllable Asset Registry'!$E$4:$E$764=A750,FALSE),"No Equipment in entity"))</f>
        <v>No Equipment in entity</v>
      </c>
    </row>
    <row r="751" spans="1:8" x14ac:dyDescent="0.3">
      <c r="A751" t="s">
        <v>8388</v>
      </c>
      <c r="B751" t="s">
        <v>8389</v>
      </c>
      <c r="C751" t="s">
        <v>6880</v>
      </c>
      <c r="D751" t="str" cm="1">
        <f t="array" ref="D751">TRANSPOSE(_xlfn._xlws.FILTER('Controllable Asset Registry'!$A$4:$A$764,IFERROR('Controllable Asset Registry'!$E$4:$E$764=A751,FALSE),"No Equipment in entity"))</f>
        <v>No Equipment in entity</v>
      </c>
    </row>
    <row r="752" spans="1:8" x14ac:dyDescent="0.3">
      <c r="A752" t="s">
        <v>8390</v>
      </c>
      <c r="B752" t="s">
        <v>8391</v>
      </c>
      <c r="C752" t="s">
        <v>6744</v>
      </c>
      <c r="D752" t="str" cm="1">
        <f t="array" ref="D752">TRANSPOSE(_xlfn._xlws.FILTER('Controllable Asset Registry'!$A$4:$A$764,IFERROR('Controllable Asset Registry'!$E$4:$E$764=A752,FALSE),"No Equipment in entity"))</f>
        <v>No Equipment in entity</v>
      </c>
    </row>
    <row r="753" spans="1:4" x14ac:dyDescent="0.3">
      <c r="A753" t="s">
        <v>8392</v>
      </c>
      <c r="B753" t="s">
        <v>8393</v>
      </c>
      <c r="C753" t="s">
        <v>6747</v>
      </c>
      <c r="D753" t="str" cm="1">
        <f t="array" ref="D753">TRANSPOSE(_xlfn._xlws.FILTER('Controllable Asset Registry'!$A$4:$A$764,IFERROR('Controllable Asset Registry'!$E$4:$E$764=A753,FALSE),"No Equipment in entity"))</f>
        <v>No Equipment in entity</v>
      </c>
    </row>
    <row r="754" spans="1:4" x14ac:dyDescent="0.3">
      <c r="A754" t="s">
        <v>8394</v>
      </c>
      <c r="B754" t="s">
        <v>8395</v>
      </c>
      <c r="C754" t="s">
        <v>6750</v>
      </c>
      <c r="D754" t="str" cm="1">
        <f t="array" ref="D754">TRANSPOSE(_xlfn._xlws.FILTER('Controllable Asset Registry'!$A$4:$A$764,IFERROR('Controllable Asset Registry'!$E$4:$E$764=A754,FALSE),"No Equipment in entity"))</f>
        <v>No Equipment in entity</v>
      </c>
    </row>
    <row r="755" spans="1:4" x14ac:dyDescent="0.3">
      <c r="A755" t="s">
        <v>8396</v>
      </c>
      <c r="B755" t="s">
        <v>8397</v>
      </c>
      <c r="C755" t="s">
        <v>6889</v>
      </c>
      <c r="D755" t="str" cm="1">
        <f t="array" ref="D755">TRANSPOSE(_xlfn._xlws.FILTER('Controllable Asset Registry'!$A$4:$A$764,IFERROR('Controllable Asset Registry'!$E$4:$E$764=A755,FALSE),"No Equipment in entity"))</f>
        <v>No Equipment in entity</v>
      </c>
    </row>
    <row r="756" spans="1:4" x14ac:dyDescent="0.3">
      <c r="A756" t="s">
        <v>8398</v>
      </c>
      <c r="B756" t="s">
        <v>8399</v>
      </c>
      <c r="C756" t="s">
        <v>6755</v>
      </c>
      <c r="D756" t="str" cm="1">
        <f t="array" ref="D756">TRANSPOSE(_xlfn._xlws.FILTER('Controllable Asset Registry'!$A$4:$A$764,IFERROR('Controllable Asset Registry'!$E$4:$E$764=A756,FALSE),"No Equipment in entity"))</f>
        <v>No Equipment in entity</v>
      </c>
    </row>
    <row r="757" spans="1:4" x14ac:dyDescent="0.3">
      <c r="A757" t="s">
        <v>8400</v>
      </c>
      <c r="B757" t="s">
        <v>8401</v>
      </c>
      <c r="C757" t="s">
        <v>6757</v>
      </c>
      <c r="D757" t="str" cm="1">
        <f t="array" ref="D757">TRANSPOSE(_xlfn._xlws.FILTER('Controllable Asset Registry'!$A$4:$A$764,IFERROR('Controllable Asset Registry'!$E$4:$E$764=A757,FALSE),"No Equipment in entity"))</f>
        <v>No Equipment in entity</v>
      </c>
    </row>
    <row r="758" spans="1:4" x14ac:dyDescent="0.3">
      <c r="A758" t="s">
        <v>8402</v>
      </c>
      <c r="B758" t="s">
        <v>8403</v>
      </c>
      <c r="C758" t="s">
        <v>6896</v>
      </c>
      <c r="D758" t="str" cm="1">
        <f t="array" ref="D758">TRANSPOSE(_xlfn._xlws.FILTER('Controllable Asset Registry'!$A$4:$A$764,IFERROR('Controllable Asset Registry'!$E$4:$E$764=A758,FALSE),"No Equipment in entity"))</f>
        <v>No Equipment in entity</v>
      </c>
    </row>
    <row r="759" spans="1:4" x14ac:dyDescent="0.3">
      <c r="A759" t="s">
        <v>8404</v>
      </c>
      <c r="B759" t="s">
        <v>8405</v>
      </c>
      <c r="C759" t="s">
        <v>6760</v>
      </c>
      <c r="D759" t="str" cm="1">
        <f t="array" ref="D759">TRANSPOSE(_xlfn._xlws.FILTER('Controllable Asset Registry'!$A$4:$A$764,IFERROR('Controllable Asset Registry'!$E$4:$E$764=A759,FALSE),"No Equipment in entity"))</f>
        <v>No Equipment in entity</v>
      </c>
    </row>
    <row r="760" spans="1:4" x14ac:dyDescent="0.3">
      <c r="A760" t="s">
        <v>6511</v>
      </c>
      <c r="B760" t="s">
        <v>7982</v>
      </c>
      <c r="C760" t="s">
        <v>7226</v>
      </c>
      <c r="D760" t="str" cm="1">
        <f t="array" ref="D760">TRANSPOSE(_xlfn._xlws.FILTER('Controllable Asset Registry'!$A$4:$A$764,IFERROR('Controllable Asset Registry'!$E$4:$E$764=A760,FALSE),"No Equipment in entity"))</f>
        <v>VAV0479</v>
      </c>
    </row>
    <row r="761" spans="1:4" x14ac:dyDescent="0.3">
      <c r="A761" t="s">
        <v>6512</v>
      </c>
      <c r="B761" t="s">
        <v>7983</v>
      </c>
      <c r="C761" t="s">
        <v>7227</v>
      </c>
      <c r="D761" t="str" cm="1">
        <f t="array" ref="D761">TRANSPOSE(_xlfn._xlws.FILTER('Controllable Asset Registry'!$A$4:$A$764,IFERROR('Controllable Asset Registry'!$E$4:$E$764=A761,FALSE),"No Equipment in entity"))</f>
        <v>VAV0480</v>
      </c>
    </row>
    <row r="762" spans="1:4" x14ac:dyDescent="0.3">
      <c r="A762" t="s">
        <v>6513</v>
      </c>
      <c r="B762" t="s">
        <v>7984</v>
      </c>
      <c r="C762" t="s">
        <v>7228</v>
      </c>
      <c r="D762" t="str" cm="1">
        <f t="array" ref="D762">TRANSPOSE(_xlfn._xlws.FILTER('Controllable Asset Registry'!$A$4:$A$764,IFERROR('Controllable Asset Registry'!$E$4:$E$764=A762,FALSE),"No Equipment in entity"))</f>
        <v>VAV0481</v>
      </c>
    </row>
    <row r="763" spans="1:4" x14ac:dyDescent="0.3">
      <c r="A763" t="s">
        <v>6514</v>
      </c>
      <c r="B763" t="s">
        <v>7985</v>
      </c>
      <c r="C763" t="s">
        <v>7228</v>
      </c>
      <c r="D763" t="str" cm="1">
        <f t="array" ref="D763">TRANSPOSE(_xlfn._xlws.FILTER('Controllable Asset Registry'!$A$4:$A$764,IFERROR('Controllable Asset Registry'!$E$4:$E$764=A763,FALSE),"No Equipment in entity"))</f>
        <v>VAV0482</v>
      </c>
    </row>
    <row r="764" spans="1:4" x14ac:dyDescent="0.3">
      <c r="A764" t="s">
        <v>6515</v>
      </c>
      <c r="B764" t="s">
        <v>7986</v>
      </c>
      <c r="C764" t="s">
        <v>7228</v>
      </c>
      <c r="D764" t="str" cm="1">
        <f t="array" ref="D764">TRANSPOSE(_xlfn._xlws.FILTER('Controllable Asset Registry'!$A$4:$A$764,IFERROR('Controllable Asset Registry'!$E$4:$E$764=A764,FALSE),"No Equipment in entity"))</f>
        <v>VAV0483</v>
      </c>
    </row>
    <row r="765" spans="1:4" x14ac:dyDescent="0.3">
      <c r="A765" t="s">
        <v>6516</v>
      </c>
      <c r="B765" t="s">
        <v>7987</v>
      </c>
      <c r="C765" t="s">
        <v>7228</v>
      </c>
      <c r="D765" t="str" cm="1">
        <f t="array" ref="D765">TRANSPOSE(_xlfn._xlws.FILTER('Controllable Asset Registry'!$A$4:$A$764,IFERROR('Controllable Asset Registry'!$E$4:$E$764=A765,FALSE),"No Equipment in entity"))</f>
        <v>VAV0484</v>
      </c>
    </row>
    <row r="766" spans="1:4" x14ac:dyDescent="0.3">
      <c r="A766" t="s">
        <v>6517</v>
      </c>
      <c r="B766" t="s">
        <v>7988</v>
      </c>
      <c r="C766" t="s">
        <v>7228</v>
      </c>
      <c r="D766" t="str" cm="1">
        <f t="array" ref="D766">TRANSPOSE(_xlfn._xlws.FILTER('Controllable Asset Registry'!$A$4:$A$764,IFERROR('Controllable Asset Registry'!$E$4:$E$764=A766,FALSE),"No Equipment in entity"))</f>
        <v>VAV0485</v>
      </c>
    </row>
    <row r="767" spans="1:4" x14ac:dyDescent="0.3">
      <c r="A767" t="s">
        <v>6518</v>
      </c>
      <c r="B767" t="s">
        <v>7989</v>
      </c>
      <c r="C767" t="s">
        <v>7229</v>
      </c>
      <c r="D767" t="str" cm="1">
        <f t="array" ref="D767">TRANSPOSE(_xlfn._xlws.FILTER('Controllable Asset Registry'!$A$4:$A$764,IFERROR('Controllable Asset Registry'!$E$4:$E$764=A767,FALSE),"No Equipment in entity"))</f>
        <v>VAV0486</v>
      </c>
    </row>
    <row r="768" spans="1:4" x14ac:dyDescent="0.3">
      <c r="A768" t="s">
        <v>6519</v>
      </c>
      <c r="B768" t="s">
        <v>7990</v>
      </c>
      <c r="C768" t="s">
        <v>7229</v>
      </c>
      <c r="D768" t="str" cm="1">
        <f t="array" ref="D768">TRANSPOSE(_xlfn._xlws.FILTER('Controllable Asset Registry'!$A$4:$A$764,IFERROR('Controllable Asset Registry'!$E$4:$E$764=A768,FALSE),"No Equipment in entity"))</f>
        <v>VAV0487</v>
      </c>
    </row>
    <row r="769" spans="1:5" x14ac:dyDescent="0.3">
      <c r="A769" t="s">
        <v>6520</v>
      </c>
      <c r="B769" t="s">
        <v>7991</v>
      </c>
      <c r="C769" t="s">
        <v>7230</v>
      </c>
      <c r="D769" t="str" cm="1">
        <f t="array" ref="D769">TRANSPOSE(_xlfn._xlws.FILTER('Controllable Asset Registry'!$A$4:$A$764,IFERROR('Controllable Asset Registry'!$E$4:$E$764=A769,FALSE),"No Equipment in entity"))</f>
        <v>VAV0488</v>
      </c>
    </row>
    <row r="770" spans="1:5" x14ac:dyDescent="0.3">
      <c r="A770" t="s">
        <v>6479</v>
      </c>
      <c r="B770" t="s">
        <v>7992</v>
      </c>
      <c r="C770" t="s">
        <v>7231</v>
      </c>
      <c r="D770" t="str" cm="1">
        <f t="array" ref="D770">TRANSPOSE(_xlfn._xlws.FILTER('Controllable Asset Registry'!$A$4:$A$764,IFERROR('Controllable Asset Registry'!$E$4:$E$764=A770,FALSE),"No Equipment in entity"))</f>
        <v>VAV0444</v>
      </c>
    </row>
    <row r="771" spans="1:5" x14ac:dyDescent="0.3">
      <c r="A771" t="s">
        <v>6480</v>
      </c>
      <c r="B771" t="s">
        <v>7993</v>
      </c>
      <c r="C771" t="s">
        <v>7231</v>
      </c>
      <c r="D771" t="str" cm="1">
        <f t="array" ref="D771">TRANSPOSE(_xlfn._xlws.FILTER('Controllable Asset Registry'!$A$4:$A$764,IFERROR('Controllable Asset Registry'!$E$4:$E$764=A771,FALSE),"No Equipment in entity"))</f>
        <v>VAV0445</v>
      </c>
    </row>
    <row r="772" spans="1:5" x14ac:dyDescent="0.3">
      <c r="A772" t="s">
        <v>6481</v>
      </c>
      <c r="B772" t="s">
        <v>7994</v>
      </c>
      <c r="C772" t="s">
        <v>7231</v>
      </c>
      <c r="D772" t="str" cm="1">
        <f t="array" ref="D772">TRANSPOSE(_xlfn._xlws.FILTER('Controllable Asset Registry'!$A$4:$A$764,IFERROR('Controllable Asset Registry'!$E$4:$E$764=A772,FALSE),"No Equipment in entity"))</f>
        <v>VAV0446</v>
      </c>
    </row>
    <row r="773" spans="1:5" x14ac:dyDescent="0.3">
      <c r="A773" t="s">
        <v>6482</v>
      </c>
      <c r="B773" t="s">
        <v>7995</v>
      </c>
      <c r="C773" t="s">
        <v>7231</v>
      </c>
      <c r="D773" t="str" cm="1">
        <f t="array" ref="D773">TRANSPOSE(_xlfn._xlws.FILTER('Controllable Asset Registry'!$A$4:$A$764,IFERROR('Controllable Asset Registry'!$E$4:$E$764=A773,FALSE),"No Equipment in entity"))</f>
        <v>VAV0447</v>
      </c>
    </row>
    <row r="774" spans="1:5" x14ac:dyDescent="0.3">
      <c r="A774" t="s">
        <v>6483</v>
      </c>
      <c r="B774" t="s">
        <v>7996</v>
      </c>
      <c r="C774" t="s">
        <v>7231</v>
      </c>
      <c r="D774" t="str" cm="1">
        <f t="array" ref="D774">TRANSPOSE(_xlfn._xlws.FILTER('Controllable Asset Registry'!$A$4:$A$764,IFERROR('Controllable Asset Registry'!$E$4:$E$764=A774,FALSE),"No Equipment in entity"))</f>
        <v>VAV0448</v>
      </c>
    </row>
    <row r="775" spans="1:5" x14ac:dyDescent="0.3">
      <c r="A775" t="s">
        <v>6484</v>
      </c>
      <c r="B775" t="s">
        <v>7997</v>
      </c>
      <c r="C775" t="s">
        <v>7231</v>
      </c>
      <c r="D775" t="str" cm="1">
        <f t="array" ref="D775">TRANSPOSE(_xlfn._xlws.FILTER('Controllable Asset Registry'!$A$4:$A$764,IFERROR('Controllable Asset Registry'!$E$4:$E$764=A775,FALSE),"No Equipment in entity"))</f>
        <v>VAV0449</v>
      </c>
    </row>
    <row r="776" spans="1:5" x14ac:dyDescent="0.3">
      <c r="A776" t="s">
        <v>6485</v>
      </c>
      <c r="B776" t="s">
        <v>7998</v>
      </c>
      <c r="C776" t="s">
        <v>7231</v>
      </c>
      <c r="D776" t="str" cm="1">
        <f t="array" ref="D776">TRANSPOSE(_xlfn._xlws.FILTER('Controllable Asset Registry'!$A$4:$A$764,IFERROR('Controllable Asset Registry'!$E$4:$E$764=A776,FALSE),"No Equipment in entity"))</f>
        <v>VAV0450</v>
      </c>
    </row>
    <row r="777" spans="1:5" x14ac:dyDescent="0.3">
      <c r="A777" t="s">
        <v>6486</v>
      </c>
      <c r="B777" t="s">
        <v>7999</v>
      </c>
      <c r="C777" t="s">
        <v>7232</v>
      </c>
      <c r="D777" t="str" cm="1">
        <f t="array" ref="D777">TRANSPOSE(_xlfn._xlws.FILTER('Controllable Asset Registry'!$A$4:$A$764,IFERROR('Controllable Asset Registry'!$E$4:$E$764=A777,FALSE),"No Equipment in entity"))</f>
        <v>VAV0451</v>
      </c>
    </row>
    <row r="778" spans="1:5" x14ac:dyDescent="0.3">
      <c r="A778" t="s">
        <v>6487</v>
      </c>
      <c r="B778" t="s">
        <v>8000</v>
      </c>
      <c r="C778" t="s">
        <v>7232</v>
      </c>
      <c r="D778" t="str" cm="1">
        <f t="array" ref="D778">TRANSPOSE(_xlfn._xlws.FILTER('Controllable Asset Registry'!$A$4:$A$764,IFERROR('Controllable Asset Registry'!$E$4:$E$764=A778,FALSE),"No Equipment in entity"))</f>
        <v>VAV0452</v>
      </c>
    </row>
    <row r="779" spans="1:5" x14ac:dyDescent="0.3">
      <c r="A779" t="s">
        <v>6488</v>
      </c>
      <c r="B779" t="s">
        <v>8001</v>
      </c>
      <c r="C779" t="s">
        <v>7232</v>
      </c>
      <c r="D779" t="str" cm="1">
        <f t="array" ref="D779">TRANSPOSE(_xlfn._xlws.FILTER('Controllable Asset Registry'!$A$4:$A$764,IFERROR('Controllable Asset Registry'!$E$4:$E$764=A779,FALSE),"No Equipment in entity"))</f>
        <v>VAV0453</v>
      </c>
    </row>
    <row r="780" spans="1:5" x14ac:dyDescent="0.3">
      <c r="A780" t="s">
        <v>6489</v>
      </c>
      <c r="B780" t="s">
        <v>8002</v>
      </c>
      <c r="C780" t="s">
        <v>7233</v>
      </c>
      <c r="D780" t="str" cm="1">
        <f t="array" ref="D780">TRANSPOSE(_xlfn._xlws.FILTER('Controllable Asset Registry'!$A$4:$A$764,IFERROR('Controllable Asset Registry'!$E$4:$E$764=A780,FALSE),"No Equipment in entity"))</f>
        <v>VAV0454</v>
      </c>
    </row>
    <row r="781" spans="1:5" x14ac:dyDescent="0.3">
      <c r="A781" t="s">
        <v>6490</v>
      </c>
      <c r="B781" t="s">
        <v>8003</v>
      </c>
      <c r="C781" t="s">
        <v>7231</v>
      </c>
      <c r="D781" t="str" cm="1">
        <f t="array" ref="D781">TRANSPOSE(_xlfn._xlws.FILTER('Controllable Asset Registry'!$A$4:$A$764,IFERROR('Controllable Asset Registry'!$E$4:$E$764=A781,FALSE),"No Equipment in entity"))</f>
        <v>VAV0455</v>
      </c>
    </row>
    <row r="782" spans="1:5" x14ac:dyDescent="0.3">
      <c r="A782" t="s">
        <v>6491</v>
      </c>
      <c r="B782" t="s">
        <v>8004</v>
      </c>
      <c r="C782" t="s">
        <v>7232</v>
      </c>
      <c r="D782" t="str" cm="1">
        <f t="array" ref="D782">TRANSPOSE(_xlfn._xlws.FILTER('Controllable Asset Registry'!$A$4:$A$764,IFERROR('Controllable Asset Registry'!$E$4:$E$764=A782,FALSE),"No Equipment in entity"))</f>
        <v>VAV0456</v>
      </c>
    </row>
    <row r="783" spans="1:5" x14ac:dyDescent="0.3">
      <c r="A783" t="s">
        <v>6492</v>
      </c>
      <c r="B783" t="s">
        <v>8005</v>
      </c>
      <c r="C783" t="s">
        <v>7232</v>
      </c>
      <c r="D783" t="str" cm="1">
        <f t="array" ref="D783">TRANSPOSE(_xlfn._xlws.FILTER('Controllable Asset Registry'!$A$4:$A$764,IFERROR('Controllable Asset Registry'!$E$4:$E$764=A783,FALSE),"No Equipment in entity"))</f>
        <v>VAV0457</v>
      </c>
    </row>
    <row r="784" spans="1:5" x14ac:dyDescent="0.3">
      <c r="A784" t="s">
        <v>6493</v>
      </c>
      <c r="B784" t="s">
        <v>8006</v>
      </c>
      <c r="C784" t="s">
        <v>7232</v>
      </c>
      <c r="D784" t="str" cm="1">
        <f t="array" ref="D784:E784">TRANSPOSE(_xlfn._xlws.FILTER('Controllable Asset Registry'!$A$4:$A$764,IFERROR('Controllable Asset Registry'!$E$4:$E$764=A784,FALSE),"No Equipment in entity"))</f>
        <v>VAV0458</v>
      </c>
      <c r="E784" t="str">
        <v>VAV0459</v>
      </c>
    </row>
    <row r="785" spans="1:4" x14ac:dyDescent="0.3">
      <c r="A785" t="s">
        <v>6494</v>
      </c>
      <c r="B785" t="s">
        <v>8007</v>
      </c>
      <c r="C785" t="s">
        <v>7234</v>
      </c>
      <c r="D785" t="str" cm="1">
        <f t="array" ref="D785">TRANSPOSE(_xlfn._xlws.FILTER('Controllable Asset Registry'!$A$4:$A$764,IFERROR('Controllable Asset Registry'!$E$4:$E$764=A785,FALSE),"No Equipment in entity"))</f>
        <v>VAV0460</v>
      </c>
    </row>
    <row r="786" spans="1:4" x14ac:dyDescent="0.3">
      <c r="A786" t="s">
        <v>6495</v>
      </c>
      <c r="B786" t="s">
        <v>8008</v>
      </c>
      <c r="C786" t="s">
        <v>7234</v>
      </c>
      <c r="D786" t="str" cm="1">
        <f t="array" ref="D786">TRANSPOSE(_xlfn._xlws.FILTER('Controllable Asset Registry'!$A$4:$A$764,IFERROR('Controllable Asset Registry'!$E$4:$E$764=A786,FALSE),"No Equipment in entity"))</f>
        <v>VAV0461</v>
      </c>
    </row>
    <row r="787" spans="1:4" x14ac:dyDescent="0.3">
      <c r="A787" t="s">
        <v>6496</v>
      </c>
      <c r="B787" t="s">
        <v>8009</v>
      </c>
      <c r="C787" t="s">
        <v>7234</v>
      </c>
      <c r="D787" t="str" cm="1">
        <f t="array" ref="D787">TRANSPOSE(_xlfn._xlws.FILTER('Controllable Asset Registry'!$A$4:$A$764,IFERROR('Controllable Asset Registry'!$E$4:$E$764=A787,FALSE),"No Equipment in entity"))</f>
        <v>VAV0462</v>
      </c>
    </row>
    <row r="788" spans="1:4" x14ac:dyDescent="0.3">
      <c r="A788" t="s">
        <v>6497</v>
      </c>
      <c r="B788" t="s">
        <v>8010</v>
      </c>
      <c r="C788" t="s">
        <v>7234</v>
      </c>
      <c r="D788" t="str" cm="1">
        <f t="array" ref="D788">TRANSPOSE(_xlfn._xlws.FILTER('Controllable Asset Registry'!$A$4:$A$764,IFERROR('Controllable Asset Registry'!$E$4:$E$764=A788,FALSE),"No Equipment in entity"))</f>
        <v>VAV0463</v>
      </c>
    </row>
    <row r="789" spans="1:4" x14ac:dyDescent="0.3">
      <c r="A789" t="s">
        <v>6498</v>
      </c>
      <c r="B789" t="s">
        <v>8011</v>
      </c>
      <c r="C789" t="s">
        <v>7234</v>
      </c>
      <c r="D789" t="str" cm="1">
        <f t="array" ref="D789">TRANSPOSE(_xlfn._xlws.FILTER('Controllable Asset Registry'!$A$4:$A$764,IFERROR('Controllable Asset Registry'!$E$4:$E$764=A789,FALSE),"No Equipment in entity"))</f>
        <v>VAV0464</v>
      </c>
    </row>
    <row r="790" spans="1:4" x14ac:dyDescent="0.3">
      <c r="A790" t="s">
        <v>6499</v>
      </c>
      <c r="B790" t="s">
        <v>8012</v>
      </c>
      <c r="C790" t="s">
        <v>7235</v>
      </c>
      <c r="D790" t="str" cm="1">
        <f t="array" ref="D790">TRANSPOSE(_xlfn._xlws.FILTER('Controllable Asset Registry'!$A$4:$A$764,IFERROR('Controllable Asset Registry'!$E$4:$E$764=A790,FALSE),"No Equipment in entity"))</f>
        <v>VAV0465</v>
      </c>
    </row>
    <row r="791" spans="1:4" x14ac:dyDescent="0.3">
      <c r="A791" t="s">
        <v>6500</v>
      </c>
      <c r="B791" t="s">
        <v>8013</v>
      </c>
      <c r="C791" t="s">
        <v>7236</v>
      </c>
      <c r="D791" t="str" cm="1">
        <f t="array" ref="D791">TRANSPOSE(_xlfn._xlws.FILTER('Controllable Asset Registry'!$A$4:$A$764,IFERROR('Controllable Asset Registry'!$E$4:$E$764=A791,FALSE),"No Equipment in entity"))</f>
        <v>VAV0466</v>
      </c>
    </row>
    <row r="792" spans="1:4" x14ac:dyDescent="0.3">
      <c r="A792" t="s">
        <v>6501</v>
      </c>
      <c r="B792" t="s">
        <v>8014</v>
      </c>
      <c r="C792" t="s">
        <v>7237</v>
      </c>
      <c r="D792" t="str" cm="1">
        <f t="array" ref="D792">TRANSPOSE(_xlfn._xlws.FILTER('Controllable Asset Registry'!$A$4:$A$764,IFERROR('Controllable Asset Registry'!$E$4:$E$764=A792,FALSE),"No Equipment in entity"))</f>
        <v>VAV0467</v>
      </c>
    </row>
    <row r="793" spans="1:4" x14ac:dyDescent="0.3">
      <c r="A793" t="s">
        <v>6502</v>
      </c>
      <c r="B793" t="s">
        <v>8015</v>
      </c>
      <c r="C793" t="s">
        <v>7237</v>
      </c>
      <c r="D793" t="str" cm="1">
        <f t="array" ref="D793">TRANSPOSE(_xlfn._xlws.FILTER('Controllable Asset Registry'!$A$4:$A$764,IFERROR('Controllable Asset Registry'!$E$4:$E$764=A793,FALSE),"No Equipment in entity"))</f>
        <v>VAV0468</v>
      </c>
    </row>
    <row r="794" spans="1:4" x14ac:dyDescent="0.3">
      <c r="A794" t="s">
        <v>6503</v>
      </c>
      <c r="B794" t="s">
        <v>8016</v>
      </c>
      <c r="C794" t="s">
        <v>7237</v>
      </c>
      <c r="D794" t="str" cm="1">
        <f t="array" ref="D794">TRANSPOSE(_xlfn._xlws.FILTER('Controllable Asset Registry'!$A$4:$A$764,IFERROR('Controllable Asset Registry'!$E$4:$E$764=A794,FALSE),"No Equipment in entity"))</f>
        <v>VAV0469</v>
      </c>
    </row>
    <row r="795" spans="1:4" x14ac:dyDescent="0.3">
      <c r="A795" t="s">
        <v>6504</v>
      </c>
      <c r="B795" t="s">
        <v>8017</v>
      </c>
      <c r="C795" t="s">
        <v>7238</v>
      </c>
      <c r="D795" t="str" cm="1">
        <f t="array" ref="D795">TRANSPOSE(_xlfn._xlws.FILTER('Controllable Asset Registry'!$A$4:$A$764,IFERROR('Controllable Asset Registry'!$E$4:$E$764=A795,FALSE),"No Equipment in entity"))</f>
        <v>VAV0470</v>
      </c>
    </row>
    <row r="796" spans="1:4" x14ac:dyDescent="0.3">
      <c r="A796" t="s">
        <v>6505</v>
      </c>
      <c r="B796" t="s">
        <v>8018</v>
      </c>
      <c r="C796" t="s">
        <v>7239</v>
      </c>
      <c r="D796" t="str" cm="1">
        <f t="array" ref="D796">TRANSPOSE(_xlfn._xlws.FILTER('Controllable Asset Registry'!$A$4:$A$764,IFERROR('Controllable Asset Registry'!$E$4:$E$764=A796,FALSE),"No Equipment in entity"))</f>
        <v>VAV0471</v>
      </c>
    </row>
    <row r="797" spans="1:4" x14ac:dyDescent="0.3">
      <c r="A797" t="s">
        <v>6506</v>
      </c>
      <c r="B797" t="s">
        <v>8019</v>
      </c>
      <c r="C797" t="s">
        <v>7238</v>
      </c>
      <c r="D797" t="str" cm="1">
        <f t="array" ref="D797">TRANSPOSE(_xlfn._xlws.FILTER('Controllable Asset Registry'!$A$4:$A$764,IFERROR('Controllable Asset Registry'!$E$4:$E$764=A797,FALSE),"No Equipment in entity"))</f>
        <v>VAV0472</v>
      </c>
    </row>
    <row r="798" spans="1:4" x14ac:dyDescent="0.3">
      <c r="A798" t="s">
        <v>6508</v>
      </c>
      <c r="B798" t="s">
        <v>8020</v>
      </c>
      <c r="C798" t="s">
        <v>7022</v>
      </c>
      <c r="D798" t="str" cm="1">
        <f t="array" ref="D798">TRANSPOSE(_xlfn._xlws.FILTER('Controllable Asset Registry'!$A$4:$A$764,IFERROR('Controllable Asset Registry'!$E$4:$E$764=A798,FALSE),"No Equipment in entity"))</f>
        <v>VAV0475</v>
      </c>
    </row>
    <row r="799" spans="1:4" x14ac:dyDescent="0.3">
      <c r="A799" t="s">
        <v>6509</v>
      </c>
      <c r="B799" t="s">
        <v>8021</v>
      </c>
      <c r="C799" t="s">
        <v>7240</v>
      </c>
      <c r="D799" t="str" cm="1">
        <f t="array" ref="D799">TRANSPOSE(_xlfn._xlws.FILTER('Controllable Asset Registry'!$A$4:$A$764,IFERROR('Controllable Asset Registry'!$E$4:$E$764=A799,FALSE),"No Equipment in entity"))</f>
        <v>VAV0476</v>
      </c>
    </row>
    <row r="800" spans="1:4" x14ac:dyDescent="0.3">
      <c r="A800" t="s">
        <v>6510</v>
      </c>
      <c r="B800" t="s">
        <v>8022</v>
      </c>
      <c r="C800" t="s">
        <v>7241</v>
      </c>
      <c r="D800" t="str" cm="1">
        <f t="array" ref="D800">TRANSPOSE(_xlfn._xlws.FILTER('Controllable Asset Registry'!$A$4:$A$764,IFERROR('Controllable Asset Registry'!$E$4:$E$764=A800,FALSE),"No Equipment in entity"))</f>
        <v>VAV0477</v>
      </c>
    </row>
    <row r="801" spans="1:7" x14ac:dyDescent="0.3">
      <c r="A801" t="s">
        <v>6120</v>
      </c>
      <c r="B801" t="s">
        <v>8023</v>
      </c>
      <c r="C801" t="s">
        <v>7242</v>
      </c>
      <c r="D801" t="str" cm="1">
        <f t="array" ref="D801">TRANSPOSE(_xlfn._xlws.FILTER('Controllable Asset Registry'!$A$4:$A$764,IFERROR('Controllable Asset Registry'!$E$4:$E$764=A801,FALSE),"No Equipment in entity"))</f>
        <v>FCU0132</v>
      </c>
    </row>
    <row r="802" spans="1:7" x14ac:dyDescent="0.3">
      <c r="A802" t="s">
        <v>7243</v>
      </c>
      <c r="B802" t="s">
        <v>8024</v>
      </c>
      <c r="C802" t="s">
        <v>7244</v>
      </c>
      <c r="D802" t="str" cm="1">
        <f t="array" ref="D802">TRANSPOSE(_xlfn._xlws.FILTER('Controllable Asset Registry'!$A$4:$A$764,IFERROR('Controllable Asset Registry'!$E$4:$E$764=A802,FALSE),"No Equipment in entity"))</f>
        <v>No Equipment in entity</v>
      </c>
    </row>
    <row r="803" spans="1:7" x14ac:dyDescent="0.3">
      <c r="A803" t="s">
        <v>7245</v>
      </c>
      <c r="B803" t="s">
        <v>8025</v>
      </c>
      <c r="C803" t="s">
        <v>7246</v>
      </c>
      <c r="D803" t="str" cm="1">
        <f t="array" ref="D803">TRANSPOSE(_xlfn._xlws.FILTER('Controllable Asset Registry'!$A$4:$A$764,IFERROR('Controllable Asset Registry'!$E$4:$E$764=A803,FALSE),"No Equipment in entity"))</f>
        <v>No Equipment in entity</v>
      </c>
    </row>
    <row r="804" spans="1:7" x14ac:dyDescent="0.3">
      <c r="A804" t="s">
        <v>6522</v>
      </c>
      <c r="B804" t="s">
        <v>8026</v>
      </c>
      <c r="C804" t="s">
        <v>7247</v>
      </c>
      <c r="D804" t="str" cm="1">
        <f t="array" ref="D804">TRANSPOSE(_xlfn._xlws.FILTER('Controllable Asset Registry'!$A$4:$A$764,IFERROR('Controllable Asset Registry'!$E$4:$E$764=A804,FALSE),"No Equipment in entity"))</f>
        <v>VAV0490</v>
      </c>
    </row>
    <row r="805" spans="1:7" x14ac:dyDescent="0.3">
      <c r="A805" t="s">
        <v>6521</v>
      </c>
      <c r="B805" t="s">
        <v>8027</v>
      </c>
      <c r="C805" t="s">
        <v>5973</v>
      </c>
      <c r="D805" t="str" cm="1">
        <f t="array" ref="D805">TRANSPOSE(_xlfn._xlws.FILTER('Controllable Asset Registry'!$A$4:$A$764,IFERROR('Controllable Asset Registry'!$E$4:$E$764=A805,FALSE),"No Equipment in entity"))</f>
        <v>VAV0489</v>
      </c>
    </row>
    <row r="806" spans="1:7" x14ac:dyDescent="0.3">
      <c r="A806" t="s">
        <v>7248</v>
      </c>
      <c r="B806" t="s">
        <v>8028</v>
      </c>
      <c r="C806" t="s">
        <v>5833</v>
      </c>
      <c r="D806" t="str" cm="1">
        <f t="array" ref="D806">TRANSPOSE(_xlfn._xlws.FILTER('Controllable Asset Registry'!$A$4:$A$764,IFERROR('Controllable Asset Registry'!$E$4:$E$764=A806,FALSE),"No Equipment in entity"))</f>
        <v>No Equipment in entity</v>
      </c>
    </row>
    <row r="807" spans="1:7" x14ac:dyDescent="0.3">
      <c r="A807" t="s">
        <v>7249</v>
      </c>
      <c r="B807" t="s">
        <v>8029</v>
      </c>
      <c r="C807" t="s">
        <v>6946</v>
      </c>
      <c r="D807" t="str" cm="1">
        <f t="array" ref="D807">TRANSPOSE(_xlfn._xlws.FILTER('Controllable Asset Registry'!$A$4:$A$764,IFERROR('Controllable Asset Registry'!$E$4:$E$764=A807,FALSE),"No Equipment in entity"))</f>
        <v>No Equipment in entity</v>
      </c>
    </row>
    <row r="808" spans="1:7" x14ac:dyDescent="0.3">
      <c r="A808" t="s">
        <v>6525</v>
      </c>
      <c r="B808" t="s">
        <v>8030</v>
      </c>
      <c r="C808" t="s">
        <v>7250</v>
      </c>
      <c r="D808" t="str" cm="1">
        <f t="array" ref="D808">TRANSPOSE(_xlfn._xlws.FILTER('Controllable Asset Registry'!$A$4:$A$764,IFERROR('Controllable Asset Registry'!$E$4:$E$764=A808,FALSE),"No Equipment in entity"))</f>
        <v>VAV0496</v>
      </c>
    </row>
    <row r="809" spans="1:7" x14ac:dyDescent="0.3">
      <c r="A809" t="s">
        <v>6031</v>
      </c>
      <c r="B809" t="s">
        <v>8031</v>
      </c>
      <c r="C809" t="s">
        <v>7251</v>
      </c>
      <c r="D809" t="str" cm="1">
        <f t="array" ref="D809">TRANSPOSE(_xlfn._xlws.FILTER('Controllable Asset Registry'!$A$4:$A$764,IFERROR('Controllable Asset Registry'!$E$4:$E$764=A809,FALSE),"No Equipment in entity"))</f>
        <v>AHU9_0003</v>
      </c>
    </row>
    <row r="810" spans="1:7" x14ac:dyDescent="0.3">
      <c r="A810" t="s">
        <v>6524</v>
      </c>
      <c r="B810" t="s">
        <v>8032</v>
      </c>
      <c r="C810" t="s">
        <v>7252</v>
      </c>
      <c r="D810" t="str" cm="1">
        <f t="array" ref="D810:G810">TRANSPOSE(_xlfn._xlws.FILTER('Controllable Asset Registry'!$A$4:$A$764,IFERROR('Controllable Asset Registry'!$E$4:$E$764=A810,FALSE),"No Equipment in entity"))</f>
        <v>VAV0493</v>
      </c>
      <c r="E810" t="str">
        <v>VAV0494</v>
      </c>
      <c r="F810" t="str">
        <v>VAV0495</v>
      </c>
      <c r="G810" t="str">
        <v>VAV0497</v>
      </c>
    </row>
    <row r="811" spans="1:7" x14ac:dyDescent="0.3">
      <c r="A811" t="s">
        <v>6030</v>
      </c>
      <c r="B811" t="s">
        <v>8033</v>
      </c>
      <c r="C811" t="s">
        <v>7122</v>
      </c>
      <c r="D811" t="str" cm="1">
        <f t="array" ref="D811:E811">TRANSPOSE(_xlfn._xlws.FILTER('Controllable Asset Registry'!$A$4:$A$764,IFERROR('Controllable Asset Registry'!$E$4:$E$764=A811,FALSE),"No Equipment in entity"))</f>
        <v>AHU9_0001</v>
      </c>
      <c r="E811" t="str">
        <v>AHU9_0002</v>
      </c>
    </row>
    <row r="812" spans="1:7" x14ac:dyDescent="0.3">
      <c r="A812" t="s">
        <v>7253</v>
      </c>
      <c r="B812" t="s">
        <v>8034</v>
      </c>
      <c r="C812" t="s">
        <v>5833</v>
      </c>
      <c r="D812" t="str" cm="1">
        <f t="array" ref="D812">TRANSPOSE(_xlfn._xlws.FILTER('Controllable Asset Registry'!$A$4:$A$764,IFERROR('Controllable Asset Registry'!$E$4:$E$764=A812,FALSE),"No Equipment in entity"))</f>
        <v>No Equipment in entity</v>
      </c>
    </row>
    <row r="813" spans="1:7" x14ac:dyDescent="0.3">
      <c r="A813" t="s">
        <v>7254</v>
      </c>
      <c r="B813" t="s">
        <v>8035</v>
      </c>
      <c r="C813" t="s">
        <v>7255</v>
      </c>
      <c r="D813" t="str" cm="1">
        <f t="array" ref="D813">TRANSPOSE(_xlfn._xlws.FILTER('Controllable Asset Registry'!$A$4:$A$764,IFERROR('Controllable Asset Registry'!$E$4:$E$764=A813,FALSE),"No Equipment in entity"))</f>
        <v>No Equipment in entity</v>
      </c>
    </row>
    <row r="814" spans="1:7" x14ac:dyDescent="0.3">
      <c r="A814" t="s">
        <v>7256</v>
      </c>
      <c r="B814" t="s">
        <v>8036</v>
      </c>
      <c r="C814" t="s">
        <v>6695</v>
      </c>
      <c r="D814" t="str" cm="1">
        <f t="array" ref="D814">TRANSPOSE(_xlfn._xlws.FILTER('Controllable Asset Registry'!$A$4:$A$764,IFERROR('Controllable Asset Registry'!$E$4:$E$764=A814,FALSE),"No Equipment in entity"))</f>
        <v>No Equipment in entity</v>
      </c>
    </row>
    <row r="815" spans="1:7" x14ac:dyDescent="0.3">
      <c r="A815" t="s">
        <v>7257</v>
      </c>
      <c r="B815" t="s">
        <v>8037</v>
      </c>
      <c r="C815" t="s">
        <v>6706</v>
      </c>
      <c r="D815" t="str" cm="1">
        <f t="array" ref="D815">TRANSPOSE(_xlfn._xlws.FILTER('Controllable Asset Registry'!$A$4:$A$764,IFERROR('Controllable Asset Registry'!$E$4:$E$764=A815,FALSE),"No Equipment in entity"))</f>
        <v>No Equipment in entity</v>
      </c>
    </row>
    <row r="816" spans="1:7" x14ac:dyDescent="0.3">
      <c r="A816" t="s">
        <v>7258</v>
      </c>
      <c r="B816" t="s">
        <v>8038</v>
      </c>
      <c r="C816" t="s">
        <v>6709</v>
      </c>
      <c r="D816" t="str" cm="1">
        <f t="array" ref="D816">TRANSPOSE(_xlfn._xlws.FILTER('Controllable Asset Registry'!$A$4:$A$764,IFERROR('Controllable Asset Registry'!$E$4:$E$764=A816,FALSE),"No Equipment in entity"))</f>
        <v>No Equipment in entity</v>
      </c>
    </row>
    <row r="817" spans="1:4" x14ac:dyDescent="0.3">
      <c r="A817" t="s">
        <v>6523</v>
      </c>
      <c r="B817" t="s">
        <v>8039</v>
      </c>
      <c r="C817" t="s">
        <v>6706</v>
      </c>
      <c r="D817" t="str" cm="1">
        <f t="array" ref="D817">TRANSPOSE(_xlfn._xlws.FILTER('Controllable Asset Registry'!$A$4:$A$764,IFERROR('Controllable Asset Registry'!$E$4:$E$764=A817,FALSE),"No Equipment in entity"))</f>
        <v>VAV0491</v>
      </c>
    </row>
    <row r="818" spans="1:4" x14ac:dyDescent="0.3">
      <c r="A818" t="s">
        <v>7259</v>
      </c>
      <c r="B818" t="s">
        <v>8040</v>
      </c>
      <c r="C818" t="s">
        <v>6709</v>
      </c>
      <c r="D818" t="str" cm="1">
        <f t="array" ref="D818">TRANSPOSE(_xlfn._xlws.FILTER('Controllable Asset Registry'!$A$4:$A$764,IFERROR('Controllable Asset Registry'!$E$4:$E$764=A818,FALSE),"No Equipment in entity"))</f>
        <v>No Equipment in entity</v>
      </c>
    </row>
    <row r="819" spans="1:4" x14ac:dyDescent="0.3">
      <c r="A819" t="s">
        <v>7260</v>
      </c>
      <c r="B819" t="s">
        <v>8041</v>
      </c>
      <c r="C819" t="s">
        <v>5842</v>
      </c>
      <c r="D819" t="str" cm="1">
        <f t="array" ref="D819">TRANSPOSE(_xlfn._xlws.FILTER('Controllable Asset Registry'!$A$4:$A$764,IFERROR('Controllable Asset Registry'!$E$4:$E$764=A819,FALSE),"No Equipment in entity"))</f>
        <v>No Equipment in entity</v>
      </c>
    </row>
    <row r="820" spans="1:4" x14ac:dyDescent="0.3">
      <c r="A820" t="s">
        <v>7261</v>
      </c>
      <c r="B820" t="s">
        <v>8042</v>
      </c>
      <c r="C820" t="s">
        <v>5842</v>
      </c>
      <c r="D820" t="str" cm="1">
        <f t="array" ref="D820">TRANSPOSE(_xlfn._xlws.FILTER('Controllable Asset Registry'!$A$4:$A$764,IFERROR('Controllable Asset Registry'!$E$4:$E$764=A820,FALSE),"No Equipment in entity"))</f>
        <v>No Equipment in entity</v>
      </c>
    </row>
    <row r="821" spans="1:4" x14ac:dyDescent="0.3">
      <c r="A821" t="s">
        <v>7262</v>
      </c>
      <c r="B821" t="s">
        <v>8043</v>
      </c>
      <c r="C821" t="s">
        <v>5842</v>
      </c>
      <c r="D821" t="str" cm="1">
        <f t="array" ref="D821">TRANSPOSE(_xlfn._xlws.FILTER('Controllable Asset Registry'!$A$4:$A$764,IFERROR('Controllable Asset Registry'!$E$4:$E$764=A821,FALSE),"No Equipment in entity"))</f>
        <v>No Equipment in entity</v>
      </c>
    </row>
    <row r="822" spans="1:4" x14ac:dyDescent="0.3">
      <c r="A822" t="s">
        <v>7263</v>
      </c>
      <c r="B822" t="s">
        <v>8044</v>
      </c>
      <c r="C822" t="s">
        <v>5842</v>
      </c>
      <c r="D822" t="str" cm="1">
        <f t="array" ref="D822">TRANSPOSE(_xlfn._xlws.FILTER('Controllable Asset Registry'!$A$4:$A$764,IFERROR('Controllable Asset Registry'!$E$4:$E$764=A822,FALSE),"No Equipment in entity"))</f>
        <v>No Equipment in entity</v>
      </c>
    </row>
    <row r="823" spans="1:4" x14ac:dyDescent="0.3">
      <c r="A823" t="s">
        <v>7264</v>
      </c>
      <c r="B823" t="s">
        <v>8045</v>
      </c>
      <c r="C823" t="s">
        <v>5842</v>
      </c>
      <c r="D823" t="str" cm="1">
        <f t="array" ref="D823">TRANSPOSE(_xlfn._xlws.FILTER('Controllable Asset Registry'!$A$4:$A$764,IFERROR('Controllable Asset Registry'!$E$4:$E$764=A823,FALSE),"No Equipment in entity"))</f>
        <v>No Equipment in entity</v>
      </c>
    </row>
    <row r="824" spans="1:4" x14ac:dyDescent="0.3">
      <c r="A824" t="s">
        <v>6104</v>
      </c>
      <c r="B824" t="s">
        <v>8046</v>
      </c>
      <c r="C824" t="s">
        <v>6715</v>
      </c>
      <c r="D824" t="str" cm="1">
        <f t="array" ref="D824">TRANSPOSE(_xlfn._xlws.FILTER('Controllable Asset Registry'!$A$4:$A$764,IFERROR('Controllable Asset Registry'!$E$4:$E$764=A824,FALSE),"No Equipment in entity"))</f>
        <v>FCU0112</v>
      </c>
    </row>
    <row r="825" spans="1:4" x14ac:dyDescent="0.3">
      <c r="A825" t="s">
        <v>7265</v>
      </c>
      <c r="B825" t="s">
        <v>8047</v>
      </c>
      <c r="C825" t="s">
        <v>5839</v>
      </c>
      <c r="D825" t="str" cm="1">
        <f t="array" ref="D825">TRANSPOSE(_xlfn._xlws.FILTER('Controllable Asset Registry'!$A$4:$A$764,IFERROR('Controllable Asset Registry'!$E$4:$E$764=A825,FALSE),"No Equipment in entity"))</f>
        <v>No Equipment in entity</v>
      </c>
    </row>
    <row r="826" spans="1:4" x14ac:dyDescent="0.3">
      <c r="A826" t="s">
        <v>6103</v>
      </c>
      <c r="B826" t="s">
        <v>8048</v>
      </c>
      <c r="C826" t="s">
        <v>6715</v>
      </c>
      <c r="D826" t="str" cm="1">
        <f t="array" ref="D826">TRANSPOSE(_xlfn._xlws.FILTER('Controllable Asset Registry'!$A$4:$A$764,IFERROR('Controllable Asset Registry'!$E$4:$E$764=A826,FALSE),"No Equipment in entity"))</f>
        <v>FCU0110</v>
      </c>
    </row>
    <row r="827" spans="1:4" x14ac:dyDescent="0.3">
      <c r="A827" t="s">
        <v>7266</v>
      </c>
      <c r="B827" t="s">
        <v>8049</v>
      </c>
      <c r="C827" t="s">
        <v>7100</v>
      </c>
      <c r="D827" t="str" cm="1">
        <f t="array" ref="D827">TRANSPOSE(_xlfn._xlws.FILTER('Controllable Asset Registry'!$A$4:$A$764,IFERROR('Controllable Asset Registry'!$E$4:$E$764=A827,FALSE),"No Equipment in entity"))</f>
        <v>No Equipment in entity</v>
      </c>
    </row>
    <row r="828" spans="1:4" x14ac:dyDescent="0.3">
      <c r="A828" t="s">
        <v>7267</v>
      </c>
      <c r="B828" t="s">
        <v>8050</v>
      </c>
      <c r="C828" t="s">
        <v>6860</v>
      </c>
      <c r="D828" t="str" cm="1">
        <f t="array" ref="D828">TRANSPOSE(_xlfn._xlws.FILTER('Controllable Asset Registry'!$A$4:$A$764,IFERROR('Controllable Asset Registry'!$E$4:$E$764=A828,FALSE),"No Equipment in entity"))</f>
        <v>No Equipment in entity</v>
      </c>
    </row>
    <row r="829" spans="1:4" x14ac:dyDescent="0.3">
      <c r="A829" t="s">
        <v>7268</v>
      </c>
      <c r="B829" t="s">
        <v>8051</v>
      </c>
      <c r="C829" t="s">
        <v>5839</v>
      </c>
      <c r="D829" t="str" cm="1">
        <f t="array" ref="D829">TRANSPOSE(_xlfn._xlws.FILTER('Controllable Asset Registry'!$A$4:$A$764,IFERROR('Controllable Asset Registry'!$E$4:$E$764=A829,FALSE),"No Equipment in entity"))</f>
        <v>No Equipment in entity</v>
      </c>
    </row>
    <row r="830" spans="1:4" x14ac:dyDescent="0.3">
      <c r="A830" t="s">
        <v>8406</v>
      </c>
      <c r="B830" t="s">
        <v>8407</v>
      </c>
      <c r="C830" t="s">
        <v>6874</v>
      </c>
      <c r="D830" t="str" cm="1">
        <f t="array" ref="D830">TRANSPOSE(_xlfn._xlws.FILTER('Controllable Asset Registry'!$A$4:$A$764,IFERROR('Controllable Asset Registry'!$E$4:$E$764=A830,FALSE),"No Equipment in entity"))</f>
        <v>No Equipment in entity</v>
      </c>
    </row>
    <row r="831" spans="1:4" x14ac:dyDescent="0.3">
      <c r="A831" t="s">
        <v>8408</v>
      </c>
      <c r="B831" t="s">
        <v>8409</v>
      </c>
      <c r="C831" t="s">
        <v>6877</v>
      </c>
      <c r="D831" t="str" cm="1">
        <f t="array" ref="D831">TRANSPOSE(_xlfn._xlws.FILTER('Controllable Asset Registry'!$A$4:$A$764,IFERROR('Controllable Asset Registry'!$E$4:$E$764=A831,FALSE),"No Equipment in entity"))</f>
        <v>No Equipment in entity</v>
      </c>
    </row>
    <row r="832" spans="1:4" x14ac:dyDescent="0.3">
      <c r="A832" t="s">
        <v>8410</v>
      </c>
      <c r="B832" t="s">
        <v>8411</v>
      </c>
      <c r="C832" t="s">
        <v>6880</v>
      </c>
      <c r="D832" t="str" cm="1">
        <f t="array" ref="D832">TRANSPOSE(_xlfn._xlws.FILTER('Controllable Asset Registry'!$A$4:$A$764,IFERROR('Controllable Asset Registry'!$E$4:$E$764=A832,FALSE),"No Equipment in entity"))</f>
        <v>No Equipment in entity</v>
      </c>
    </row>
    <row r="833" spans="1:6" x14ac:dyDescent="0.3">
      <c r="A833" t="s">
        <v>8412</v>
      </c>
      <c r="B833" t="s">
        <v>8413</v>
      </c>
      <c r="C833" t="s">
        <v>6744</v>
      </c>
      <c r="D833" t="str" cm="1">
        <f t="array" ref="D833">TRANSPOSE(_xlfn._xlws.FILTER('Controllable Asset Registry'!$A$4:$A$764,IFERROR('Controllable Asset Registry'!$E$4:$E$764=A833,FALSE),"No Equipment in entity"))</f>
        <v>No Equipment in entity</v>
      </c>
    </row>
    <row r="834" spans="1:6" x14ac:dyDescent="0.3">
      <c r="A834" t="s">
        <v>8414</v>
      </c>
      <c r="B834" t="s">
        <v>8415</v>
      </c>
      <c r="C834" t="s">
        <v>6747</v>
      </c>
      <c r="D834" t="str" cm="1">
        <f t="array" ref="D834">TRANSPOSE(_xlfn._xlws.FILTER('Controllable Asset Registry'!$A$4:$A$764,IFERROR('Controllable Asset Registry'!$E$4:$E$764=A834,FALSE),"No Equipment in entity"))</f>
        <v>No Equipment in entity</v>
      </c>
    </row>
    <row r="835" spans="1:6" x14ac:dyDescent="0.3">
      <c r="A835" t="s">
        <v>8416</v>
      </c>
      <c r="B835" t="s">
        <v>8417</v>
      </c>
      <c r="C835" t="s">
        <v>6750</v>
      </c>
      <c r="D835" t="str" cm="1">
        <f t="array" ref="D835">TRANSPOSE(_xlfn._xlws.FILTER('Controllable Asset Registry'!$A$4:$A$764,IFERROR('Controllable Asset Registry'!$E$4:$E$764=A835,FALSE),"No Equipment in entity"))</f>
        <v>No Equipment in entity</v>
      </c>
    </row>
    <row r="836" spans="1:6" x14ac:dyDescent="0.3">
      <c r="A836" t="s">
        <v>8418</v>
      </c>
      <c r="B836" t="s">
        <v>8419</v>
      </c>
      <c r="C836" t="s">
        <v>6889</v>
      </c>
      <c r="D836" t="str" cm="1">
        <f t="array" ref="D836">TRANSPOSE(_xlfn._xlws.FILTER('Controllable Asset Registry'!$A$4:$A$764,IFERROR('Controllable Asset Registry'!$E$4:$E$764=A836,FALSE),"No Equipment in entity"))</f>
        <v>No Equipment in entity</v>
      </c>
    </row>
    <row r="837" spans="1:6" x14ac:dyDescent="0.3">
      <c r="A837" t="s">
        <v>8420</v>
      </c>
      <c r="B837" t="s">
        <v>8421</v>
      </c>
      <c r="C837" t="s">
        <v>7269</v>
      </c>
      <c r="D837" t="str" cm="1">
        <f t="array" ref="D837">TRANSPOSE(_xlfn._xlws.FILTER('Controllable Asset Registry'!$A$4:$A$764,IFERROR('Controllable Asset Registry'!$E$4:$E$764=A837,FALSE),"No Equipment in entity"))</f>
        <v>No Equipment in entity</v>
      </c>
    </row>
    <row r="838" spans="1:6" x14ac:dyDescent="0.3">
      <c r="A838" t="s">
        <v>8422</v>
      </c>
      <c r="B838" t="s">
        <v>8423</v>
      </c>
      <c r="C838" t="s">
        <v>7270</v>
      </c>
      <c r="D838" t="str" cm="1">
        <f t="array" ref="D838">TRANSPOSE(_xlfn._xlws.FILTER('Controllable Asset Registry'!$A$4:$A$764,IFERROR('Controllable Asset Registry'!$E$4:$E$764=A838,FALSE),"No Equipment in entity"))</f>
        <v>No Equipment in entity</v>
      </c>
    </row>
    <row r="839" spans="1:6" x14ac:dyDescent="0.3">
      <c r="A839" t="s">
        <v>8424</v>
      </c>
      <c r="B839" t="s">
        <v>8425</v>
      </c>
      <c r="C839" t="s">
        <v>6757</v>
      </c>
      <c r="D839" t="str" cm="1">
        <f t="array" ref="D839">TRANSPOSE(_xlfn._xlws.FILTER('Controllable Asset Registry'!$A$4:$A$764,IFERROR('Controllable Asset Registry'!$E$4:$E$764=A839,FALSE),"No Equipment in entity"))</f>
        <v>No Equipment in entity</v>
      </c>
    </row>
    <row r="840" spans="1:6" x14ac:dyDescent="0.3">
      <c r="A840" t="s">
        <v>8426</v>
      </c>
      <c r="B840" t="s">
        <v>8427</v>
      </c>
      <c r="C840" t="s">
        <v>6896</v>
      </c>
      <c r="D840" t="str" cm="1">
        <f t="array" ref="D840">TRANSPOSE(_xlfn._xlws.FILTER('Controllable Asset Registry'!$A$4:$A$764,IFERROR('Controllable Asset Registry'!$E$4:$E$764=A840,FALSE),"No Equipment in entity"))</f>
        <v>No Equipment in entity</v>
      </c>
    </row>
    <row r="841" spans="1:6" x14ac:dyDescent="0.3">
      <c r="A841" t="s">
        <v>7271</v>
      </c>
      <c r="B841" t="s">
        <v>8052</v>
      </c>
      <c r="C841" t="s">
        <v>7272</v>
      </c>
      <c r="D841" t="str" cm="1">
        <f t="array" ref="D841">TRANSPOSE(_xlfn._xlws.FILTER('Controllable Asset Registry'!$A$4:$A$764,IFERROR('Controllable Asset Registry'!$E$4:$E$764=A841,FALSE),"No Equipment in entity"))</f>
        <v>No Equipment in entity</v>
      </c>
    </row>
    <row r="842" spans="1:6" x14ac:dyDescent="0.3">
      <c r="A842" t="s">
        <v>7273</v>
      </c>
      <c r="B842" t="s">
        <v>8053</v>
      </c>
      <c r="C842" t="s">
        <v>7274</v>
      </c>
      <c r="D842" t="str" cm="1">
        <f t="array" ref="D842">TRANSPOSE(_xlfn._xlws.FILTER('Controllable Asset Registry'!$A$4:$A$764,IFERROR('Controllable Asset Registry'!$E$4:$E$764=A842,FALSE),"No Equipment in entity"))</f>
        <v>No Equipment in entity</v>
      </c>
    </row>
    <row r="843" spans="1:6" x14ac:dyDescent="0.3">
      <c r="A843" t="s">
        <v>7275</v>
      </c>
      <c r="B843" t="s">
        <v>8054</v>
      </c>
      <c r="C843" t="s">
        <v>7276</v>
      </c>
      <c r="D843" t="str" cm="1">
        <f t="array" ref="D843">TRANSPOSE(_xlfn._xlws.FILTER('Controllable Asset Registry'!$A$4:$A$764,IFERROR('Controllable Asset Registry'!$E$4:$E$764=A843,FALSE),"No Equipment in entity"))</f>
        <v>No Equipment in entity</v>
      </c>
    </row>
    <row r="844" spans="1:6" x14ac:dyDescent="0.3">
      <c r="A844" t="s">
        <v>6558</v>
      </c>
      <c r="B844" t="s">
        <v>8055</v>
      </c>
      <c r="C844" t="s">
        <v>7277</v>
      </c>
      <c r="D844" t="str" cm="1">
        <f t="array" ref="D844:F844">TRANSPOSE(_xlfn._xlws.FILTER('Controllable Asset Registry'!$A$4:$A$764,IFERROR('Controllable Asset Registry'!$E$4:$E$764=A844,FALSE),"No Equipment in entity"))</f>
        <v>VAV0530</v>
      </c>
      <c r="E844" t="str">
        <v>VAV0531</v>
      </c>
      <c r="F844" t="str">
        <v>VAV0532</v>
      </c>
    </row>
    <row r="845" spans="1:6" x14ac:dyDescent="0.3">
      <c r="A845" t="s">
        <v>6559</v>
      </c>
      <c r="B845" t="s">
        <v>8056</v>
      </c>
      <c r="C845" t="s">
        <v>7278</v>
      </c>
      <c r="D845" t="str" cm="1">
        <f t="array" ref="D845:E845">TRANSPOSE(_xlfn._xlws.FILTER('Controllable Asset Registry'!$A$4:$A$764,IFERROR('Controllable Asset Registry'!$E$4:$E$764=A845,FALSE),"No Equipment in entity"))</f>
        <v>VAV0533</v>
      </c>
      <c r="E845" t="str">
        <v>VAV0534</v>
      </c>
    </row>
    <row r="846" spans="1:6" x14ac:dyDescent="0.3">
      <c r="A846" t="s">
        <v>6560</v>
      </c>
      <c r="B846" t="s">
        <v>8057</v>
      </c>
      <c r="C846" t="s">
        <v>7279</v>
      </c>
      <c r="D846" t="str" cm="1">
        <f t="array" ref="D846">TRANSPOSE(_xlfn._xlws.FILTER('Controllable Asset Registry'!$A$4:$A$764,IFERROR('Controllable Asset Registry'!$E$4:$E$764=A846,FALSE),"No Equipment in entity"))</f>
        <v>VAV0535</v>
      </c>
    </row>
    <row r="847" spans="1:6" x14ac:dyDescent="0.3">
      <c r="A847" t="s">
        <v>6526</v>
      </c>
      <c r="B847" t="s">
        <v>8058</v>
      </c>
      <c r="C847" t="s">
        <v>7280</v>
      </c>
      <c r="D847" t="str" cm="1">
        <f t="array" ref="D847">TRANSPOSE(_xlfn._xlws.FILTER('Controllable Asset Registry'!$A$4:$A$764,IFERROR('Controllable Asset Registry'!$E$4:$E$764=A847,FALSE),"No Equipment in entity"))</f>
        <v>VAV0498</v>
      </c>
    </row>
    <row r="848" spans="1:6" x14ac:dyDescent="0.3">
      <c r="A848" t="s">
        <v>6527</v>
      </c>
      <c r="B848" t="s">
        <v>8059</v>
      </c>
      <c r="C848" t="s">
        <v>7279</v>
      </c>
      <c r="D848" t="str" cm="1">
        <f t="array" ref="D848">TRANSPOSE(_xlfn._xlws.FILTER('Controllable Asset Registry'!$A$4:$A$764,IFERROR('Controllable Asset Registry'!$E$4:$E$764=A848,FALSE),"No Equipment in entity"))</f>
        <v>VAV0499</v>
      </c>
    </row>
    <row r="849" spans="1:4" x14ac:dyDescent="0.3">
      <c r="A849" t="s">
        <v>6528</v>
      </c>
      <c r="B849" t="s">
        <v>8060</v>
      </c>
      <c r="C849" t="s">
        <v>7281</v>
      </c>
      <c r="D849" t="str" cm="1">
        <f t="array" ref="D849">TRANSPOSE(_xlfn._xlws.FILTER('Controllable Asset Registry'!$A$4:$A$764,IFERROR('Controllable Asset Registry'!$E$4:$E$764=A849,FALSE),"No Equipment in entity"))</f>
        <v>VAV0500</v>
      </c>
    </row>
    <row r="850" spans="1:4" x14ac:dyDescent="0.3">
      <c r="A850" t="s">
        <v>6529</v>
      </c>
      <c r="B850" t="s">
        <v>8061</v>
      </c>
      <c r="C850" t="s">
        <v>7282</v>
      </c>
      <c r="D850" t="str" cm="1">
        <f t="array" ref="D850">TRANSPOSE(_xlfn._xlws.FILTER('Controllable Asset Registry'!$A$4:$A$764,IFERROR('Controllable Asset Registry'!$E$4:$E$764=A850,FALSE),"No Equipment in entity"))</f>
        <v>VAV0501</v>
      </c>
    </row>
    <row r="851" spans="1:4" x14ac:dyDescent="0.3">
      <c r="A851" t="s">
        <v>6530</v>
      </c>
      <c r="B851" t="s">
        <v>8062</v>
      </c>
      <c r="C851" t="s">
        <v>7283</v>
      </c>
      <c r="D851" t="str" cm="1">
        <f t="array" ref="D851">TRANSPOSE(_xlfn._xlws.FILTER('Controllable Asset Registry'!$A$4:$A$764,IFERROR('Controllable Asset Registry'!$E$4:$E$764=A851,FALSE),"No Equipment in entity"))</f>
        <v>VAV0502</v>
      </c>
    </row>
    <row r="852" spans="1:4" x14ac:dyDescent="0.3">
      <c r="A852" t="s">
        <v>6531</v>
      </c>
      <c r="B852" t="s">
        <v>8063</v>
      </c>
      <c r="C852" t="s">
        <v>7283</v>
      </c>
      <c r="D852" t="str" cm="1">
        <f t="array" ref="D852">TRANSPOSE(_xlfn._xlws.FILTER('Controllable Asset Registry'!$A$4:$A$764,IFERROR('Controllable Asset Registry'!$E$4:$E$764=A852,FALSE),"No Equipment in entity"))</f>
        <v>VAV0503</v>
      </c>
    </row>
    <row r="853" spans="1:4" x14ac:dyDescent="0.3">
      <c r="A853" t="s">
        <v>6532</v>
      </c>
      <c r="B853" t="s">
        <v>8064</v>
      </c>
      <c r="C853" t="s">
        <v>7283</v>
      </c>
      <c r="D853" t="str" cm="1">
        <f t="array" ref="D853">TRANSPOSE(_xlfn._xlws.FILTER('Controllable Asset Registry'!$A$4:$A$764,IFERROR('Controllable Asset Registry'!$E$4:$E$764=A853,FALSE),"No Equipment in entity"))</f>
        <v>VAV0504</v>
      </c>
    </row>
    <row r="854" spans="1:4" x14ac:dyDescent="0.3">
      <c r="A854" t="s">
        <v>6533</v>
      </c>
      <c r="B854" t="s">
        <v>8065</v>
      </c>
      <c r="C854" t="s">
        <v>7284</v>
      </c>
      <c r="D854" t="str" cm="1">
        <f t="array" ref="D854">TRANSPOSE(_xlfn._xlws.FILTER('Controllable Asset Registry'!$A$4:$A$764,IFERROR('Controllable Asset Registry'!$E$4:$E$764=A854,FALSE),"No Equipment in entity"))</f>
        <v>VAV0505</v>
      </c>
    </row>
    <row r="855" spans="1:4" x14ac:dyDescent="0.3">
      <c r="A855" t="s">
        <v>6534</v>
      </c>
      <c r="B855" t="s">
        <v>8066</v>
      </c>
      <c r="C855" t="s">
        <v>7284</v>
      </c>
      <c r="D855" t="str" cm="1">
        <f t="array" ref="D855">TRANSPOSE(_xlfn._xlws.FILTER('Controllable Asset Registry'!$A$4:$A$764,IFERROR('Controllable Asset Registry'!$E$4:$E$764=A855,FALSE),"No Equipment in entity"))</f>
        <v>VAV0506</v>
      </c>
    </row>
    <row r="856" spans="1:4" x14ac:dyDescent="0.3">
      <c r="A856" t="s">
        <v>6109</v>
      </c>
      <c r="B856" t="s">
        <v>8067</v>
      </c>
      <c r="C856" t="s">
        <v>6917</v>
      </c>
      <c r="D856" t="str" cm="1">
        <f t="array" ref="D856">TRANSPOSE(_xlfn._xlws.FILTER('Controllable Asset Registry'!$A$4:$A$764,IFERROR('Controllable Asset Registry'!$E$4:$E$764=A856,FALSE),"No Equipment in entity"))</f>
        <v>FCU0117</v>
      </c>
    </row>
    <row r="857" spans="1:4" x14ac:dyDescent="0.3">
      <c r="A857" t="s">
        <v>6535</v>
      </c>
      <c r="B857" t="s">
        <v>8068</v>
      </c>
      <c r="C857" t="s">
        <v>7285</v>
      </c>
      <c r="D857" t="str" cm="1">
        <f t="array" ref="D857">TRANSPOSE(_xlfn._xlws.FILTER('Controllable Asset Registry'!$A$4:$A$764,IFERROR('Controllable Asset Registry'!$E$4:$E$764=A857,FALSE),"No Equipment in entity"))</f>
        <v>VAV0507</v>
      </c>
    </row>
    <row r="858" spans="1:4" x14ac:dyDescent="0.3">
      <c r="A858" t="s">
        <v>6536</v>
      </c>
      <c r="B858" t="s">
        <v>8069</v>
      </c>
      <c r="C858" t="s">
        <v>7286</v>
      </c>
      <c r="D858" t="str" cm="1">
        <f t="array" ref="D858">TRANSPOSE(_xlfn._xlws.FILTER('Controllable Asset Registry'!$A$4:$A$764,IFERROR('Controllable Asset Registry'!$E$4:$E$764=A858,FALSE),"No Equipment in entity"))</f>
        <v>VAV0508</v>
      </c>
    </row>
    <row r="859" spans="1:4" x14ac:dyDescent="0.3">
      <c r="A859" t="s">
        <v>6537</v>
      </c>
      <c r="B859" t="s">
        <v>8070</v>
      </c>
      <c r="C859" t="s">
        <v>7287</v>
      </c>
      <c r="D859" t="str" cm="1">
        <f t="array" ref="D859">TRANSPOSE(_xlfn._xlws.FILTER('Controllable Asset Registry'!$A$4:$A$764,IFERROR('Controllable Asset Registry'!$E$4:$E$764=A859,FALSE),"No Equipment in entity"))</f>
        <v>VAV0509</v>
      </c>
    </row>
    <row r="860" spans="1:4" x14ac:dyDescent="0.3">
      <c r="A860" t="s">
        <v>6538</v>
      </c>
      <c r="B860" t="s">
        <v>8071</v>
      </c>
      <c r="C860" t="s">
        <v>7288</v>
      </c>
      <c r="D860" t="str" cm="1">
        <f t="array" ref="D860">TRANSPOSE(_xlfn._xlws.FILTER('Controllable Asset Registry'!$A$4:$A$764,IFERROR('Controllable Asset Registry'!$E$4:$E$764=A860,FALSE),"No Equipment in entity"))</f>
        <v>VAV0510</v>
      </c>
    </row>
    <row r="861" spans="1:4" x14ac:dyDescent="0.3">
      <c r="A861" t="s">
        <v>6539</v>
      </c>
      <c r="B861" t="s">
        <v>8072</v>
      </c>
      <c r="C861" t="s">
        <v>7289</v>
      </c>
      <c r="D861" t="str" cm="1">
        <f t="array" ref="D861">TRANSPOSE(_xlfn._xlws.FILTER('Controllable Asset Registry'!$A$4:$A$764,IFERROR('Controllable Asset Registry'!$E$4:$E$764=A861,FALSE),"No Equipment in entity"))</f>
        <v>VAV0511</v>
      </c>
    </row>
    <row r="862" spans="1:4" x14ac:dyDescent="0.3">
      <c r="A862" t="s">
        <v>6540</v>
      </c>
      <c r="B862" t="s">
        <v>8073</v>
      </c>
      <c r="C862" t="s">
        <v>7290</v>
      </c>
      <c r="D862" t="str" cm="1">
        <f t="array" ref="D862">TRANSPOSE(_xlfn._xlws.FILTER('Controllable Asset Registry'!$A$4:$A$764,IFERROR('Controllable Asset Registry'!$E$4:$E$764=A862,FALSE),"No Equipment in entity"))</f>
        <v>VAV0512</v>
      </c>
    </row>
    <row r="863" spans="1:4" x14ac:dyDescent="0.3">
      <c r="A863" t="s">
        <v>6541</v>
      </c>
      <c r="B863" t="s">
        <v>8074</v>
      </c>
      <c r="C863" t="s">
        <v>7291</v>
      </c>
      <c r="D863" t="str" cm="1">
        <f t="array" ref="D863">TRANSPOSE(_xlfn._xlws.FILTER('Controllable Asset Registry'!$A$4:$A$764,IFERROR('Controllable Asset Registry'!$E$4:$E$764=A863,FALSE),"No Equipment in entity"))</f>
        <v>VAV0513</v>
      </c>
    </row>
    <row r="864" spans="1:4" x14ac:dyDescent="0.3">
      <c r="A864" t="s">
        <v>6542</v>
      </c>
      <c r="B864" t="s">
        <v>8075</v>
      </c>
      <c r="C864" t="s">
        <v>7291</v>
      </c>
      <c r="D864" t="str" cm="1">
        <f t="array" ref="D864">TRANSPOSE(_xlfn._xlws.FILTER('Controllable Asset Registry'!$A$4:$A$764,IFERROR('Controllable Asset Registry'!$E$4:$E$764=A864,FALSE),"No Equipment in entity"))</f>
        <v>VAV0514</v>
      </c>
    </row>
    <row r="865" spans="1:4" x14ac:dyDescent="0.3">
      <c r="A865" t="s">
        <v>6543</v>
      </c>
      <c r="B865" t="s">
        <v>8076</v>
      </c>
      <c r="C865" t="s">
        <v>7292</v>
      </c>
      <c r="D865" t="str" cm="1">
        <f t="array" ref="D865">TRANSPOSE(_xlfn._xlws.FILTER('Controllable Asset Registry'!$A$4:$A$764,IFERROR('Controllable Asset Registry'!$E$4:$E$764=A865,FALSE),"No Equipment in entity"))</f>
        <v>VAV0515</v>
      </c>
    </row>
    <row r="866" spans="1:4" x14ac:dyDescent="0.3">
      <c r="A866" t="s">
        <v>6544</v>
      </c>
      <c r="B866" t="s">
        <v>8077</v>
      </c>
      <c r="C866" t="s">
        <v>7293</v>
      </c>
      <c r="D866" t="str" cm="1">
        <f t="array" ref="D866">TRANSPOSE(_xlfn._xlws.FILTER('Controllable Asset Registry'!$A$4:$A$764,IFERROR('Controllable Asset Registry'!$E$4:$E$764=A866,FALSE),"No Equipment in entity"))</f>
        <v>VAV0516</v>
      </c>
    </row>
    <row r="867" spans="1:4" x14ac:dyDescent="0.3">
      <c r="A867" t="s">
        <v>6545</v>
      </c>
      <c r="B867" t="s">
        <v>8078</v>
      </c>
      <c r="C867" t="s">
        <v>7294</v>
      </c>
      <c r="D867" t="str" cm="1">
        <f t="array" ref="D867">TRANSPOSE(_xlfn._xlws.FILTER('Controllable Asset Registry'!$A$4:$A$764,IFERROR('Controllable Asset Registry'!$E$4:$E$764=A867,FALSE),"No Equipment in entity"))</f>
        <v>VAV0517</v>
      </c>
    </row>
    <row r="868" spans="1:4" x14ac:dyDescent="0.3">
      <c r="A868" t="s">
        <v>6546</v>
      </c>
      <c r="B868" t="s">
        <v>8079</v>
      </c>
      <c r="C868" t="s">
        <v>7295</v>
      </c>
      <c r="D868" t="str" cm="1">
        <f t="array" ref="D868">TRANSPOSE(_xlfn._xlws.FILTER('Controllable Asset Registry'!$A$4:$A$764,IFERROR('Controllable Asset Registry'!$E$4:$E$764=A868,FALSE),"No Equipment in entity"))</f>
        <v>VAV0518</v>
      </c>
    </row>
    <row r="869" spans="1:4" x14ac:dyDescent="0.3">
      <c r="A869" t="s">
        <v>6547</v>
      </c>
      <c r="B869" t="s">
        <v>8080</v>
      </c>
      <c r="C869" t="s">
        <v>7296</v>
      </c>
      <c r="D869" t="str" cm="1">
        <f t="array" ref="D869">TRANSPOSE(_xlfn._xlws.FILTER('Controllable Asset Registry'!$A$4:$A$764,IFERROR('Controllable Asset Registry'!$E$4:$E$764=A869,FALSE),"No Equipment in entity"))</f>
        <v>VAV0519</v>
      </c>
    </row>
    <row r="870" spans="1:4" x14ac:dyDescent="0.3">
      <c r="A870" t="s">
        <v>6548</v>
      </c>
      <c r="B870" t="s">
        <v>8081</v>
      </c>
      <c r="C870" t="s">
        <v>7297</v>
      </c>
      <c r="D870" t="str" cm="1">
        <f t="array" ref="D870">TRANSPOSE(_xlfn._xlws.FILTER('Controllable Asset Registry'!$A$4:$A$764,IFERROR('Controllable Asset Registry'!$E$4:$E$764=A870,FALSE),"No Equipment in entity"))</f>
        <v>VAV0520</v>
      </c>
    </row>
    <row r="871" spans="1:4" x14ac:dyDescent="0.3">
      <c r="A871" t="s">
        <v>6549</v>
      </c>
      <c r="B871" t="s">
        <v>8082</v>
      </c>
      <c r="C871" t="s">
        <v>7298</v>
      </c>
      <c r="D871" t="str" cm="1">
        <f t="array" ref="D871">TRANSPOSE(_xlfn._xlws.FILTER('Controllable Asset Registry'!$A$4:$A$764,IFERROR('Controllable Asset Registry'!$E$4:$E$764=A871,FALSE),"No Equipment in entity"))</f>
        <v>VAV0521</v>
      </c>
    </row>
    <row r="872" spans="1:4" x14ac:dyDescent="0.3">
      <c r="A872" t="s">
        <v>7299</v>
      </c>
      <c r="B872" t="s">
        <v>8083</v>
      </c>
      <c r="C872" t="s">
        <v>6788</v>
      </c>
      <c r="D872" t="str" cm="1">
        <f t="array" ref="D872">TRANSPOSE(_xlfn._xlws.FILTER('Controllable Asset Registry'!$A$4:$A$764,IFERROR('Controllable Asset Registry'!$E$4:$E$764=A872,FALSE),"No Equipment in entity"))</f>
        <v>No Equipment in entity</v>
      </c>
    </row>
    <row r="873" spans="1:4" x14ac:dyDescent="0.3">
      <c r="A873" t="s">
        <v>6551</v>
      </c>
      <c r="B873" t="s">
        <v>8084</v>
      </c>
      <c r="C873" t="s">
        <v>7300</v>
      </c>
      <c r="D873" t="str" cm="1">
        <f t="array" ref="D873">TRANSPOSE(_xlfn._xlws.FILTER('Controllable Asset Registry'!$A$4:$A$764,IFERROR('Controllable Asset Registry'!$E$4:$E$764=A873,FALSE),"No Equipment in entity"))</f>
        <v>VAV0523</v>
      </c>
    </row>
    <row r="874" spans="1:4" x14ac:dyDescent="0.3">
      <c r="A874" t="s">
        <v>6552</v>
      </c>
      <c r="B874" t="s">
        <v>8085</v>
      </c>
      <c r="C874" t="s">
        <v>7301</v>
      </c>
      <c r="D874" t="str" cm="1">
        <f t="array" ref="D874">TRANSPOSE(_xlfn._xlws.FILTER('Controllable Asset Registry'!$A$4:$A$764,IFERROR('Controllable Asset Registry'!$E$4:$E$764=A874,FALSE),"No Equipment in entity"))</f>
        <v>VAV0524</v>
      </c>
    </row>
    <row r="875" spans="1:4" x14ac:dyDescent="0.3">
      <c r="A875" t="s">
        <v>6553</v>
      </c>
      <c r="B875" t="s">
        <v>8086</v>
      </c>
      <c r="C875" t="s">
        <v>7302</v>
      </c>
      <c r="D875" t="str" cm="1">
        <f t="array" ref="D875">TRANSPOSE(_xlfn._xlws.FILTER('Controllable Asset Registry'!$A$4:$A$764,IFERROR('Controllable Asset Registry'!$E$4:$E$764=A875,FALSE),"No Equipment in entity"))</f>
        <v>VAV0525</v>
      </c>
    </row>
    <row r="876" spans="1:4" x14ac:dyDescent="0.3">
      <c r="A876" t="s">
        <v>6554</v>
      </c>
      <c r="B876" t="s">
        <v>8087</v>
      </c>
      <c r="C876" t="s">
        <v>7303</v>
      </c>
      <c r="D876" t="str" cm="1">
        <f t="array" ref="D876">TRANSPOSE(_xlfn._xlws.FILTER('Controllable Asset Registry'!$A$4:$A$764,IFERROR('Controllable Asset Registry'!$E$4:$E$764=A876,FALSE),"No Equipment in entity"))</f>
        <v>VAV0526</v>
      </c>
    </row>
    <row r="877" spans="1:4" x14ac:dyDescent="0.3">
      <c r="A877" t="s">
        <v>6555</v>
      </c>
      <c r="B877" t="s">
        <v>8088</v>
      </c>
      <c r="C877" t="s">
        <v>7304</v>
      </c>
      <c r="D877" t="str" cm="1">
        <f t="array" ref="D877">TRANSPOSE(_xlfn._xlws.FILTER('Controllable Asset Registry'!$A$4:$A$764,IFERROR('Controllable Asset Registry'!$E$4:$E$764=A877,FALSE),"No Equipment in entity"))</f>
        <v>VAV0527</v>
      </c>
    </row>
    <row r="878" spans="1:4" x14ac:dyDescent="0.3">
      <c r="A878" t="s">
        <v>6556</v>
      </c>
      <c r="B878" t="s">
        <v>8089</v>
      </c>
      <c r="C878" t="s">
        <v>7305</v>
      </c>
      <c r="D878" t="str" cm="1">
        <f t="array" ref="D878">TRANSPOSE(_xlfn._xlws.FILTER('Controllable Asset Registry'!$A$4:$A$764,IFERROR('Controllable Asset Registry'!$E$4:$E$764=A878,FALSE),"No Equipment in entity"))</f>
        <v>VAV0528</v>
      </c>
    </row>
    <row r="879" spans="1:4" x14ac:dyDescent="0.3">
      <c r="A879" t="s">
        <v>6557</v>
      </c>
      <c r="B879" t="s">
        <v>8090</v>
      </c>
      <c r="C879" t="s">
        <v>7306</v>
      </c>
      <c r="D879" t="str" cm="1">
        <f t="array" ref="D879">TRANSPOSE(_xlfn._xlws.FILTER('Controllable Asset Registry'!$A$4:$A$764,IFERROR('Controllable Asset Registry'!$E$4:$E$764=A879,FALSE),"No Equipment in entity"))</f>
        <v>VAV0529</v>
      </c>
    </row>
    <row r="880" spans="1:4" x14ac:dyDescent="0.3">
      <c r="A880" t="s">
        <v>6108</v>
      </c>
      <c r="B880" t="s">
        <v>8091</v>
      </c>
      <c r="C880" t="s">
        <v>6917</v>
      </c>
      <c r="D880" t="str" cm="1">
        <f t="array" ref="D880">TRANSPOSE(_xlfn._xlws.FILTER('Controllable Asset Registry'!$A$4:$A$764,IFERROR('Controllable Asset Registry'!$E$4:$E$764=A880,FALSE),"No Equipment in entity"))</f>
        <v>FCU0116</v>
      </c>
    </row>
    <row r="881" spans="1:5" x14ac:dyDescent="0.3">
      <c r="A881" t="s">
        <v>6563</v>
      </c>
      <c r="B881" t="s">
        <v>8092</v>
      </c>
      <c r="C881" t="s">
        <v>7188</v>
      </c>
      <c r="D881" t="str" cm="1">
        <f t="array" ref="D881:E881">TRANSPOSE(_xlfn._xlws.FILTER('Controllable Asset Registry'!$A$4:$A$764,IFERROR('Controllable Asset Registry'!$E$4:$E$764=A881,FALSE),"No Equipment in entity"))</f>
        <v>VAV0539</v>
      </c>
      <c r="E881" t="str">
        <v>VAV0540</v>
      </c>
    </row>
    <row r="882" spans="1:5" x14ac:dyDescent="0.3">
      <c r="A882" t="s">
        <v>6565</v>
      </c>
      <c r="B882" t="s">
        <v>8093</v>
      </c>
      <c r="C882" t="s">
        <v>7307</v>
      </c>
      <c r="D882" t="str" cm="1">
        <f t="array" ref="D882">TRANSPOSE(_xlfn._xlws.FILTER('Controllable Asset Registry'!$A$4:$A$764,IFERROR('Controllable Asset Registry'!$E$4:$E$764=A882,FALSE),"No Equipment in entity"))</f>
        <v>VAV0547</v>
      </c>
    </row>
    <row r="883" spans="1:5" x14ac:dyDescent="0.3">
      <c r="A883" t="s">
        <v>7308</v>
      </c>
      <c r="B883" t="s">
        <v>8094</v>
      </c>
      <c r="C883" t="s">
        <v>7309</v>
      </c>
      <c r="D883" t="str" cm="1">
        <f t="array" ref="D883">TRANSPOSE(_xlfn._xlws.FILTER('Controllable Asset Registry'!$A$4:$A$764,IFERROR('Controllable Asset Registry'!$E$4:$E$764=A883,FALSE),"No Equipment in entity"))</f>
        <v>No Equipment in entity</v>
      </c>
    </row>
    <row r="884" spans="1:5" x14ac:dyDescent="0.3">
      <c r="A884" t="s">
        <v>7310</v>
      </c>
      <c r="B884" t="s">
        <v>8095</v>
      </c>
      <c r="C884" t="s">
        <v>7311</v>
      </c>
      <c r="D884" t="str" cm="1">
        <f t="array" ref="D884">TRANSPOSE(_xlfn._xlws.FILTER('Controllable Asset Registry'!$A$4:$A$764,IFERROR('Controllable Asset Registry'!$E$4:$E$764=A884,FALSE),"No Equipment in entity"))</f>
        <v>No Equipment in entity</v>
      </c>
    </row>
    <row r="885" spans="1:5" x14ac:dyDescent="0.3">
      <c r="A885" t="s">
        <v>7312</v>
      </c>
      <c r="B885" t="s">
        <v>8096</v>
      </c>
      <c r="C885" t="s">
        <v>7311</v>
      </c>
      <c r="D885" t="str" cm="1">
        <f t="array" ref="D885">TRANSPOSE(_xlfn._xlws.FILTER('Controllable Asset Registry'!$A$4:$A$764,IFERROR('Controllable Asset Registry'!$E$4:$E$764=A885,FALSE),"No Equipment in entity"))</f>
        <v>No Equipment in entity</v>
      </c>
    </row>
    <row r="886" spans="1:5" x14ac:dyDescent="0.3">
      <c r="A886" t="s">
        <v>6561</v>
      </c>
      <c r="B886" t="s">
        <v>8097</v>
      </c>
      <c r="C886" t="s">
        <v>5973</v>
      </c>
      <c r="D886" t="str" cm="1">
        <f t="array" ref="D886:E886">TRANSPOSE(_xlfn._xlws.FILTER('Controllable Asset Registry'!$A$4:$A$764,IFERROR('Controllable Asset Registry'!$E$4:$E$764=A886,FALSE),"No Equipment in entity"))</f>
        <v>VAV0536</v>
      </c>
      <c r="E886" t="str">
        <v>VAV0537</v>
      </c>
    </row>
    <row r="887" spans="1:5" x14ac:dyDescent="0.3">
      <c r="A887" t="s">
        <v>7313</v>
      </c>
      <c r="B887" t="s">
        <v>8098</v>
      </c>
      <c r="C887" t="s">
        <v>5833</v>
      </c>
      <c r="D887" t="str" cm="1">
        <f t="array" ref="D887">TRANSPOSE(_xlfn._xlws.FILTER('Controllable Asset Registry'!$A$4:$A$764,IFERROR('Controllable Asset Registry'!$E$4:$E$764=A887,FALSE),"No Equipment in entity"))</f>
        <v>No Equipment in entity</v>
      </c>
    </row>
    <row r="888" spans="1:5" x14ac:dyDescent="0.3">
      <c r="A888" t="s">
        <v>7314</v>
      </c>
      <c r="B888" t="s">
        <v>8099</v>
      </c>
      <c r="C888" t="s">
        <v>6946</v>
      </c>
      <c r="D888" t="str" cm="1">
        <f t="array" ref="D888">TRANSPOSE(_xlfn._xlws.FILTER('Controllable Asset Registry'!$A$4:$A$764,IFERROR('Controllable Asset Registry'!$E$4:$E$764=A888,FALSE),"No Equipment in entity"))</f>
        <v>No Equipment in entity</v>
      </c>
    </row>
    <row r="889" spans="1:5" x14ac:dyDescent="0.3">
      <c r="A889" t="s">
        <v>6562</v>
      </c>
      <c r="B889" t="s">
        <v>8100</v>
      </c>
      <c r="C889" t="s">
        <v>7315</v>
      </c>
      <c r="D889" t="str" cm="1">
        <f t="array" ref="D889">TRANSPOSE(_xlfn._xlws.FILTER('Controllable Asset Registry'!$A$4:$A$764,IFERROR('Controllable Asset Registry'!$E$4:$E$764=A889,FALSE),"No Equipment in entity"))</f>
        <v>VAV0538</v>
      </c>
    </row>
    <row r="890" spans="1:5" x14ac:dyDescent="0.3">
      <c r="A890" t="s">
        <v>7316</v>
      </c>
      <c r="B890" t="s">
        <v>8101</v>
      </c>
      <c r="C890" t="s">
        <v>7317</v>
      </c>
      <c r="D890" t="str" cm="1">
        <f t="array" ref="D890">TRANSPOSE(_xlfn._xlws.FILTER('Controllable Asset Registry'!$A$4:$A$764,IFERROR('Controllable Asset Registry'!$E$4:$E$764=A890,FALSE),"No Equipment in entity"))</f>
        <v>No Equipment in entity</v>
      </c>
    </row>
    <row r="891" spans="1:5" x14ac:dyDescent="0.3">
      <c r="A891" t="s">
        <v>6110</v>
      </c>
      <c r="B891" t="s">
        <v>8102</v>
      </c>
      <c r="C891" t="s">
        <v>7318</v>
      </c>
      <c r="D891" t="str" cm="1">
        <f t="array" ref="D891">TRANSPOSE(_xlfn._xlws.FILTER('Controllable Asset Registry'!$A$4:$A$764,IFERROR('Controllable Asset Registry'!$E$4:$E$764=A891,FALSE),"No Equipment in entity"))</f>
        <v>FCU0118</v>
      </c>
    </row>
    <row r="892" spans="1:5" x14ac:dyDescent="0.3">
      <c r="A892" t="s">
        <v>6564</v>
      </c>
      <c r="B892" t="s">
        <v>8103</v>
      </c>
      <c r="C892" t="s">
        <v>7319</v>
      </c>
      <c r="D892" t="str" cm="1">
        <f t="array" ref="D892">TRANSPOSE(_xlfn._xlws.FILTER('Controllable Asset Registry'!$A$4:$A$764,IFERROR('Controllable Asset Registry'!$E$4:$E$764=A892,FALSE),"No Equipment in entity"))</f>
        <v>VAV0541</v>
      </c>
    </row>
    <row r="893" spans="1:5" x14ac:dyDescent="0.3">
      <c r="A893" t="s">
        <v>7320</v>
      </c>
      <c r="B893" t="s">
        <v>8104</v>
      </c>
      <c r="C893" t="s">
        <v>6709</v>
      </c>
      <c r="D893" t="str" cm="1">
        <f t="array" ref="D893">TRANSPOSE(_xlfn._xlws.FILTER('Controllable Asset Registry'!$A$4:$A$764,IFERROR('Controllable Asset Registry'!$E$4:$E$764=A893,FALSE),"No Equipment in entity"))</f>
        <v>No Equipment in entity</v>
      </c>
    </row>
    <row r="894" spans="1:5" x14ac:dyDescent="0.3">
      <c r="A894" t="s">
        <v>7321</v>
      </c>
      <c r="B894" t="s">
        <v>8105</v>
      </c>
      <c r="C894" t="s">
        <v>6706</v>
      </c>
      <c r="D894" t="str" cm="1">
        <f t="array" ref="D894">TRANSPOSE(_xlfn._xlws.FILTER('Controllable Asset Registry'!$A$4:$A$764,IFERROR('Controllable Asset Registry'!$E$4:$E$764=A894,FALSE),"No Equipment in entity"))</f>
        <v>No Equipment in entity</v>
      </c>
    </row>
    <row r="895" spans="1:5" x14ac:dyDescent="0.3">
      <c r="A895" t="s">
        <v>7322</v>
      </c>
      <c r="B895" t="s">
        <v>8106</v>
      </c>
      <c r="C895" t="s">
        <v>6706</v>
      </c>
      <c r="D895" t="str" cm="1">
        <f t="array" ref="D895">TRANSPOSE(_xlfn._xlws.FILTER('Controllable Asset Registry'!$A$4:$A$764,IFERROR('Controllable Asset Registry'!$E$4:$E$764=A895,FALSE),"No Equipment in entity"))</f>
        <v>No Equipment in entity</v>
      </c>
    </row>
    <row r="896" spans="1:5" x14ac:dyDescent="0.3">
      <c r="A896" t="s">
        <v>7323</v>
      </c>
      <c r="B896" t="s">
        <v>8107</v>
      </c>
      <c r="C896" t="s">
        <v>6709</v>
      </c>
      <c r="D896" t="str" cm="1">
        <f t="array" ref="D896">TRANSPOSE(_xlfn._xlws.FILTER('Controllable Asset Registry'!$A$4:$A$764,IFERROR('Controllable Asset Registry'!$E$4:$E$764=A896,FALSE),"No Equipment in entity"))</f>
        <v>No Equipment in entity</v>
      </c>
    </row>
    <row r="897" spans="1:9" x14ac:dyDescent="0.3">
      <c r="A897" t="s">
        <v>7324</v>
      </c>
      <c r="B897" t="s">
        <v>8108</v>
      </c>
      <c r="C897" t="s">
        <v>6706</v>
      </c>
      <c r="D897" t="str" cm="1">
        <f t="array" ref="D897">TRANSPOSE(_xlfn._xlws.FILTER('Controllable Asset Registry'!$A$4:$A$764,IFERROR('Controllable Asset Registry'!$E$4:$E$764=A897,FALSE),"No Equipment in entity"))</f>
        <v>No Equipment in entity</v>
      </c>
    </row>
    <row r="898" spans="1:9" x14ac:dyDescent="0.3">
      <c r="A898" t="s">
        <v>7325</v>
      </c>
      <c r="B898" t="s">
        <v>8109</v>
      </c>
      <c r="C898" t="s">
        <v>6709</v>
      </c>
      <c r="D898" t="str" cm="1">
        <f t="array" ref="D898">TRANSPOSE(_xlfn._xlws.FILTER('Controllable Asset Registry'!$A$4:$A$764,IFERROR('Controllable Asset Registry'!$E$4:$E$764=A898,FALSE),"No Equipment in entity"))</f>
        <v>No Equipment in entity</v>
      </c>
    </row>
    <row r="899" spans="1:9" x14ac:dyDescent="0.3">
      <c r="A899" t="s">
        <v>7326</v>
      </c>
      <c r="B899" t="s">
        <v>8110</v>
      </c>
      <c r="C899" t="s">
        <v>5839</v>
      </c>
      <c r="D899" t="str" cm="1">
        <f t="array" ref="D899">TRANSPOSE(_xlfn._xlws.FILTER('Controllable Asset Registry'!$A$4:$A$764,IFERROR('Controllable Asset Registry'!$E$4:$E$764=A899,FALSE),"No Equipment in entity"))</f>
        <v>No Equipment in entity</v>
      </c>
    </row>
    <row r="900" spans="1:9" x14ac:dyDescent="0.3">
      <c r="A900" t="s">
        <v>6107</v>
      </c>
      <c r="B900" t="s">
        <v>8111</v>
      </c>
      <c r="C900" t="s">
        <v>6715</v>
      </c>
      <c r="D900" t="str" cm="1">
        <f t="array" ref="D900">TRANSPOSE(_xlfn._xlws.FILTER('Controllable Asset Registry'!$A$4:$A$764,IFERROR('Controllable Asset Registry'!$E$4:$E$764=A900,FALSE),"No Equipment in entity"))</f>
        <v>FCU0115</v>
      </c>
    </row>
    <row r="901" spans="1:9" x14ac:dyDescent="0.3">
      <c r="A901" t="s">
        <v>7327</v>
      </c>
      <c r="B901" t="s">
        <v>8112</v>
      </c>
      <c r="C901" t="s">
        <v>5839</v>
      </c>
      <c r="D901" t="str" cm="1">
        <f t="array" ref="D901">TRANSPOSE(_xlfn._xlws.FILTER('Controllable Asset Registry'!$A$4:$A$764,IFERROR('Controllable Asset Registry'!$E$4:$E$764=A901,FALSE),"No Equipment in entity"))</f>
        <v>No Equipment in entity</v>
      </c>
    </row>
    <row r="902" spans="1:9" x14ac:dyDescent="0.3">
      <c r="A902" t="s">
        <v>6105</v>
      </c>
      <c r="B902" t="s">
        <v>8113</v>
      </c>
      <c r="C902" t="s">
        <v>6715</v>
      </c>
      <c r="D902" t="str" cm="1">
        <f t="array" ref="D902">TRANSPOSE(_xlfn._xlws.FILTER('Controllable Asset Registry'!$A$4:$A$764,IFERROR('Controllable Asset Registry'!$E$4:$E$764=A902,FALSE),"No Equipment in entity"))</f>
        <v>FCU0113</v>
      </c>
    </row>
    <row r="903" spans="1:9" x14ac:dyDescent="0.3">
      <c r="A903" t="s">
        <v>7328</v>
      </c>
      <c r="B903" t="s">
        <v>8114</v>
      </c>
      <c r="C903" t="s">
        <v>6857</v>
      </c>
      <c r="D903" t="str" cm="1">
        <f t="array" ref="D903">TRANSPOSE(_xlfn._xlws.FILTER('Controllable Asset Registry'!$A$4:$A$764,IFERROR('Controllable Asset Registry'!$E$4:$E$764=A903,FALSE),"No Equipment in entity"))</f>
        <v>No Equipment in entity</v>
      </c>
    </row>
    <row r="904" spans="1:9" x14ac:dyDescent="0.3">
      <c r="A904" t="s">
        <v>7329</v>
      </c>
      <c r="B904" t="s">
        <v>8115</v>
      </c>
      <c r="C904" t="s">
        <v>6860</v>
      </c>
      <c r="D904" t="str" cm="1">
        <f t="array" ref="D904">TRANSPOSE(_xlfn._xlws.FILTER('Controllable Asset Registry'!$A$4:$A$764,IFERROR('Controllable Asset Registry'!$E$4:$E$764=A904,FALSE),"No Equipment in entity"))</f>
        <v>No Equipment in entity</v>
      </c>
    </row>
    <row r="905" spans="1:9" x14ac:dyDescent="0.3">
      <c r="A905" t="s">
        <v>7330</v>
      </c>
      <c r="B905" t="s">
        <v>8116</v>
      </c>
      <c r="C905" t="s">
        <v>5839</v>
      </c>
      <c r="D905" t="str" cm="1">
        <f t="array" ref="D905">TRANSPOSE(_xlfn._xlws.FILTER('Controllable Asset Registry'!$A$4:$A$764,IFERROR('Controllable Asset Registry'!$E$4:$E$764=A905,FALSE),"No Equipment in entity"))</f>
        <v>No Equipment in entity</v>
      </c>
    </row>
    <row r="906" spans="1:9" x14ac:dyDescent="0.3">
      <c r="A906" t="s">
        <v>6550</v>
      </c>
      <c r="B906" t="s">
        <v>8117</v>
      </c>
      <c r="C906" t="s">
        <v>7331</v>
      </c>
      <c r="D906" t="str" cm="1">
        <f t="array" ref="D906:I906">TRANSPOSE(_xlfn._xlws.FILTER('Controllable Asset Registry'!$A$4:$A$764,IFERROR('Controllable Asset Registry'!$E$4:$E$764=A906,FALSE),"No Equipment in entity"))</f>
        <v>VAV0522</v>
      </c>
      <c r="E906" t="str">
        <v>VAV0542</v>
      </c>
      <c r="F906" t="str">
        <v>VAV0543</v>
      </c>
      <c r="G906" t="str">
        <v>VAV0544</v>
      </c>
      <c r="H906" t="str">
        <v>VAV0545</v>
      </c>
      <c r="I906" t="str">
        <v>VAV0546</v>
      </c>
    </row>
    <row r="907" spans="1:9" x14ac:dyDescent="0.3">
      <c r="A907" t="s">
        <v>7332</v>
      </c>
      <c r="B907" t="s">
        <v>8118</v>
      </c>
      <c r="C907" t="s">
        <v>7106</v>
      </c>
      <c r="D907" t="str" cm="1">
        <f t="array" ref="D907">TRANSPOSE(_xlfn._xlws.FILTER('Controllable Asset Registry'!$A$4:$A$764,IFERROR('Controllable Asset Registry'!$E$4:$E$764=A907,FALSE),"No Equipment in entity"))</f>
        <v>No Equipment in entity</v>
      </c>
    </row>
    <row r="908" spans="1:9" x14ac:dyDescent="0.3">
      <c r="A908" t="s">
        <v>7333</v>
      </c>
      <c r="B908" t="s">
        <v>7334</v>
      </c>
      <c r="C908" t="s">
        <v>6874</v>
      </c>
      <c r="D908" t="str" cm="1">
        <f t="array" ref="D908">TRANSPOSE(_xlfn._xlws.FILTER('Controllable Asset Registry'!$A$4:$A$764,IFERROR('Controllable Asset Registry'!$E$4:$E$764=A908,FALSE),"No Equipment in entity"))</f>
        <v>No Equipment in entity</v>
      </c>
    </row>
    <row r="909" spans="1:9" x14ac:dyDescent="0.3">
      <c r="A909" t="s">
        <v>7335</v>
      </c>
      <c r="B909" t="s">
        <v>7336</v>
      </c>
      <c r="C909" t="s">
        <v>6877</v>
      </c>
      <c r="D909" t="str" cm="1">
        <f t="array" ref="D909">TRANSPOSE(_xlfn._xlws.FILTER('Controllable Asset Registry'!$A$4:$A$764,IFERROR('Controllable Asset Registry'!$E$4:$E$764=A909,FALSE),"No Equipment in entity"))</f>
        <v>No Equipment in entity</v>
      </c>
    </row>
    <row r="910" spans="1:9" x14ac:dyDescent="0.3">
      <c r="A910" t="s">
        <v>7337</v>
      </c>
      <c r="B910" t="s">
        <v>7338</v>
      </c>
      <c r="C910" t="s">
        <v>6880</v>
      </c>
      <c r="D910" t="str" cm="1">
        <f t="array" ref="D910">TRANSPOSE(_xlfn._xlws.FILTER('Controllable Asset Registry'!$A$4:$A$764,IFERROR('Controllable Asset Registry'!$E$4:$E$764=A910,FALSE),"No Equipment in entity"))</f>
        <v>No Equipment in entity</v>
      </c>
    </row>
    <row r="911" spans="1:9" x14ac:dyDescent="0.3">
      <c r="A911" t="s">
        <v>7339</v>
      </c>
      <c r="B911" t="s">
        <v>7340</v>
      </c>
      <c r="C911" t="s">
        <v>6744</v>
      </c>
      <c r="D911" t="str" cm="1">
        <f t="array" ref="D911">TRANSPOSE(_xlfn._xlws.FILTER('Controllable Asset Registry'!$A$4:$A$764,IFERROR('Controllable Asset Registry'!$E$4:$E$764=A911,FALSE),"No Equipment in entity"))</f>
        <v>No Equipment in entity</v>
      </c>
    </row>
    <row r="912" spans="1:9" x14ac:dyDescent="0.3">
      <c r="A912" t="s">
        <v>7341</v>
      </c>
      <c r="B912" t="s">
        <v>7342</v>
      </c>
      <c r="C912" t="s">
        <v>6747</v>
      </c>
      <c r="D912" t="str" cm="1">
        <f t="array" ref="D912">TRANSPOSE(_xlfn._xlws.FILTER('Controllable Asset Registry'!$A$4:$A$764,IFERROR('Controllable Asset Registry'!$E$4:$E$764=A912,FALSE),"No Equipment in entity"))</f>
        <v>No Equipment in entity</v>
      </c>
    </row>
    <row r="913" spans="1:4" x14ac:dyDescent="0.3">
      <c r="A913" t="s">
        <v>7343</v>
      </c>
      <c r="B913" t="s">
        <v>7344</v>
      </c>
      <c r="C913" t="s">
        <v>6750</v>
      </c>
      <c r="D913" t="str" cm="1">
        <f t="array" ref="D913">TRANSPOSE(_xlfn._xlws.FILTER('Controllable Asset Registry'!$A$4:$A$764,IFERROR('Controllable Asset Registry'!$E$4:$E$764=A913,FALSE),"No Equipment in entity"))</f>
        <v>No Equipment in entity</v>
      </c>
    </row>
    <row r="914" spans="1:4" x14ac:dyDescent="0.3">
      <c r="A914" t="s">
        <v>7345</v>
      </c>
      <c r="B914" t="s">
        <v>7346</v>
      </c>
      <c r="C914" t="s">
        <v>6889</v>
      </c>
      <c r="D914" t="str" cm="1">
        <f t="array" ref="D914">TRANSPOSE(_xlfn._xlws.FILTER('Controllable Asset Registry'!$A$4:$A$764,IFERROR('Controllable Asset Registry'!$E$4:$E$764=A914,FALSE),"No Equipment in entity"))</f>
        <v>No Equipment in entity</v>
      </c>
    </row>
    <row r="915" spans="1:4" x14ac:dyDescent="0.3">
      <c r="A915" t="s">
        <v>7347</v>
      </c>
      <c r="B915" t="s">
        <v>7348</v>
      </c>
      <c r="C915" t="s">
        <v>6755</v>
      </c>
      <c r="D915" t="str" cm="1">
        <f t="array" ref="D915">TRANSPOSE(_xlfn._xlws.FILTER('Controllable Asset Registry'!$A$4:$A$764,IFERROR('Controllable Asset Registry'!$E$4:$E$764=A915,FALSE),"No Equipment in entity"))</f>
        <v>No Equipment in entity</v>
      </c>
    </row>
    <row r="916" spans="1:4" x14ac:dyDescent="0.3">
      <c r="A916" t="s">
        <v>7349</v>
      </c>
      <c r="B916" t="s">
        <v>7350</v>
      </c>
      <c r="C916" t="s">
        <v>6757</v>
      </c>
      <c r="D916" t="str" cm="1">
        <f t="array" ref="D916">TRANSPOSE(_xlfn._xlws.FILTER('Controllable Asset Registry'!$A$4:$A$764,IFERROR('Controllable Asset Registry'!$E$4:$E$764=A916,FALSE),"No Equipment in entity"))</f>
        <v>No Equipment in entity</v>
      </c>
    </row>
    <row r="917" spans="1:4" x14ac:dyDescent="0.3">
      <c r="A917" t="s">
        <v>7351</v>
      </c>
      <c r="B917" t="s">
        <v>7352</v>
      </c>
      <c r="C917" t="s">
        <v>6896</v>
      </c>
      <c r="D917" t="str" cm="1">
        <f t="array" ref="D917">TRANSPOSE(_xlfn._xlws.FILTER('Controllable Asset Registry'!$A$4:$A$764,IFERROR('Controllable Asset Registry'!$E$4:$E$764=A917,FALSE),"No Equipment in entity"))</f>
        <v>No Equipment in entity</v>
      </c>
    </row>
    <row r="918" spans="1:4" x14ac:dyDescent="0.3">
      <c r="A918" t="s">
        <v>7353</v>
      </c>
      <c r="B918" t="s">
        <v>7354</v>
      </c>
      <c r="C918" t="s">
        <v>6760</v>
      </c>
      <c r="D918" t="str" cm="1">
        <f t="array" ref="D918">TRANSPOSE(_xlfn._xlws.FILTER('Controllable Asset Registry'!$A$4:$A$764,IFERROR('Controllable Asset Registry'!$E$4:$E$764=A918,FALSE),"No Equipment in entity"))</f>
        <v>No Equipment in entity</v>
      </c>
    </row>
    <row r="919" spans="1:4" x14ac:dyDescent="0.3">
      <c r="A919" t="s">
        <v>6582</v>
      </c>
      <c r="B919" t="s">
        <v>8119</v>
      </c>
      <c r="C919" t="s">
        <v>7355</v>
      </c>
      <c r="D919" t="str" cm="1">
        <f t="array" ref="D919">TRANSPOSE(_xlfn._xlws.FILTER('Controllable Asset Registry'!$A$4:$A$764,IFERROR('Controllable Asset Registry'!$E$4:$E$764=A919,FALSE),"No Equipment in entity"))</f>
        <v>VAV0568</v>
      </c>
    </row>
    <row r="920" spans="1:4" x14ac:dyDescent="0.3">
      <c r="A920" t="s">
        <v>6583</v>
      </c>
      <c r="B920" t="s">
        <v>8120</v>
      </c>
      <c r="C920" t="s">
        <v>7356</v>
      </c>
      <c r="D920" t="str" cm="1">
        <f t="array" ref="D920">TRANSPOSE(_xlfn._xlws.FILTER('Controllable Asset Registry'!$A$4:$A$764,IFERROR('Controllable Asset Registry'!$E$4:$E$764=A920,FALSE),"No Equipment in entity"))</f>
        <v>VAV0570</v>
      </c>
    </row>
    <row r="921" spans="1:4" x14ac:dyDescent="0.3">
      <c r="A921" t="s">
        <v>6584</v>
      </c>
      <c r="B921" t="s">
        <v>8121</v>
      </c>
      <c r="C921" t="s">
        <v>7357</v>
      </c>
      <c r="D921" t="str" cm="1">
        <f t="array" ref="D921">TRANSPOSE(_xlfn._xlws.FILTER('Controllable Asset Registry'!$A$4:$A$764,IFERROR('Controllable Asset Registry'!$E$4:$E$764=A921,FALSE),"No Equipment in entity"))</f>
        <v>VAV0571</v>
      </c>
    </row>
    <row r="922" spans="1:4" x14ac:dyDescent="0.3">
      <c r="A922" t="s">
        <v>6585</v>
      </c>
      <c r="B922" t="s">
        <v>8122</v>
      </c>
      <c r="C922" t="s">
        <v>7358</v>
      </c>
      <c r="D922" t="str" cm="1">
        <f t="array" ref="D922">TRANSPOSE(_xlfn._xlws.FILTER('Controllable Asset Registry'!$A$4:$A$764,IFERROR('Controllable Asset Registry'!$E$4:$E$764=A922,FALSE),"No Equipment in entity"))</f>
        <v>VAV0573</v>
      </c>
    </row>
    <row r="923" spans="1:4" x14ac:dyDescent="0.3">
      <c r="A923" t="s">
        <v>6586</v>
      </c>
      <c r="B923" t="s">
        <v>8123</v>
      </c>
      <c r="C923" t="s">
        <v>7359</v>
      </c>
      <c r="D923" t="str" cm="1">
        <f t="array" ref="D923">TRANSPOSE(_xlfn._xlws.FILTER('Controllable Asset Registry'!$A$4:$A$764,IFERROR('Controllable Asset Registry'!$E$4:$E$764=A923,FALSE),"No Equipment in entity"))</f>
        <v>VAV0574</v>
      </c>
    </row>
    <row r="924" spans="1:4" x14ac:dyDescent="0.3">
      <c r="A924" t="s">
        <v>6587</v>
      </c>
      <c r="B924" t="s">
        <v>8124</v>
      </c>
      <c r="C924" t="s">
        <v>7360</v>
      </c>
      <c r="D924" t="str" cm="1">
        <f t="array" ref="D924">TRANSPOSE(_xlfn._xlws.FILTER('Controllable Asset Registry'!$A$4:$A$764,IFERROR('Controllable Asset Registry'!$E$4:$E$764=A924,FALSE),"No Equipment in entity"))</f>
        <v>VAV0575</v>
      </c>
    </row>
    <row r="925" spans="1:4" x14ac:dyDescent="0.3">
      <c r="A925" t="s">
        <v>6599</v>
      </c>
      <c r="B925" t="s">
        <v>8125</v>
      </c>
      <c r="C925" t="s">
        <v>7361</v>
      </c>
      <c r="D925" t="str" cm="1">
        <f t="array" ref="D925">TRANSPOSE(_xlfn._xlws.FILTER('Controllable Asset Registry'!$A$4:$A$764,IFERROR('Controllable Asset Registry'!$E$4:$E$764=A925,FALSE),"No Equipment in entity"))</f>
        <v>VAV0602</v>
      </c>
    </row>
    <row r="926" spans="1:4" x14ac:dyDescent="0.3">
      <c r="A926" t="s">
        <v>6588</v>
      </c>
      <c r="B926" t="s">
        <v>8126</v>
      </c>
      <c r="C926" t="s">
        <v>7361</v>
      </c>
      <c r="D926" t="str" cm="1">
        <f t="array" ref="D926">TRANSPOSE(_xlfn._xlws.FILTER('Controllable Asset Registry'!$A$4:$A$764,IFERROR('Controllable Asset Registry'!$E$4:$E$764=A926,FALSE),"No Equipment in entity"))</f>
        <v>VAV0576</v>
      </c>
    </row>
    <row r="927" spans="1:4" x14ac:dyDescent="0.3">
      <c r="A927" t="s">
        <v>6589</v>
      </c>
      <c r="B927" t="s">
        <v>8127</v>
      </c>
      <c r="C927" t="s">
        <v>7362</v>
      </c>
      <c r="D927" t="str" cm="1">
        <f t="array" ref="D927">TRANSPOSE(_xlfn._xlws.FILTER('Controllable Asset Registry'!$A$4:$A$764,IFERROR('Controllable Asset Registry'!$E$4:$E$764=A927,FALSE),"No Equipment in entity"))</f>
        <v>VAV0577</v>
      </c>
    </row>
    <row r="928" spans="1:4" x14ac:dyDescent="0.3">
      <c r="A928" t="s">
        <v>6590</v>
      </c>
      <c r="B928" t="s">
        <v>8128</v>
      </c>
      <c r="C928" t="s">
        <v>7363</v>
      </c>
      <c r="D928" t="str" cm="1">
        <f t="array" ref="D928">TRANSPOSE(_xlfn._xlws.FILTER('Controllable Asset Registry'!$A$4:$A$764,IFERROR('Controllable Asset Registry'!$E$4:$E$764=A928,FALSE),"No Equipment in entity"))</f>
        <v>VAV0578</v>
      </c>
    </row>
    <row r="929" spans="1:5" x14ac:dyDescent="0.3">
      <c r="A929" t="s">
        <v>6591</v>
      </c>
      <c r="B929" t="s">
        <v>8129</v>
      </c>
      <c r="C929" t="s">
        <v>7362</v>
      </c>
      <c r="D929" t="str" cm="1">
        <f t="array" ref="D929">TRANSPOSE(_xlfn._xlws.FILTER('Controllable Asset Registry'!$A$4:$A$764,IFERROR('Controllable Asset Registry'!$E$4:$E$764=A929,FALSE),"No Equipment in entity"))</f>
        <v>VAV0579</v>
      </c>
    </row>
    <row r="930" spans="1:5" x14ac:dyDescent="0.3">
      <c r="A930" t="s">
        <v>6570</v>
      </c>
      <c r="B930" t="s">
        <v>8130</v>
      </c>
      <c r="C930" t="s">
        <v>7364</v>
      </c>
      <c r="D930" t="str" cm="1">
        <f t="array" ref="D930">TRANSPOSE(_xlfn._xlws.FILTER('Controllable Asset Registry'!$A$4:$A$764,IFERROR('Controllable Asset Registry'!$E$4:$E$764=A930,FALSE),"No Equipment in entity"))</f>
        <v>VAV0552</v>
      </c>
    </row>
    <row r="931" spans="1:5" x14ac:dyDescent="0.3">
      <c r="A931" t="s">
        <v>6571</v>
      </c>
      <c r="B931" t="s">
        <v>8131</v>
      </c>
      <c r="C931" t="s">
        <v>7365</v>
      </c>
      <c r="D931" t="str" cm="1">
        <f t="array" ref="D931">TRANSPOSE(_xlfn._xlws.FILTER('Controllable Asset Registry'!$A$4:$A$764,IFERROR('Controllable Asset Registry'!$E$4:$E$764=A931,FALSE),"No Equipment in entity"))</f>
        <v>VAV0553</v>
      </c>
    </row>
    <row r="932" spans="1:5" x14ac:dyDescent="0.3">
      <c r="A932" t="s">
        <v>6572</v>
      </c>
      <c r="B932" t="s">
        <v>8132</v>
      </c>
      <c r="C932" t="s">
        <v>7366</v>
      </c>
      <c r="D932" t="str" cm="1">
        <f t="array" ref="D932">TRANSPOSE(_xlfn._xlws.FILTER('Controllable Asset Registry'!$A$4:$A$764,IFERROR('Controllable Asset Registry'!$E$4:$E$764=A932,FALSE),"No Equipment in entity"))</f>
        <v>VAV0554</v>
      </c>
    </row>
    <row r="933" spans="1:5" x14ac:dyDescent="0.3">
      <c r="A933" t="s">
        <v>6573</v>
      </c>
      <c r="B933" t="s">
        <v>8133</v>
      </c>
      <c r="C933" t="s">
        <v>7365</v>
      </c>
      <c r="D933" t="str" cm="1">
        <f t="array" ref="D933">TRANSPOSE(_xlfn._xlws.FILTER('Controllable Asset Registry'!$A$4:$A$764,IFERROR('Controllable Asset Registry'!$E$4:$E$764=A933,FALSE),"No Equipment in entity"))</f>
        <v>VAV0555</v>
      </c>
    </row>
    <row r="934" spans="1:5" x14ac:dyDescent="0.3">
      <c r="A934" t="s">
        <v>6574</v>
      </c>
      <c r="B934" t="s">
        <v>8134</v>
      </c>
      <c r="C934" t="s">
        <v>7367</v>
      </c>
      <c r="D934" t="str" cm="1">
        <f t="array" ref="D934">TRANSPOSE(_xlfn._xlws.FILTER('Controllable Asset Registry'!$A$4:$A$764,IFERROR('Controllable Asset Registry'!$E$4:$E$764=A934,FALSE),"No Equipment in entity"))</f>
        <v>VAV0556</v>
      </c>
    </row>
    <row r="935" spans="1:5" x14ac:dyDescent="0.3">
      <c r="A935" t="s">
        <v>6575</v>
      </c>
      <c r="B935" t="s">
        <v>8135</v>
      </c>
      <c r="C935" t="s">
        <v>7368</v>
      </c>
      <c r="D935" t="str" cm="1">
        <f t="array" ref="D935">TRANSPOSE(_xlfn._xlws.FILTER('Controllable Asset Registry'!$A$4:$A$764,IFERROR('Controllable Asset Registry'!$E$4:$E$764=A935,FALSE),"No Equipment in entity"))</f>
        <v>VAV0557</v>
      </c>
    </row>
    <row r="936" spans="1:5" x14ac:dyDescent="0.3">
      <c r="A936" t="s">
        <v>6576</v>
      </c>
      <c r="B936" t="s">
        <v>8136</v>
      </c>
      <c r="C936" t="s">
        <v>7369</v>
      </c>
      <c r="D936" t="str" cm="1">
        <f t="array" ref="D936">TRANSPOSE(_xlfn._xlws.FILTER('Controllable Asset Registry'!$A$4:$A$764,IFERROR('Controllable Asset Registry'!$E$4:$E$764=A936,FALSE),"No Equipment in entity"))</f>
        <v>VAV0559</v>
      </c>
    </row>
    <row r="937" spans="1:5" x14ac:dyDescent="0.3">
      <c r="A937" t="s">
        <v>6577</v>
      </c>
      <c r="B937" t="s">
        <v>8137</v>
      </c>
      <c r="C937" t="s">
        <v>7370</v>
      </c>
      <c r="D937" t="str" cm="1">
        <f t="array" ref="D937">TRANSPOSE(_xlfn._xlws.FILTER('Controllable Asset Registry'!$A$4:$A$764,IFERROR('Controllable Asset Registry'!$E$4:$E$764=A937,FALSE),"No Equipment in entity"))</f>
        <v>VAV0560</v>
      </c>
    </row>
    <row r="938" spans="1:5" x14ac:dyDescent="0.3">
      <c r="A938" t="s">
        <v>6578</v>
      </c>
      <c r="B938" t="s">
        <v>8138</v>
      </c>
      <c r="C938" t="s">
        <v>7369</v>
      </c>
      <c r="D938" t="str" cm="1">
        <f t="array" ref="D938">TRANSPOSE(_xlfn._xlws.FILTER('Controllable Asset Registry'!$A$4:$A$764,IFERROR('Controllable Asset Registry'!$E$4:$E$764=A938,FALSE),"No Equipment in entity"))</f>
        <v>VAV0561</v>
      </c>
    </row>
    <row r="939" spans="1:5" x14ac:dyDescent="0.3">
      <c r="A939" t="s">
        <v>6579</v>
      </c>
      <c r="B939" t="s">
        <v>8139</v>
      </c>
      <c r="C939" t="s">
        <v>7371</v>
      </c>
      <c r="D939" t="str" cm="1">
        <f t="array" ref="D939">TRANSPOSE(_xlfn._xlws.FILTER('Controllable Asset Registry'!$A$4:$A$764,IFERROR('Controllable Asset Registry'!$E$4:$E$764=A939,FALSE),"No Equipment in entity"))</f>
        <v>VAV0562</v>
      </c>
    </row>
    <row r="940" spans="1:5" x14ac:dyDescent="0.3">
      <c r="A940" t="s">
        <v>6580</v>
      </c>
      <c r="B940" t="s">
        <v>8140</v>
      </c>
      <c r="C940" t="s">
        <v>7372</v>
      </c>
      <c r="D940" t="str" cm="1">
        <f t="array" ref="D940:E940">TRANSPOSE(_xlfn._xlws.FILTER('Controllable Asset Registry'!$A$4:$A$764,IFERROR('Controllable Asset Registry'!$E$4:$E$764=A940,FALSE),"No Equipment in entity"))</f>
        <v>VAV0564</v>
      </c>
      <c r="E940" t="str">
        <v>VAV0565</v>
      </c>
    </row>
    <row r="941" spans="1:5" x14ac:dyDescent="0.3">
      <c r="A941" t="s">
        <v>6581</v>
      </c>
      <c r="B941" t="s">
        <v>8141</v>
      </c>
      <c r="C941" t="s">
        <v>7373</v>
      </c>
      <c r="D941" t="str" cm="1">
        <f t="array" ref="D941">TRANSPOSE(_xlfn._xlws.FILTER('Controllable Asset Registry'!$A$4:$A$764,IFERROR('Controllable Asset Registry'!$E$4:$E$764=A941,FALSE),"No Equipment in entity"))</f>
        <v>VAV0567</v>
      </c>
    </row>
    <row r="942" spans="1:5" x14ac:dyDescent="0.3">
      <c r="A942" t="s">
        <v>7374</v>
      </c>
      <c r="B942" t="s">
        <v>8142</v>
      </c>
      <c r="C942" t="s">
        <v>7318</v>
      </c>
      <c r="D942" t="str" cm="1">
        <f t="array" ref="D942">TRANSPOSE(_xlfn._xlws.FILTER('Controllable Asset Registry'!$A$4:$A$764,IFERROR('Controllable Asset Registry'!$E$4:$E$764=A942,FALSE),"No Equipment in entity"))</f>
        <v>No Equipment in entity</v>
      </c>
    </row>
    <row r="943" spans="1:5" x14ac:dyDescent="0.3">
      <c r="A943" t="s">
        <v>6601</v>
      </c>
      <c r="B943" t="s">
        <v>8143</v>
      </c>
      <c r="C943" t="s">
        <v>7375</v>
      </c>
      <c r="D943" t="str" cm="1">
        <f t="array" ref="D943:E943">TRANSPOSE(_xlfn._xlws.FILTER('Controllable Asset Registry'!$A$4:$A$764,IFERROR('Controllable Asset Registry'!$E$4:$E$764=A943,FALSE),"No Equipment in entity"))</f>
        <v>VAV0605</v>
      </c>
      <c r="E943" t="str">
        <v>VAV0606</v>
      </c>
    </row>
    <row r="944" spans="1:5" x14ac:dyDescent="0.3">
      <c r="A944" t="s">
        <v>7376</v>
      </c>
      <c r="B944" t="s">
        <v>8144</v>
      </c>
      <c r="C944" t="s">
        <v>6788</v>
      </c>
      <c r="D944" t="str" cm="1">
        <f t="array" ref="D944">TRANSPOSE(_xlfn._xlws.FILTER('Controllable Asset Registry'!$A$4:$A$764,IFERROR('Controllable Asset Registry'!$E$4:$E$764=A944,FALSE),"No Equipment in entity"))</f>
        <v>No Equipment in entity</v>
      </c>
    </row>
    <row r="945" spans="1:7" x14ac:dyDescent="0.3">
      <c r="A945" t="s">
        <v>7377</v>
      </c>
      <c r="B945" t="s">
        <v>8145</v>
      </c>
      <c r="C945" t="s">
        <v>6946</v>
      </c>
      <c r="D945" t="str" cm="1">
        <f t="array" ref="D945">TRANSPOSE(_xlfn._xlws.FILTER('Controllable Asset Registry'!$A$4:$A$764,IFERROR('Controllable Asset Registry'!$E$4:$E$764=A945,FALSE),"No Equipment in entity"))</f>
        <v>No Equipment in entity</v>
      </c>
    </row>
    <row r="946" spans="1:7" x14ac:dyDescent="0.3">
      <c r="A946" t="s">
        <v>6113</v>
      </c>
      <c r="B946" t="s">
        <v>8146</v>
      </c>
      <c r="C946" t="s">
        <v>7378</v>
      </c>
      <c r="D946" t="str" cm="1">
        <f t="array" ref="D946">TRANSPOSE(_xlfn._xlws.FILTER('Controllable Asset Registry'!$A$4:$A$764,IFERROR('Controllable Asset Registry'!$E$4:$E$764=A946,FALSE),"No Equipment in entity"))</f>
        <v>FCU0122</v>
      </c>
    </row>
    <row r="947" spans="1:7" x14ac:dyDescent="0.3">
      <c r="A947" t="s">
        <v>6115</v>
      </c>
      <c r="B947" t="s">
        <v>8147</v>
      </c>
      <c r="C947" t="s">
        <v>7379</v>
      </c>
      <c r="D947" t="str" cm="1">
        <f t="array" ref="D947">TRANSPOSE(_xlfn._xlws.FILTER('Controllable Asset Registry'!$A$4:$A$764,IFERROR('Controllable Asset Registry'!$E$4:$E$764=A947,FALSE),"No Equipment in entity"))</f>
        <v>FCU0124</v>
      </c>
    </row>
    <row r="948" spans="1:7" x14ac:dyDescent="0.3">
      <c r="A948" t="s">
        <v>6114</v>
      </c>
      <c r="B948" t="s">
        <v>8148</v>
      </c>
      <c r="C948" t="s">
        <v>6917</v>
      </c>
      <c r="D948" t="str" cm="1">
        <f t="array" ref="D948">TRANSPOSE(_xlfn._xlws.FILTER('Controllable Asset Registry'!$A$4:$A$764,IFERROR('Controllable Asset Registry'!$E$4:$E$764=A948,FALSE),"No Equipment in entity"))</f>
        <v>FCU0123</v>
      </c>
    </row>
    <row r="949" spans="1:7" x14ac:dyDescent="0.3">
      <c r="A949" t="s">
        <v>6112</v>
      </c>
      <c r="B949" t="s">
        <v>8149</v>
      </c>
      <c r="C949" t="s">
        <v>6695</v>
      </c>
      <c r="D949" t="str" cm="1">
        <f t="array" ref="D949">TRANSPOSE(_xlfn._xlws.FILTER('Controllable Asset Registry'!$A$4:$A$764,IFERROR('Controllable Asset Registry'!$E$4:$E$764=A949,FALSE),"No Equipment in entity"))</f>
        <v>FCU0121</v>
      </c>
    </row>
    <row r="950" spans="1:7" x14ac:dyDescent="0.3">
      <c r="A950" t="s">
        <v>6593</v>
      </c>
      <c r="B950" t="s">
        <v>8150</v>
      </c>
      <c r="C950" t="s">
        <v>7380</v>
      </c>
      <c r="D950" t="str" cm="1">
        <f t="array" ref="D950:E950">TRANSPOSE(_xlfn._xlws.FILTER('Controllable Asset Registry'!$A$4:$A$764,IFERROR('Controllable Asset Registry'!$E$4:$E$764=A950,FALSE),"No Equipment in entity"))</f>
        <v>VAV0582</v>
      </c>
      <c r="E950" t="str">
        <v>VAV0583</v>
      </c>
    </row>
    <row r="951" spans="1:7" x14ac:dyDescent="0.3">
      <c r="A951" t="s">
        <v>6594</v>
      </c>
      <c r="B951" t="s">
        <v>8151</v>
      </c>
      <c r="C951" t="s">
        <v>7381</v>
      </c>
      <c r="D951" t="str" cm="1">
        <f t="array" ref="D951:G951">TRANSPOSE(_xlfn._xlws.FILTER('Controllable Asset Registry'!$A$4:$A$764,IFERROR('Controllable Asset Registry'!$E$4:$E$764=A951,FALSE),"No Equipment in entity"))</f>
        <v>VAV0584</v>
      </c>
      <c r="E951" t="str">
        <v>VAV0585</v>
      </c>
      <c r="F951" t="str">
        <v>VAV0586</v>
      </c>
      <c r="G951" t="str">
        <v>VAV0587</v>
      </c>
    </row>
    <row r="952" spans="1:7" x14ac:dyDescent="0.3">
      <c r="A952" t="s">
        <v>6595</v>
      </c>
      <c r="B952" t="s">
        <v>8152</v>
      </c>
      <c r="C952" t="s">
        <v>7382</v>
      </c>
      <c r="D952" t="str" cm="1">
        <f t="array" ref="D952:E952">TRANSPOSE(_xlfn._xlws.FILTER('Controllable Asset Registry'!$A$4:$A$764,IFERROR('Controllable Asset Registry'!$E$4:$E$764=A952,FALSE),"No Equipment in entity"))</f>
        <v>VAV0588</v>
      </c>
      <c r="E952" t="str">
        <v>VAV0589</v>
      </c>
    </row>
    <row r="953" spans="1:7" x14ac:dyDescent="0.3">
      <c r="A953" t="s">
        <v>6596</v>
      </c>
      <c r="B953" t="s">
        <v>8153</v>
      </c>
      <c r="C953" t="s">
        <v>7383</v>
      </c>
      <c r="D953" t="str" cm="1">
        <f t="array" ref="D953:E953">TRANSPOSE(_xlfn._xlws.FILTER('Controllable Asset Registry'!$A$4:$A$764,IFERROR('Controllable Asset Registry'!$E$4:$E$764=A953,FALSE),"No Equipment in entity"))</f>
        <v>VAV0590</v>
      </c>
      <c r="E953" t="str">
        <v>VAV0591</v>
      </c>
    </row>
    <row r="954" spans="1:7" x14ac:dyDescent="0.3">
      <c r="A954" t="s">
        <v>7384</v>
      </c>
      <c r="B954" t="s">
        <v>8154</v>
      </c>
      <c r="C954" t="s">
        <v>6706</v>
      </c>
      <c r="D954" t="str" cm="1">
        <f t="array" ref="D954">TRANSPOSE(_xlfn._xlws.FILTER('Controllable Asset Registry'!$A$4:$A$764,IFERROR('Controllable Asset Registry'!$E$4:$E$764=A954,FALSE),"No Equipment in entity"))</f>
        <v>No Equipment in entity</v>
      </c>
    </row>
    <row r="955" spans="1:7" x14ac:dyDescent="0.3">
      <c r="A955" t="s">
        <v>7385</v>
      </c>
      <c r="B955" t="s">
        <v>8155</v>
      </c>
      <c r="C955" t="s">
        <v>6709</v>
      </c>
      <c r="D955" t="str" cm="1">
        <f t="array" ref="D955">TRANSPOSE(_xlfn._xlws.FILTER('Controllable Asset Registry'!$A$4:$A$764,IFERROR('Controllable Asset Registry'!$E$4:$E$764=A955,FALSE),"No Equipment in entity"))</f>
        <v>No Equipment in entity</v>
      </c>
    </row>
    <row r="956" spans="1:7" x14ac:dyDescent="0.3">
      <c r="A956" t="s">
        <v>7386</v>
      </c>
      <c r="B956" t="s">
        <v>8156</v>
      </c>
      <c r="C956" t="s">
        <v>7387</v>
      </c>
      <c r="D956" t="str" cm="1">
        <f t="array" ref="D956">TRANSPOSE(_xlfn._xlws.FILTER('Controllable Asset Registry'!$A$4:$A$764,IFERROR('Controllable Asset Registry'!$E$4:$E$764=A956,FALSE),"No Equipment in entity"))</f>
        <v>No Equipment in entity</v>
      </c>
    </row>
    <row r="957" spans="1:7" x14ac:dyDescent="0.3">
      <c r="A957" t="s">
        <v>7388</v>
      </c>
      <c r="B957" t="s">
        <v>8157</v>
      </c>
      <c r="C957" t="s">
        <v>5842</v>
      </c>
      <c r="D957" t="str" cm="1">
        <f t="array" ref="D957">TRANSPOSE(_xlfn._xlws.FILTER('Controllable Asset Registry'!$A$4:$A$764,IFERROR('Controllable Asset Registry'!$E$4:$E$764=A957,FALSE),"No Equipment in entity"))</f>
        <v>No Equipment in entity</v>
      </c>
    </row>
    <row r="958" spans="1:7" x14ac:dyDescent="0.3">
      <c r="A958" t="s">
        <v>7389</v>
      </c>
      <c r="B958" t="s">
        <v>8158</v>
      </c>
      <c r="C958" t="s">
        <v>5842</v>
      </c>
      <c r="D958" t="str" cm="1">
        <f t="array" ref="D958">TRANSPOSE(_xlfn._xlws.FILTER('Controllable Asset Registry'!$A$4:$A$764,IFERROR('Controllable Asset Registry'!$E$4:$E$764=A958,FALSE),"No Equipment in entity"))</f>
        <v>No Equipment in entity</v>
      </c>
    </row>
    <row r="959" spans="1:7" x14ac:dyDescent="0.3">
      <c r="A959" t="s">
        <v>7390</v>
      </c>
      <c r="B959" t="s">
        <v>8159</v>
      </c>
      <c r="C959" t="s">
        <v>5842</v>
      </c>
      <c r="D959" t="str" cm="1">
        <f t="array" ref="D959">TRANSPOSE(_xlfn._xlws.FILTER('Controllable Asset Registry'!$A$4:$A$764,IFERROR('Controllable Asset Registry'!$E$4:$E$764=A959,FALSE),"No Equipment in entity"))</f>
        <v>No Equipment in entity</v>
      </c>
    </row>
    <row r="960" spans="1:7" x14ac:dyDescent="0.3">
      <c r="A960" t="s">
        <v>7391</v>
      </c>
      <c r="B960" t="s">
        <v>8160</v>
      </c>
      <c r="C960" t="s">
        <v>5842</v>
      </c>
      <c r="D960" t="str" cm="1">
        <f t="array" ref="D960">TRANSPOSE(_xlfn._xlws.FILTER('Controllable Asset Registry'!$A$4:$A$764,IFERROR('Controllable Asset Registry'!$E$4:$E$764=A960,FALSE),"No Equipment in entity"))</f>
        <v>No Equipment in entity</v>
      </c>
    </row>
    <row r="961" spans="1:5" x14ac:dyDescent="0.3">
      <c r="A961" t="s">
        <v>7392</v>
      </c>
      <c r="B961" t="s">
        <v>8161</v>
      </c>
      <c r="C961" t="s">
        <v>5842</v>
      </c>
      <c r="D961" t="str" cm="1">
        <f t="array" ref="D961">TRANSPOSE(_xlfn._xlws.FILTER('Controllable Asset Registry'!$A$4:$A$764,IFERROR('Controllable Asset Registry'!$E$4:$E$764=A961,FALSE),"No Equipment in entity"))</f>
        <v>No Equipment in entity</v>
      </c>
    </row>
    <row r="962" spans="1:5" x14ac:dyDescent="0.3">
      <c r="A962" t="s">
        <v>7393</v>
      </c>
      <c r="B962" t="s">
        <v>8162</v>
      </c>
      <c r="C962" t="s">
        <v>5842</v>
      </c>
      <c r="D962" t="str" cm="1">
        <f t="array" ref="D962">TRANSPOSE(_xlfn._xlws.FILTER('Controllable Asset Registry'!$A$4:$A$764,IFERROR('Controllable Asset Registry'!$E$4:$E$764=A962,FALSE),"No Equipment in entity"))</f>
        <v>No Equipment in entity</v>
      </c>
    </row>
    <row r="963" spans="1:5" x14ac:dyDescent="0.3">
      <c r="A963" t="s">
        <v>7394</v>
      </c>
      <c r="B963" t="s">
        <v>8163</v>
      </c>
      <c r="C963" t="s">
        <v>5842</v>
      </c>
      <c r="D963" t="str" cm="1">
        <f t="array" ref="D963">TRANSPOSE(_xlfn._xlws.FILTER('Controllable Asset Registry'!$A$4:$A$764,IFERROR('Controllable Asset Registry'!$E$4:$E$764=A963,FALSE),"No Equipment in entity"))</f>
        <v>No Equipment in entity</v>
      </c>
    </row>
    <row r="964" spans="1:5" x14ac:dyDescent="0.3">
      <c r="A964" t="s">
        <v>7395</v>
      </c>
      <c r="B964" t="s">
        <v>8164</v>
      </c>
      <c r="C964" t="s">
        <v>5842</v>
      </c>
      <c r="D964" t="str" cm="1">
        <f t="array" ref="D964">TRANSPOSE(_xlfn._xlws.FILTER('Controllable Asset Registry'!$A$4:$A$764,IFERROR('Controllable Asset Registry'!$E$4:$E$764=A964,FALSE),"No Equipment in entity"))</f>
        <v>No Equipment in entity</v>
      </c>
    </row>
    <row r="965" spans="1:5" x14ac:dyDescent="0.3">
      <c r="A965" t="s">
        <v>7396</v>
      </c>
      <c r="B965" t="s">
        <v>8165</v>
      </c>
      <c r="C965" t="s">
        <v>5842</v>
      </c>
      <c r="D965" t="str" cm="1">
        <f t="array" ref="D965">TRANSPOSE(_xlfn._xlws.FILTER('Controllable Asset Registry'!$A$4:$A$764,IFERROR('Controllable Asset Registry'!$E$4:$E$764=A965,FALSE),"No Equipment in entity"))</f>
        <v>No Equipment in entity</v>
      </c>
    </row>
    <row r="966" spans="1:5" x14ac:dyDescent="0.3">
      <c r="A966" t="s">
        <v>7397</v>
      </c>
      <c r="B966" t="s">
        <v>8166</v>
      </c>
      <c r="C966" t="s">
        <v>5839</v>
      </c>
      <c r="D966" t="str" cm="1">
        <f t="array" ref="D966">TRANSPOSE(_xlfn._xlws.FILTER('Controllable Asset Registry'!$A$4:$A$764,IFERROR('Controllable Asset Registry'!$E$4:$E$764=A966,FALSE),"No Equipment in entity"))</f>
        <v>No Equipment in entity</v>
      </c>
    </row>
    <row r="967" spans="1:5" x14ac:dyDescent="0.3">
      <c r="A967" t="s">
        <v>6116</v>
      </c>
      <c r="B967" t="s">
        <v>8167</v>
      </c>
      <c r="C967" t="s">
        <v>6715</v>
      </c>
      <c r="D967" t="str" cm="1">
        <f t="array" ref="D967">TRANSPOSE(_xlfn._xlws.FILTER('Controllable Asset Registry'!$A$4:$A$764,IFERROR('Controllable Asset Registry'!$E$4:$E$764=A967,FALSE),"No Equipment in entity"))</f>
        <v>FCU0125</v>
      </c>
    </row>
    <row r="968" spans="1:5" x14ac:dyDescent="0.3">
      <c r="A968" t="s">
        <v>7398</v>
      </c>
      <c r="B968" t="s">
        <v>8168</v>
      </c>
      <c r="C968" t="s">
        <v>5839</v>
      </c>
      <c r="D968" t="str" cm="1">
        <f t="array" ref="D968">TRANSPOSE(_xlfn._xlws.FILTER('Controllable Asset Registry'!$A$4:$A$764,IFERROR('Controllable Asset Registry'!$E$4:$E$764=A968,FALSE),"No Equipment in entity"))</f>
        <v>No Equipment in entity</v>
      </c>
    </row>
    <row r="969" spans="1:5" x14ac:dyDescent="0.3">
      <c r="A969" t="s">
        <v>6111</v>
      </c>
      <c r="B969" t="s">
        <v>8169</v>
      </c>
      <c r="C969" t="s">
        <v>6715</v>
      </c>
      <c r="D969" t="str" cm="1">
        <f t="array" ref="D969:E969">TRANSPOSE(_xlfn._xlws.FILTER('Controllable Asset Registry'!$A$4:$A$764,IFERROR('Controllable Asset Registry'!$E$4:$E$764=A969,FALSE),"No Equipment in entity"))</f>
        <v>FCU0119</v>
      </c>
      <c r="E969" t="str">
        <v>FCU0120</v>
      </c>
    </row>
    <row r="970" spans="1:5" x14ac:dyDescent="0.3">
      <c r="A970" t="s">
        <v>7399</v>
      </c>
      <c r="B970" t="s">
        <v>8170</v>
      </c>
      <c r="C970" t="s">
        <v>7100</v>
      </c>
      <c r="D970" t="str" cm="1">
        <f t="array" ref="D970">TRANSPOSE(_xlfn._xlws.FILTER('Controllable Asset Registry'!$A$4:$A$764,IFERROR('Controllable Asset Registry'!$E$4:$E$764=A970,FALSE),"No Equipment in entity"))</f>
        <v>No Equipment in entity</v>
      </c>
    </row>
    <row r="971" spans="1:5" x14ac:dyDescent="0.3">
      <c r="A971" t="s">
        <v>7400</v>
      </c>
      <c r="B971" t="s">
        <v>8171</v>
      </c>
      <c r="C971" t="s">
        <v>6860</v>
      </c>
      <c r="D971" t="str" cm="1">
        <f t="array" ref="D971">TRANSPOSE(_xlfn._xlws.FILTER('Controllable Asset Registry'!$A$4:$A$764,IFERROR('Controllable Asset Registry'!$E$4:$E$764=A971,FALSE),"No Equipment in entity"))</f>
        <v>No Equipment in entity</v>
      </c>
    </row>
    <row r="972" spans="1:5" x14ac:dyDescent="0.3">
      <c r="A972" t="s">
        <v>7401</v>
      </c>
      <c r="B972" t="s">
        <v>8172</v>
      </c>
      <c r="C972" t="s">
        <v>5839</v>
      </c>
      <c r="D972" t="str" cm="1">
        <f t="array" ref="D972">TRANSPOSE(_xlfn._xlws.FILTER('Controllable Asset Registry'!$A$4:$A$764,IFERROR('Controllable Asset Registry'!$E$4:$E$764=A972,FALSE),"No Equipment in entity"))</f>
        <v>No Equipment in entity</v>
      </c>
    </row>
    <row r="973" spans="1:5" x14ac:dyDescent="0.3">
      <c r="A973" t="s">
        <v>7402</v>
      </c>
      <c r="B973" t="s">
        <v>8173</v>
      </c>
      <c r="C973" t="s">
        <v>7403</v>
      </c>
      <c r="D973" t="str" cm="1">
        <f t="array" ref="D973">TRANSPOSE(_xlfn._xlws.FILTER('Controllable Asset Registry'!$A$4:$A$764,IFERROR('Controllable Asset Registry'!$E$4:$E$764=A973,FALSE),"No Equipment in entity"))</f>
        <v>No Equipment in entity</v>
      </c>
    </row>
    <row r="974" spans="1:5" x14ac:dyDescent="0.3">
      <c r="A974" t="s">
        <v>7404</v>
      </c>
      <c r="B974" t="s">
        <v>8174</v>
      </c>
      <c r="C974" t="s">
        <v>7106</v>
      </c>
      <c r="D974" t="str" cm="1">
        <f t="array" ref="D974">TRANSPOSE(_xlfn._xlws.FILTER('Controllable Asset Registry'!$A$4:$A$764,IFERROR('Controllable Asset Registry'!$E$4:$E$764=A974,FALSE),"No Equipment in entity"))</f>
        <v>No Equipment in entity</v>
      </c>
    </row>
    <row r="975" spans="1:5" x14ac:dyDescent="0.3">
      <c r="A975" t="s">
        <v>7405</v>
      </c>
      <c r="B975" t="s">
        <v>8175</v>
      </c>
      <c r="C975" t="s">
        <v>7406</v>
      </c>
      <c r="D975" t="str" cm="1">
        <f t="array" ref="D975">TRANSPOSE(_xlfn._xlws.FILTER('Controllable Asset Registry'!$A$4:$A$764,IFERROR('Controllable Asset Registry'!$E$4:$E$764=A975,FALSE),"No Equipment in entity"))</f>
        <v>No Equipment in entity</v>
      </c>
    </row>
    <row r="976" spans="1:5" x14ac:dyDescent="0.3">
      <c r="A976" t="s">
        <v>7407</v>
      </c>
      <c r="B976" t="s">
        <v>7408</v>
      </c>
      <c r="C976" t="s">
        <v>6874</v>
      </c>
      <c r="D976" t="str" cm="1">
        <f t="array" ref="D976">TRANSPOSE(_xlfn._xlws.FILTER('Controllable Asset Registry'!$A$4:$A$764,IFERROR('Controllable Asset Registry'!$E$4:$E$764=A976,FALSE),"No Equipment in entity"))</f>
        <v>No Equipment in entity</v>
      </c>
    </row>
    <row r="977" spans="1:12" x14ac:dyDescent="0.3">
      <c r="A977" t="s">
        <v>7409</v>
      </c>
      <c r="B977" t="s">
        <v>7410</v>
      </c>
      <c r="C977" t="s">
        <v>6877</v>
      </c>
      <c r="D977" t="str" cm="1">
        <f t="array" ref="D977">TRANSPOSE(_xlfn._xlws.FILTER('Controllable Asset Registry'!$A$4:$A$764,IFERROR('Controllable Asset Registry'!$E$4:$E$764=A977,FALSE),"No Equipment in entity"))</f>
        <v>No Equipment in entity</v>
      </c>
    </row>
    <row r="978" spans="1:12" x14ac:dyDescent="0.3">
      <c r="A978" t="s">
        <v>7411</v>
      </c>
      <c r="B978" t="s">
        <v>7412</v>
      </c>
      <c r="C978" t="s">
        <v>6880</v>
      </c>
      <c r="D978" t="str" cm="1">
        <f t="array" ref="D978">TRANSPOSE(_xlfn._xlws.FILTER('Controllable Asset Registry'!$A$4:$A$764,IFERROR('Controllable Asset Registry'!$E$4:$E$764=A978,FALSE),"No Equipment in entity"))</f>
        <v>No Equipment in entity</v>
      </c>
    </row>
    <row r="979" spans="1:12" x14ac:dyDescent="0.3">
      <c r="A979" t="s">
        <v>7413</v>
      </c>
      <c r="B979" t="s">
        <v>7414</v>
      </c>
      <c r="C979" t="s">
        <v>6744</v>
      </c>
      <c r="D979" t="str" cm="1">
        <f t="array" ref="D979">TRANSPOSE(_xlfn._xlws.FILTER('Controllable Asset Registry'!$A$4:$A$764,IFERROR('Controllable Asset Registry'!$E$4:$E$764=A979,FALSE),"No Equipment in entity"))</f>
        <v>No Equipment in entity</v>
      </c>
    </row>
    <row r="980" spans="1:12" x14ac:dyDescent="0.3">
      <c r="A980" t="s">
        <v>7415</v>
      </c>
      <c r="B980" t="s">
        <v>7416</v>
      </c>
      <c r="C980" t="s">
        <v>6747</v>
      </c>
      <c r="D980" t="str" cm="1">
        <f t="array" ref="D980">TRANSPOSE(_xlfn._xlws.FILTER('Controllable Asset Registry'!$A$4:$A$764,IFERROR('Controllable Asset Registry'!$E$4:$E$764=A980,FALSE),"No Equipment in entity"))</f>
        <v>No Equipment in entity</v>
      </c>
    </row>
    <row r="981" spans="1:12" x14ac:dyDescent="0.3">
      <c r="A981" t="s">
        <v>7417</v>
      </c>
      <c r="B981" t="s">
        <v>7418</v>
      </c>
      <c r="C981" t="s">
        <v>6750</v>
      </c>
      <c r="D981" t="str" cm="1">
        <f t="array" ref="D981">TRANSPOSE(_xlfn._xlws.FILTER('Controllable Asset Registry'!$A$4:$A$764,IFERROR('Controllable Asset Registry'!$E$4:$E$764=A981,FALSE),"No Equipment in entity"))</f>
        <v>No Equipment in entity</v>
      </c>
    </row>
    <row r="982" spans="1:12" x14ac:dyDescent="0.3">
      <c r="A982" t="s">
        <v>7419</v>
      </c>
      <c r="B982" t="s">
        <v>7420</v>
      </c>
      <c r="C982" t="s">
        <v>6757</v>
      </c>
      <c r="D982" t="str" cm="1">
        <f t="array" ref="D982">TRANSPOSE(_xlfn._xlws.FILTER('Controllable Asset Registry'!$A$4:$A$764,IFERROR('Controllable Asset Registry'!$E$4:$E$764=A982,FALSE),"No Equipment in entity"))</f>
        <v>No Equipment in entity</v>
      </c>
    </row>
    <row r="983" spans="1:12" x14ac:dyDescent="0.3">
      <c r="A983" t="s">
        <v>7421</v>
      </c>
      <c r="B983" t="s">
        <v>7422</v>
      </c>
      <c r="C983" t="s">
        <v>6896</v>
      </c>
      <c r="D983" t="str" cm="1">
        <f t="array" ref="D983">TRANSPOSE(_xlfn._xlws.FILTER('Controllable Asset Registry'!$A$4:$A$764,IFERROR('Controllable Asset Registry'!$E$4:$E$764=A983,FALSE),"No Equipment in entity"))</f>
        <v>No Equipment in entity</v>
      </c>
    </row>
    <row r="984" spans="1:12" x14ac:dyDescent="0.3">
      <c r="A984" t="s">
        <v>7423</v>
      </c>
      <c r="B984" t="s">
        <v>7424</v>
      </c>
      <c r="C984" t="s">
        <v>6760</v>
      </c>
      <c r="D984" t="str" cm="1">
        <f t="array" ref="D984">TRANSPOSE(_xlfn._xlws.FILTER('Controllable Asset Registry'!$A$4:$A$764,IFERROR('Controllable Asset Registry'!$E$4:$E$764=A984,FALSE),"No Equipment in entity"))</f>
        <v>No Equipment in entity</v>
      </c>
    </row>
    <row r="985" spans="1:12" x14ac:dyDescent="0.3">
      <c r="A985" t="s">
        <v>8194</v>
      </c>
      <c r="B985" t="s">
        <v>8428</v>
      </c>
      <c r="C985" t="s">
        <v>7425</v>
      </c>
      <c r="D985" t="str" cm="1">
        <f t="array" ref="D985:L985">TRANSPOSE(_xlfn._xlws.FILTER('Controllable Asset Registry'!$A$4:$A$764,IFERROR('Controllable Asset Registry'!$E$4:$E$764=A985,FALSE),"No Equipment in entity"))</f>
        <v>AHU12_0001</v>
      </c>
      <c r="E985" t="str">
        <v>AHU12_0002</v>
      </c>
      <c r="F985" t="str">
        <v>AHU12_0003</v>
      </c>
      <c r="G985" t="str">
        <v>AHU12_0004</v>
      </c>
      <c r="H985" t="str">
        <v>AHU12_0006</v>
      </c>
      <c r="I985" t="str">
        <v>AHU12_0007</v>
      </c>
      <c r="J985" t="str">
        <v>AHU12_0008</v>
      </c>
      <c r="K985" t="str">
        <v>AHU12_0009</v>
      </c>
      <c r="L985" t="str">
        <v>AHU12_0010</v>
      </c>
    </row>
    <row r="986" spans="1:12" x14ac:dyDescent="0.3">
      <c r="A986" t="s">
        <v>6057</v>
      </c>
      <c r="B986" t="s">
        <v>8176</v>
      </c>
      <c r="C986" t="s">
        <v>7106</v>
      </c>
      <c r="D986" t="str" cm="1">
        <f t="array" ref="D986:F986">TRANSPOSE(_xlfn._xlws.FILTER('Controllable Asset Registry'!$A$4:$A$764,IFERROR('Controllable Asset Registry'!$E$4:$E$764=A986,FALSE),"No Equipment in entity"))</f>
        <v>FCU0025</v>
      </c>
      <c r="E986" t="str">
        <v>FCU0026</v>
      </c>
      <c r="F986" t="str">
        <v>FCU0027</v>
      </c>
    </row>
    <row r="987" spans="1:12" x14ac:dyDescent="0.3">
      <c r="A987" t="s">
        <v>8195</v>
      </c>
      <c r="B987">
        <v>5.2140000000000004</v>
      </c>
      <c r="C987" t="s">
        <v>7088</v>
      </c>
      <c r="D987" t="str" cm="1">
        <f t="array" ref="D987:E987">TRANSPOSE(_xlfn._xlws.FILTER('Controllable Asset Registry'!$A$4:$A$764,IFERROR('Controllable Asset Registry'!$E$4:$E$764=A987,FALSE),"No Equipment in entity"))</f>
        <v>FCU0075</v>
      </c>
      <c r="E987" t="str">
        <v>FCU0076</v>
      </c>
    </row>
    <row r="988" spans="1:12" x14ac:dyDescent="0.3">
      <c r="A988" t="s">
        <v>8196</v>
      </c>
      <c r="B988">
        <v>4.1100000000000003</v>
      </c>
      <c r="C988" t="s">
        <v>6917</v>
      </c>
      <c r="D988" t="str" cm="1">
        <f t="array" ref="D988">TRANSPOSE(_xlfn._xlws.FILTER('Controllable Asset Registry'!$A$4:$A$764,IFERROR('Controllable Asset Registry'!$E$4:$E$764=A988,FALSE),"No Equipment in entity"))</f>
        <v>FCU0084</v>
      </c>
    </row>
    <row r="989" spans="1:12" x14ac:dyDescent="0.3">
      <c r="A989" t="s">
        <v>6117</v>
      </c>
      <c r="B989" t="s">
        <v>8177</v>
      </c>
      <c r="C989" t="s">
        <v>7426</v>
      </c>
      <c r="D989" t="str" cm="1">
        <f t="array" ref="D989:E989">TRANSPOSE(_xlfn._xlws.FILTER('Controllable Asset Registry'!$A$4:$A$764,IFERROR('Controllable Asset Registry'!$E$4:$E$764=A989,FALSE),"No Equipment in entity"))</f>
        <v>FCU0126</v>
      </c>
      <c r="E989" t="str">
        <v>FCU0127</v>
      </c>
    </row>
    <row r="990" spans="1:12" x14ac:dyDescent="0.3">
      <c r="A990" t="s">
        <v>6118</v>
      </c>
      <c r="B990" t="s">
        <v>8178</v>
      </c>
      <c r="C990" t="s">
        <v>7426</v>
      </c>
      <c r="D990" t="str" cm="1">
        <f t="array" ref="D990:E990">TRANSPOSE(_xlfn._xlws.FILTER('Controllable Asset Registry'!$A$4:$A$764,IFERROR('Controllable Asset Registry'!$E$4:$E$764=A990,FALSE),"No Equipment in entity"))</f>
        <v>FCU0128</v>
      </c>
      <c r="E990" t="str">
        <v>FCU0129</v>
      </c>
    </row>
    <row r="991" spans="1:12" x14ac:dyDescent="0.3">
      <c r="A991" t="s">
        <v>6119</v>
      </c>
      <c r="B991" t="s">
        <v>8179</v>
      </c>
      <c r="C991" t="s">
        <v>7426</v>
      </c>
      <c r="D991" t="str" cm="1">
        <f t="array" ref="D991">TRANSPOSE(_xlfn._xlws.FILTER('Controllable Asset Registry'!$A$4:$A$764,IFERROR('Controllable Asset Registry'!$E$4:$E$764=A991,FALSE),"No Equipment in entity"))</f>
        <v>FCU0130</v>
      </c>
    </row>
    <row r="992" spans="1:12" x14ac:dyDescent="0.3">
      <c r="A992" t="s">
        <v>6121</v>
      </c>
      <c r="B992" t="s">
        <v>5886</v>
      </c>
      <c r="C992" t="s">
        <v>7427</v>
      </c>
      <c r="D992" t="str" cm="1">
        <f t="array" ref="D992">TRANSPOSE(_xlfn._xlws.FILTER('Controllable Asset Registry'!$A$4:$A$764,IFERROR('Controllable Asset Registry'!$E$4:$E$764=A992,FALSE),"No Equipment in entity"))</f>
        <v>VAV0001</v>
      </c>
    </row>
    <row r="993" spans="1:6" x14ac:dyDescent="0.3">
      <c r="A993" t="s">
        <v>8198</v>
      </c>
      <c r="B993" t="s">
        <v>8429</v>
      </c>
      <c r="C993" t="s">
        <v>5816</v>
      </c>
      <c r="D993" t="str" cm="1">
        <f t="array" ref="D993">TRANSPOSE(_xlfn._xlws.FILTER('Controllable Asset Registry'!$A$4:$A$764,IFERROR('Controllable Asset Registry'!$E$4:$E$764=A993,FALSE),"No Equipment in entity"))</f>
        <v>VAV0030</v>
      </c>
    </row>
    <row r="994" spans="1:6" x14ac:dyDescent="0.3">
      <c r="A994" t="s">
        <v>6145</v>
      </c>
      <c r="B994" t="s">
        <v>7428</v>
      </c>
      <c r="C994" t="s">
        <v>6779</v>
      </c>
      <c r="D994" t="str" cm="1">
        <f t="array" ref="D994">TRANSPOSE(_xlfn._xlws.FILTER('Controllable Asset Registry'!$A$4:$A$764,IFERROR('Controllable Asset Registry'!$E$4:$E$764=A994,FALSE),"No Equipment in entity"))</f>
        <v>VAV0031</v>
      </c>
    </row>
    <row r="995" spans="1:6" x14ac:dyDescent="0.3">
      <c r="A995" t="s">
        <v>6153</v>
      </c>
      <c r="B995" t="s">
        <v>7429</v>
      </c>
      <c r="C995" t="s">
        <v>7430</v>
      </c>
      <c r="D995" t="str" cm="1">
        <f t="array" ref="D995">TRANSPOSE(_xlfn._xlws.FILTER('Controllable Asset Registry'!$A$4:$A$764,IFERROR('Controllable Asset Registry'!$E$4:$E$764=A995,FALSE),"No Equipment in entity"))</f>
        <v>VAV0039</v>
      </c>
    </row>
    <row r="996" spans="1:6" x14ac:dyDescent="0.3">
      <c r="A996" t="s">
        <v>6159</v>
      </c>
      <c r="B996" t="s">
        <v>7431</v>
      </c>
      <c r="C996" t="s">
        <v>7432</v>
      </c>
      <c r="D996" t="str" cm="1">
        <f t="array" ref="D996">TRANSPOSE(_xlfn._xlws.FILTER('Controllable Asset Registry'!$A$4:$A$764,IFERROR('Controllable Asset Registry'!$E$4:$E$764=A996,FALSE),"No Equipment in entity"))</f>
        <v>VAV0046</v>
      </c>
    </row>
    <row r="997" spans="1:6" x14ac:dyDescent="0.3">
      <c r="A997" t="s">
        <v>6160</v>
      </c>
      <c r="B997" t="s">
        <v>7433</v>
      </c>
      <c r="C997" t="s">
        <v>7432</v>
      </c>
      <c r="D997" t="str" cm="1">
        <f t="array" ref="D997">TRANSPOSE(_xlfn._xlws.FILTER('Controllable Asset Registry'!$A$4:$A$764,IFERROR('Controllable Asset Registry'!$E$4:$E$764=A997,FALSE),"No Equipment in entity"))</f>
        <v>VAV0047</v>
      </c>
    </row>
    <row r="998" spans="1:6" x14ac:dyDescent="0.3">
      <c r="A998" t="s">
        <v>6181</v>
      </c>
      <c r="B998" t="s">
        <v>8180</v>
      </c>
      <c r="C998" t="s">
        <v>6901</v>
      </c>
      <c r="D998" t="str" cm="1">
        <f t="array" ref="D998">TRANSPOSE(_xlfn._xlws.FILTER('Controllable Asset Registry'!$A$4:$A$764,IFERROR('Controllable Asset Registry'!$E$4:$E$764=A998,FALSE),"No Equipment in entity"))</f>
        <v>VAV0072</v>
      </c>
    </row>
    <row r="999" spans="1:6" x14ac:dyDescent="0.3">
      <c r="A999" t="s">
        <v>6189</v>
      </c>
      <c r="B999" t="s">
        <v>8181</v>
      </c>
      <c r="C999" t="s">
        <v>7434</v>
      </c>
      <c r="D999" t="str" cm="1">
        <f t="array" ref="D999:F999">TRANSPOSE(_xlfn._xlws.FILTER('Controllable Asset Registry'!$A$4:$A$764,IFERROR('Controllable Asset Registry'!$E$4:$E$764=A999,FALSE),"No Equipment in entity"))</f>
        <v>VAV0080</v>
      </c>
      <c r="E999" t="str">
        <v>VAV0081</v>
      </c>
      <c r="F999" t="str">
        <v>VAV0082</v>
      </c>
    </row>
    <row r="1000" spans="1:6" x14ac:dyDescent="0.3">
      <c r="A1000" t="s">
        <v>6224</v>
      </c>
      <c r="B1000" t="s">
        <v>7435</v>
      </c>
      <c r="C1000" t="s">
        <v>7436</v>
      </c>
      <c r="D1000" t="str" cm="1">
        <f t="array" ref="D1000">TRANSPOSE(_xlfn._xlws.FILTER('Controllable Asset Registry'!$A$4:$A$764,IFERROR('Controllable Asset Registry'!$E$4:$E$764=A1000,FALSE),"No Equipment in entity"))</f>
        <v>VAV0128</v>
      </c>
    </row>
    <row r="1001" spans="1:6" x14ac:dyDescent="0.3">
      <c r="A1001" t="s">
        <v>6248</v>
      </c>
      <c r="B1001" t="s">
        <v>7437</v>
      </c>
      <c r="C1001" t="s">
        <v>7436</v>
      </c>
      <c r="D1001" t="str" cm="1">
        <f t="array" ref="D1001">TRANSPOSE(_xlfn._xlws.FILTER('Controllable Asset Registry'!$A$4:$A$764,IFERROR('Controllable Asset Registry'!$E$4:$E$764=A1001,FALSE),"No Equipment in entity"))</f>
        <v>VAV0155</v>
      </c>
    </row>
    <row r="1002" spans="1:6" x14ac:dyDescent="0.3">
      <c r="A1002" t="s">
        <v>6266</v>
      </c>
      <c r="B1002" t="s">
        <v>7438</v>
      </c>
      <c r="C1002" t="s">
        <v>7436</v>
      </c>
      <c r="D1002" t="str" cm="1">
        <f t="array" ref="D1002">TRANSPOSE(_xlfn._xlws.FILTER('Controllable Asset Registry'!$A$4:$A$764,IFERROR('Controllable Asset Registry'!$E$4:$E$764=A1002,FALSE),"No Equipment in entity"))</f>
        <v>VAV0175</v>
      </c>
    </row>
    <row r="1003" spans="1:6" x14ac:dyDescent="0.3">
      <c r="A1003" t="s">
        <v>6268</v>
      </c>
      <c r="B1003" t="s">
        <v>8182</v>
      </c>
      <c r="C1003" t="s">
        <v>6912</v>
      </c>
      <c r="D1003" t="str" cm="1">
        <f t="array" ref="D1003">TRANSPOSE(_xlfn._xlws.FILTER('Controllable Asset Registry'!$A$4:$A$764,IFERROR('Controllable Asset Registry'!$E$4:$E$764=A1003,FALSE),"No Equipment in entity"))</f>
        <v>VAV0177</v>
      </c>
    </row>
    <row r="1004" spans="1:6" x14ac:dyDescent="0.3">
      <c r="A1004" t="s">
        <v>6269</v>
      </c>
      <c r="B1004" t="s">
        <v>7439</v>
      </c>
      <c r="C1004" t="s">
        <v>7440</v>
      </c>
      <c r="D1004" t="str" cm="1">
        <f t="array" ref="D1004">TRANSPOSE(_xlfn._xlws.FILTER('Controllable Asset Registry'!$A$4:$A$764,IFERROR('Controllable Asset Registry'!$E$4:$E$764=A1004,FALSE),"No Equipment in entity"))</f>
        <v>VAV0178</v>
      </c>
    </row>
    <row r="1005" spans="1:6" x14ac:dyDescent="0.3">
      <c r="A1005" t="s">
        <v>6289</v>
      </c>
      <c r="B1005" t="s">
        <v>7441</v>
      </c>
      <c r="C1005" t="s">
        <v>7436</v>
      </c>
      <c r="D1005" t="str" cm="1">
        <f t="array" ref="D1005">TRANSPOSE(_xlfn._xlws.FILTER('Controllable Asset Registry'!$A$4:$A$764,IFERROR('Controllable Asset Registry'!$E$4:$E$764=A1005,FALSE),"No Equipment in entity"))</f>
        <v>VAV0202</v>
      </c>
    </row>
    <row r="1006" spans="1:6" x14ac:dyDescent="0.3">
      <c r="A1006" t="s">
        <v>6290</v>
      </c>
      <c r="B1006" t="s">
        <v>7442</v>
      </c>
      <c r="C1006" t="s">
        <v>7436</v>
      </c>
      <c r="D1006" t="str" cm="1">
        <f t="array" ref="D1006">TRANSPOSE(_xlfn._xlws.FILTER('Controllable Asset Registry'!$A$4:$A$764,IFERROR('Controllable Asset Registry'!$E$4:$E$764=A1006,FALSE),"No Equipment in entity"))</f>
        <v>VAV0203</v>
      </c>
    </row>
    <row r="1007" spans="1:6" x14ac:dyDescent="0.3">
      <c r="A1007" t="s">
        <v>8199</v>
      </c>
      <c r="B1007">
        <v>4.0039999999999996</v>
      </c>
      <c r="C1007" t="s">
        <v>7443</v>
      </c>
      <c r="D1007" t="str" cm="1">
        <f t="array" ref="D1007">TRANSPOSE(_xlfn._xlws.FILTER('Controllable Asset Registry'!$A$4:$A$764,IFERROR('Controllable Asset Registry'!$E$4:$E$764=A1007,FALSE),"No Equipment in entity"))</f>
        <v>VAV0222</v>
      </c>
    </row>
    <row r="1008" spans="1:6" x14ac:dyDescent="0.3">
      <c r="A1008" t="s">
        <v>8200</v>
      </c>
      <c r="B1008" t="s">
        <v>8430</v>
      </c>
      <c r="C1008" t="s">
        <v>7436</v>
      </c>
      <c r="D1008" t="str" cm="1">
        <f t="array" ref="D1008">TRANSPOSE(_xlfn._xlws.FILTER('Controllable Asset Registry'!$A$4:$A$764,IFERROR('Controllable Asset Registry'!$E$4:$E$764=A1008,FALSE),"No Equipment in entity"))</f>
        <v>VAV0233</v>
      </c>
    </row>
    <row r="1009" spans="1:7" x14ac:dyDescent="0.3">
      <c r="A1009" t="s">
        <v>8201</v>
      </c>
      <c r="B1009" t="s">
        <v>8431</v>
      </c>
      <c r="C1009" t="s">
        <v>7436</v>
      </c>
      <c r="D1009" t="str" cm="1">
        <f t="array" ref="D1009">TRANSPOSE(_xlfn._xlws.FILTER('Controllable Asset Registry'!$A$4:$A$764,IFERROR('Controllable Asset Registry'!$E$4:$E$764=A1009,FALSE),"No Equipment in entity"))</f>
        <v>VAV0234</v>
      </c>
    </row>
    <row r="1010" spans="1:7" x14ac:dyDescent="0.3">
      <c r="A1010" t="s">
        <v>8202</v>
      </c>
      <c r="B1010">
        <v>4.0030000000000001</v>
      </c>
      <c r="C1010" t="s">
        <v>7444</v>
      </c>
      <c r="D1010" t="str" cm="1">
        <f t="array" ref="D1010">TRANSPOSE(_xlfn._xlws.FILTER('Controllable Asset Registry'!$A$4:$A$764,IFERROR('Controllable Asset Registry'!$E$4:$E$764=A1010,FALSE),"No Equipment in entity"))</f>
        <v>VAV0243</v>
      </c>
    </row>
    <row r="1011" spans="1:7" x14ac:dyDescent="0.3">
      <c r="A1011" t="s">
        <v>8203</v>
      </c>
      <c r="B1011" t="s">
        <v>8432</v>
      </c>
      <c r="C1011" t="s">
        <v>7436</v>
      </c>
      <c r="D1011" t="str" cm="1">
        <f t="array" ref="D1011">TRANSPOSE(_xlfn._xlws.FILTER('Controllable Asset Registry'!$A$4:$A$764,IFERROR('Controllable Asset Registry'!$E$4:$E$764=A1011,FALSE),"No Equipment in entity"))</f>
        <v>VAV0244</v>
      </c>
    </row>
    <row r="1012" spans="1:7" x14ac:dyDescent="0.3">
      <c r="A1012" t="s">
        <v>8204</v>
      </c>
      <c r="B1012" t="s">
        <v>8433</v>
      </c>
      <c r="C1012" t="s">
        <v>7436</v>
      </c>
      <c r="D1012" t="str" cm="1">
        <f t="array" ref="D1012">TRANSPOSE(_xlfn._xlws.FILTER('Controllable Asset Registry'!$A$4:$A$764,IFERROR('Controllable Asset Registry'!$E$4:$E$764=A1012,FALSE),"No Equipment in entity"))</f>
        <v>VAV0245</v>
      </c>
    </row>
    <row r="1013" spans="1:7" x14ac:dyDescent="0.3">
      <c r="A1013" t="s">
        <v>8205</v>
      </c>
      <c r="B1013" t="s">
        <v>8434</v>
      </c>
      <c r="C1013" t="s">
        <v>7436</v>
      </c>
      <c r="D1013" t="str" cm="1">
        <f t="array" ref="D1013">TRANSPOSE(_xlfn._xlws.FILTER('Controllable Asset Registry'!$A$4:$A$764,IFERROR('Controllable Asset Registry'!$E$4:$E$764=A1013,FALSE),"No Equipment in entity"))</f>
        <v>VAV0246</v>
      </c>
    </row>
    <row r="1014" spans="1:7" x14ac:dyDescent="0.3">
      <c r="A1014" t="s">
        <v>8206</v>
      </c>
      <c r="B1014" t="s">
        <v>8435</v>
      </c>
      <c r="C1014" t="s">
        <v>7436</v>
      </c>
      <c r="D1014" t="str" cm="1">
        <f t="array" ref="D1014">TRANSPOSE(_xlfn._xlws.FILTER('Controllable Asset Registry'!$A$4:$A$764,IFERROR('Controllable Asset Registry'!$E$4:$E$764=A1014,FALSE),"No Equipment in entity"))</f>
        <v>VAV0247</v>
      </c>
    </row>
    <row r="1015" spans="1:7" x14ac:dyDescent="0.3">
      <c r="A1015" t="s">
        <v>8207</v>
      </c>
      <c r="B1015">
        <v>4.1029999999999998</v>
      </c>
      <c r="C1015" t="s">
        <v>7070</v>
      </c>
      <c r="D1015" t="str" cm="1">
        <f t="array" ref="D1015">TRANSPOSE(_xlfn._xlws.FILTER('Controllable Asset Registry'!$A$4:$A$764,IFERROR('Controllable Asset Registry'!$E$4:$E$764=A1015,FALSE),"No Equipment in entity"))</f>
        <v>VAV0248</v>
      </c>
    </row>
    <row r="1016" spans="1:7" x14ac:dyDescent="0.3">
      <c r="A1016" t="s">
        <v>6352</v>
      </c>
      <c r="B1016" t="s">
        <v>8183</v>
      </c>
      <c r="C1016" t="s">
        <v>7110</v>
      </c>
      <c r="D1016" t="str" cm="1">
        <f t="array" ref="D1016">TRANSPOSE(_xlfn._xlws.FILTER('Controllable Asset Registry'!$A$4:$A$764,IFERROR('Controllable Asset Registry'!$E$4:$E$764=A1016,FALSE),"No Equipment in entity"))</f>
        <v>VAV0283</v>
      </c>
    </row>
    <row r="1017" spans="1:7" x14ac:dyDescent="0.3">
      <c r="A1017" t="s">
        <v>8212</v>
      </c>
      <c r="B1017" t="s">
        <v>8436</v>
      </c>
      <c r="C1017" t="s">
        <v>5816</v>
      </c>
      <c r="D1017" t="str" cm="1">
        <f t="array" ref="D1017:G1017">TRANSPOSE(_xlfn._xlws.FILTER('Controllable Asset Registry'!$A$4:$A$764,IFERROR('Controllable Asset Registry'!$E$4:$E$764=A1017,FALSE),"No Equipment in entity"))</f>
        <v>VAV0318</v>
      </c>
      <c r="E1017" t="str">
        <v>VAV0319</v>
      </c>
      <c r="F1017" t="str">
        <v>VAV0320</v>
      </c>
      <c r="G1017" t="str">
        <v>VAV0321</v>
      </c>
    </row>
    <row r="1018" spans="1:7" x14ac:dyDescent="0.3">
      <c r="A1018" t="s">
        <v>6439</v>
      </c>
      <c r="B1018" t="s">
        <v>7445</v>
      </c>
      <c r="C1018" t="s">
        <v>7436</v>
      </c>
      <c r="D1018" t="str" cm="1">
        <f t="array" ref="D1018">TRANSPOSE(_xlfn._xlws.FILTER('Controllable Asset Registry'!$A$4:$A$764,IFERROR('Controllable Asset Registry'!$E$4:$E$764=A1018,FALSE),"No Equipment in entity"))</f>
        <v>VAV0388</v>
      </c>
    </row>
    <row r="1019" spans="1:7" x14ac:dyDescent="0.3">
      <c r="A1019" t="s">
        <v>6475</v>
      </c>
      <c r="B1019" t="s">
        <v>8184</v>
      </c>
      <c r="C1019" t="s">
        <v>7022</v>
      </c>
      <c r="D1019" t="str" cm="1">
        <f t="array" ref="D1019:F1019">TRANSPOSE(_xlfn._xlws.FILTER('Controllable Asset Registry'!$A$4:$A$764,IFERROR('Controllable Asset Registry'!$E$4:$E$764=A1019,FALSE),"No Equipment in entity"))</f>
        <v>VAV0430</v>
      </c>
      <c r="E1019" t="str">
        <v>VAV0431</v>
      </c>
      <c r="F1019" t="str">
        <v>VAV0432</v>
      </c>
    </row>
    <row r="1020" spans="1:7" x14ac:dyDescent="0.3">
      <c r="A1020" t="s">
        <v>6507</v>
      </c>
      <c r="B1020" t="s">
        <v>8185</v>
      </c>
      <c r="C1020" t="s">
        <v>7331</v>
      </c>
      <c r="D1020" t="str" cm="1">
        <f t="array" ref="D1020:G1020">TRANSPOSE(_xlfn._xlws.FILTER('Controllable Asset Registry'!$A$4:$A$764,IFERROR('Controllable Asset Registry'!$E$4:$E$764=A1020,FALSE),"No Equipment in entity"))</f>
        <v>VAV0473</v>
      </c>
      <c r="E1020" t="str">
        <v>VAV0474</v>
      </c>
      <c r="F1020" t="str">
        <v>VAV0478</v>
      </c>
      <c r="G1020" t="str">
        <v>VAV0492</v>
      </c>
    </row>
    <row r="1021" spans="1:7" x14ac:dyDescent="0.3">
      <c r="A1021" t="s">
        <v>6566</v>
      </c>
      <c r="B1021" t="s">
        <v>7446</v>
      </c>
      <c r="C1021" t="s">
        <v>7436</v>
      </c>
      <c r="D1021" t="str" cm="1">
        <f t="array" ref="D1021">TRANSPOSE(_xlfn._xlws.FILTER('Controllable Asset Registry'!$A$4:$A$764,IFERROR('Controllable Asset Registry'!$E$4:$E$764=A1021,FALSE),"No Equipment in entity"))</f>
        <v>VAV0548</v>
      </c>
    </row>
    <row r="1022" spans="1:7" x14ac:dyDescent="0.3">
      <c r="A1022" t="s">
        <v>6567</v>
      </c>
      <c r="B1022" t="s">
        <v>7447</v>
      </c>
      <c r="C1022" t="s">
        <v>7436</v>
      </c>
      <c r="D1022" t="str" cm="1">
        <f t="array" ref="D1022">TRANSPOSE(_xlfn._xlws.FILTER('Controllable Asset Registry'!$A$4:$A$764,IFERROR('Controllable Asset Registry'!$E$4:$E$764=A1022,FALSE),"No Equipment in entity"))</f>
        <v>VAV0549</v>
      </c>
    </row>
    <row r="1023" spans="1:7" x14ac:dyDescent="0.3">
      <c r="A1023" t="s">
        <v>6568</v>
      </c>
      <c r="B1023" t="s">
        <v>7448</v>
      </c>
      <c r="C1023" t="s">
        <v>7436</v>
      </c>
      <c r="D1023" t="str" cm="1">
        <f t="array" ref="D1023">TRANSPOSE(_xlfn._xlws.FILTER('Controllable Asset Registry'!$A$4:$A$764,IFERROR('Controllable Asset Registry'!$E$4:$E$764=A1023,FALSE),"No Equipment in entity"))</f>
        <v>VAV0550</v>
      </c>
    </row>
    <row r="1024" spans="1:7" x14ac:dyDescent="0.3">
      <c r="A1024" t="s">
        <v>6569</v>
      </c>
      <c r="B1024" t="s">
        <v>7449</v>
      </c>
      <c r="C1024" t="s">
        <v>7436</v>
      </c>
      <c r="D1024" t="str" cm="1">
        <f t="array" ref="D1024">TRANSPOSE(_xlfn._xlws.FILTER('Controllable Asset Registry'!$A$4:$A$764,IFERROR('Controllable Asset Registry'!$E$4:$E$764=A1024,FALSE),"No Equipment in entity"))</f>
        <v>VAV0551</v>
      </c>
    </row>
    <row r="1025" spans="1:6" x14ac:dyDescent="0.3">
      <c r="A1025" t="s">
        <v>6592</v>
      </c>
      <c r="B1025" t="s">
        <v>8186</v>
      </c>
      <c r="C1025" t="s">
        <v>7450</v>
      </c>
      <c r="D1025" t="str" cm="1">
        <f t="array" ref="D1025:E1025">TRANSPOSE(_xlfn._xlws.FILTER('Controllable Asset Registry'!$A$4:$A$764,IFERROR('Controllable Asset Registry'!$E$4:$E$764=A1025,FALSE),"No Equipment in entity"))</f>
        <v>VAV0580</v>
      </c>
      <c r="E1025" t="str">
        <v>VAV0581</v>
      </c>
    </row>
    <row r="1026" spans="1:6" x14ac:dyDescent="0.3">
      <c r="A1026" t="s">
        <v>8213</v>
      </c>
      <c r="B1026" t="s">
        <v>8437</v>
      </c>
      <c r="C1026" t="s">
        <v>7242</v>
      </c>
      <c r="D1026" t="str" cm="1">
        <f t="array" ref="D1026:F1026">TRANSPOSE(_xlfn._xlws.FILTER('Controllable Asset Registry'!$A$4:$A$764,IFERROR('Controllable Asset Registry'!$E$4:$E$764=A1026,FALSE),"No Equipment in entity"))</f>
        <v>VAV0592</v>
      </c>
      <c r="E1026" t="str">
        <v>VAV0593</v>
      </c>
      <c r="F1026" t="str">
        <v>VAV0594</v>
      </c>
    </row>
    <row r="1027" spans="1:6" x14ac:dyDescent="0.3">
      <c r="A1027" t="s">
        <v>6597</v>
      </c>
      <c r="B1027" t="s">
        <v>7451</v>
      </c>
      <c r="C1027" t="s">
        <v>7452</v>
      </c>
      <c r="D1027" t="str" cm="1">
        <f t="array" ref="D1027">TRANSPOSE(_xlfn._xlws.FILTER('Controllable Asset Registry'!$A$4:$A$764,IFERROR('Controllable Asset Registry'!$E$4:$E$764=A1027,FALSE),"No Equipment in entity"))</f>
        <v>VAV0595</v>
      </c>
    </row>
    <row r="1028" spans="1:6" x14ac:dyDescent="0.3">
      <c r="A1028" t="s">
        <v>8214</v>
      </c>
      <c r="B1028" t="s">
        <v>8438</v>
      </c>
      <c r="C1028" t="s">
        <v>7436</v>
      </c>
      <c r="D1028" t="str" cm="1">
        <f t="array" ref="D1028">TRANSPOSE(_xlfn._xlws.FILTER('Controllable Asset Registry'!$A$4:$A$764,IFERROR('Controllable Asset Registry'!$E$4:$E$764=A1028,FALSE),"No Equipment in entity"))</f>
        <v>VAV0596</v>
      </c>
    </row>
    <row r="1029" spans="1:6" x14ac:dyDescent="0.3">
      <c r="A1029" t="s">
        <v>8215</v>
      </c>
      <c r="B1029" t="s">
        <v>8439</v>
      </c>
      <c r="C1029" t="s">
        <v>7436</v>
      </c>
      <c r="D1029" t="str" cm="1">
        <f t="array" ref="D1029">TRANSPOSE(_xlfn._xlws.FILTER('Controllable Asset Registry'!$A$4:$A$764,IFERROR('Controllable Asset Registry'!$E$4:$E$764=A1029,FALSE),"No Equipment in entity"))</f>
        <v>VAV0597</v>
      </c>
    </row>
    <row r="1030" spans="1:6" x14ac:dyDescent="0.3">
      <c r="A1030" t="s">
        <v>8216</v>
      </c>
      <c r="B1030" t="s">
        <v>8440</v>
      </c>
      <c r="C1030" t="s">
        <v>7436</v>
      </c>
      <c r="D1030" t="str" cm="1">
        <f t="array" ref="D1030">TRANSPOSE(_xlfn._xlws.FILTER('Controllable Asset Registry'!$A$4:$A$764,IFERROR('Controllable Asset Registry'!$E$4:$E$764=A1030,FALSE),"No Equipment in entity"))</f>
        <v>VAV0598</v>
      </c>
    </row>
    <row r="1031" spans="1:6" x14ac:dyDescent="0.3">
      <c r="A1031" t="s">
        <v>8217</v>
      </c>
      <c r="B1031" t="s">
        <v>8441</v>
      </c>
      <c r="C1031" t="s">
        <v>7436</v>
      </c>
      <c r="D1031" t="str" cm="1">
        <f t="array" ref="D1031">TRANSPOSE(_xlfn._xlws.FILTER('Controllable Asset Registry'!$A$4:$A$764,IFERROR('Controllable Asset Registry'!$E$4:$E$764=A1031,FALSE),"No Equipment in entity"))</f>
        <v>VAV0599</v>
      </c>
    </row>
    <row r="1032" spans="1:6" x14ac:dyDescent="0.3">
      <c r="A1032" t="s">
        <v>8218</v>
      </c>
      <c r="B1032" t="s">
        <v>8442</v>
      </c>
      <c r="C1032" t="s">
        <v>7436</v>
      </c>
      <c r="D1032" t="str" cm="1">
        <f t="array" ref="D1032">TRANSPOSE(_xlfn._xlws.FILTER('Controllable Asset Registry'!$A$4:$A$764,IFERROR('Controllable Asset Registry'!$E$4:$E$764=A1032,FALSE),"No Equipment in entity"))</f>
        <v>VAV0600</v>
      </c>
    </row>
    <row r="1033" spans="1:6" x14ac:dyDescent="0.3">
      <c r="A1033" t="s">
        <v>6598</v>
      </c>
      <c r="B1033" t="s">
        <v>7453</v>
      </c>
      <c r="C1033" t="s">
        <v>7436</v>
      </c>
      <c r="D1033" t="str" cm="1">
        <f t="array" ref="D1033">TRANSPOSE(_xlfn._xlws.FILTER('Controllable Asset Registry'!$A$4:$A$764,IFERROR('Controllable Asset Registry'!$E$4:$E$764=A1033,FALSE),"No Equipment in entity"))</f>
        <v>VAV0601</v>
      </c>
    </row>
    <row r="1034" spans="1:6" x14ac:dyDescent="0.3">
      <c r="A1034" t="s">
        <v>6600</v>
      </c>
      <c r="B1034" t="s">
        <v>8187</v>
      </c>
      <c r="C1034" t="s">
        <v>7454</v>
      </c>
      <c r="D1034" t="str" cm="1">
        <f t="array" ref="D1034:E1034">TRANSPOSE(_xlfn._xlws.FILTER('Controllable Asset Registry'!$A$4:$A$764,IFERROR('Controllable Asset Registry'!$E$4:$E$764=A1034,FALSE),"No Equipment in entity"))</f>
        <v>VAV0603</v>
      </c>
      <c r="E1034" t="str">
        <v>VAV0604</v>
      </c>
    </row>
    <row r="1035" spans="1:6" x14ac:dyDescent="0.3">
      <c r="A1035" t="s">
        <v>6604</v>
      </c>
      <c r="B1035" t="s">
        <v>8188</v>
      </c>
      <c r="C1035" t="s">
        <v>7381</v>
      </c>
      <c r="D1035" t="str" cm="1">
        <f t="array" ref="D1035">TRANSPOSE(_xlfn._xlws.FILTER('Controllable Asset Registry'!$A$4:$A$764,IFERROR('Controllable Asset Registry'!$E$4:$E$764=A1035,FALSE),"No Equipment in entity"))</f>
        <v>No Equipment in entity</v>
      </c>
    </row>
    <row r="1036" spans="1:6" x14ac:dyDescent="0.3">
      <c r="A1036" t="s">
        <v>6605</v>
      </c>
      <c r="B1036" t="s">
        <v>8189</v>
      </c>
      <c r="C1036" t="s">
        <v>7381</v>
      </c>
      <c r="D1036" t="str" cm="1">
        <f t="array" ref="D1036">TRANSPOSE(_xlfn._xlws.FILTER('Controllable Asset Registry'!$A$4:$A$764,IFERROR('Controllable Asset Registry'!$E$4:$E$764=A1036,FALSE),"No Equipment in entity"))</f>
        <v>No Equipment in entity</v>
      </c>
    </row>
    <row r="1037" spans="1:6" x14ac:dyDescent="0.3">
      <c r="A1037" t="s">
        <v>6606</v>
      </c>
      <c r="B1037" t="s">
        <v>8190</v>
      </c>
      <c r="C1037" t="s">
        <v>7382</v>
      </c>
      <c r="D1037" t="str" cm="1">
        <f t="array" ref="D1037">TRANSPOSE(_xlfn._xlws.FILTER('Controllable Asset Registry'!$A$4:$A$764,IFERROR('Controllable Asset Registry'!$E$4:$E$764=A1037,FALSE),"No Equipment in entity"))</f>
        <v>No Equipment in entity</v>
      </c>
    </row>
    <row r="1038" spans="1:6" x14ac:dyDescent="0.3">
      <c r="A1038" t="s">
        <v>6607</v>
      </c>
      <c r="B1038" t="s">
        <v>8191</v>
      </c>
      <c r="C1038" t="s">
        <v>7382</v>
      </c>
      <c r="D1038" t="str" cm="1">
        <f t="array" ref="D1038">TRANSPOSE(_xlfn._xlws.FILTER('Controllable Asset Registry'!$A$4:$A$764,IFERROR('Controllable Asset Registry'!$E$4:$E$764=A1038,FALSE),"No Equipment in entity"))</f>
        <v>No Equipment in entity</v>
      </c>
    </row>
    <row r="1039" spans="1:6" x14ac:dyDescent="0.3">
      <c r="A1039" t="s">
        <v>6608</v>
      </c>
      <c r="B1039" t="s">
        <v>8192</v>
      </c>
      <c r="C1039" t="s">
        <v>7455</v>
      </c>
      <c r="D1039" t="str" cm="1">
        <f t="array" ref="D1039">TRANSPOSE(_xlfn._xlws.FILTER('Controllable Asset Registry'!$A$4:$A$764,IFERROR('Controllable Asset Registry'!$E$4:$E$764=A1039,FALSE),"No Equipment in entity"))</f>
        <v>No Equipment in entity</v>
      </c>
    </row>
    <row r="1040" spans="1:6" x14ac:dyDescent="0.3">
      <c r="A1040" t="s">
        <v>6609</v>
      </c>
      <c r="B1040" t="s">
        <v>8193</v>
      </c>
      <c r="C1040" t="s">
        <v>5842</v>
      </c>
      <c r="D1040" t="str" cm="1">
        <f t="array" ref="D1040">TRANSPOSE(_xlfn._xlws.FILTER('Controllable Asset Registry'!$A$4:$A$764,IFERROR('Controllable Asset Registry'!$E$4:$E$764=A1040,FALSE),"No Equipment in entity"))</f>
        <v>No Equipment in entity</v>
      </c>
    </row>
    <row r="1041" spans="1:4" x14ac:dyDescent="0.3">
      <c r="A1041" t="s">
        <v>8197</v>
      </c>
      <c r="B1041" t="s">
        <v>8443</v>
      </c>
      <c r="C1041" t="s">
        <v>7456</v>
      </c>
      <c r="D1041" t="str" cm="1">
        <f t="array" ref="D1041">TRANSPOSE(_xlfn._xlws.FILTER('Controllable Asset Registry'!$A$4:$A$764,IFERROR('Controllable Asset Registry'!$E$4:$E$764=A1041,FALSE),"No Equipment in entity"))</f>
        <v>FCU0131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8DABCD-D3C6-413C-8798-66418C1604AB}">
  <dimension ref="A1:U353"/>
  <sheetViews>
    <sheetView zoomScale="70" zoomScaleNormal="70" workbookViewId="0">
      <selection activeCell="O24" sqref="O24"/>
    </sheetView>
  </sheetViews>
  <sheetFormatPr defaultRowHeight="14.4" x14ac:dyDescent="0.3"/>
  <cols>
    <col min="1" max="1" width="57.44140625" bestFit="1" customWidth="1"/>
    <col min="3" max="3" width="41.6640625" bestFit="1" customWidth="1"/>
    <col min="4" max="4" width="21.109375" bestFit="1" customWidth="1"/>
    <col min="5" max="5" width="16.88671875" bestFit="1" customWidth="1"/>
    <col min="6" max="13" width="16" bestFit="1" customWidth="1"/>
    <col min="14" max="14" width="33.88671875" bestFit="1" customWidth="1"/>
    <col min="15" max="15" width="21.109375" bestFit="1" customWidth="1"/>
    <col min="16" max="23" width="12.33203125" bestFit="1" customWidth="1"/>
    <col min="24" max="24" width="2.21875" bestFit="1" customWidth="1"/>
    <col min="25" max="25" width="26.88671875" bestFit="1" customWidth="1"/>
    <col min="38" max="38" width="33.88671875" bestFit="1" customWidth="1"/>
    <col min="39" max="39" width="5.5546875" bestFit="1" customWidth="1"/>
  </cols>
  <sheetData>
    <row r="1" spans="1:19" x14ac:dyDescent="0.3">
      <c r="A1" t="s">
        <v>6610</v>
      </c>
      <c r="B1" t="s">
        <v>9210</v>
      </c>
      <c r="C1" t="s">
        <v>9211</v>
      </c>
    </row>
    <row r="2" spans="1:19" x14ac:dyDescent="0.3">
      <c r="A2" t="str">
        <f t="shared" ref="A2:A65" si="0">"entity:QNL_"&amp;B2&amp;"_"&amp;C2</f>
        <v>entity:QNL_B_228_M1_HVAC_SHAFT</v>
      </c>
      <c r="B2" s="29" t="s">
        <v>8452</v>
      </c>
      <c r="C2" t="s">
        <v>8453</v>
      </c>
      <c r="D2" t="str" cm="1">
        <f t="array" ref="D2">TRANSPOSE(_xlfn._xlws.FILTER('Controllable Asset Registry'!$A$766:$A$1316,IFERROR('Controllable Asset Registry'!$E$766:$E$1316=A2,FALSE),"No Equipment in entity"))</f>
        <v>No Equipment in entity</v>
      </c>
    </row>
    <row r="3" spans="1:19" x14ac:dyDescent="0.3">
      <c r="A3" t="str">
        <f t="shared" si="0"/>
        <v>entity:QNL_B_229_E1_ELEC_SHAFT</v>
      </c>
      <c r="B3" s="29" t="s">
        <v>8454</v>
      </c>
      <c r="C3" t="s">
        <v>8455</v>
      </c>
      <c r="D3" t="str" cm="1">
        <f t="array" ref="D3">TRANSPOSE(_xlfn._xlws.FILTER('Controllable Asset Registry'!$A$766:$A$1316,IFERROR('Controllable Asset Registry'!$E$766:$E$1316=A3,FALSE),"No Equipment in entity"))</f>
        <v>No Equipment in entity</v>
      </c>
    </row>
    <row r="4" spans="1:19" x14ac:dyDescent="0.3">
      <c r="A4" t="str">
        <f t="shared" si="0"/>
        <v>entity:QNL_B_230_REFR_STORE</v>
      </c>
      <c r="B4" s="29" t="s">
        <v>8456</v>
      </c>
      <c r="C4" t="s">
        <v>8457</v>
      </c>
      <c r="D4" t="str" cm="1">
        <f t="array" ref="D4">TRANSPOSE(_xlfn._xlws.FILTER('Controllable Asset Registry'!$A$766:$A$1316,IFERROR('Controllable Asset Registry'!$E$766:$E$1316=A4,FALSE),"No Equipment in entity"))</f>
        <v>No Equipment in entity</v>
      </c>
    </row>
    <row r="5" spans="1:19" x14ac:dyDescent="0.3">
      <c r="A5" t="str">
        <f t="shared" si="0"/>
        <v>entity:QNL_B_231_DISH_WASING</v>
      </c>
      <c r="B5" s="29" t="s">
        <v>8458</v>
      </c>
      <c r="C5" t="s">
        <v>8459</v>
      </c>
      <c r="D5" t="str" cm="1">
        <f t="array" ref="D5">TRANSPOSE(_xlfn._xlws.FILTER('Controllable Asset Registry'!$A$766:$A$1316,IFERROR('Controllable Asset Registry'!$E$766:$E$1316=A5,FALSE),"No Equipment in entity"))</f>
        <v>No Equipment in entity</v>
      </c>
    </row>
    <row r="6" spans="1:19" x14ac:dyDescent="0.3">
      <c r="A6" t="str">
        <f t="shared" si="0"/>
        <v>entity:QNL_B_232_DRY_STORE</v>
      </c>
      <c r="B6" s="29" t="s">
        <v>8460</v>
      </c>
      <c r="C6" t="s">
        <v>8461</v>
      </c>
      <c r="D6" t="str" cm="1">
        <f t="array" ref="D6">TRANSPOSE(_xlfn._xlws.FILTER('Controllable Asset Registry'!$A$766:$A$1316,IFERROR('Controllable Asset Registry'!$E$766:$E$1316=A6,FALSE),"No Equipment in entity"))</f>
        <v>No Equipment in entity</v>
      </c>
    </row>
    <row r="7" spans="1:19" x14ac:dyDescent="0.3">
      <c r="A7" t="str">
        <f t="shared" si="0"/>
        <v>entity:QNL_B_233_WC5_RISER</v>
      </c>
      <c r="B7" s="29" t="s">
        <v>8462</v>
      </c>
      <c r="C7" t="s">
        <v>8463</v>
      </c>
      <c r="D7" t="str" cm="1">
        <f t="array" ref="D7">TRANSPOSE(_xlfn._xlws.FILTER('Controllable Asset Registry'!$A$766:$A$1316,IFERROR('Controllable Asset Registry'!$E$766:$E$1316=A7,FALSE),"No Equipment in entity"))</f>
        <v>No Equipment in entity</v>
      </c>
    </row>
    <row r="8" spans="1:19" x14ac:dyDescent="0.3">
      <c r="A8" t="str">
        <f t="shared" si="0"/>
        <v>entity:QNL_B_234_E3_ELEC_SHAFT</v>
      </c>
      <c r="B8" s="29" t="s">
        <v>8464</v>
      </c>
      <c r="C8" t="s">
        <v>8465</v>
      </c>
      <c r="D8" t="str" cm="1">
        <f t="array" ref="D8">TRANSPOSE(_xlfn._xlws.FILTER('Controllable Asset Registry'!$A$766:$A$1316,IFERROR('Controllable Asset Registry'!$E$766:$E$1316=A8,FALSE),"No Equipment in entity"))</f>
        <v>No Equipment in entity</v>
      </c>
    </row>
    <row r="9" spans="1:19" x14ac:dyDescent="0.3">
      <c r="A9" t="str">
        <f t="shared" si="0"/>
        <v>entity:QNL_B_235_M2_HVAC_SHAFT_ABOVE</v>
      </c>
      <c r="B9" s="29" t="s">
        <v>8466</v>
      </c>
      <c r="C9" t="s">
        <v>8467</v>
      </c>
      <c r="D9" t="str" cm="1">
        <f t="array" ref="D9">TRANSPOSE(_xlfn._xlws.FILTER('Controllable Asset Registry'!$A$766:$A$1316,IFERROR('Controllable Asset Registry'!$E$766:$E$1316=A9,FALSE),"No Equipment in entity"))</f>
        <v>No Equipment in entity</v>
      </c>
    </row>
    <row r="10" spans="1:19" x14ac:dyDescent="0.3">
      <c r="A10" t="str">
        <f t="shared" si="0"/>
        <v>entity:QNL_B_236_WC1_RISER</v>
      </c>
      <c r="B10" s="29" t="s">
        <v>8468</v>
      </c>
      <c r="C10" t="s">
        <v>8469</v>
      </c>
      <c r="D10" t="str" cm="1">
        <f t="array" ref="D10">TRANSPOSE(_xlfn._xlws.FILTER('Controllable Asset Registry'!$A$766:$A$1316,IFERROR('Controllable Asset Registry'!$E$766:$E$1316=A10,FALSE),"No Equipment in entity"))</f>
        <v>No Equipment in entity</v>
      </c>
    </row>
    <row r="11" spans="1:19" x14ac:dyDescent="0.3">
      <c r="A11" t="str">
        <f t="shared" si="0"/>
        <v>entity:QNL_B_237_CORRIDOR</v>
      </c>
      <c r="B11" s="29" t="s">
        <v>8470</v>
      </c>
      <c r="C11" t="s">
        <v>5816</v>
      </c>
      <c r="D11" t="str" cm="1">
        <f t="array" ref="D11">TRANSPOSE(_xlfn._xlws.FILTER('Controllable Asset Registry'!$A$766:$A$1316,IFERROR('Controllable Asset Registry'!$E$766:$E$1316=A11,FALSE),"No Equipment in entity"))</f>
        <v>No Equipment in entity</v>
      </c>
    </row>
    <row r="12" spans="1:19" x14ac:dyDescent="0.3">
      <c r="A12" t="str">
        <f t="shared" si="0"/>
        <v>entity:QNL_B_238_M3_HVAC_SHAFT</v>
      </c>
      <c r="B12" s="29" t="s">
        <v>8471</v>
      </c>
      <c r="C12" t="s">
        <v>8472</v>
      </c>
      <c r="D12" t="str" cm="1">
        <f t="array" ref="D12">TRANSPOSE(_xlfn._xlws.FILTER('Controllable Asset Registry'!$A$766:$A$1316,IFERROR('Controllable Asset Registry'!$E$766:$E$1316=A12,FALSE),"No Equipment in entity"))</f>
        <v>No Equipment in entity</v>
      </c>
    </row>
    <row r="13" spans="1:19" x14ac:dyDescent="0.3">
      <c r="A13" t="str">
        <f t="shared" si="0"/>
        <v>entity:QNL_B_001_TECH_SERVICES_AND_COLLECTIONS_OFFICE</v>
      </c>
      <c r="B13" s="29" t="s">
        <v>9133</v>
      </c>
      <c r="C13" t="s">
        <v>9184</v>
      </c>
      <c r="D13" t="str" cm="1">
        <f t="array" ref="D13:S13">TRANSPOSE(_xlfn._xlws.FILTER('Controllable Asset Registry'!$A$766:$A$1316,IFERROR('Controllable Asset Registry'!$E$766:$E$1316=A13,FALSE),"No Equipment in entity"))</f>
        <v>VAV_B_S11_003</v>
      </c>
      <c r="E13" t="str">
        <v>VAV_B_S11_004</v>
      </c>
      <c r="F13" t="str">
        <v>VAV_B_S11_005</v>
      </c>
      <c r="G13" t="str">
        <v>VAV_B_S11_006</v>
      </c>
      <c r="H13" t="str">
        <v>VAV_B_S11_007</v>
      </c>
      <c r="I13" t="str">
        <v>VAV_B_S11_008</v>
      </c>
      <c r="J13" t="str">
        <v>VAV_B_S11_009</v>
      </c>
      <c r="K13" t="str">
        <v>VAV_B_S11_010</v>
      </c>
      <c r="L13" t="str">
        <v>VAV_B_S11_013</v>
      </c>
      <c r="M13" t="str">
        <v>VAV_B_S11_014</v>
      </c>
      <c r="N13" t="str">
        <v>VAV_B_S11_015</v>
      </c>
      <c r="O13" t="str">
        <v>VAV_B_S11_016</v>
      </c>
      <c r="P13" t="str">
        <v>VAV_B_S11_017</v>
      </c>
      <c r="Q13" t="str">
        <v>VAV_B_S11_018</v>
      </c>
      <c r="R13" t="str">
        <v>VAV_B_S11_019</v>
      </c>
      <c r="S13" t="str">
        <v>VAV_B_S11_020</v>
      </c>
    </row>
    <row r="14" spans="1:19" x14ac:dyDescent="0.3">
      <c r="A14" t="str">
        <f t="shared" si="0"/>
        <v>entity:QNL_B_002_KITCHEN</v>
      </c>
      <c r="B14" s="29" t="s">
        <v>8474</v>
      </c>
      <c r="C14" t="s">
        <v>5929</v>
      </c>
      <c r="D14" t="str" cm="1">
        <f t="array" ref="D14">TRANSPOSE(_xlfn._xlws.FILTER('Controllable Asset Registry'!$A$766:$A$1316,IFERROR('Controllable Asset Registry'!$E$766:$E$1316=A14,FALSE),"No Equipment in entity"))</f>
        <v>VAV_B_S11_024</v>
      </c>
    </row>
    <row r="15" spans="1:19" x14ac:dyDescent="0.3">
      <c r="A15" t="str">
        <f t="shared" si="0"/>
        <v>entity:QNL_B_003_FINANCE_COORDINATOR_&amp;_BUSINESS_SUPPORT_OFCR</v>
      </c>
      <c r="B15" s="29" t="s">
        <v>8476</v>
      </c>
      <c r="C15" t="s">
        <v>8477</v>
      </c>
      <c r="D15" t="str" cm="1">
        <f t="array" ref="D15:E15">TRANSPOSE(_xlfn._xlws.FILTER('Controllable Asset Registry'!$A$766:$A$1316,IFERROR('Controllable Asset Registry'!$E$766:$E$1316=A15,FALSE),"No Equipment in entity"))</f>
        <v>VAV_B_S11_026</v>
      </c>
      <c r="E15" t="str">
        <v>VAV_B_S11_027</v>
      </c>
    </row>
    <row r="16" spans="1:19" x14ac:dyDescent="0.3">
      <c r="A16" t="str">
        <f t="shared" si="0"/>
        <v>entity:QNL_B_004_ANALOG_RESOURCES</v>
      </c>
      <c r="B16" s="29" t="s">
        <v>8479</v>
      </c>
      <c r="C16" t="s">
        <v>8480</v>
      </c>
      <c r="D16" t="str" cm="1">
        <f t="array" ref="D16">TRANSPOSE(_xlfn._xlws.FILTER('Controllable Asset Registry'!$A$766:$A$1316,IFERROR('Controllable Asset Registry'!$E$766:$E$1316=A16,FALSE),"No Equipment in entity"))</f>
        <v>VAV_B_S11_028</v>
      </c>
    </row>
    <row r="17" spans="1:7" x14ac:dyDescent="0.3">
      <c r="A17" t="str">
        <f t="shared" si="0"/>
        <v>entity:QNL_B_005_DIGITAL_RESOURCES</v>
      </c>
      <c r="B17" s="29" t="s">
        <v>8482</v>
      </c>
      <c r="C17" t="s">
        <v>8483</v>
      </c>
      <c r="D17" t="str" cm="1">
        <f t="array" ref="D17">TRANSPOSE(_xlfn._xlws.FILTER('Controllable Asset Registry'!$A$766:$A$1316,IFERROR('Controllable Asset Registry'!$E$766:$E$1316=A17,FALSE),"No Equipment in entity"))</f>
        <v>VAV_B_S11_029</v>
      </c>
    </row>
    <row r="18" spans="1:7" x14ac:dyDescent="0.3">
      <c r="A18" t="str">
        <f t="shared" si="0"/>
        <v>entity:QNL_B_006_BUDGET_&amp;_PAYMENT_1</v>
      </c>
      <c r="B18" s="29" t="s">
        <v>8485</v>
      </c>
      <c r="C18" t="s">
        <v>8486</v>
      </c>
      <c r="D18" t="str" cm="1">
        <f t="array" ref="D18">TRANSPOSE(_xlfn._xlws.FILTER('Controllable Asset Registry'!$A$766:$A$1316,IFERROR('Controllable Asset Registry'!$E$766:$E$1316=A18,FALSE),"No Equipment in entity"))</f>
        <v>VAV_B_S11_030</v>
      </c>
    </row>
    <row r="19" spans="1:7" x14ac:dyDescent="0.3">
      <c r="A19" t="str">
        <f t="shared" si="0"/>
        <v>entity:QNL_B_007_BUDGET_&amp;_PAYMENT_2</v>
      </c>
      <c r="B19" s="29" t="s">
        <v>8488</v>
      </c>
      <c r="C19" t="s">
        <v>8489</v>
      </c>
      <c r="D19" t="str" cm="1">
        <f t="array" ref="D19">TRANSPOSE(_xlfn._xlws.FILTER('Controllable Asset Registry'!$A$766:$A$1316,IFERROR('Controllable Asset Registry'!$E$766:$E$1316=A19,FALSE),"No Equipment in entity"))</f>
        <v>VAV_B_S11_031</v>
      </c>
    </row>
    <row r="20" spans="1:7" x14ac:dyDescent="0.3">
      <c r="A20" t="str">
        <f t="shared" si="0"/>
        <v>entity:QNL_B_008_RECEIVING_AREA</v>
      </c>
      <c r="B20" s="29" t="s">
        <v>8491</v>
      </c>
      <c r="C20" t="s">
        <v>8492</v>
      </c>
      <c r="D20" t="str" cm="1">
        <f t="array" ref="D20:G20">TRANSPOSE(_xlfn._xlws.FILTER('Controllable Asset Registry'!$A$766:$A$1316,IFERROR('Controllable Asset Registry'!$E$766:$E$1316=A20,FALSE),"No Equipment in entity"))</f>
        <v>VAV_B_S11_043</v>
      </c>
      <c r="E20" t="str">
        <v>VAV_B_S11_044</v>
      </c>
      <c r="F20" t="str">
        <v>VAV_B_S11_045</v>
      </c>
      <c r="G20" t="str">
        <v>VAV_B_S11_046</v>
      </c>
    </row>
    <row r="21" spans="1:7" x14ac:dyDescent="0.3">
      <c r="A21" t="str">
        <f t="shared" si="0"/>
        <v>entity:QNL_B_009_RECEPTION_&amp;_LOUNGE</v>
      </c>
      <c r="B21" s="29" t="s">
        <v>8494</v>
      </c>
      <c r="C21" t="s">
        <v>8495</v>
      </c>
      <c r="D21" t="str" cm="1">
        <f t="array" ref="D21:F21">TRANSPOSE(_xlfn._xlws.FILTER('Controllable Asset Registry'!$A$766:$A$1316,IFERROR('Controllable Asset Registry'!$E$766:$E$1316=A21,FALSE),"No Equipment in entity"))</f>
        <v>VAV_B_S11_021</v>
      </c>
      <c r="E21" t="str">
        <v>VAV_B_S11_022</v>
      </c>
      <c r="F21" t="str">
        <v>VAV_B_S11_023</v>
      </c>
    </row>
    <row r="22" spans="1:7" x14ac:dyDescent="0.3">
      <c r="A22" t="str">
        <f t="shared" si="0"/>
        <v>entity:QNL_B_010_PATIO_GARDEN</v>
      </c>
      <c r="B22" s="29" t="s">
        <v>8496</v>
      </c>
      <c r="C22" t="s">
        <v>8497</v>
      </c>
      <c r="D22" t="str" cm="1">
        <f t="array" ref="D22">TRANSPOSE(_xlfn._xlws.FILTER('Controllable Asset Registry'!$A$766:$A$1316,IFERROR('Controllable Asset Registry'!$E$766:$E$1316=A22,FALSE),"No Equipment in entity"))</f>
        <v>No Equipment in entity</v>
      </c>
    </row>
    <row r="23" spans="1:7" x14ac:dyDescent="0.3">
      <c r="A23" t="str">
        <f t="shared" si="0"/>
        <v>entity:QNL_B_020_ENGINEERING</v>
      </c>
      <c r="B23" s="29" t="s">
        <v>8499</v>
      </c>
      <c r="C23" t="s">
        <v>8500</v>
      </c>
      <c r="D23" t="str" cm="1">
        <f t="array" ref="D23">TRANSPOSE(_xlfn._xlws.FILTER('Controllable Asset Registry'!$A$766:$A$1316,IFERROR('Controllable Asset Registry'!$E$766:$E$1316=A23,FALSE),"No Equipment in entity"))</f>
        <v>VAV_B_S11_034</v>
      </c>
    </row>
    <row r="24" spans="1:7" x14ac:dyDescent="0.3">
      <c r="A24" t="str">
        <f t="shared" si="0"/>
        <v>entity:QNL_B_021_ARABIC_STUDIES</v>
      </c>
      <c r="B24" s="29" t="s">
        <v>8502</v>
      </c>
      <c r="C24" t="s">
        <v>8503</v>
      </c>
      <c r="D24" t="str" cm="1">
        <f t="array" ref="D24">TRANSPOSE(_xlfn._xlws.FILTER('Controllable Asset Registry'!$A$766:$A$1316,IFERROR('Controllable Asset Registry'!$E$766:$E$1316=A24,FALSE),"No Equipment in entity"))</f>
        <v>VAV_B_S11_035</v>
      </c>
    </row>
    <row r="25" spans="1:7" x14ac:dyDescent="0.3">
      <c r="A25" t="str">
        <f t="shared" si="0"/>
        <v>entity:QNL_B_022_LICENSING_EXPERT</v>
      </c>
      <c r="B25" s="29" t="s">
        <v>8505</v>
      </c>
      <c r="C25" t="s">
        <v>8506</v>
      </c>
      <c r="D25" t="str" cm="1">
        <f t="array" ref="D25">TRANSPOSE(_xlfn._xlws.FILTER('Controllable Asset Registry'!$A$766:$A$1316,IFERROR('Controllable Asset Registry'!$E$766:$E$1316=A25,FALSE),"No Equipment in entity"))</f>
        <v>VAV_B_S11_036</v>
      </c>
    </row>
    <row r="26" spans="1:7" x14ac:dyDescent="0.3">
      <c r="A26" t="str">
        <f t="shared" si="0"/>
        <v>entity:QNL_B_023_ARTS_&amp;_HUMANITIES</v>
      </c>
      <c r="B26" s="29" t="s">
        <v>8508</v>
      </c>
      <c r="C26" t="s">
        <v>8509</v>
      </c>
      <c r="D26" t="str" cm="1">
        <f t="array" ref="D26">TRANSPOSE(_xlfn._xlws.FILTER('Controllable Asset Registry'!$A$766:$A$1316,IFERROR('Controllable Asset Registry'!$E$766:$E$1316=A26,FALSE),"No Equipment in entity"))</f>
        <v>VAV_B_S11_037</v>
      </c>
    </row>
    <row r="27" spans="1:7" x14ac:dyDescent="0.3">
      <c r="A27" t="str">
        <f t="shared" si="0"/>
        <v>entity:QNL_B_024_AD_COLLECTIONS</v>
      </c>
      <c r="B27" s="29" t="s">
        <v>8511</v>
      </c>
      <c r="C27" t="s">
        <v>8512</v>
      </c>
      <c r="D27" t="str" cm="1">
        <f t="array" ref="D27:E27">TRANSPOSE(_xlfn._xlws.FILTER('Controllable Asset Registry'!$A$766:$A$1316,IFERROR('Controllable Asset Registry'!$E$766:$E$1316=A27,FALSE),"No Equipment in entity"))</f>
        <v>VAV_B_S11_032</v>
      </c>
      <c r="E27" t="str">
        <v>VAV_B_S11_033</v>
      </c>
    </row>
    <row r="28" spans="1:7" x14ac:dyDescent="0.3">
      <c r="A28" t="str">
        <f t="shared" si="0"/>
        <v>entity:QNL_B_025_SOCIAL_SCIENCES</v>
      </c>
      <c r="B28" s="29" t="s">
        <v>8514</v>
      </c>
      <c r="C28" t="s">
        <v>8515</v>
      </c>
      <c r="D28" t="str" cm="1">
        <f t="array" ref="D28">TRANSPOSE(_xlfn._xlws.FILTER('Controllable Asset Registry'!$A$766:$A$1316,IFERROR('Controllable Asset Registry'!$E$766:$E$1316=A28,FALSE),"No Equipment in entity"))</f>
        <v>VAV_B_S11_040</v>
      </c>
    </row>
    <row r="29" spans="1:7" x14ac:dyDescent="0.3">
      <c r="A29" t="str">
        <f t="shared" si="0"/>
        <v>entity:QNL_B_026_BUSINESS_&amp;_COMPUTING</v>
      </c>
      <c r="B29" s="29" t="s">
        <v>8517</v>
      </c>
      <c r="C29" t="s">
        <v>8518</v>
      </c>
      <c r="D29" t="str" cm="1">
        <f t="array" ref="D29">TRANSPOSE(_xlfn._xlws.FILTER('Controllable Asset Registry'!$A$766:$A$1316,IFERROR('Controllable Asset Registry'!$E$766:$E$1316=A29,FALSE),"No Equipment in entity"))</f>
        <v>VAV_B_S11_039</v>
      </c>
    </row>
    <row r="30" spans="1:7" x14ac:dyDescent="0.3">
      <c r="A30" t="str">
        <f t="shared" si="0"/>
        <v>entity:QNL_B_027_PROCUREMENT_SPC_PROCUREMENT_OFCR</v>
      </c>
      <c r="B30" s="29" t="s">
        <v>8520</v>
      </c>
      <c r="C30" t="s">
        <v>8521</v>
      </c>
      <c r="D30" t="str" cm="1">
        <f t="array" ref="D30">TRANSPOSE(_xlfn._xlws.FILTER('Controllable Asset Registry'!$A$766:$A$1316,IFERROR('Controllable Asset Registry'!$E$766:$E$1316=A30,FALSE),"No Equipment in entity"))</f>
        <v>VAV_B_S11_038</v>
      </c>
    </row>
    <row r="31" spans="1:7" x14ac:dyDescent="0.3">
      <c r="A31" t="str">
        <f t="shared" si="0"/>
        <v>entity:QNL_B_028_STORAGE</v>
      </c>
      <c r="B31" s="29" t="s">
        <v>8523</v>
      </c>
      <c r="C31" t="s">
        <v>5833</v>
      </c>
      <c r="D31" t="str" cm="1">
        <f t="array" ref="D31">TRANSPOSE(_xlfn._xlws.FILTER('Controllable Asset Registry'!$A$766:$A$1316,IFERROR('Controllable Asset Registry'!$E$766:$E$1316=A31,FALSE),"No Equipment in entity"))</f>
        <v>VAV_B_S11_025</v>
      </c>
    </row>
    <row r="32" spans="1:7" x14ac:dyDescent="0.3">
      <c r="A32" t="str">
        <f t="shared" si="0"/>
        <v>entity:QNL_B_029_LITERATURE_&amp;_ANGUAGE</v>
      </c>
      <c r="B32" s="29" t="s">
        <v>8525</v>
      </c>
      <c r="C32" t="s">
        <v>8526</v>
      </c>
      <c r="D32" t="str" cm="1">
        <f t="array" ref="D32">TRANSPOSE(_xlfn._xlws.FILTER('Controllable Asset Registry'!$A$766:$A$1316,IFERROR('Controllable Asset Registry'!$E$766:$E$1316=A32,FALSE),"No Equipment in entity"))</f>
        <v>VAV_B_S11_041</v>
      </c>
    </row>
    <row r="33" spans="1:12" x14ac:dyDescent="0.3">
      <c r="A33" t="str">
        <f t="shared" si="0"/>
        <v>entity:QNL_B_030_SNR_P_COORDINATOR_&amp;_P_COORDINATOR</v>
      </c>
      <c r="B33" s="29" t="s">
        <v>8528</v>
      </c>
      <c r="C33" t="s">
        <v>8529</v>
      </c>
      <c r="D33" t="str" cm="1">
        <f t="array" ref="D33">TRANSPOSE(_xlfn._xlws.FILTER('Controllable Asset Registry'!$A$766:$A$1316,IFERROR('Controllable Asset Registry'!$E$766:$E$1316=A33,FALSE),"No Equipment in entity"))</f>
        <v>VAV_B_S11_042</v>
      </c>
    </row>
    <row r="34" spans="1:12" x14ac:dyDescent="0.3">
      <c r="A34" t="str">
        <f t="shared" si="0"/>
        <v>entity:QNL_B_031_JANITORS_ROOM</v>
      </c>
      <c r="B34" s="29" t="s">
        <v>8530</v>
      </c>
      <c r="C34" t="s">
        <v>8531</v>
      </c>
      <c r="D34" t="str" cm="1">
        <f t="array" ref="D34">TRANSPOSE(_xlfn._xlws.FILTER('Controllable Asset Registry'!$A$766:$A$1316,IFERROR('Controllable Asset Registry'!$E$766:$E$1316=A34,FALSE),"No Equipment in entity"))</f>
        <v>No Equipment in entity</v>
      </c>
    </row>
    <row r="35" spans="1:12" x14ac:dyDescent="0.3">
      <c r="A35" t="str">
        <f t="shared" si="0"/>
        <v>entity:QNL_B_032_REST_ROOM_MEN</v>
      </c>
      <c r="B35" s="29" t="s">
        <v>8532</v>
      </c>
      <c r="C35" t="s">
        <v>8533</v>
      </c>
      <c r="D35" t="str" cm="1">
        <f t="array" ref="D35">TRANSPOSE(_xlfn._xlws.FILTER('Controllable Asset Registry'!$A$766:$A$1316,IFERROR('Controllable Asset Registry'!$E$766:$E$1316=A35,FALSE),"No Equipment in entity"))</f>
        <v>No Equipment in entity</v>
      </c>
    </row>
    <row r="36" spans="1:12" x14ac:dyDescent="0.3">
      <c r="A36" t="str">
        <f t="shared" si="0"/>
        <v>entity:QNL_B_034_MEETING_ROOM</v>
      </c>
      <c r="B36" s="29" t="s">
        <v>8535</v>
      </c>
      <c r="C36" t="s">
        <v>7022</v>
      </c>
      <c r="D36" t="str" cm="1">
        <f t="array" ref="D36:E36">TRANSPOSE(_xlfn._xlws.FILTER('Controllable Asset Registry'!$A$766:$A$1316,IFERROR('Controllable Asset Registry'!$E$766:$E$1316=A36,FALSE),"No Equipment in entity"))</f>
        <v>VAV_B_S13_001</v>
      </c>
      <c r="E36" t="str">
        <v>VAV_B_S13_002</v>
      </c>
    </row>
    <row r="37" spans="1:12" x14ac:dyDescent="0.3">
      <c r="A37" t="str">
        <f t="shared" si="0"/>
        <v>entity:QNL_B036_REST_REST_ROOM_WOMEN</v>
      </c>
      <c r="B37" s="29" t="s">
        <v>8536</v>
      </c>
      <c r="C37" t="s">
        <v>8537</v>
      </c>
      <c r="D37" t="str" cm="1">
        <f t="array" ref="D37">TRANSPOSE(_xlfn._xlws.FILTER('Controllable Asset Registry'!$A$766:$A$1316,IFERROR('Controllable Asset Registry'!$E$766:$E$1316=A37,FALSE),"No Equipment in entity"))</f>
        <v>No Equipment in entity</v>
      </c>
    </row>
    <row r="38" spans="1:12" x14ac:dyDescent="0.3">
      <c r="A38" t="str">
        <f t="shared" si="0"/>
        <v>entity:QNL_B036_COR_CORRIDOR_4A</v>
      </c>
      <c r="B38" s="29" t="s">
        <v>8538</v>
      </c>
      <c r="C38" t="s">
        <v>8539</v>
      </c>
      <c r="D38" t="str" cm="1">
        <f t="array" ref="D38">TRANSPOSE(_xlfn._xlws.FILTER('Controllable Asset Registry'!$A$766:$A$1316,IFERROR('Controllable Asset Registry'!$E$766:$E$1316=A38,FALSE),"No Equipment in entity"))</f>
        <v>No Equipment in entity</v>
      </c>
    </row>
    <row r="39" spans="1:12" x14ac:dyDescent="0.3">
      <c r="A39" t="str">
        <f t="shared" si="0"/>
        <v>entity:QNL_B_040_OFFICE</v>
      </c>
      <c r="B39" s="29" t="s">
        <v>8541</v>
      </c>
      <c r="C39" t="s">
        <v>8542</v>
      </c>
      <c r="D39" t="str" cm="1">
        <f t="array" ref="D39">TRANSPOSE(_xlfn._xlws.FILTER('Controllable Asset Registry'!$A$766:$A$1316,IFERROR('Controllable Asset Registry'!$E$766:$E$1316=A39,FALSE),"No Equipment in entity"))</f>
        <v>VAV_B_S14_001</v>
      </c>
    </row>
    <row r="40" spans="1:12" x14ac:dyDescent="0.3">
      <c r="A40" t="str">
        <f t="shared" si="0"/>
        <v>entity:QNL_B_041_DIGITIZATION_ROOM</v>
      </c>
      <c r="B40" s="29" t="s">
        <v>8544</v>
      </c>
      <c r="C40" t="s">
        <v>8545</v>
      </c>
      <c r="D40" t="str" cm="1">
        <f t="array" ref="D40:L40">TRANSPOSE(_xlfn._xlws.FILTER('Controllable Asset Registry'!$A$766:$A$1316,IFERROR('Controllable Asset Registry'!$E$766:$E$1316=A40,FALSE),"No Equipment in entity"))</f>
        <v>VAV_B_S14_004</v>
      </c>
      <c r="E40" t="str">
        <v>VAV_B_S14_005</v>
      </c>
      <c r="F40" t="str">
        <v>VAV_B_S14_006</v>
      </c>
      <c r="G40" t="str">
        <v>VAV_B_S14_009</v>
      </c>
      <c r="H40" t="str">
        <v>VAV_B_S14_010</v>
      </c>
      <c r="I40" t="str">
        <v>VAV_B_S14_011</v>
      </c>
      <c r="J40" t="str">
        <v>VAV_B_S14_012</v>
      </c>
      <c r="K40" t="str">
        <v>VAV_B_S14_015</v>
      </c>
      <c r="L40" t="str">
        <v>VAV_B_S14_016</v>
      </c>
    </row>
    <row r="41" spans="1:12" x14ac:dyDescent="0.3">
      <c r="A41" t="str">
        <f t="shared" si="0"/>
        <v>entity:QNL_B_042_RECEPTION_&amp;_LOUNGE</v>
      </c>
      <c r="B41" s="29" t="s">
        <v>8546</v>
      </c>
      <c r="C41" t="s">
        <v>8495</v>
      </c>
      <c r="D41" t="str" cm="1">
        <f t="array" ref="D41">TRANSPOSE(_xlfn._xlws.FILTER('Controllable Asset Registry'!$A$766:$A$1316,IFERROR('Controllable Asset Registry'!$E$766:$E$1316=A41,FALSE),"No Equipment in entity"))</f>
        <v>No Equipment in entity</v>
      </c>
    </row>
    <row r="42" spans="1:12" x14ac:dyDescent="0.3">
      <c r="A42" t="str">
        <f t="shared" si="0"/>
        <v>entity:QNL_B_043_BINDING_&amp;_PRESERVATION_SPACE</v>
      </c>
      <c r="B42" s="29" t="s">
        <v>8548</v>
      </c>
      <c r="C42" t="s">
        <v>8549</v>
      </c>
      <c r="D42" t="str" cm="1">
        <f t="array" ref="D42:L42">TRANSPOSE(_xlfn._xlws.FILTER('Controllable Asset Registry'!$A$766:$A$1316,IFERROR('Controllable Asset Registry'!$E$766:$E$1316=A42,FALSE),"No Equipment in entity"))</f>
        <v>VAV_B_S14_042</v>
      </c>
      <c r="E42" t="str">
        <v>VAV_B_S14_043</v>
      </c>
      <c r="F42" t="str">
        <v>VAV_B_S14_044</v>
      </c>
      <c r="G42" t="str">
        <v>VAV_B_S14_045</v>
      </c>
      <c r="H42" t="str">
        <v>VAV_B_S14_046</v>
      </c>
      <c r="I42" t="str">
        <v>VAV_B_S14_048</v>
      </c>
      <c r="J42" t="str">
        <v>VAV_B_S14_049</v>
      </c>
      <c r="K42" t="str">
        <v>VAV_B_S14_050</v>
      </c>
      <c r="L42" t="str">
        <v>VAV_B_S14_051</v>
      </c>
    </row>
    <row r="43" spans="1:12" x14ac:dyDescent="0.3">
      <c r="A43" t="str">
        <f t="shared" si="0"/>
        <v>entity:QNL_B044_BOH_B_O_H_KITCHEN</v>
      </c>
      <c r="B43" s="29" t="s">
        <v>8550</v>
      </c>
      <c r="C43" t="s">
        <v>8551</v>
      </c>
      <c r="D43" t="str" cm="1">
        <f t="array" ref="D43">TRANSPOSE(_xlfn._xlws.FILTER('Controllable Asset Registry'!$A$766:$A$1316,IFERROR('Controllable Asset Registry'!$E$766:$E$1316=A43,FALSE),"No Equipment in entity"))</f>
        <v>No Equipment in entity</v>
      </c>
    </row>
    <row r="44" spans="1:12" x14ac:dyDescent="0.3">
      <c r="A44" t="str">
        <f t="shared" si="0"/>
        <v>entity:QNL_B044_FIN_FINE_BINDING</v>
      </c>
      <c r="B44" s="29" t="s">
        <v>8552</v>
      </c>
      <c r="C44" t="s">
        <v>8553</v>
      </c>
      <c r="D44" t="str" cm="1">
        <f t="array" ref="D44">TRANSPOSE(_xlfn._xlws.FILTER('Controllable Asset Registry'!$A$766:$A$1316,IFERROR('Controllable Asset Registry'!$E$766:$E$1316=A44,FALSE),"No Equipment in entity"))</f>
        <v>No Equipment in entity</v>
      </c>
    </row>
    <row r="45" spans="1:12" x14ac:dyDescent="0.3">
      <c r="A45" t="str">
        <f t="shared" si="0"/>
        <v>entity:QNL_B046_RES_REST_ROOM_MEN</v>
      </c>
      <c r="B45" s="29" t="s">
        <v>8554</v>
      </c>
      <c r="C45" t="s">
        <v>8533</v>
      </c>
      <c r="D45" t="str" cm="1">
        <f t="array" ref="D45">TRANSPOSE(_xlfn._xlws.FILTER('Controllable Asset Registry'!$A$766:$A$1316,IFERROR('Controllable Asset Registry'!$E$766:$E$1316=A45,FALSE),"No Equipment in entity"))</f>
        <v>No Equipment in entity</v>
      </c>
    </row>
    <row r="46" spans="1:12" x14ac:dyDescent="0.3">
      <c r="A46" t="str">
        <f t="shared" si="0"/>
        <v>entity:QNL_B046_ITT_ITTIGATION_CONTROL_ROOM</v>
      </c>
      <c r="B46" s="29" t="s">
        <v>8556</v>
      </c>
      <c r="C46" t="s">
        <v>8557</v>
      </c>
      <c r="D46" t="str" cm="1">
        <f t="array" ref="D46">TRANSPOSE(_xlfn._xlws.FILTER('Controllable Asset Registry'!$A$766:$A$1316,IFERROR('Controllable Asset Registry'!$E$766:$E$1316=A46,FALSE),"No Equipment in entity"))</f>
        <v>DX_B11</v>
      </c>
    </row>
    <row r="47" spans="1:12" x14ac:dyDescent="0.3">
      <c r="A47" t="str">
        <f t="shared" si="0"/>
        <v>entity:QNL_B_047_REST_ROOM_WOMEN</v>
      </c>
      <c r="B47" s="29" t="s">
        <v>8558</v>
      </c>
      <c r="C47" t="s">
        <v>8537</v>
      </c>
      <c r="D47" t="str" cm="1">
        <f t="array" ref="D47">TRANSPOSE(_xlfn._xlws.FILTER('Controllable Asset Registry'!$A$766:$A$1316,IFERROR('Controllable Asset Registry'!$E$766:$E$1316=A47,FALSE),"No Equipment in entity"))</f>
        <v>No Equipment in entity</v>
      </c>
    </row>
    <row r="48" spans="1:12" x14ac:dyDescent="0.3">
      <c r="A48" t="str">
        <f t="shared" si="0"/>
        <v>entity:QNL_B_048_QTEL_ROOM</v>
      </c>
      <c r="B48" s="29" t="s">
        <v>8560</v>
      </c>
      <c r="C48" t="s">
        <v>8561</v>
      </c>
      <c r="D48" t="str" cm="1">
        <f t="array" ref="D48:E48">TRANSPOSE(_xlfn._xlws.FILTER('Controllable Asset Registry'!$A$766:$A$1316,IFERROR('Controllable Asset Registry'!$E$766:$E$1316=A48,FALSE),"No Equipment in entity"))</f>
        <v>CCU_B01</v>
      </c>
      <c r="E48" t="str">
        <v>CCU_B02</v>
      </c>
    </row>
    <row r="49" spans="1:13" x14ac:dyDescent="0.3">
      <c r="A49" t="str">
        <f t="shared" si="0"/>
        <v>entity:QNL_B_049_MEP_KITCHEN</v>
      </c>
      <c r="B49" s="29" t="s">
        <v>8563</v>
      </c>
      <c r="C49" t="s">
        <v>8564</v>
      </c>
      <c r="D49" t="str" cm="1">
        <f t="array" ref="D49">TRANSPOSE(_xlfn._xlws.FILTER('Controllable Asset Registry'!$A$766:$A$1316,IFERROR('Controllable Asset Registry'!$E$766:$E$1316=A49,FALSE),"No Equipment in entity"))</f>
        <v>KEF_B019</v>
      </c>
    </row>
    <row r="50" spans="1:13" x14ac:dyDescent="0.3">
      <c r="A50" t="str">
        <f t="shared" si="0"/>
        <v>entity:QNL_B-04B_ST-04B</v>
      </c>
      <c r="B50" s="29" t="s">
        <v>8565</v>
      </c>
      <c r="C50" t="s">
        <v>8566</v>
      </c>
      <c r="D50" t="str" cm="1">
        <f t="array" ref="D50">TRANSPOSE(_xlfn._xlws.FILTER('Controllable Asset Registry'!$A$766:$A$1316,IFERROR('Controllable Asset Registry'!$E$766:$E$1316=A50,FALSE),"No Equipment in entity"))</f>
        <v>No Equipment in entity</v>
      </c>
    </row>
    <row r="51" spans="1:13" x14ac:dyDescent="0.3">
      <c r="A51" t="str">
        <f t="shared" si="0"/>
        <v>entity:QNL_B_050_TELECOM_ROOM</v>
      </c>
      <c r="B51" s="29" t="s">
        <v>8568</v>
      </c>
      <c r="C51" t="s">
        <v>8569</v>
      </c>
      <c r="D51" t="str" cm="1">
        <f t="array" ref="D51:E51">TRANSPOSE(_xlfn._xlws.FILTER('Controllable Asset Registry'!$A$766:$A$1316,IFERROR('Controllable Asset Registry'!$E$766:$E$1316=A51,FALSE),"No Equipment in entity"))</f>
        <v>CCU_B03</v>
      </c>
      <c r="E51" t="str">
        <v>CCU_B04</v>
      </c>
    </row>
    <row r="52" spans="1:13" x14ac:dyDescent="0.3">
      <c r="A52" t="str">
        <f t="shared" si="0"/>
        <v>entity:QNL_B_051_STORAGE</v>
      </c>
      <c r="B52" s="29" t="s">
        <v>8571</v>
      </c>
      <c r="C52" t="s">
        <v>5833</v>
      </c>
      <c r="D52" t="str" cm="1">
        <f t="array" ref="D52">TRANSPOSE(_xlfn._xlws.FILTER('Controllable Asset Registry'!$A$766:$A$1316,IFERROR('Controllable Asset Registry'!$E$766:$E$1316=A52,FALSE),"No Equipment in entity"))</f>
        <v>CAV_B_S14_001</v>
      </c>
    </row>
    <row r="53" spans="1:13" x14ac:dyDescent="0.3">
      <c r="A53" t="str">
        <f t="shared" si="0"/>
        <v>entity:QNL_B_053_CORRIDORS</v>
      </c>
      <c r="B53" s="29" t="s">
        <v>8572</v>
      </c>
      <c r="C53" t="s">
        <v>8573</v>
      </c>
      <c r="D53" t="str" cm="1">
        <f t="array" ref="D53">TRANSPOSE(_xlfn._xlws.FILTER('Controllable Asset Registry'!$A$766:$A$1316,IFERROR('Controllable Asset Registry'!$E$766:$E$1316=A53,FALSE),"No Equipment in entity"))</f>
        <v>No Equipment in entity</v>
      </c>
    </row>
    <row r="54" spans="1:13" x14ac:dyDescent="0.3">
      <c r="A54" t="str">
        <f t="shared" si="0"/>
        <v>entity:QNL_B_054_PATIO_GARDEN</v>
      </c>
      <c r="B54" s="29" t="s">
        <v>8574</v>
      </c>
      <c r="C54" t="s">
        <v>8497</v>
      </c>
      <c r="D54" t="str" cm="1">
        <f t="array" ref="D54">TRANSPOSE(_xlfn._xlws.FILTER('Controllable Asset Registry'!$A$766:$A$1316,IFERROR('Controllable Asset Registry'!$E$766:$E$1316=A54,FALSE),"No Equipment in entity"))</f>
        <v>No Equipment in entity</v>
      </c>
    </row>
    <row r="55" spans="1:13" x14ac:dyDescent="0.3">
      <c r="A55" t="str">
        <f t="shared" si="0"/>
        <v>entity:QNL_B057_DIG_OFFICE_DIG_INIT</v>
      </c>
      <c r="B55" s="29" t="s">
        <v>8575</v>
      </c>
      <c r="C55" t="s">
        <v>8576</v>
      </c>
      <c r="D55" t="str" cm="1">
        <f t="array" ref="D55">TRANSPOSE(_xlfn._xlws.FILTER('Controllable Asset Registry'!$A$766:$A$1316,IFERROR('Controllable Asset Registry'!$E$766:$E$1316=A55,FALSE),"No Equipment in entity"))</f>
        <v>No Equipment in entity</v>
      </c>
    </row>
    <row r="56" spans="1:13" x14ac:dyDescent="0.3">
      <c r="A56" t="str">
        <f t="shared" si="0"/>
        <v>entity:QNL_B057_AD_OFFICE_AD_FOR_LIT</v>
      </c>
      <c r="B56" s="29" t="s">
        <v>8577</v>
      </c>
      <c r="C56" t="s">
        <v>8578</v>
      </c>
      <c r="D56" t="str" cm="1">
        <f t="array" ref="D56">TRANSPOSE(_xlfn._xlws.FILTER('Controllable Asset Registry'!$A$766:$A$1316,IFERROR('Controllable Asset Registry'!$E$766:$E$1316=A56,FALSE),"No Equipment in entity"))</f>
        <v>No Equipment in entity</v>
      </c>
    </row>
    <row r="57" spans="1:13" x14ac:dyDescent="0.3">
      <c r="A57" t="str">
        <f t="shared" si="0"/>
        <v>entity:QNL_B_058_SHELL_SPACE</v>
      </c>
      <c r="B57" s="29" t="s">
        <v>8580</v>
      </c>
      <c r="C57" t="s">
        <v>6948</v>
      </c>
      <c r="D57" t="str" cm="1">
        <f t="array" ref="D57:E57">TRANSPOSE(_xlfn._xlws.FILTER('Controllable Asset Registry'!$A$766:$A$1316,IFERROR('Controllable Asset Registry'!$E$766:$E$1316=A57,FALSE),"No Equipment in entity"))</f>
        <v>VAV_B_S14_007</v>
      </c>
      <c r="E57" t="str">
        <v>VAV_B_S14_013</v>
      </c>
    </row>
    <row r="58" spans="1:13" x14ac:dyDescent="0.3">
      <c r="A58" t="str">
        <f t="shared" si="0"/>
        <v>entity:QNL_B_060_MAINTENANCE</v>
      </c>
      <c r="B58" s="29" t="s">
        <v>8581</v>
      </c>
      <c r="C58" t="s">
        <v>8582</v>
      </c>
      <c r="D58" t="str" cm="1">
        <f t="array" ref="D58">TRANSPOSE(_xlfn._xlws.FILTER('Controllable Asset Registry'!$A$766:$A$1316,IFERROR('Controllable Asset Registry'!$E$766:$E$1316=A58,FALSE),"No Equipment in entity"))</f>
        <v>No Equipment in entity</v>
      </c>
    </row>
    <row r="59" spans="1:13" x14ac:dyDescent="0.3">
      <c r="A59" t="str">
        <f t="shared" si="0"/>
        <v>entity:QNL_B_062_IDF_CORRIDOR</v>
      </c>
      <c r="B59" s="29" t="s">
        <v>8584</v>
      </c>
      <c r="C59" t="s">
        <v>8585</v>
      </c>
      <c r="D59" t="str" cm="1">
        <f t="array" ref="D59">TRANSPOSE(_xlfn._xlws.FILTER('Controllable Asset Registry'!$A$766:$A$1316,IFERROR('Controllable Asset Registry'!$E$766:$E$1316=A59,FALSE),"No Equipment in entity"))</f>
        <v>FCU_B_003</v>
      </c>
    </row>
    <row r="60" spans="1:13" x14ac:dyDescent="0.3">
      <c r="A60" t="str">
        <f t="shared" si="0"/>
        <v>entity:QNL_B_063_PLANT_ROOM_01</v>
      </c>
      <c r="B60" s="29" t="s">
        <v>8587</v>
      </c>
      <c r="C60" t="s">
        <v>8588</v>
      </c>
      <c r="D60" t="str" cm="1">
        <f t="array" ref="D60:M60">TRANSPOSE(_xlfn._xlws.FILTER('Controllable Asset Registry'!$A$766:$A$1316,IFERROR('Controllable Asset Registry'!$E$766:$E$1316=A60,FALSE),"No Equipment in entity"))</f>
        <v>AHUB002</v>
      </c>
      <c r="E60" t="str">
        <v>AHUB011</v>
      </c>
      <c r="F60" t="str">
        <v>AHUB012</v>
      </c>
      <c r="G60" t="str">
        <v>FCU_B_011</v>
      </c>
      <c r="H60" t="str">
        <v>FCU_B_012</v>
      </c>
      <c r="I60" t="str">
        <v>CAV_B_S12_002</v>
      </c>
      <c r="J60" t="str">
        <v>CAV_B_S12_003</v>
      </c>
      <c r="K60" t="str">
        <v>CAV_B_S15_001</v>
      </c>
      <c r="L60" t="str">
        <v>CAV_B_S15_002</v>
      </c>
      <c r="M60" t="str">
        <v>CAV_B_S15_003</v>
      </c>
    </row>
    <row r="61" spans="1:13" x14ac:dyDescent="0.3">
      <c r="A61" t="str">
        <f t="shared" si="0"/>
        <v>entity:QNL_B_065_VENTLATON</v>
      </c>
      <c r="B61" s="29" t="s">
        <v>8589</v>
      </c>
      <c r="C61" t="s">
        <v>8590</v>
      </c>
      <c r="D61" t="str" cm="1">
        <f t="array" ref="D61">TRANSPOSE(_xlfn._xlws.FILTER('Controllable Asset Registry'!$A$766:$A$1316,IFERROR('Controllable Asset Registry'!$E$766:$E$1316=A61,FALSE),"No Equipment in entity"))</f>
        <v>No Equipment in entity</v>
      </c>
    </row>
    <row r="62" spans="1:13" x14ac:dyDescent="0.3">
      <c r="A62" t="str">
        <f t="shared" si="0"/>
        <v>entity:QNL_B_066_CORRIDOR</v>
      </c>
      <c r="B62" s="29" t="s">
        <v>8591</v>
      </c>
      <c r="C62" t="s">
        <v>5816</v>
      </c>
      <c r="D62" t="str" cm="1">
        <f t="array" ref="D62">TRANSPOSE(_xlfn._xlws.FILTER('Controllable Asset Registry'!$A$766:$A$1316,IFERROR('Controllable Asset Registry'!$E$766:$E$1316=A62,FALSE),"No Equipment in entity"))</f>
        <v>No Equipment in entity</v>
      </c>
    </row>
    <row r="63" spans="1:13" x14ac:dyDescent="0.3">
      <c r="A63" t="str">
        <f t="shared" si="0"/>
        <v>entity:QNL_B_067_VENTLATON</v>
      </c>
      <c r="B63" s="29" t="s">
        <v>8592</v>
      </c>
      <c r="C63" t="s">
        <v>8590</v>
      </c>
      <c r="D63" t="str" cm="1">
        <f t="array" ref="D63">TRANSPOSE(_xlfn._xlws.FILTER('Controllable Asset Registry'!$A$766:$A$1316,IFERROR('Controllable Asset Registry'!$E$766:$E$1316=A63,FALSE),"No Equipment in entity"))</f>
        <v>No Equipment in entity</v>
      </c>
    </row>
    <row r="64" spans="1:13" x14ac:dyDescent="0.3">
      <c r="A64" t="str">
        <f t="shared" si="0"/>
        <v>entity:QNL_B_068_CORRIDOR</v>
      </c>
      <c r="B64" s="29" t="s">
        <v>8593</v>
      </c>
      <c r="C64" t="s">
        <v>5816</v>
      </c>
      <c r="D64" t="str" cm="1">
        <f t="array" ref="D64">TRANSPOSE(_xlfn._xlws.FILTER('Controllable Asset Registry'!$A$766:$A$1316,IFERROR('Controllable Asset Registry'!$E$766:$E$1316=A64,FALSE),"No Equipment in entity"))</f>
        <v>No Equipment in entity</v>
      </c>
    </row>
    <row r="65" spans="1:14" x14ac:dyDescent="0.3">
      <c r="A65" t="str">
        <f t="shared" si="0"/>
        <v>entity:QNL_B_070_PLANT_ROOM_02</v>
      </c>
      <c r="B65" s="29" t="s">
        <v>8595</v>
      </c>
      <c r="C65" t="s">
        <v>8596</v>
      </c>
      <c r="D65" t="str" cm="1">
        <f t="array" ref="D65:N65">TRANSPOSE(_xlfn._xlws.FILTER('Controllable Asset Registry'!$A$766:$A$1316,IFERROR('Controllable Asset Registry'!$E$766:$E$1316=A65,FALSE),"No Equipment in entity"))</f>
        <v>AHUB003</v>
      </c>
      <c r="E65" t="str">
        <v>AHUB010</v>
      </c>
      <c r="F65" t="str">
        <v>AHUB013</v>
      </c>
      <c r="G65" t="str">
        <v>FCU_B_013</v>
      </c>
      <c r="H65" t="str">
        <v>FCU_B_014</v>
      </c>
      <c r="I65" t="str">
        <v>CAV_B_S13_010</v>
      </c>
      <c r="J65" t="str">
        <v>CAV_B_S13_011</v>
      </c>
      <c r="K65" t="str">
        <v>EF_BBV01</v>
      </c>
      <c r="L65" t="str">
        <v>EF_BBV02</v>
      </c>
      <c r="M65" t="str">
        <v>TEF_B02A</v>
      </c>
      <c r="N65" t="str">
        <v>TEF_B02B</v>
      </c>
    </row>
    <row r="66" spans="1:14" x14ac:dyDescent="0.3">
      <c r="A66" t="str">
        <f t="shared" ref="A66:A129" si="1">"entity:QNL_"&amp;B66&amp;"_"&amp;C66</f>
        <v>entity:QNL_B_071_FIRE_COMMAND_ROOM</v>
      </c>
      <c r="B66" s="29" t="s">
        <v>8598</v>
      </c>
      <c r="C66" t="s">
        <v>8599</v>
      </c>
      <c r="D66" t="str" cm="1">
        <f t="array" ref="D66:F66">TRANSPOSE(_xlfn._xlws.FILTER('Controllable Asset Registry'!$A$766:$A$1316,IFERROR('Controllable Asset Registry'!$E$766:$E$1316=A66,FALSE),"No Equipment in entity"))</f>
        <v>FCU_B_006</v>
      </c>
      <c r="E66" t="str">
        <v>CAV_B_S13_012</v>
      </c>
      <c r="F66" t="str">
        <v>EF_B14</v>
      </c>
    </row>
    <row r="67" spans="1:14" x14ac:dyDescent="0.3">
      <c r="A67" t="str">
        <f t="shared" si="1"/>
        <v>entity:QNL_B_072_SPRIMKLERS_PUMPS_&amp;_ZONES_VALVES</v>
      </c>
      <c r="B67" s="29" t="s">
        <v>8601</v>
      </c>
      <c r="C67" t="s">
        <v>8602</v>
      </c>
      <c r="D67" t="str" cm="1">
        <f t="array" ref="D67:F67">TRANSPOSE(_xlfn._xlws.FILTER('Controllable Asset Registry'!$A$766:$A$1316,IFERROR('Controllable Asset Registry'!$E$766:$E$1316=A67,FALSE),"No Equipment in entity"))</f>
        <v>FCU_B_007</v>
      </c>
      <c r="E67" t="str">
        <v>CAV_B_S13_021</v>
      </c>
      <c r="F67" t="str">
        <v>EF_B13</v>
      </c>
    </row>
    <row r="68" spans="1:14" x14ac:dyDescent="0.3">
      <c r="A68" t="str">
        <f t="shared" si="1"/>
        <v>entity:QNL_B_080_GENERATOR</v>
      </c>
      <c r="B68" s="29" t="s">
        <v>8604</v>
      </c>
      <c r="C68" t="s">
        <v>5786</v>
      </c>
      <c r="D68" t="str" cm="1">
        <f t="array" ref="D68:E68">TRANSPOSE(_xlfn._xlws.FILTER('Controllable Asset Registry'!$A$766:$A$1316,IFERROR('Controllable Asset Registry'!$E$766:$E$1316=A68,FALSE),"No Equipment in entity"))</f>
        <v>EF_B09</v>
      </c>
      <c r="E68" t="str">
        <v>ELEC_Gen</v>
      </c>
    </row>
    <row r="69" spans="1:14" x14ac:dyDescent="0.3">
      <c r="A69" t="str">
        <f t="shared" si="1"/>
        <v>entity:QNL_B_081_MV_ROOM</v>
      </c>
      <c r="B69" s="29" t="s">
        <v>8606</v>
      </c>
      <c r="C69" t="s">
        <v>8607</v>
      </c>
      <c r="D69" t="str" cm="1">
        <f t="array" ref="D69:E69">TRANSPOSE(_xlfn._xlws.FILTER('Controllable Asset Registry'!$A$766:$A$1316,IFERROR('Controllable Asset Registry'!$E$766:$E$1316=A69,FALSE),"No Equipment in entity"))</f>
        <v>DX_B01</v>
      </c>
      <c r="E69" t="str">
        <v>DX_B02</v>
      </c>
    </row>
    <row r="70" spans="1:14" x14ac:dyDescent="0.3">
      <c r="A70" t="str">
        <f t="shared" si="1"/>
        <v>entity:QNL_B_082_TRANSFORMER_ROOM</v>
      </c>
      <c r="B70" s="29" t="s">
        <v>8609</v>
      </c>
      <c r="C70" t="s">
        <v>8610</v>
      </c>
      <c r="D70" t="str" cm="1">
        <f t="array" ref="D70:F70">TRANSPOSE(_xlfn._xlws.FILTER('Controllable Asset Registry'!$A$766:$A$1316,IFERROR('Controllable Asset Registry'!$E$766:$E$1316=A70,FALSE),"No Equipment in entity"))</f>
        <v>DX_B03</v>
      </c>
      <c r="E70" t="str">
        <v>DX_B04</v>
      </c>
      <c r="F70" t="str">
        <v>DX_B14</v>
      </c>
    </row>
    <row r="71" spans="1:14" x14ac:dyDescent="0.3">
      <c r="A71" t="str">
        <f t="shared" si="1"/>
        <v>entity:QNL_B_084_UPS_BATTERY_ROOM</v>
      </c>
      <c r="B71" s="29" t="s">
        <v>8612</v>
      </c>
      <c r="C71" t="s">
        <v>8613</v>
      </c>
      <c r="D71" t="str" cm="1">
        <f t="array" ref="D71:F71">TRANSPOSE(_xlfn._xlws.FILTER('Controllable Asset Registry'!$A$766:$A$1316,IFERROR('Controllable Asset Registry'!$E$766:$E$1316=A71,FALSE),"No Equipment in entity"))</f>
        <v>CAV_B_S13_020</v>
      </c>
      <c r="E71" t="str">
        <v>DX_B08</v>
      </c>
      <c r="F71" t="str">
        <v>DX_B09</v>
      </c>
    </row>
    <row r="72" spans="1:14" x14ac:dyDescent="0.3">
      <c r="A72" t="str">
        <f t="shared" si="1"/>
        <v>entity:QNL_B_085_FUMIGATION_ROOM</v>
      </c>
      <c r="B72" s="29" t="s">
        <v>8615</v>
      </c>
      <c r="C72" t="s">
        <v>8616</v>
      </c>
      <c r="D72" t="str" cm="1">
        <f t="array" ref="D72:F72">TRANSPOSE(_xlfn._xlws.FILTER('Controllable Asset Registry'!$A$766:$A$1316,IFERROR('Controllable Asset Registry'!$E$766:$E$1316=A72,FALSE),"No Equipment in entity"))</f>
        <v>FCU_B_002</v>
      </c>
      <c r="E72" t="str">
        <v>VAV_B_S13_006</v>
      </c>
      <c r="F72" t="str">
        <v>EF_B05</v>
      </c>
    </row>
    <row r="73" spans="1:14" x14ac:dyDescent="0.3">
      <c r="A73" t="str">
        <f t="shared" si="1"/>
        <v>entity:QNL_B_086_FREEZE_AREA</v>
      </c>
      <c r="B73" s="29" t="s">
        <v>8617</v>
      </c>
      <c r="C73" t="s">
        <v>8618</v>
      </c>
      <c r="D73" t="str" cm="1">
        <f t="array" ref="D73">TRANSPOSE(_xlfn._xlws.FILTER('Controllable Asset Registry'!$A$766:$A$1316,IFERROR('Controllable Asset Registry'!$E$766:$E$1316=A73,FALSE),"No Equipment in entity"))</f>
        <v>No Equipment in entity</v>
      </c>
    </row>
    <row r="74" spans="1:14" x14ac:dyDescent="0.3">
      <c r="A74" t="str">
        <f t="shared" si="1"/>
        <v>entity:QNL_B_087_GAS_SUPPRESSION_ROOM</v>
      </c>
      <c r="B74" s="29" t="s">
        <v>8620</v>
      </c>
      <c r="C74" t="s">
        <v>8621</v>
      </c>
      <c r="D74" t="str" cm="1">
        <f t="array" ref="D74:E74">TRANSPOSE(_xlfn._xlws.FILTER('Controllable Asset Registry'!$A$766:$A$1316,IFERROR('Controllable Asset Registry'!$E$766:$E$1316=A74,FALSE),"No Equipment in entity"))</f>
        <v>FCU_B_008</v>
      </c>
      <c r="E74" t="str">
        <v>CAV_B_S13_013</v>
      </c>
    </row>
    <row r="75" spans="1:14" x14ac:dyDescent="0.3">
      <c r="A75" t="str">
        <f t="shared" si="1"/>
        <v>entity:QNL_B_088_PEOPLE_MOVER_PLANT</v>
      </c>
      <c r="B75" s="29" t="s">
        <v>8623</v>
      </c>
      <c r="C75" t="s">
        <v>8624</v>
      </c>
      <c r="D75" t="str" cm="1">
        <f t="array" ref="D75:E75">TRANSPOSE(_xlfn._xlws.FILTER('Controllable Asset Registry'!$A$766:$A$1316,IFERROR('Controllable Asset Registry'!$E$766:$E$1316=A75,FALSE),"No Equipment in entity"))</f>
        <v>FCU_B_009</v>
      </c>
      <c r="E75" t="str">
        <v>CAV_B_S13_014</v>
      </c>
    </row>
    <row r="76" spans="1:14" x14ac:dyDescent="0.3">
      <c r="A76" t="str">
        <f t="shared" si="1"/>
        <v>entity:QNL_B_089_SERVER_ROOM</v>
      </c>
      <c r="B76" s="29" t="s">
        <v>8626</v>
      </c>
      <c r="C76" t="s">
        <v>6661</v>
      </c>
      <c r="D76" t="str" cm="1">
        <f t="array" ref="D76:G76">TRANSPOSE(_xlfn._xlws.FILTER('Controllable Asset Registry'!$A$766:$A$1316,IFERROR('Controllable Asset Registry'!$E$766:$E$1316=A76,FALSE),"No Equipment in entity"))</f>
        <v>CAV_B_S13_015</v>
      </c>
      <c r="E76" t="str">
        <v>CCU_B05</v>
      </c>
      <c r="F76" t="str">
        <v>CCU_B06</v>
      </c>
      <c r="G76" t="str">
        <v>CCU_B07</v>
      </c>
    </row>
    <row r="77" spans="1:14" x14ac:dyDescent="0.3">
      <c r="A77" t="str">
        <f t="shared" si="1"/>
        <v>entity:QNL_B_091_FUEL_ROOM</v>
      </c>
      <c r="B77" s="29" t="s">
        <v>8628</v>
      </c>
      <c r="C77" t="s">
        <v>8629</v>
      </c>
      <c r="D77" t="str" cm="1">
        <f t="array" ref="D77">TRANSPOSE(_xlfn._xlws.FILTER('Controllable Asset Registry'!$A$766:$A$1316,IFERROR('Controllable Asset Registry'!$E$766:$E$1316=A77,FALSE),"No Equipment in entity"))</f>
        <v>EF_B11</v>
      </c>
    </row>
    <row r="78" spans="1:14" x14ac:dyDescent="0.3">
      <c r="A78" t="str">
        <f t="shared" si="1"/>
        <v>entity:QNL_B_092_STORAGE</v>
      </c>
      <c r="B78" s="29" t="s">
        <v>8631</v>
      </c>
      <c r="C78" t="s">
        <v>5833</v>
      </c>
      <c r="D78" t="str" cm="1">
        <f t="array" ref="D78">TRANSPOSE(_xlfn._xlws.FILTER('Controllable Asset Registry'!$A$766:$A$1316,IFERROR('Controllable Asset Registry'!$E$766:$E$1316=A78,FALSE),"No Equipment in entity"))</f>
        <v>DX_B20</v>
      </c>
    </row>
    <row r="79" spans="1:14" x14ac:dyDescent="0.3">
      <c r="A79" t="str">
        <f t="shared" si="1"/>
        <v>entity:QNL_B_0924_FUEL_TANK_CHERRY_PICKER_PANKING</v>
      </c>
      <c r="B79" s="29" t="s">
        <v>8632</v>
      </c>
      <c r="C79" t="s">
        <v>8633</v>
      </c>
      <c r="D79" t="str" cm="1">
        <f t="array" ref="D79">TRANSPOSE(_xlfn._xlws.FILTER('Controllable Asset Registry'!$A$766:$A$1316,IFERROR('Controllable Asset Registry'!$E$766:$E$1316=A79,FALSE),"No Equipment in entity"))</f>
        <v>No Equipment in entity</v>
      </c>
    </row>
    <row r="80" spans="1:14" x14ac:dyDescent="0.3">
      <c r="A80" t="str">
        <f t="shared" si="1"/>
        <v>entity:QNL_B_093_TRANSH_CHAMBER</v>
      </c>
      <c r="B80" s="29" t="s">
        <v>8635</v>
      </c>
      <c r="C80" t="s">
        <v>8636</v>
      </c>
      <c r="D80" t="str" cm="1">
        <f t="array" ref="D80:F80">TRANSPOSE(_xlfn._xlws.FILTER('Controllable Asset Registry'!$A$766:$A$1316,IFERROR('Controllable Asset Registry'!$E$766:$E$1316=A80,FALSE),"No Equipment in entity"))</f>
        <v>DX_B13</v>
      </c>
      <c r="E80" t="str">
        <v>DX_B15</v>
      </c>
      <c r="F80" t="str">
        <v>EF_B10</v>
      </c>
    </row>
    <row r="81" spans="1:15" x14ac:dyDescent="0.3">
      <c r="A81" t="str">
        <f t="shared" si="1"/>
        <v>entity:QNL_B_095_EMERGENCY_LIGHTING_BATTERY_ROOM</v>
      </c>
      <c r="B81" s="29" t="s">
        <v>8638</v>
      </c>
      <c r="C81" t="s">
        <v>8639</v>
      </c>
      <c r="D81" t="str" cm="1">
        <f t="array" ref="D81:E81">TRANSPOSE(_xlfn._xlws.FILTER('Controllable Asset Registry'!$A$766:$A$1316,IFERROR('Controllable Asset Registry'!$E$766:$E$1316=A81,FALSE),"No Equipment in entity"))</f>
        <v>DX_B07</v>
      </c>
      <c r="E81" t="str">
        <v>DX_B16</v>
      </c>
    </row>
    <row r="82" spans="1:15" x14ac:dyDescent="0.3">
      <c r="A82" t="str">
        <f t="shared" si="1"/>
        <v>entity:QNL_B_100_LOADING_DOCK</v>
      </c>
      <c r="B82" s="29" t="s">
        <v>8640</v>
      </c>
      <c r="C82" t="s">
        <v>8641</v>
      </c>
      <c r="D82" t="str" cm="1">
        <f t="array" ref="D82">TRANSPOSE(_xlfn._xlws.FILTER('Controllable Asset Registry'!$A$766:$A$1316,IFERROR('Controllable Asset Registry'!$E$766:$E$1316=A82,FALSE),"No Equipment in entity"))</f>
        <v>No Equipment in entity</v>
      </c>
    </row>
    <row r="83" spans="1:15" x14ac:dyDescent="0.3">
      <c r="A83" t="str">
        <f t="shared" si="1"/>
        <v>entity:QNL_B_101_SHIPPING_CLERK</v>
      </c>
      <c r="B83" s="29" t="s">
        <v>8643</v>
      </c>
      <c r="C83" t="s">
        <v>8644</v>
      </c>
      <c r="D83" t="str" cm="1">
        <f t="array" ref="D83">TRANSPOSE(_xlfn._xlws.FILTER('Controllable Asset Registry'!$A$766:$A$1316,IFERROR('Controllable Asset Registry'!$E$766:$E$1316=A83,FALSE),"No Equipment in entity"))</f>
        <v>VAV_B_S13_007</v>
      </c>
    </row>
    <row r="84" spans="1:15" x14ac:dyDescent="0.3">
      <c r="A84" t="str">
        <f t="shared" si="1"/>
        <v>entity:QNL_B_102_SECURITY_&amp;_BMS</v>
      </c>
      <c r="B84" s="29" t="s">
        <v>8646</v>
      </c>
      <c r="C84" t="s">
        <v>8647</v>
      </c>
      <c r="D84" t="str" cm="1">
        <f t="array" ref="D84">TRANSPOSE(_xlfn._xlws.FILTER('Controllable Asset Registry'!$A$766:$A$1316,IFERROR('Controllable Asset Registry'!$E$766:$E$1316=A84,FALSE),"No Equipment in entity"))</f>
        <v>DX_B10</v>
      </c>
    </row>
    <row r="85" spans="1:15" x14ac:dyDescent="0.3">
      <c r="A85" t="str">
        <f t="shared" si="1"/>
        <v>entity:QNL_B_103_PROCESSING_ROOM</v>
      </c>
      <c r="B85" s="29" t="s">
        <v>8649</v>
      </c>
      <c r="C85" t="s">
        <v>8650</v>
      </c>
      <c r="D85" t="str" cm="1">
        <f t="array" ref="D85:E85">TRANSPOSE(_xlfn._xlws.FILTER('Controllable Asset Registry'!$A$766:$A$1316,IFERROR('Controllable Asset Registry'!$E$766:$E$1316=A85,FALSE),"No Equipment in entity"))</f>
        <v>VAV_B_S13_003</v>
      </c>
      <c r="E85" t="str">
        <v>VAV_B_S13_004</v>
      </c>
    </row>
    <row r="86" spans="1:15" x14ac:dyDescent="0.3">
      <c r="A86" t="str">
        <f t="shared" si="1"/>
        <v>entity:QNL_B_104_STORAGE</v>
      </c>
      <c r="B86" s="29" t="s">
        <v>8652</v>
      </c>
      <c r="C86" t="s">
        <v>5833</v>
      </c>
      <c r="D86" t="str" cm="1">
        <f t="array" ref="D86">TRANSPOSE(_xlfn._xlws.FILTER('Controllable Asset Registry'!$A$766:$A$1316,IFERROR('Controllable Asset Registry'!$E$766:$E$1316=A86,FALSE),"No Equipment in entity"))</f>
        <v>CAV_B_S13_009</v>
      </c>
    </row>
    <row r="87" spans="1:15" x14ac:dyDescent="0.3">
      <c r="A87" t="str">
        <f t="shared" si="1"/>
        <v>entity:QNL_B106_RES_REST_ROOM_SECURITY</v>
      </c>
      <c r="B87" s="29" t="s">
        <v>8654</v>
      </c>
      <c r="C87" t="s">
        <v>8655</v>
      </c>
      <c r="D87" t="str" cm="1">
        <f t="array" ref="D87">TRANSPOSE(_xlfn._xlws.FILTER('Controllable Asset Registry'!$A$766:$A$1316,IFERROR('Controllable Asset Registry'!$E$766:$E$1316=A87,FALSE),"No Equipment in entity"))</f>
        <v>DX_B22</v>
      </c>
    </row>
    <row r="88" spans="1:15" x14ac:dyDescent="0.3">
      <c r="A88" t="str">
        <f t="shared" si="1"/>
        <v>entity:QNL_B106_SEC_SECURITY_STORES_SECURITY_UPS</v>
      </c>
      <c r="B88" s="29" t="s">
        <v>8656</v>
      </c>
      <c r="C88" t="s">
        <v>8657</v>
      </c>
      <c r="D88" t="str" cm="1">
        <f t="array" ref="D88">TRANSPOSE(_xlfn._xlws.FILTER('Controllable Asset Registry'!$A$766:$A$1316,IFERROR('Controllable Asset Registry'!$E$766:$E$1316=A88,FALSE),"No Equipment in entity"))</f>
        <v>No Equipment in entity</v>
      </c>
    </row>
    <row r="89" spans="1:15" x14ac:dyDescent="0.3">
      <c r="A89" t="str">
        <f t="shared" si="1"/>
        <v>entity:QNL_B_107_SECURITY_EQUIPMENT_ROOM</v>
      </c>
      <c r="B89" s="29" t="s">
        <v>8659</v>
      </c>
      <c r="C89" t="s">
        <v>8660</v>
      </c>
      <c r="D89" t="str" cm="1">
        <f t="array" ref="D89:E89">TRANSPOSE(_xlfn._xlws.FILTER('Controllable Asset Registry'!$A$766:$A$1316,IFERROR('Controllable Asset Registry'!$E$766:$E$1316=A89,FALSE),"No Equipment in entity"))</f>
        <v>DX_B12</v>
      </c>
      <c r="E89" t="str">
        <v>DX_B23</v>
      </c>
    </row>
    <row r="90" spans="1:15" x14ac:dyDescent="0.3">
      <c r="A90" t="str">
        <f t="shared" si="1"/>
        <v>entity:QNL_B_108_TOILET</v>
      </c>
      <c r="B90" s="29" t="s">
        <v>8661</v>
      </c>
      <c r="C90" t="s">
        <v>5842</v>
      </c>
      <c r="D90" t="str" cm="1">
        <f t="array" ref="D90">TRANSPOSE(_xlfn._xlws.FILTER('Controllable Asset Registry'!$A$766:$A$1316,IFERROR('Controllable Asset Registry'!$E$766:$E$1316=A90,FALSE),"No Equipment in entity"))</f>
        <v>No Equipment in entity</v>
      </c>
    </row>
    <row r="91" spans="1:15" x14ac:dyDescent="0.3">
      <c r="A91" t="str">
        <f t="shared" si="1"/>
        <v>entity:QNL_B_109_LOADING_AREA</v>
      </c>
      <c r="B91" s="29" t="s">
        <v>8663</v>
      </c>
      <c r="C91" t="s">
        <v>8664</v>
      </c>
      <c r="D91" t="str" cm="1">
        <f t="array" ref="D91:G91">TRANSPOSE(_xlfn._xlws.FILTER('Controllable Asset Registry'!$A$766:$A$1316,IFERROR('Controllable Asset Registry'!$E$766:$E$1316=A91,FALSE),"No Equipment in entity"))</f>
        <v>EF_B07</v>
      </c>
      <c r="E91" t="str">
        <v>EF_B08</v>
      </c>
      <c r="F91" t="str">
        <v>EF_B15</v>
      </c>
      <c r="G91" t="str">
        <v>EF_B16</v>
      </c>
    </row>
    <row r="92" spans="1:15" x14ac:dyDescent="0.3">
      <c r="A92" t="str">
        <f t="shared" si="1"/>
        <v>entity:QNL_B_110_PLANT_ROOM_03</v>
      </c>
      <c r="B92" s="29" t="s">
        <v>8666</v>
      </c>
      <c r="C92" t="s">
        <v>8667</v>
      </c>
      <c r="D92" t="str" cm="1">
        <f t="array" ref="D92:O92">TRANSPOSE(_xlfn._xlws.FILTER('Controllable Asset Registry'!$A$766:$A$1316,IFERROR('Controllable Asset Registry'!$E$766:$E$1316=A92,FALSE),"No Equipment in entity"))</f>
        <v>AHUB004</v>
      </c>
      <c r="E92" t="str">
        <v>AHUB009</v>
      </c>
      <c r="F92" t="str">
        <v>AHUB014</v>
      </c>
      <c r="G92" t="str">
        <v>AHUB015</v>
      </c>
      <c r="H92" t="str">
        <v>FCU_B_015</v>
      </c>
      <c r="I92" t="str">
        <v>FCU_B_016</v>
      </c>
      <c r="J92" t="str">
        <v>FCU_B_017</v>
      </c>
      <c r="K92" t="str">
        <v>CAV_B_S14_003</v>
      </c>
      <c r="L92" t="str">
        <v>CAV_B_S14_004</v>
      </c>
      <c r="M92" t="str">
        <v>CAV_B_S14_005</v>
      </c>
      <c r="N92" t="str">
        <v>TEF_B01A</v>
      </c>
      <c r="O92" t="str">
        <v>TEF_B01B</v>
      </c>
    </row>
    <row r="93" spans="1:15" x14ac:dyDescent="0.3">
      <c r="A93" t="str">
        <f t="shared" si="1"/>
        <v>entity:QNL_B_111_STORAGE</v>
      </c>
      <c r="B93" s="29" t="s">
        <v>8668</v>
      </c>
      <c r="C93" t="s">
        <v>5833</v>
      </c>
      <c r="D93" t="str" cm="1">
        <f t="array" ref="D93">TRANSPOSE(_xlfn._xlws.FILTER('Controllable Asset Registry'!$A$766:$A$1316,IFERROR('Controllable Asset Registry'!$E$766:$E$1316=A93,FALSE),"No Equipment in entity"))</f>
        <v>No Equipment in entity</v>
      </c>
    </row>
    <row r="94" spans="1:15" x14ac:dyDescent="0.3">
      <c r="A94" t="str">
        <f t="shared" si="1"/>
        <v>entity:QNL_B_112_CORRIDOR</v>
      </c>
      <c r="B94" s="29" t="s">
        <v>8669</v>
      </c>
      <c r="C94" t="s">
        <v>5816</v>
      </c>
      <c r="D94" t="str" cm="1">
        <f t="array" ref="D94">TRANSPOSE(_xlfn._xlws.FILTER('Controllable Asset Registry'!$A$766:$A$1316,IFERROR('Controllable Asset Registry'!$E$766:$E$1316=A94,FALSE),"No Equipment in entity"))</f>
        <v>No Equipment in entity</v>
      </c>
    </row>
    <row r="95" spans="1:15" x14ac:dyDescent="0.3">
      <c r="A95" t="str">
        <f t="shared" si="1"/>
        <v>entity:QNL_B_113_MAINTENANCE</v>
      </c>
      <c r="B95" s="29" t="s">
        <v>8670</v>
      </c>
      <c r="C95" t="s">
        <v>8582</v>
      </c>
      <c r="D95" t="str" cm="1">
        <f t="array" ref="D95">TRANSPOSE(_xlfn._xlws.FILTER('Controllable Asset Registry'!$A$766:$A$1316,IFERROR('Controllable Asset Registry'!$E$766:$E$1316=A95,FALSE),"No Equipment in entity"))</f>
        <v>No Equipment in entity</v>
      </c>
    </row>
    <row r="96" spans="1:15" x14ac:dyDescent="0.3">
      <c r="A96" t="str">
        <f t="shared" si="1"/>
        <v>entity:QNL_B_114_VENTLATON</v>
      </c>
      <c r="B96" s="29" t="s">
        <v>8671</v>
      </c>
      <c r="C96" t="s">
        <v>8590</v>
      </c>
      <c r="D96" t="str" cm="1">
        <f t="array" ref="D96">TRANSPOSE(_xlfn._xlws.FILTER('Controllable Asset Registry'!$A$766:$A$1316,IFERROR('Controllable Asset Registry'!$E$766:$E$1316=A96,FALSE),"No Equipment in entity"))</f>
        <v>No Equipment in entity</v>
      </c>
    </row>
    <row r="97" spans="1:8" x14ac:dyDescent="0.3">
      <c r="A97" t="str">
        <f t="shared" si="1"/>
        <v>entity:QNL_B_115_CORRIDOR</v>
      </c>
      <c r="B97" s="29" t="s">
        <v>8672</v>
      </c>
      <c r="C97" t="s">
        <v>5816</v>
      </c>
      <c r="D97" t="str" cm="1">
        <f t="array" ref="D97">TRANSPOSE(_xlfn._xlws.FILTER('Controllable Asset Registry'!$A$766:$A$1316,IFERROR('Controllable Asset Registry'!$E$766:$E$1316=A97,FALSE),"No Equipment in entity"))</f>
        <v>No Equipment in entity</v>
      </c>
    </row>
    <row r="98" spans="1:8" x14ac:dyDescent="0.3">
      <c r="A98" t="str">
        <f t="shared" si="1"/>
        <v>entity:QNL_B_116_VENTLATON</v>
      </c>
      <c r="B98" s="29" t="s">
        <v>8673</v>
      </c>
      <c r="C98" t="s">
        <v>8590</v>
      </c>
      <c r="D98" t="str" cm="1">
        <f t="array" ref="D98">TRANSPOSE(_xlfn._xlws.FILTER('Controllable Asset Registry'!$A$766:$A$1316,IFERROR('Controllable Asset Registry'!$E$766:$E$1316=A98,FALSE),"No Equipment in entity"))</f>
        <v>No Equipment in entity</v>
      </c>
    </row>
    <row r="99" spans="1:8" x14ac:dyDescent="0.3">
      <c r="A99" t="str">
        <f t="shared" si="1"/>
        <v>entity:QNL_B_120_COMPACT_SHELVING_-MAIN_COLLECTION</v>
      </c>
      <c r="B99" s="29" t="s">
        <v>8675</v>
      </c>
      <c r="C99" t="s">
        <v>8676</v>
      </c>
      <c r="D99" t="str" cm="1">
        <f t="array" ref="D99:E99">TRANSPOSE(_xlfn._xlws.FILTER('Controllable Asset Registry'!$A$766:$A$1316,IFERROR('Controllable Asset Registry'!$E$766:$E$1316=A99,FALSE),"No Equipment in entity"))</f>
        <v>TEF_B03A</v>
      </c>
      <c r="E99" t="str">
        <v>TEF_B03B</v>
      </c>
    </row>
    <row r="100" spans="1:8" x14ac:dyDescent="0.3">
      <c r="A100" t="str">
        <f t="shared" si="1"/>
        <v>entity:QNL_B_121_SORTING_SHELVING_ROOM</v>
      </c>
      <c r="B100" s="29" t="s">
        <v>8678</v>
      </c>
      <c r="C100" t="s">
        <v>8679</v>
      </c>
      <c r="D100" t="str" cm="1">
        <f t="array" ref="D100:E100">TRANSPOSE(_xlfn._xlws.FILTER('Controllable Asset Registry'!$A$766:$A$1316,IFERROR('Controllable Asset Registry'!$E$766:$E$1316=A100,FALSE),"No Equipment in entity"))</f>
        <v>FCU_B_027</v>
      </c>
      <c r="E100" t="str">
        <v>FCU_B_028</v>
      </c>
    </row>
    <row r="101" spans="1:8" x14ac:dyDescent="0.3">
      <c r="A101" t="str">
        <f t="shared" si="1"/>
        <v>entity:QNL_B_122_IT_OFFICE</v>
      </c>
      <c r="B101" s="29" t="s">
        <v>8681</v>
      </c>
      <c r="C101" t="s">
        <v>8682</v>
      </c>
      <c r="D101" t="str" cm="1">
        <f t="array" ref="D101">TRANSPOSE(_xlfn._xlws.FILTER('Controllable Asset Registry'!$A$766:$A$1316,IFERROR('Controllable Asset Registry'!$E$766:$E$1316=A101,FALSE),"No Equipment in entity"))</f>
        <v>FCU_B_036</v>
      </c>
    </row>
    <row r="102" spans="1:8" x14ac:dyDescent="0.3">
      <c r="A102" t="str">
        <f t="shared" si="1"/>
        <v>entity:QNL_B_132_SHELL_SPACE-SPECIAL_COLLECTION</v>
      </c>
      <c r="B102" s="29" t="s">
        <v>8684</v>
      </c>
      <c r="C102" t="s">
        <v>8685</v>
      </c>
      <c r="D102" t="str" cm="1">
        <f t="array" ref="D102:G102">TRANSPOSE(_xlfn._xlws.FILTER('Controllable Asset Registry'!$A$766:$A$1316,IFERROR('Controllable Asset Registry'!$E$766:$E$1316=A102,FALSE),"No Equipment in entity"))</f>
        <v>FCU_B_032</v>
      </c>
      <c r="E102" t="str">
        <v>FCU_B_033</v>
      </c>
      <c r="F102" t="str">
        <v>FCU_B_034</v>
      </c>
      <c r="G102" t="str">
        <v>FCU_B_035</v>
      </c>
    </row>
    <row r="103" spans="1:8" x14ac:dyDescent="0.3">
      <c r="A103" t="str">
        <f t="shared" si="1"/>
        <v>entity:QNL_B141_HLP_HL_PLANT_ROOM</v>
      </c>
      <c r="B103" s="29" t="s">
        <v>8686</v>
      </c>
      <c r="C103" t="s">
        <v>8687</v>
      </c>
      <c r="D103" t="str" cm="1">
        <f t="array" ref="D103">TRANSPOSE(_xlfn._xlws.FILTER('Controllable Asset Registry'!$A$766:$A$1316,IFERROR('Controllable Asset Registry'!$E$766:$E$1316=A103,FALSE),"No Equipment in entity"))</f>
        <v>No Equipment in entity</v>
      </c>
    </row>
    <row r="104" spans="1:8" x14ac:dyDescent="0.3">
      <c r="A104" t="str">
        <f t="shared" si="1"/>
        <v>entity:QNL_B141_VAU_VAULT</v>
      </c>
      <c r="B104" s="29" t="s">
        <v>8689</v>
      </c>
      <c r="C104" t="s">
        <v>8690</v>
      </c>
      <c r="D104" t="str" cm="1">
        <f t="array" ref="D104:E104">TRANSPOSE(_xlfn._xlws.FILTER('Controllable Asset Registry'!$A$766:$A$1316,IFERROR('Controllable Asset Registry'!$E$766:$E$1316=A104,FALSE),"No Equipment in entity"))</f>
        <v>CCU_B08</v>
      </c>
      <c r="E104" t="str">
        <v>CCU_B09</v>
      </c>
    </row>
    <row r="105" spans="1:8" x14ac:dyDescent="0.3">
      <c r="A105" t="str">
        <f t="shared" si="1"/>
        <v>entity:QNL_B_142_CORRIDOR</v>
      </c>
      <c r="B105" s="29" t="s">
        <v>8691</v>
      </c>
      <c r="C105" t="s">
        <v>5816</v>
      </c>
      <c r="D105" t="str" cm="1">
        <f t="array" ref="D105">TRANSPOSE(_xlfn._xlws.FILTER('Controllable Asset Registry'!$A$766:$A$1316,IFERROR('Controllable Asset Registry'!$E$766:$E$1316=A105,FALSE),"No Equipment in entity"))</f>
        <v>No Equipment in entity</v>
      </c>
    </row>
    <row r="106" spans="1:8" x14ac:dyDescent="0.3">
      <c r="A106" t="str">
        <f t="shared" si="1"/>
        <v>entity:QNL_B_143_HERITAGE_COLLECTION</v>
      </c>
      <c r="B106" s="29" t="s">
        <v>8692</v>
      </c>
      <c r="C106" t="s">
        <v>8693</v>
      </c>
      <c r="D106" t="str" cm="1">
        <f t="array" ref="D106">TRANSPOSE(_xlfn._xlws.FILTER('Controllable Asset Registry'!$A$766:$A$1316,IFERROR('Controllable Asset Registry'!$E$766:$E$1316=A106,FALSE),"No Equipment in entity"))</f>
        <v>No Equipment in entity</v>
      </c>
    </row>
    <row r="107" spans="1:8" x14ac:dyDescent="0.3">
      <c r="A107" t="str">
        <f t="shared" si="1"/>
        <v>entity:QNL_B_144_PANTRY</v>
      </c>
      <c r="B107" s="29" t="s">
        <v>8694</v>
      </c>
      <c r="C107" t="s">
        <v>6788</v>
      </c>
      <c r="D107" t="str" cm="1">
        <f t="array" ref="D107">TRANSPOSE(_xlfn._xlws.FILTER('Controllable Asset Registry'!$A$766:$A$1316,IFERROR('Controllable Asset Registry'!$E$766:$E$1316=A107,FALSE),"No Equipment in entity"))</f>
        <v>No Equipment in entity</v>
      </c>
    </row>
    <row r="108" spans="1:8" x14ac:dyDescent="0.3">
      <c r="A108" t="str">
        <f t="shared" si="1"/>
        <v>entity:QNL_B_145_LOBY_&amp;_CSECURITY</v>
      </c>
      <c r="B108" s="29" t="s">
        <v>8696</v>
      </c>
      <c r="C108" t="s">
        <v>8697</v>
      </c>
      <c r="D108" t="str" cm="1">
        <f t="array" ref="D108:H108">TRANSPOSE(_xlfn._xlws.FILTER('Controllable Asset Registry'!$A$766:$A$1316,IFERROR('Controllable Asset Registry'!$E$766:$E$1316=A108,FALSE),"No Equipment in entity"))</f>
        <v>FCU_B_029</v>
      </c>
      <c r="E108" t="str">
        <v>FCU_B_038</v>
      </c>
      <c r="F108" t="str">
        <v>VAV_B_S15_002</v>
      </c>
      <c r="G108" t="str">
        <v>VAV_B_S15_003</v>
      </c>
      <c r="H108" t="str">
        <v>VAV_B_S15_004</v>
      </c>
    </row>
    <row r="109" spans="1:8" x14ac:dyDescent="0.3">
      <c r="A109" t="str">
        <f t="shared" si="1"/>
        <v>entity:QNL_B_146_VIP_REST_ROOM</v>
      </c>
      <c r="B109" s="29" t="s">
        <v>8698</v>
      </c>
      <c r="C109" t="s">
        <v>8699</v>
      </c>
      <c r="D109" t="str" cm="1">
        <f t="array" ref="D109">TRANSPOSE(_xlfn._xlws.FILTER('Controllable Asset Registry'!$A$766:$A$1316,IFERROR('Controllable Asset Registry'!$E$766:$E$1316=A109,FALSE),"No Equipment in entity"))</f>
        <v>No Equipment in entity</v>
      </c>
    </row>
    <row r="110" spans="1:8" x14ac:dyDescent="0.3">
      <c r="A110" t="str">
        <f t="shared" si="1"/>
        <v>entity:QNL_B_147_VIP_REST_ROOM</v>
      </c>
      <c r="B110" s="29" t="s">
        <v>8700</v>
      </c>
      <c r="C110" t="s">
        <v>8699</v>
      </c>
      <c r="D110" t="str" cm="1">
        <f t="array" ref="D110">TRANSPOSE(_xlfn._xlws.FILTER('Controllable Asset Registry'!$A$766:$A$1316,IFERROR('Controllable Asset Registry'!$E$766:$E$1316=A110,FALSE),"No Equipment in entity"))</f>
        <v>No Equipment in entity</v>
      </c>
    </row>
    <row r="111" spans="1:8" x14ac:dyDescent="0.3">
      <c r="A111" t="str">
        <f t="shared" si="1"/>
        <v>entity:QNL_B_148_VIP_MAJLIS</v>
      </c>
      <c r="B111" s="29" t="s">
        <v>8701</v>
      </c>
      <c r="C111" t="s">
        <v>8702</v>
      </c>
      <c r="D111" t="str" cm="1">
        <f t="array" ref="D111">TRANSPOSE(_xlfn._xlws.FILTER('Controllable Asset Registry'!$A$766:$A$1316,IFERROR('Controllable Asset Registry'!$E$766:$E$1316=A111,FALSE),"No Equipment in entity"))</f>
        <v>No Equipment in entity</v>
      </c>
    </row>
    <row r="112" spans="1:8" x14ac:dyDescent="0.3">
      <c r="A112" t="str">
        <f t="shared" si="1"/>
        <v>entity:QNL_B_149_DIRECTOR_HEAD</v>
      </c>
      <c r="B112" s="29" t="s">
        <v>8704</v>
      </c>
      <c r="C112" t="s">
        <v>8705</v>
      </c>
      <c r="D112" t="str" cm="1">
        <f t="array" ref="D112:G112">TRANSPOSE(_xlfn._xlws.FILTER('Controllable Asset Registry'!$A$766:$A$1316,IFERROR('Controllable Asset Registry'!$E$766:$E$1316=A112,FALSE),"No Equipment in entity"))</f>
        <v>VAV_B_S15_009</v>
      </c>
      <c r="E112" t="str">
        <v>VAV_B_S15_010</v>
      </c>
      <c r="F112" t="str">
        <v>VAV_B_S15_011</v>
      </c>
      <c r="G112" t="str">
        <v>VAV_B_S15_012</v>
      </c>
    </row>
    <row r="113" spans="1:6" x14ac:dyDescent="0.3">
      <c r="A113" t="str">
        <f t="shared" si="1"/>
        <v>entity:QNL_B_150_ASSISTANT_HEAD</v>
      </c>
      <c r="B113" s="29" t="s">
        <v>8706</v>
      </c>
      <c r="C113" t="s">
        <v>8707</v>
      </c>
      <c r="D113" t="str" cm="1">
        <f t="array" ref="D113">TRANSPOSE(_xlfn._xlws.FILTER('Controllable Asset Registry'!$A$766:$A$1316,IFERROR('Controllable Asset Registry'!$E$766:$E$1316=A113,FALSE),"No Equipment in entity"))</f>
        <v>No Equipment in entity</v>
      </c>
    </row>
    <row r="114" spans="1:6" x14ac:dyDescent="0.3">
      <c r="A114" t="str">
        <f t="shared" si="1"/>
        <v>entity:QNL_B_151_RESEARCH_&amp;_DOC-RCRDS_MGMT</v>
      </c>
      <c r="B114" s="29" t="s">
        <v>8709</v>
      </c>
      <c r="C114" t="s">
        <v>8710</v>
      </c>
      <c r="D114" t="str" cm="1">
        <f t="array" ref="D114:E114">TRANSPOSE(_xlfn._xlws.FILTER('Controllable Asset Registry'!$A$766:$A$1316,IFERROR('Controllable Asset Registry'!$E$766:$E$1316=A114,FALSE),"No Equipment in entity"))</f>
        <v>VAV_B_S15_008</v>
      </c>
      <c r="E114" t="str">
        <v>VAV_B_S15_013</v>
      </c>
    </row>
    <row r="115" spans="1:6" x14ac:dyDescent="0.3">
      <c r="A115" t="str">
        <f t="shared" si="1"/>
        <v>entity:QNL_B_152_SECURITY_ROOM</v>
      </c>
      <c r="B115" s="29" t="s">
        <v>8712</v>
      </c>
      <c r="C115" t="s">
        <v>8713</v>
      </c>
      <c r="D115" t="str" cm="1">
        <f t="array" ref="D115">TRANSPOSE(_xlfn._xlws.FILTER('Controllable Asset Registry'!$A$766:$A$1316,IFERROR('Controllable Asset Registry'!$E$766:$E$1316=A115,FALSE),"No Equipment in entity"))</f>
        <v>VAV_B_S15_007</v>
      </c>
    </row>
    <row r="116" spans="1:6" x14ac:dyDescent="0.3">
      <c r="A116" t="str">
        <f t="shared" si="1"/>
        <v>entity:QNL_B_153_PROF_LIBRARIAN</v>
      </c>
      <c r="B116" s="29" t="s">
        <v>8715</v>
      </c>
      <c r="C116" t="s">
        <v>8716</v>
      </c>
      <c r="D116" t="str" cm="1">
        <f t="array" ref="D116:F116">TRANSPOSE(_xlfn._xlws.FILTER('Controllable Asset Registry'!$A$766:$A$1316,IFERROR('Controllable Asset Registry'!$E$766:$E$1316=A116,FALSE),"No Equipment in entity"))</f>
        <v>VAV_B_S15_001</v>
      </c>
      <c r="E116" t="str">
        <v>VAV_B_S15_005</v>
      </c>
      <c r="F116" t="str">
        <v>VAV_B_S15_006</v>
      </c>
    </row>
    <row r="117" spans="1:6" x14ac:dyDescent="0.3">
      <c r="A117" t="str">
        <f t="shared" si="1"/>
        <v>entity:QNL_B_155_FACULTY_CARRELS</v>
      </c>
      <c r="B117" s="29" t="s">
        <v>8718</v>
      </c>
      <c r="C117" t="s">
        <v>8719</v>
      </c>
      <c r="D117" t="str" cm="1">
        <f t="array" ref="D117">TRANSPOSE(_xlfn._xlws.FILTER('Controllable Asset Registry'!$A$766:$A$1316,IFERROR('Controllable Asset Registry'!$E$766:$E$1316=A117,FALSE),"No Equipment in entity"))</f>
        <v>FCU_B_001</v>
      </c>
    </row>
    <row r="118" spans="1:6" x14ac:dyDescent="0.3">
      <c r="A118" t="str">
        <f t="shared" si="1"/>
        <v>entity:QNL_B_156_FACULTY_CARRELS</v>
      </c>
      <c r="B118" s="29" t="s">
        <v>8720</v>
      </c>
      <c r="C118" t="s">
        <v>8719</v>
      </c>
      <c r="D118" t="str" cm="1">
        <f t="array" ref="D118">TRANSPOSE(_xlfn._xlws.FILTER('Controllable Asset Registry'!$A$766:$A$1316,IFERROR('Controllable Asset Registry'!$E$766:$E$1316=A118,FALSE),"No Equipment in entity"))</f>
        <v>No Equipment in entity</v>
      </c>
    </row>
    <row r="119" spans="1:6" x14ac:dyDescent="0.3">
      <c r="A119" t="str">
        <f t="shared" si="1"/>
        <v>entity:QNL_B_157_FACULTY_CARRELS</v>
      </c>
      <c r="B119" s="29" t="s">
        <v>8721</v>
      </c>
      <c r="C119" t="s">
        <v>8719</v>
      </c>
      <c r="D119" t="str" cm="1">
        <f t="array" ref="D119">TRANSPOSE(_xlfn._xlws.FILTER('Controllable Asset Registry'!$A$766:$A$1316,IFERROR('Controllable Asset Registry'!$E$766:$E$1316=A119,FALSE),"No Equipment in entity"))</f>
        <v>No Equipment in entity</v>
      </c>
    </row>
    <row r="120" spans="1:6" x14ac:dyDescent="0.3">
      <c r="A120" t="str">
        <f t="shared" si="1"/>
        <v>entity:QNL_B_158_FACULTY_CARRELS</v>
      </c>
      <c r="B120" s="29" t="s">
        <v>8722</v>
      </c>
      <c r="C120" t="s">
        <v>8719</v>
      </c>
      <c r="D120" t="str" cm="1">
        <f t="array" ref="D120">TRANSPOSE(_xlfn._xlws.FILTER('Controllable Asset Registry'!$A$766:$A$1316,IFERROR('Controllable Asset Registry'!$E$766:$E$1316=A120,FALSE),"No Equipment in entity"))</f>
        <v>No Equipment in entity</v>
      </c>
    </row>
    <row r="121" spans="1:6" x14ac:dyDescent="0.3">
      <c r="A121" t="str">
        <f t="shared" si="1"/>
        <v>entity:QNL_B_159_FACULTY_CARRELS</v>
      </c>
      <c r="B121" s="29" t="s">
        <v>8723</v>
      </c>
      <c r="C121" t="s">
        <v>8719</v>
      </c>
      <c r="D121" t="str" cm="1">
        <f t="array" ref="D121">TRANSPOSE(_xlfn._xlws.FILTER('Controllable Asset Registry'!$A$766:$A$1316,IFERROR('Controllable Asset Registry'!$E$766:$E$1316=A121,FALSE),"No Equipment in entity"))</f>
        <v>No Equipment in entity</v>
      </c>
    </row>
    <row r="122" spans="1:6" x14ac:dyDescent="0.3">
      <c r="A122" t="str">
        <f t="shared" si="1"/>
        <v>entity:QNL_B_160_FACULTY_CARRELS</v>
      </c>
      <c r="B122" s="29" t="s">
        <v>8724</v>
      </c>
      <c r="C122" t="s">
        <v>8719</v>
      </c>
      <c r="D122" t="str" cm="1">
        <f t="array" ref="D122">TRANSPOSE(_xlfn._xlws.FILTER('Controllable Asset Registry'!$A$766:$A$1316,IFERROR('Controllable Asset Registry'!$E$766:$E$1316=A122,FALSE),"No Equipment in entity"))</f>
        <v>No Equipment in entity</v>
      </c>
    </row>
    <row r="123" spans="1:6" x14ac:dyDescent="0.3">
      <c r="A123" t="str">
        <f t="shared" si="1"/>
        <v>entity:QNL_B_161_FACULTY_CARRELS</v>
      </c>
      <c r="B123" s="29" t="s">
        <v>8725</v>
      </c>
      <c r="C123" t="s">
        <v>8719</v>
      </c>
      <c r="D123" t="str" cm="1">
        <f t="array" ref="D123">TRANSPOSE(_xlfn._xlws.FILTER('Controllable Asset Registry'!$A$766:$A$1316,IFERROR('Controllable Asset Registry'!$E$766:$E$1316=A123,FALSE),"No Equipment in entity"))</f>
        <v>No Equipment in entity</v>
      </c>
    </row>
    <row r="124" spans="1:6" x14ac:dyDescent="0.3">
      <c r="A124" t="str">
        <f t="shared" si="1"/>
        <v>entity:QNL_B_162_FACULTY_CARRELS</v>
      </c>
      <c r="B124" s="29" t="s">
        <v>8726</v>
      </c>
      <c r="C124" t="s">
        <v>8719</v>
      </c>
      <c r="D124" t="str" cm="1">
        <f t="array" ref="D124">TRANSPOSE(_xlfn._xlws.FILTER('Controllable Asset Registry'!$A$766:$A$1316,IFERROR('Controllable Asset Registry'!$E$766:$E$1316=A124,FALSE),"No Equipment in entity"))</f>
        <v>No Equipment in entity</v>
      </c>
    </row>
    <row r="125" spans="1:6" x14ac:dyDescent="0.3">
      <c r="A125" t="str">
        <f t="shared" si="1"/>
        <v>entity:QNL_B_163_FACULTY_CARRELS</v>
      </c>
      <c r="B125" s="29" t="s">
        <v>8727</v>
      </c>
      <c r="C125" t="s">
        <v>8719</v>
      </c>
      <c r="D125" t="str" cm="1">
        <f t="array" ref="D125">TRANSPOSE(_xlfn._xlws.FILTER('Controllable Asset Registry'!$A$766:$A$1316,IFERROR('Controllable Asset Registry'!$E$766:$E$1316=A125,FALSE),"No Equipment in entity"))</f>
        <v>No Equipment in entity</v>
      </c>
    </row>
    <row r="126" spans="1:6" x14ac:dyDescent="0.3">
      <c r="A126" t="str">
        <f t="shared" si="1"/>
        <v>entity:QNL_B_164_FACULTY_CARRELS</v>
      </c>
      <c r="B126" s="29" t="s">
        <v>8728</v>
      </c>
      <c r="C126" t="s">
        <v>8719</v>
      </c>
      <c r="D126" t="str" cm="1">
        <f t="array" ref="D126">TRANSPOSE(_xlfn._xlws.FILTER('Controllable Asset Registry'!$A$766:$A$1316,IFERROR('Controllable Asset Registry'!$E$766:$E$1316=A126,FALSE),"No Equipment in entity"))</f>
        <v>No Equipment in entity</v>
      </c>
    </row>
    <row r="127" spans="1:6" x14ac:dyDescent="0.3">
      <c r="A127" t="str">
        <f t="shared" si="1"/>
        <v>entity:QNL_B_165_FACULTY_CARRELS</v>
      </c>
      <c r="B127" s="29" t="s">
        <v>8729</v>
      </c>
      <c r="C127" t="s">
        <v>8719</v>
      </c>
      <c r="D127" t="str" cm="1">
        <f t="array" ref="D127">TRANSPOSE(_xlfn._xlws.FILTER('Controllable Asset Registry'!$A$766:$A$1316,IFERROR('Controllable Asset Registry'!$E$766:$E$1316=A127,FALSE),"No Equipment in entity"))</f>
        <v>No Equipment in entity</v>
      </c>
    </row>
    <row r="128" spans="1:6" x14ac:dyDescent="0.3">
      <c r="A128" t="str">
        <f t="shared" si="1"/>
        <v>entity:QNL_B_166_FACULTY_CARRELS</v>
      </c>
      <c r="B128" s="29" t="s">
        <v>8730</v>
      </c>
      <c r="C128" t="s">
        <v>8719</v>
      </c>
      <c r="D128" t="str" cm="1">
        <f t="array" ref="D128">TRANSPOSE(_xlfn._xlws.FILTER('Controllable Asset Registry'!$A$766:$A$1316,IFERROR('Controllable Asset Registry'!$E$766:$E$1316=A128,FALSE),"No Equipment in entity"))</f>
        <v>No Equipment in entity</v>
      </c>
    </row>
    <row r="129" spans="1:12" x14ac:dyDescent="0.3">
      <c r="A129" t="str">
        <f t="shared" si="1"/>
        <v>entity:QNL_B_167_FACULTY_CARRELS</v>
      </c>
      <c r="B129" s="29" t="s">
        <v>8731</v>
      </c>
      <c r="C129" t="s">
        <v>8719</v>
      </c>
      <c r="D129" t="str" cm="1">
        <f t="array" ref="D129">TRANSPOSE(_xlfn._xlws.FILTER('Controllable Asset Registry'!$A$766:$A$1316,IFERROR('Controllable Asset Registry'!$E$766:$E$1316=A129,FALSE),"No Equipment in entity"))</f>
        <v>No Equipment in entity</v>
      </c>
    </row>
    <row r="130" spans="1:12" x14ac:dyDescent="0.3">
      <c r="A130" t="str">
        <f t="shared" ref="A130:A193" si="2">"entity:QNL_"&amp;B130&amp;"_"&amp;C130</f>
        <v>entity:QNL_B_168_FACULTY_CARRELS</v>
      </c>
      <c r="B130" s="29" t="s">
        <v>8732</v>
      </c>
      <c r="C130" t="s">
        <v>8719</v>
      </c>
      <c r="D130" t="str" cm="1">
        <f t="array" ref="D130">TRANSPOSE(_xlfn._xlws.FILTER('Controllable Asset Registry'!$A$766:$A$1316,IFERROR('Controllable Asset Registry'!$E$766:$E$1316=A130,FALSE),"No Equipment in entity"))</f>
        <v>No Equipment in entity</v>
      </c>
    </row>
    <row r="131" spans="1:12" x14ac:dyDescent="0.3">
      <c r="A131" t="str">
        <f t="shared" si="2"/>
        <v>entity:QNL_B_169_FACULTY_CARRELS</v>
      </c>
      <c r="B131" s="29" t="s">
        <v>8733</v>
      </c>
      <c r="C131" t="s">
        <v>8719</v>
      </c>
      <c r="D131" t="str" cm="1">
        <f t="array" ref="D131">TRANSPOSE(_xlfn._xlws.FILTER('Controllable Asset Registry'!$A$766:$A$1316,IFERROR('Controllable Asset Registry'!$E$766:$E$1316=A131,FALSE),"No Equipment in entity"))</f>
        <v>No Equipment in entity</v>
      </c>
    </row>
    <row r="132" spans="1:12" x14ac:dyDescent="0.3">
      <c r="A132" t="str">
        <f t="shared" si="2"/>
        <v>entity:QNL_B_200_DIGITIZATION</v>
      </c>
      <c r="B132" s="29" t="s">
        <v>8735</v>
      </c>
      <c r="C132" t="s">
        <v>8736</v>
      </c>
      <c r="D132" t="str" cm="1">
        <f t="array" ref="D132:L132">TRANSPOSE(_xlfn._xlws.FILTER('Controllable Asset Registry'!$A$766:$A$1316,IFERROR('Controllable Asset Registry'!$E$766:$E$1316=A132,FALSE),"No Equipment in entity"))</f>
        <v>VAV_B_S10_001</v>
      </c>
      <c r="E132" t="str">
        <v>VAV_B_S10_002</v>
      </c>
      <c r="F132" t="str">
        <v>VAV_B_S10_003</v>
      </c>
      <c r="G132" t="str">
        <v>VAV_B_S10_004</v>
      </c>
      <c r="H132" t="str">
        <v>VAV_B_S10_005</v>
      </c>
      <c r="I132" t="str">
        <v>VAV_B_S10_006</v>
      </c>
      <c r="J132" t="str">
        <v>VAV_B_S10_007</v>
      </c>
      <c r="K132" t="str">
        <v>VAV_B_S10_008</v>
      </c>
      <c r="L132" t="str">
        <v>VAV_B_S10_024</v>
      </c>
    </row>
    <row r="133" spans="1:12" x14ac:dyDescent="0.3">
      <c r="A133" t="str">
        <f t="shared" si="2"/>
        <v>entity:QNL_B_201_REST_ROOM_MEN</v>
      </c>
      <c r="B133" s="29" t="s">
        <v>8737</v>
      </c>
      <c r="C133" t="s">
        <v>8533</v>
      </c>
      <c r="D133" t="str" cm="1">
        <f t="array" ref="D133">TRANSPOSE(_xlfn._xlws.FILTER('Controllable Asset Registry'!$A$766:$A$1316,IFERROR('Controllable Asset Registry'!$E$766:$E$1316=A133,FALSE),"No Equipment in entity"))</f>
        <v>No Equipment in entity</v>
      </c>
    </row>
    <row r="134" spans="1:12" x14ac:dyDescent="0.3">
      <c r="A134" t="str">
        <f t="shared" si="2"/>
        <v>entity:QNL_B_202_REST_ROOM_WOMEN</v>
      </c>
      <c r="B134" s="29" t="s">
        <v>8738</v>
      </c>
      <c r="C134" t="s">
        <v>8537</v>
      </c>
      <c r="D134" t="str" cm="1">
        <f t="array" ref="D134">TRANSPOSE(_xlfn._xlws.FILTER('Controllable Asset Registry'!$A$766:$A$1316,IFERROR('Controllable Asset Registry'!$E$766:$E$1316=A134,FALSE),"No Equipment in entity"))</f>
        <v>No Equipment in entity</v>
      </c>
    </row>
    <row r="135" spans="1:12" x14ac:dyDescent="0.3">
      <c r="A135" t="str">
        <f t="shared" si="2"/>
        <v>entity:QNL_B_203_STORAGE_ROOM</v>
      </c>
      <c r="B135" s="29" t="s">
        <v>8739</v>
      </c>
      <c r="C135" t="s">
        <v>6833</v>
      </c>
      <c r="D135" t="str" cm="1">
        <f t="array" ref="D135">TRANSPOSE(_xlfn._xlws.FILTER('Controllable Asset Registry'!$A$766:$A$1316,IFERROR('Controllable Asset Registry'!$E$766:$E$1316=A135,FALSE),"No Equipment in entity"))</f>
        <v>No Equipment in entity</v>
      </c>
    </row>
    <row r="136" spans="1:12" x14ac:dyDescent="0.3">
      <c r="A136" t="str">
        <f t="shared" si="2"/>
        <v>entity:QNL_B_204_TECHNICAL_SERVICES</v>
      </c>
      <c r="B136" s="29" t="s">
        <v>8741</v>
      </c>
      <c r="C136" t="s">
        <v>8742</v>
      </c>
      <c r="D136" t="str" cm="1">
        <f t="array" ref="D136:F136">TRANSPOSE(_xlfn._xlws.FILTER('Controllable Asset Registry'!$A$766:$A$1316,IFERROR('Controllable Asset Registry'!$E$766:$E$1316=A136,FALSE),"No Equipment in entity"))</f>
        <v>VAV_B_S10_009</v>
      </c>
      <c r="E136" t="str">
        <v>VAV_B_S10_010</v>
      </c>
      <c r="F136" t="str">
        <v>VAV_B_S10_011</v>
      </c>
    </row>
    <row r="137" spans="1:12" x14ac:dyDescent="0.3">
      <c r="A137" t="str">
        <f t="shared" si="2"/>
        <v>entity:QNL_B_205_INSTRUCTION_PRESENTATION</v>
      </c>
      <c r="B137" s="29" t="s">
        <v>8744</v>
      </c>
      <c r="C137" t="s">
        <v>8745</v>
      </c>
      <c r="D137" t="str" cm="1">
        <f t="array" ref="D137:F137">TRANSPOSE(_xlfn._xlws.FILTER('Controllable Asset Registry'!$A$766:$A$1316,IFERROR('Controllable Asset Registry'!$E$766:$E$1316=A137,FALSE),"No Equipment in entity"))</f>
        <v>VAV_B_S10_016</v>
      </c>
      <c r="E137" t="str">
        <v>VAV_B_S10_017</v>
      </c>
      <c r="F137" t="str">
        <v>VAV_B_S10_018</v>
      </c>
    </row>
    <row r="138" spans="1:12" x14ac:dyDescent="0.3">
      <c r="A138" t="str">
        <f t="shared" si="2"/>
        <v>entity:QNL_B_206_INSTRUCTION_OUTREACH</v>
      </c>
      <c r="B138" s="29" t="s">
        <v>8747</v>
      </c>
      <c r="C138" t="s">
        <v>8748</v>
      </c>
      <c r="D138" t="str" cm="1">
        <f t="array" ref="D138">TRANSPOSE(_xlfn._xlws.FILTER('Controllable Asset Registry'!$A$766:$A$1316,IFERROR('Controllable Asset Registry'!$E$766:$E$1316=A138,FALSE),"No Equipment in entity"))</f>
        <v>VAV_B_S10_015</v>
      </c>
    </row>
    <row r="139" spans="1:12" x14ac:dyDescent="0.3">
      <c r="A139" t="str">
        <f t="shared" si="2"/>
        <v>entity:QNL_B_207_PRESEARCHERS_READING_AREA</v>
      </c>
      <c r="B139" s="29" t="s">
        <v>8750</v>
      </c>
      <c r="C139" t="s">
        <v>8751</v>
      </c>
      <c r="D139" t="str" cm="1">
        <f t="array" ref="D139:G139">TRANSPOSE(_xlfn._xlws.FILTER('Controllable Asset Registry'!$A$766:$A$1316,IFERROR('Controllable Asset Registry'!$E$766:$E$1316=A139,FALSE),"No Equipment in entity"))</f>
        <v>VAV_B_S10_020</v>
      </c>
      <c r="E139" t="str">
        <v>VAV_B_S10_021</v>
      </c>
      <c r="F139" t="str">
        <v>VAV_B_S10_022</v>
      </c>
      <c r="G139" t="str">
        <v>VAV_B_S10_023</v>
      </c>
    </row>
    <row r="140" spans="1:12" x14ac:dyDescent="0.3">
      <c r="A140" t="str">
        <f t="shared" si="2"/>
        <v>entity:QNL_B_208_PROF_LIBRARIAN</v>
      </c>
      <c r="B140" s="29" t="s">
        <v>8753</v>
      </c>
      <c r="C140" t="s">
        <v>8716</v>
      </c>
      <c r="D140" t="str" cm="1">
        <f t="array" ref="D140">TRANSPOSE(_xlfn._xlws.FILTER('Controllable Asset Registry'!$A$766:$A$1316,IFERROR('Controllable Asset Registry'!$E$766:$E$1316=A140,FALSE),"No Equipment in entity"))</f>
        <v>VAV_B_S10_019</v>
      </c>
    </row>
    <row r="141" spans="1:12" x14ac:dyDescent="0.3">
      <c r="A141" t="str">
        <f t="shared" si="2"/>
        <v>entity:QNL_B_209_CONSERVATION_WORK_AREA</v>
      </c>
      <c r="B141" s="29" t="s">
        <v>8755</v>
      </c>
      <c r="C141" t="s">
        <v>8756</v>
      </c>
      <c r="D141" t="str" cm="1">
        <f t="array" ref="D141:F141">TRANSPOSE(_xlfn._xlws.FILTER('Controllable Asset Registry'!$A$766:$A$1316,IFERROR('Controllable Asset Registry'!$E$766:$E$1316=A141,FALSE),"No Equipment in entity"))</f>
        <v>VAV_B_S10_012</v>
      </c>
      <c r="E141" t="str">
        <v>VAV_B_S10_013</v>
      </c>
      <c r="F141" t="str">
        <v>VAV_B_S10_014</v>
      </c>
    </row>
    <row r="142" spans="1:12" x14ac:dyDescent="0.3">
      <c r="A142" t="str">
        <f t="shared" si="2"/>
        <v>entity:QNL_B_210_FM_STORAGE</v>
      </c>
      <c r="B142" s="29" t="s">
        <v>8758</v>
      </c>
      <c r="C142" t="s">
        <v>6626</v>
      </c>
      <c r="D142" t="str" cm="1">
        <f t="array" ref="D142:E142">TRANSPOSE(_xlfn._xlws.FILTER('Controllable Asset Registry'!$A$766:$A$1316,IFERROR('Controllable Asset Registry'!$E$766:$E$1316=A142,FALSE),"No Equipment in entity"))</f>
        <v>FCU_B_022</v>
      </c>
      <c r="E142" t="str">
        <v>FCU_B_023</v>
      </c>
    </row>
    <row r="143" spans="1:12" x14ac:dyDescent="0.3">
      <c r="A143" t="str">
        <f t="shared" si="2"/>
        <v>entity:QNL_B_211_PH_PLANT_ROOM</v>
      </c>
      <c r="B143" s="29" t="s">
        <v>8760</v>
      </c>
      <c r="C143" t="s">
        <v>8761</v>
      </c>
      <c r="D143" t="str" cm="1">
        <f t="array" ref="D143:E143">TRANSPOSE(_xlfn._xlws.FILTER('Controllable Asset Registry'!$A$766:$A$1316,IFERROR('Controllable Asset Registry'!$E$766:$E$1316=A143,FALSE),"No Equipment in entity"))</f>
        <v>FCU_B_024</v>
      </c>
      <c r="E143" t="str">
        <v>HEX05</v>
      </c>
    </row>
    <row r="144" spans="1:12" x14ac:dyDescent="0.3">
      <c r="A144" t="str">
        <f t="shared" si="2"/>
        <v>entity:QNL_B_213_MISTING_SYSTEM</v>
      </c>
      <c r="B144" s="29" t="s">
        <v>8762</v>
      </c>
      <c r="C144" t="s">
        <v>8763</v>
      </c>
      <c r="D144" t="str" cm="1">
        <f t="array" ref="D144">TRANSPOSE(_xlfn._xlws.FILTER('Controllable Asset Registry'!$A$766:$A$1316,IFERROR('Controllable Asset Registry'!$E$766:$E$1316=A144,FALSE),"No Equipment in entity"))</f>
        <v>No Equipment in entity</v>
      </c>
    </row>
    <row r="145" spans="1:21" x14ac:dyDescent="0.3">
      <c r="A145" t="str">
        <f t="shared" si="2"/>
        <v>entity:QNL_B214_COR_CORRIDOR6</v>
      </c>
      <c r="B145" s="29" t="s">
        <v>8764</v>
      </c>
      <c r="C145" t="s">
        <v>8765</v>
      </c>
      <c r="D145" t="str" cm="1">
        <f t="array" ref="D145">TRANSPOSE(_xlfn._xlws.FILTER('Controllable Asset Registry'!$A$766:$A$1316,IFERROR('Controllable Asset Registry'!$E$766:$E$1316=A145,FALSE),"No Equipment in entity"))</f>
        <v>No Equipment in entity</v>
      </c>
    </row>
    <row r="146" spans="1:21" x14ac:dyDescent="0.3">
      <c r="A146" t="str">
        <f t="shared" si="2"/>
        <v>entity:QNL_B214_IDF_IDF_ROOM</v>
      </c>
      <c r="B146" s="29" t="s">
        <v>8766</v>
      </c>
      <c r="C146" t="s">
        <v>6715</v>
      </c>
      <c r="D146" t="str" cm="1">
        <f t="array" ref="D146">TRANSPOSE(_xlfn._xlws.FILTER('Controllable Asset Registry'!$A$766:$A$1316,IFERROR('Controllable Asset Registry'!$E$766:$E$1316=A146,FALSE),"No Equipment in entity"))</f>
        <v>No Equipment in entity</v>
      </c>
    </row>
    <row r="147" spans="1:21" x14ac:dyDescent="0.3">
      <c r="A147" t="str">
        <f t="shared" si="2"/>
        <v>entity:QNL_B_215_IDF_FM_STORAGE</v>
      </c>
      <c r="B147" s="29" t="s">
        <v>8768</v>
      </c>
      <c r="C147" t="s">
        <v>8769</v>
      </c>
      <c r="D147" t="str" cm="1">
        <f t="array" ref="D147">TRANSPOSE(_xlfn._xlws.FILTER('Controllable Asset Registry'!$A$766:$A$1316,IFERROR('Controllable Asset Registry'!$E$766:$E$1316=A147,FALSE),"No Equipment in entity"))</f>
        <v>FCU_B_004</v>
      </c>
    </row>
    <row r="148" spans="1:21" x14ac:dyDescent="0.3">
      <c r="A148" t="str">
        <f t="shared" si="2"/>
        <v>entity:QNL_B_215A_IDF</v>
      </c>
      <c r="B148" s="29" t="s">
        <v>8771</v>
      </c>
      <c r="C148" t="s">
        <v>8772</v>
      </c>
      <c r="D148" t="str" cm="1">
        <f t="array" ref="D148:E148">TRANSPOSE(_xlfn._xlws.FILTER('Controllable Asset Registry'!$A$766:$A$1316,IFERROR('Controllable Asset Registry'!$E$766:$E$1316=A148,FALSE),"No Equipment in entity"))</f>
        <v>FCU_B_031</v>
      </c>
      <c r="E148" t="str">
        <v>FCU_B_037</v>
      </c>
    </row>
    <row r="149" spans="1:21" x14ac:dyDescent="0.3">
      <c r="A149" t="str">
        <f t="shared" si="2"/>
        <v>entity:QNL_B_220_PLANT_ROOM_04</v>
      </c>
      <c r="B149" s="29" t="s">
        <v>8774</v>
      </c>
      <c r="C149" t="s">
        <v>8775</v>
      </c>
      <c r="D149" t="str" cm="1">
        <f t="array" ref="D149:U149">TRANSPOSE(_xlfn._xlws.FILTER('Controllable Asset Registry'!$A$766:$A$1316,IFERROR('Controllable Asset Registry'!$E$766:$E$1316=A149,FALSE),"No Equipment in entity"))</f>
        <v>AHUB001</v>
      </c>
      <c r="E149" t="str">
        <v>AHUB005</v>
      </c>
      <c r="F149" t="str">
        <v>AHUB006</v>
      </c>
      <c r="G149" t="str">
        <v>AHUB007</v>
      </c>
      <c r="H149" t="str">
        <v>AHUB008</v>
      </c>
      <c r="I149" t="str">
        <v>FCU_B_018</v>
      </c>
      <c r="J149" t="str">
        <v>FCU_B_019</v>
      </c>
      <c r="K149" t="str">
        <v>FCU_B_020</v>
      </c>
      <c r="L149" t="str">
        <v>FCU_B_021</v>
      </c>
      <c r="M149" t="str">
        <v>HEX01</v>
      </c>
      <c r="N149" t="str">
        <v>HEX02</v>
      </c>
      <c r="O149" t="str">
        <v>HEX03</v>
      </c>
      <c r="P149" t="str">
        <v>HEX04</v>
      </c>
      <c r="Q149" t="str">
        <v>CHW_P01</v>
      </c>
      <c r="R149" t="str">
        <v>CHW_P02</v>
      </c>
      <c r="S149" t="str">
        <v>CHW_P03</v>
      </c>
      <c r="T149" t="str">
        <v>CHW_P04</v>
      </c>
      <c r="U149" t="str">
        <v>CHWPU_P01</v>
      </c>
    </row>
    <row r="150" spans="1:21" x14ac:dyDescent="0.3">
      <c r="A150" t="str">
        <f t="shared" si="2"/>
        <v>entity:QNL_B_221_MAINTENANCE</v>
      </c>
      <c r="B150" s="29" t="s">
        <v>8776</v>
      </c>
      <c r="C150" t="s">
        <v>8582</v>
      </c>
      <c r="D150" t="str" cm="1">
        <f t="array" ref="D150">TRANSPOSE(_xlfn._xlws.FILTER('Controllable Asset Registry'!$A$766:$A$1316,IFERROR('Controllable Asset Registry'!$E$766:$E$1316=A150,FALSE),"No Equipment in entity"))</f>
        <v>No Equipment in entity</v>
      </c>
    </row>
    <row r="151" spans="1:21" x14ac:dyDescent="0.3">
      <c r="A151" t="str">
        <f t="shared" si="2"/>
        <v>entity:QNL_B_222_IDF</v>
      </c>
      <c r="B151" s="29" t="s">
        <v>8778</v>
      </c>
      <c r="C151" t="s">
        <v>8772</v>
      </c>
      <c r="D151" t="str" cm="1">
        <f t="array" ref="D151:E151">TRANSPOSE(_xlfn._xlws.FILTER('Controllable Asset Registry'!$A$766:$A$1316,IFERROR('Controllable Asset Registry'!$E$766:$E$1316=A151,FALSE),"No Equipment in entity"))</f>
        <v>CCU_B10</v>
      </c>
      <c r="E151" t="str">
        <v>CCU_B11</v>
      </c>
    </row>
    <row r="152" spans="1:21" x14ac:dyDescent="0.3">
      <c r="A152" t="str">
        <f t="shared" si="2"/>
        <v>entity:QNL_B_223_VENTILATON</v>
      </c>
      <c r="B152" s="29" t="s">
        <v>8779</v>
      </c>
      <c r="C152" t="s">
        <v>8780</v>
      </c>
      <c r="D152" t="str" cm="1">
        <f t="array" ref="D152">TRANSPOSE(_xlfn._xlws.FILTER('Controllable Asset Registry'!$A$766:$A$1316,IFERROR('Controllable Asset Registry'!$E$766:$E$1316=A152,FALSE),"No Equipment in entity"))</f>
        <v>No Equipment in entity</v>
      </c>
    </row>
    <row r="153" spans="1:21" x14ac:dyDescent="0.3">
      <c r="A153" t="str">
        <f t="shared" si="2"/>
        <v>entity:QNL_B_224_CORRIDOR</v>
      </c>
      <c r="B153" s="29" t="s">
        <v>8781</v>
      </c>
      <c r="C153" t="s">
        <v>5816</v>
      </c>
      <c r="D153" t="str" cm="1">
        <f t="array" ref="D153">TRANSPOSE(_xlfn._xlws.FILTER('Controllable Asset Registry'!$A$766:$A$1316,IFERROR('Controllable Asset Registry'!$E$766:$E$1316=A153,FALSE),"No Equipment in entity"))</f>
        <v>No Equipment in entity</v>
      </c>
    </row>
    <row r="154" spans="1:21" x14ac:dyDescent="0.3">
      <c r="A154" t="str">
        <f t="shared" si="2"/>
        <v>entity:QNL_B_225_VENTILATON</v>
      </c>
      <c r="B154" s="29" t="s">
        <v>8782</v>
      </c>
      <c r="C154" t="s">
        <v>8780</v>
      </c>
      <c r="D154" t="str" cm="1">
        <f t="array" ref="D154">TRANSPOSE(_xlfn._xlws.FILTER('Controllable Asset Registry'!$A$766:$A$1316,IFERROR('Controllable Asset Registry'!$E$766:$E$1316=A154,FALSE),"No Equipment in entity"))</f>
        <v>No Equipment in entity</v>
      </c>
    </row>
    <row r="155" spans="1:21" x14ac:dyDescent="0.3">
      <c r="A155" t="str">
        <f t="shared" si="2"/>
        <v>entity:QNL_B_226_PUMP_ROOM</v>
      </c>
      <c r="B155" s="29" t="s">
        <v>8784</v>
      </c>
      <c r="C155" t="s">
        <v>8785</v>
      </c>
      <c r="D155" t="str" cm="1">
        <f t="array" ref="D155">TRANSPOSE(_xlfn._xlws.FILTER('Controllable Asset Registry'!$A$766:$A$1316,IFERROR('Controllable Asset Registry'!$E$766:$E$1316=A155,FALSE),"No Equipment in entity"))</f>
        <v>FCU_B_030</v>
      </c>
    </row>
    <row r="156" spans="1:21" x14ac:dyDescent="0.3">
      <c r="A156" t="str">
        <f t="shared" si="2"/>
        <v>entity:QNL_B_227_CORRIDOR</v>
      </c>
      <c r="B156" s="29" t="s">
        <v>8786</v>
      </c>
      <c r="C156" t="s">
        <v>5816</v>
      </c>
      <c r="D156" t="str" cm="1">
        <f t="array" ref="D156">TRANSPOSE(_xlfn._xlws.FILTER('Controllable Asset Registry'!$A$766:$A$1316,IFERROR('Controllable Asset Registry'!$E$766:$E$1316=A156,FALSE),"No Equipment in entity"))</f>
        <v>No Equipment in entity</v>
      </c>
    </row>
    <row r="157" spans="1:21" x14ac:dyDescent="0.3">
      <c r="A157" t="str">
        <f t="shared" si="2"/>
        <v>entity:QNL_B-AT-04A_ST-04A</v>
      </c>
      <c r="B157" s="29" t="s">
        <v>8787</v>
      </c>
      <c r="C157" t="s">
        <v>8788</v>
      </c>
      <c r="D157" t="str" cm="1">
        <f t="array" ref="D157">TRANSPOSE(_xlfn._xlws.FILTER('Controllable Asset Registry'!$A$766:$A$1316,IFERROR('Controllable Asset Registry'!$E$766:$E$1316=A157,FALSE),"No Equipment in entity"))</f>
        <v>No Equipment in entity</v>
      </c>
    </row>
    <row r="158" spans="1:21" x14ac:dyDescent="0.3">
      <c r="A158" t="str">
        <f t="shared" si="2"/>
        <v>entity:QNL_B-L-1_L-1</v>
      </c>
      <c r="B158" s="29" t="s">
        <v>8789</v>
      </c>
      <c r="C158" t="s">
        <v>8790</v>
      </c>
      <c r="D158" t="str" cm="1">
        <f t="array" ref="D158">TRANSPOSE(_xlfn._xlws.FILTER('Controllable Asset Registry'!$A$766:$A$1316,IFERROR('Controllable Asset Registry'!$E$766:$E$1316=A158,FALSE),"No Equipment in entity"))</f>
        <v>No Equipment in entity</v>
      </c>
    </row>
    <row r="159" spans="1:21" x14ac:dyDescent="0.3">
      <c r="A159" t="str">
        <f t="shared" si="2"/>
        <v>entity:QNL_B-L-15_L-15</v>
      </c>
      <c r="B159" s="29" t="s">
        <v>8791</v>
      </c>
      <c r="C159" t="s">
        <v>8792</v>
      </c>
      <c r="D159" t="str" cm="1">
        <f t="array" ref="D159">TRANSPOSE(_xlfn._xlws.FILTER('Controllable Asset Registry'!$A$766:$A$1316,IFERROR('Controllable Asset Registry'!$E$766:$E$1316=A159,FALSE),"No Equipment in entity"))</f>
        <v>No Equipment in entity</v>
      </c>
    </row>
    <row r="160" spans="1:21" x14ac:dyDescent="0.3">
      <c r="A160" t="str">
        <f t="shared" si="2"/>
        <v>entity:QNL_B-L-2_L-2</v>
      </c>
      <c r="B160" s="29" t="s">
        <v>8793</v>
      </c>
      <c r="C160" t="s">
        <v>8794</v>
      </c>
      <c r="D160" t="str" cm="1">
        <f t="array" ref="D160">TRANSPOSE(_xlfn._xlws.FILTER('Controllable Asset Registry'!$A$766:$A$1316,IFERROR('Controllable Asset Registry'!$E$766:$E$1316=A160,FALSE),"No Equipment in entity"))</f>
        <v>No Equipment in entity</v>
      </c>
    </row>
    <row r="161" spans="1:4" x14ac:dyDescent="0.3">
      <c r="A161" t="str">
        <f t="shared" si="2"/>
        <v>entity:QNL_B-L-3_L-3</v>
      </c>
      <c r="B161" s="29" t="s">
        <v>8795</v>
      </c>
      <c r="C161" t="s">
        <v>8796</v>
      </c>
      <c r="D161" t="str" cm="1">
        <f t="array" ref="D161">TRANSPOSE(_xlfn._xlws.FILTER('Controllable Asset Registry'!$A$766:$A$1316,IFERROR('Controllable Asset Registry'!$E$766:$E$1316=A161,FALSE),"No Equipment in entity"))</f>
        <v>No Equipment in entity</v>
      </c>
    </row>
    <row r="162" spans="1:4" x14ac:dyDescent="0.3">
      <c r="A162" t="str">
        <f t="shared" si="2"/>
        <v>entity:QNL_B-L-4_L-4</v>
      </c>
      <c r="B162" s="29" t="s">
        <v>8797</v>
      </c>
      <c r="C162" t="s">
        <v>8798</v>
      </c>
      <c r="D162" t="str" cm="1">
        <f t="array" ref="D162">TRANSPOSE(_xlfn._xlws.FILTER('Controllable Asset Registry'!$A$766:$A$1316,IFERROR('Controllable Asset Registry'!$E$766:$E$1316=A162,FALSE),"No Equipment in entity"))</f>
        <v>No Equipment in entity</v>
      </c>
    </row>
    <row r="163" spans="1:4" x14ac:dyDescent="0.3">
      <c r="A163" t="str">
        <f t="shared" si="2"/>
        <v>entity:QNL_B-ST-01_ST-01</v>
      </c>
      <c r="B163" s="29" t="s">
        <v>8799</v>
      </c>
      <c r="C163" t="s">
        <v>7269</v>
      </c>
      <c r="D163" t="str" cm="1">
        <f t="array" ref="D163">TRANSPOSE(_xlfn._xlws.FILTER('Controllable Asset Registry'!$A$766:$A$1316,IFERROR('Controllable Asset Registry'!$E$766:$E$1316=A163,FALSE),"No Equipment in entity"))</f>
        <v>No Equipment in entity</v>
      </c>
    </row>
    <row r="164" spans="1:4" x14ac:dyDescent="0.3">
      <c r="A164" t="str">
        <f t="shared" si="2"/>
        <v>entity:QNL_B-ST-02_ST-02</v>
      </c>
      <c r="B164" s="29" t="s">
        <v>8800</v>
      </c>
      <c r="C164" t="s">
        <v>8801</v>
      </c>
      <c r="D164" t="str" cm="1">
        <f t="array" ref="D164">TRANSPOSE(_xlfn._xlws.FILTER('Controllable Asset Registry'!$A$766:$A$1316,IFERROR('Controllable Asset Registry'!$E$766:$E$1316=A164,FALSE),"No Equipment in entity"))</f>
        <v>No Equipment in entity</v>
      </c>
    </row>
    <row r="165" spans="1:4" x14ac:dyDescent="0.3">
      <c r="A165" t="str">
        <f t="shared" si="2"/>
        <v>entity:QNL_B-ST-03_ST-03</v>
      </c>
      <c r="B165" s="29" t="s">
        <v>8802</v>
      </c>
      <c r="C165" t="s">
        <v>8803</v>
      </c>
      <c r="D165" t="str" cm="1">
        <f t="array" ref="D165">TRANSPOSE(_xlfn._xlws.FILTER('Controllable Asset Registry'!$A$766:$A$1316,IFERROR('Controllable Asset Registry'!$E$766:$E$1316=A165,FALSE),"No Equipment in entity"))</f>
        <v>No Equipment in entity</v>
      </c>
    </row>
    <row r="166" spans="1:4" x14ac:dyDescent="0.3">
      <c r="A166" t="str">
        <f t="shared" si="2"/>
        <v>entity:QNL_B-ST-05_ST-05</v>
      </c>
      <c r="B166" s="29" t="s">
        <v>8804</v>
      </c>
      <c r="C166" t="s">
        <v>8805</v>
      </c>
      <c r="D166" t="str" cm="1">
        <f t="array" ref="D166">TRANSPOSE(_xlfn._xlws.FILTER('Controllable Asset Registry'!$A$766:$A$1316,IFERROR('Controllable Asset Registry'!$E$766:$E$1316=A166,FALSE),"No Equipment in entity"))</f>
        <v>No Equipment in entity</v>
      </c>
    </row>
    <row r="167" spans="1:4" x14ac:dyDescent="0.3">
      <c r="A167" t="str">
        <f t="shared" si="2"/>
        <v>entity:QNL_B-ST-11_ST-11</v>
      </c>
      <c r="B167" s="29" t="s">
        <v>8806</v>
      </c>
      <c r="C167" t="s">
        <v>8807</v>
      </c>
      <c r="D167" t="str" cm="1">
        <f t="array" ref="D167">TRANSPOSE(_xlfn._xlws.FILTER('Controllable Asset Registry'!$A$766:$A$1316,IFERROR('Controllable Asset Registry'!$E$766:$E$1316=A167,FALSE),"No Equipment in entity"))</f>
        <v>No Equipment in entity</v>
      </c>
    </row>
    <row r="168" spans="1:4" x14ac:dyDescent="0.3">
      <c r="A168" t="str">
        <f t="shared" si="2"/>
        <v>entity:QNL_B-ST-12_ST-12</v>
      </c>
      <c r="B168" s="29" t="s">
        <v>8808</v>
      </c>
      <c r="C168" t="s">
        <v>8809</v>
      </c>
      <c r="D168" t="str" cm="1">
        <f t="array" ref="D168">TRANSPOSE(_xlfn._xlws.FILTER('Controllable Asset Registry'!$A$766:$A$1316,IFERROR('Controllable Asset Registry'!$E$766:$E$1316=A168,FALSE),"No Equipment in entity"))</f>
        <v>No Equipment in entity</v>
      </c>
    </row>
    <row r="169" spans="1:4" x14ac:dyDescent="0.3">
      <c r="A169" t="str">
        <f t="shared" si="2"/>
        <v>entity:QNL_ST-04_ST-04</v>
      </c>
      <c r="B169" s="29" t="s">
        <v>7270</v>
      </c>
      <c r="C169" t="s">
        <v>7270</v>
      </c>
      <c r="D169" t="str" cm="1">
        <f t="array" ref="D169">TRANSPOSE(_xlfn._xlws.FILTER('Controllable Asset Registry'!$A$766:$A$1316,IFERROR('Controllable Asset Registry'!$E$766:$E$1316=A169,FALSE),"No Equipment in entity"))</f>
        <v>No Equipment in entity</v>
      </c>
    </row>
    <row r="170" spans="1:4" x14ac:dyDescent="0.3">
      <c r="A170" t="str">
        <f t="shared" si="2"/>
        <v>entity:QNL_L1_154_CORRIDOR</v>
      </c>
      <c r="B170" s="29" t="s">
        <v>8810</v>
      </c>
      <c r="C170" t="s">
        <v>5816</v>
      </c>
      <c r="D170" t="str" cm="1">
        <f t="array" ref="D170">TRANSPOSE(_xlfn._xlws.FILTER('Controllable Asset Registry'!$A$766:$A$1316,IFERROR('Controllable Asset Registry'!$E$766:$E$1316=A170,FALSE),"No Equipment in entity"))</f>
        <v>No Equipment in entity</v>
      </c>
    </row>
    <row r="171" spans="1:4" x14ac:dyDescent="0.3">
      <c r="A171" t="str">
        <f t="shared" si="2"/>
        <v>entity:QNL_L1_155_SECURITY_ROOM</v>
      </c>
      <c r="B171" s="29" t="s">
        <v>8811</v>
      </c>
      <c r="C171" t="s">
        <v>8713</v>
      </c>
      <c r="D171" t="str" cm="1">
        <f t="array" ref="D171">TRANSPOSE(_xlfn._xlws.FILTER('Controllable Asset Registry'!$A$766:$A$1316,IFERROR('Controllable Asset Registry'!$E$766:$E$1316=A171,FALSE),"No Equipment in entity"))</f>
        <v>No Equipment in entity</v>
      </c>
    </row>
    <row r="172" spans="1:4" x14ac:dyDescent="0.3">
      <c r="A172" t="str">
        <f t="shared" si="2"/>
        <v>entity:QNL_L1_156_M2_HVAC_SHAFT</v>
      </c>
      <c r="B172" s="29" t="s">
        <v>8812</v>
      </c>
      <c r="C172" t="s">
        <v>8813</v>
      </c>
      <c r="D172" t="str" cm="1">
        <f t="array" ref="D172">TRANSPOSE(_xlfn._xlws.FILTER('Controllable Asset Registry'!$A$766:$A$1316,IFERROR('Controllable Asset Registry'!$E$766:$E$1316=A172,FALSE),"No Equipment in entity"))</f>
        <v>No Equipment in entity</v>
      </c>
    </row>
    <row r="173" spans="1:4" x14ac:dyDescent="0.3">
      <c r="A173" t="str">
        <f t="shared" si="2"/>
        <v>entity:QNL_L1_157_E2_ELEC_SHAFT</v>
      </c>
      <c r="B173" s="29" t="s">
        <v>8814</v>
      </c>
      <c r="C173" t="s">
        <v>8815</v>
      </c>
      <c r="D173" t="str" cm="1">
        <f t="array" ref="D173">TRANSPOSE(_xlfn._xlws.FILTER('Controllable Asset Registry'!$A$766:$A$1316,IFERROR('Controllable Asset Registry'!$E$766:$E$1316=A173,FALSE),"No Equipment in entity"))</f>
        <v>No Equipment in entity</v>
      </c>
    </row>
    <row r="174" spans="1:4" x14ac:dyDescent="0.3">
      <c r="A174" t="str">
        <f t="shared" si="2"/>
        <v>entity:QNL_L1_158_M1_HVAC_SHAFT</v>
      </c>
      <c r="B174" s="29" t="s">
        <v>8816</v>
      </c>
      <c r="C174" t="s">
        <v>8453</v>
      </c>
      <c r="D174" t="str" cm="1">
        <f t="array" ref="D174">TRANSPOSE(_xlfn._xlws.FILTER('Controllable Asset Registry'!$A$766:$A$1316,IFERROR('Controllable Asset Registry'!$E$766:$E$1316=A174,FALSE),"No Equipment in entity"))</f>
        <v>No Equipment in entity</v>
      </c>
    </row>
    <row r="175" spans="1:4" x14ac:dyDescent="0.3">
      <c r="A175" t="str">
        <f t="shared" si="2"/>
        <v>entity:QNL_L1_159_E1_ELEC_SHAFT</v>
      </c>
      <c r="B175" s="29" t="s">
        <v>8817</v>
      </c>
      <c r="C175" t="s">
        <v>8455</v>
      </c>
      <c r="D175" t="str" cm="1">
        <f t="array" ref="D175">TRANSPOSE(_xlfn._xlws.FILTER('Controllable Asset Registry'!$A$766:$A$1316,IFERROR('Controllable Asset Registry'!$E$766:$E$1316=A175,FALSE),"No Equipment in entity"))</f>
        <v>No Equipment in entity</v>
      </c>
    </row>
    <row r="176" spans="1:4" x14ac:dyDescent="0.3">
      <c r="A176" t="str">
        <f t="shared" si="2"/>
        <v>entity:QNL_L1_160_M3_HVAC_SHAFT</v>
      </c>
      <c r="B176" s="29" t="s">
        <v>8818</v>
      </c>
      <c r="C176" t="s">
        <v>8472</v>
      </c>
      <c r="D176" t="str" cm="1">
        <f t="array" ref="D176">TRANSPOSE(_xlfn._xlws.FILTER('Controllable Asset Registry'!$A$766:$A$1316,IFERROR('Controllable Asset Registry'!$E$766:$E$1316=A176,FALSE),"No Equipment in entity"))</f>
        <v>No Equipment in entity</v>
      </c>
    </row>
    <row r="177" spans="1:12" x14ac:dyDescent="0.3">
      <c r="A177" t="str">
        <f t="shared" si="2"/>
        <v>entity:QNL_L1_161_N2_PIPE_SHAFT</v>
      </c>
      <c r="B177" s="29" t="s">
        <v>8819</v>
      </c>
      <c r="C177" t="s">
        <v>8820</v>
      </c>
      <c r="D177" t="str" cm="1">
        <f t="array" ref="D177">TRANSPOSE(_xlfn._xlws.FILTER('Controllable Asset Registry'!$A$766:$A$1316,IFERROR('Controllable Asset Registry'!$E$766:$E$1316=A177,FALSE),"No Equipment in entity"))</f>
        <v>No Equipment in entity</v>
      </c>
    </row>
    <row r="178" spans="1:12" x14ac:dyDescent="0.3">
      <c r="A178" t="str">
        <f t="shared" si="2"/>
        <v>entity:QNL_L1_162_STORE</v>
      </c>
      <c r="B178" s="29" t="s">
        <v>8821</v>
      </c>
      <c r="C178" t="s">
        <v>8822</v>
      </c>
      <c r="D178" t="str" cm="1">
        <f t="array" ref="D178">TRANSPOSE(_xlfn._xlws.FILTER('Controllable Asset Registry'!$A$766:$A$1316,IFERROR('Controllable Asset Registry'!$E$766:$E$1316=A178,FALSE),"No Equipment in entity"))</f>
        <v>No Equipment in entity</v>
      </c>
    </row>
    <row r="179" spans="1:12" x14ac:dyDescent="0.3">
      <c r="A179" t="str">
        <f t="shared" si="2"/>
        <v>entity:QNL_L1_001_OPEN_READING_AREA</v>
      </c>
      <c r="B179" s="29" t="s">
        <v>8824</v>
      </c>
      <c r="C179" t="s">
        <v>8825</v>
      </c>
      <c r="D179" t="str" cm="1">
        <f t="array" ref="D179:L179">TRANSPOSE(_xlfn._xlws.FILTER('Controllable Asset Registry'!$A$766:$A$1316,IFERROR('Controllable Asset Registry'!$E$766:$E$1316=A179,FALSE),"No Equipment in entity"))</f>
        <v>VAV_2F_S12_001</v>
      </c>
      <c r="E179" t="str">
        <v>VAV_2F_S12_002</v>
      </c>
      <c r="F179" t="str">
        <v>VAV_2F_S12_003</v>
      </c>
      <c r="G179" t="str">
        <v>VAV_2F_S12_004</v>
      </c>
      <c r="H179" t="str">
        <v>VAV_2F_S12_005</v>
      </c>
      <c r="I179" t="str">
        <v>VAV_2F_S12_006</v>
      </c>
      <c r="J179" t="str">
        <v>VAV_2F_S12_007</v>
      </c>
      <c r="K179" t="str">
        <v>VAV_2F_S12_008</v>
      </c>
      <c r="L179" t="str">
        <v>VAV_2F_S12_009</v>
      </c>
    </row>
    <row r="180" spans="1:12" x14ac:dyDescent="0.3">
      <c r="A180" t="str">
        <f t="shared" si="2"/>
        <v>entity:QNL_L1_002_BRAILLE_READER</v>
      </c>
      <c r="B180" s="29" t="s">
        <v>8827</v>
      </c>
      <c r="C180" t="s">
        <v>8828</v>
      </c>
      <c r="D180" t="str" cm="1">
        <f t="array" ref="D180:E180">TRANSPOSE(_xlfn._xlws.FILTER('Controllable Asset Registry'!$A$766:$A$1316,IFERROR('Controllable Asset Registry'!$E$766:$E$1316=A180,FALSE),"No Equipment in entity"))</f>
        <v>VAV_2F_S12_010</v>
      </c>
      <c r="E180" t="str">
        <v>VAV_2F_S12_011</v>
      </c>
    </row>
    <row r="181" spans="1:12" x14ac:dyDescent="0.3">
      <c r="A181" t="str">
        <f t="shared" si="2"/>
        <v>entity:QNL_L1_002A_GREEM_ROOM</v>
      </c>
      <c r="B181" s="29" t="s">
        <v>8830</v>
      </c>
      <c r="C181" t="s">
        <v>8831</v>
      </c>
      <c r="D181" t="str" cm="1">
        <f t="array" ref="D181:E181">TRANSPOSE(_xlfn._xlws.FILTER('Controllable Asset Registry'!$A$766:$A$1316,IFERROR('Controllable Asset Registry'!$E$766:$E$1316=A181,FALSE),"No Equipment in entity"))</f>
        <v>VAV_1F_S15_039</v>
      </c>
      <c r="E181" t="str">
        <v>VAV_1F_S15_040</v>
      </c>
    </row>
    <row r="182" spans="1:12" x14ac:dyDescent="0.3">
      <c r="A182" t="str">
        <f t="shared" si="2"/>
        <v>entity:QNL_L1_003_TUTORING_HEAD</v>
      </c>
      <c r="B182" s="29" t="s">
        <v>8833</v>
      </c>
      <c r="C182" t="s">
        <v>8834</v>
      </c>
      <c r="D182" t="str" cm="1">
        <f t="array" ref="D182">TRANSPOSE(_xlfn._xlws.FILTER('Controllable Asset Registry'!$A$766:$A$1316,IFERROR('Controllable Asset Registry'!$E$766:$E$1316=A182,FALSE),"No Equipment in entity"))</f>
        <v>VAV_2F_S12_012</v>
      </c>
    </row>
    <row r="183" spans="1:12" x14ac:dyDescent="0.3">
      <c r="A183" t="str">
        <f t="shared" si="2"/>
        <v>entity:QNL_L1_004_WRITING_ROOM1</v>
      </c>
      <c r="B183" s="29" t="s">
        <v>8836</v>
      </c>
      <c r="C183" t="s">
        <v>8837</v>
      </c>
      <c r="D183" t="str" cm="1">
        <f t="array" ref="D183">TRANSPOSE(_xlfn._xlws.FILTER('Controllable Asset Registry'!$A$766:$A$1316,IFERROR('Controllable Asset Registry'!$E$766:$E$1316=A183,FALSE),"No Equipment in entity"))</f>
        <v>VAV_2F_S12_013</v>
      </c>
    </row>
    <row r="184" spans="1:12" x14ac:dyDescent="0.3">
      <c r="A184" t="str">
        <f t="shared" si="2"/>
        <v>entity:QNL_L1_005_WRITING_ROOM2</v>
      </c>
      <c r="B184" s="29" t="s">
        <v>8839</v>
      </c>
      <c r="C184" t="s">
        <v>8840</v>
      </c>
      <c r="D184" t="str" cm="1">
        <f t="array" ref="D184:E184">TRANSPOSE(_xlfn._xlws.FILTER('Controllable Asset Registry'!$A$766:$A$1316,IFERROR('Controllable Asset Registry'!$E$766:$E$1316=A184,FALSE),"No Equipment in entity"))</f>
        <v>VAV_2F_S12_014</v>
      </c>
      <c r="E184" t="str">
        <v>VAV_2F_S12_015</v>
      </c>
    </row>
    <row r="185" spans="1:12" x14ac:dyDescent="0.3">
      <c r="A185" t="str">
        <f t="shared" si="2"/>
        <v>entity:QNL_L1_006_WRITING_HEAD</v>
      </c>
      <c r="B185" s="29" t="s">
        <v>8841</v>
      </c>
      <c r="C185" t="s">
        <v>8842</v>
      </c>
      <c r="D185" t="str" cm="1">
        <f t="array" ref="D185">TRANSPOSE(_xlfn._xlws.FILTER('Controllable Asset Registry'!$A$766:$A$1316,IFERROR('Controllable Asset Registry'!$E$766:$E$1316=A185,FALSE),"No Equipment in entity"))</f>
        <v>No Equipment in entity</v>
      </c>
    </row>
    <row r="186" spans="1:12" x14ac:dyDescent="0.3">
      <c r="A186" t="str">
        <f t="shared" si="2"/>
        <v>entity:QNL_L1_007_STUDENT_CARRLES</v>
      </c>
      <c r="B186" s="29" t="s">
        <v>8844</v>
      </c>
      <c r="C186" t="s">
        <v>8845</v>
      </c>
      <c r="D186" t="str" cm="1">
        <f t="array" ref="D186:H186">TRANSPOSE(_xlfn._xlws.FILTER('Controllable Asset Registry'!$A$766:$A$1316,IFERROR('Controllable Asset Registry'!$E$766:$E$1316=A186,FALSE),"No Equipment in entity"))</f>
        <v>VAV_2F_S12_016</v>
      </c>
      <c r="E186" t="str">
        <v>VAV_2F_S12_017</v>
      </c>
      <c r="F186" t="str">
        <v>VAV_2F_S12_018</v>
      </c>
      <c r="G186" t="str">
        <v>VAV_2F_S12_019</v>
      </c>
      <c r="H186" t="str">
        <v>VAV_2F_S12_020</v>
      </c>
    </row>
    <row r="187" spans="1:12" x14ac:dyDescent="0.3">
      <c r="A187" t="str">
        <f t="shared" si="2"/>
        <v>entity:QNL_L1_020_INFO_LITERACY_INSTR1</v>
      </c>
      <c r="B187" s="29" t="s">
        <v>8847</v>
      </c>
      <c r="C187" t="s">
        <v>8848</v>
      </c>
      <c r="D187" t="str" cm="1">
        <f t="array" ref="D187:E187">TRANSPOSE(_xlfn._xlws.FILTER('Controllable Asset Registry'!$A$766:$A$1316,IFERROR('Controllable Asset Registry'!$E$766:$E$1316=A187,FALSE),"No Equipment in entity"))</f>
        <v>VAV_1F_S11_004</v>
      </c>
      <c r="E187" t="str">
        <v>VAV_1F_S11_005</v>
      </c>
    </row>
    <row r="188" spans="1:12" x14ac:dyDescent="0.3">
      <c r="A188" t="str">
        <f t="shared" si="2"/>
        <v>entity:QNL_L1_021_INFO_LITERACY_INSTR2</v>
      </c>
      <c r="B188" s="29" t="s">
        <v>8850</v>
      </c>
      <c r="C188" t="s">
        <v>8851</v>
      </c>
      <c r="D188" t="str" cm="1">
        <f t="array" ref="D188:K188">TRANSPOSE(_xlfn._xlws.FILTER('Controllable Asset Registry'!$A$766:$A$1316,IFERROR('Controllable Asset Registry'!$E$766:$E$1316=A188,FALSE),"No Equipment in entity"))</f>
        <v>VAV_1F_S11_006</v>
      </c>
      <c r="E188" t="str">
        <v>VAV_1F_S11_007</v>
      </c>
      <c r="F188" t="str">
        <v>VAV_1F_S11_008</v>
      </c>
      <c r="G188" t="str">
        <v>VAV_1F_S11_009</v>
      </c>
      <c r="H188" t="str">
        <v>VAV_1F_S11_010</v>
      </c>
      <c r="I188" t="str">
        <v>VAV_1F_S11_011</v>
      </c>
      <c r="J188" t="str">
        <v>VAV_1F_S11_012</v>
      </c>
      <c r="K188" t="str">
        <v>VAV_1F_S11_013</v>
      </c>
    </row>
    <row r="189" spans="1:12" x14ac:dyDescent="0.3">
      <c r="A189" t="str">
        <f t="shared" si="2"/>
        <v>entity:QNL_L1_022_COMPUTER_CLASSROOM</v>
      </c>
      <c r="B189" s="29" t="s">
        <v>8853</v>
      </c>
      <c r="C189" t="s">
        <v>8854</v>
      </c>
      <c r="D189" t="str" cm="1">
        <f t="array" ref="D189:K189">TRANSPOSE(_xlfn._xlws.FILTER('Controllable Asset Registry'!$A$766:$A$1316,IFERROR('Controllable Asset Registry'!$E$766:$E$1316=A189,FALSE),"No Equipment in entity"))</f>
        <v>VAV_1F_S11_014</v>
      </c>
      <c r="E189" t="str">
        <v>VAV_1F_S11_015</v>
      </c>
      <c r="F189" t="str">
        <v>VAV_1F_S11_016</v>
      </c>
      <c r="G189" t="str">
        <v>VAV_1F_S11_017</v>
      </c>
      <c r="H189" t="str">
        <v>VAV_1F_S11_018</v>
      </c>
      <c r="I189" t="str">
        <v>VAV_1F_S11_019</v>
      </c>
      <c r="J189" t="str">
        <v>VAV_1F_S11_020</v>
      </c>
      <c r="K189" t="str">
        <v>VAV_1F_S11_021</v>
      </c>
    </row>
    <row r="190" spans="1:12" x14ac:dyDescent="0.3">
      <c r="A190" t="str">
        <f t="shared" si="2"/>
        <v>entity:QNL_L1023_1_CORRIDOR</v>
      </c>
      <c r="B190" s="29" t="s">
        <v>8855</v>
      </c>
      <c r="C190" t="s">
        <v>5816</v>
      </c>
      <c r="D190" t="str" cm="1">
        <f t="array" ref="D190">TRANSPOSE(_xlfn._xlws.FILTER('Controllable Asset Registry'!$A$766:$A$1316,IFERROR('Controllable Asset Registry'!$E$766:$E$1316=A190,FALSE),"No Equipment in entity"))</f>
        <v>No Equipment in entity</v>
      </c>
    </row>
    <row r="191" spans="1:12" x14ac:dyDescent="0.3">
      <c r="A191" t="str">
        <f t="shared" si="2"/>
        <v>entity:QNL_L1023_2_CORRIDOR</v>
      </c>
      <c r="B191" s="29" t="s">
        <v>8857</v>
      </c>
      <c r="C191" t="s">
        <v>5816</v>
      </c>
      <c r="D191" t="str" cm="1">
        <f t="array" ref="D191:G191">TRANSPOSE(_xlfn._xlws.FILTER('Controllable Asset Registry'!$A$766:$A$1316,IFERROR('Controllable Asset Registry'!$E$766:$E$1316=A191,FALSE),"No Equipment in entity"))</f>
        <v>VAV_1F_S11_087</v>
      </c>
      <c r="E191" t="str">
        <v>VAV_1F_S11_088</v>
      </c>
      <c r="F191" t="str">
        <v>VAV_1F_S11_089</v>
      </c>
      <c r="G191" t="str">
        <v>VAV_1F_S11_090</v>
      </c>
    </row>
    <row r="192" spans="1:12" x14ac:dyDescent="0.3">
      <c r="A192" t="str">
        <f t="shared" si="2"/>
        <v>entity:QNL_L1023_3_CORRIDOR</v>
      </c>
      <c r="B192" s="29" t="s">
        <v>8858</v>
      </c>
      <c r="C192" t="s">
        <v>5816</v>
      </c>
      <c r="D192" t="str" cm="1">
        <f t="array" ref="D192">TRANSPOSE(_xlfn._xlws.FILTER('Controllable Asset Registry'!$A$766:$A$1316,IFERROR('Controllable Asset Registry'!$E$766:$E$1316=A192,FALSE),"No Equipment in entity"))</f>
        <v>No Equipment in entity</v>
      </c>
    </row>
    <row r="193" spans="1:12" x14ac:dyDescent="0.3">
      <c r="A193" t="str">
        <f t="shared" si="2"/>
        <v>entity:QNL_L1_024_REST_ROOM_MEN</v>
      </c>
      <c r="B193" s="29" t="s">
        <v>8859</v>
      </c>
      <c r="C193" t="s">
        <v>8533</v>
      </c>
      <c r="D193" t="str" cm="1">
        <f t="array" ref="D193">TRANSPOSE(_xlfn._xlws.FILTER('Controllable Asset Registry'!$A$766:$A$1316,IFERROR('Controllable Asset Registry'!$E$766:$E$1316=A193,FALSE),"No Equipment in entity"))</f>
        <v>No Equipment in entity</v>
      </c>
    </row>
    <row r="194" spans="1:12" x14ac:dyDescent="0.3">
      <c r="A194" t="str">
        <f t="shared" ref="A194:A257" si="3">"entity:QNL_"&amp;B194&amp;"_"&amp;C194</f>
        <v>entity:QNL_L1_025_REST_ROOM_WOMEN</v>
      </c>
      <c r="B194" s="29" t="s">
        <v>8860</v>
      </c>
      <c r="C194" t="s">
        <v>8537</v>
      </c>
      <c r="D194" t="str" cm="1">
        <f t="array" ref="D194">TRANSPOSE(_xlfn._xlws.FILTER('Controllable Asset Registry'!$A$766:$A$1316,IFERROR('Controllable Asset Registry'!$E$766:$E$1316=A194,FALSE),"No Equipment in entity"))</f>
        <v>No Equipment in entity</v>
      </c>
    </row>
    <row r="195" spans="1:12" x14ac:dyDescent="0.3">
      <c r="A195" t="str">
        <f t="shared" si="3"/>
        <v>entity:QNL_L1_026_GROUP_STUDY_ROOM1</v>
      </c>
      <c r="B195" s="29" t="s">
        <v>8862</v>
      </c>
      <c r="C195" t="s">
        <v>8863</v>
      </c>
      <c r="D195" t="str" cm="1">
        <f t="array" ref="D195">TRANSPOSE(_xlfn._xlws.FILTER('Controllable Asset Registry'!$A$766:$A$1316,IFERROR('Controllable Asset Registry'!$E$766:$E$1316=A195,FALSE),"No Equipment in entity"))</f>
        <v>VAV_1F_S11_001</v>
      </c>
    </row>
    <row r="196" spans="1:12" x14ac:dyDescent="0.3">
      <c r="A196" t="str">
        <f t="shared" si="3"/>
        <v>entity:QNL_L1_027_GROUP_STUDY_ROOM2</v>
      </c>
      <c r="B196" s="29" t="s">
        <v>8865</v>
      </c>
      <c r="C196" t="s">
        <v>8866</v>
      </c>
      <c r="D196" t="str" cm="1">
        <f t="array" ref="D196">TRANSPOSE(_xlfn._xlws.FILTER('Controllable Asset Registry'!$A$766:$A$1316,IFERROR('Controllable Asset Registry'!$E$766:$E$1316=A196,FALSE),"No Equipment in entity"))</f>
        <v>VAV_1F_S11_002</v>
      </c>
    </row>
    <row r="197" spans="1:12" x14ac:dyDescent="0.3">
      <c r="A197" t="str">
        <f t="shared" si="3"/>
        <v>entity:QNL_L1_028_GROUP_STUDY_ROOM3</v>
      </c>
      <c r="B197" s="29" t="s">
        <v>8868</v>
      </c>
      <c r="C197" t="s">
        <v>8869</v>
      </c>
      <c r="D197" t="str" cm="1">
        <f t="array" ref="D197">TRANSPOSE(_xlfn._xlws.FILTER('Controllable Asset Registry'!$A$766:$A$1316,IFERROR('Controllable Asset Registry'!$E$766:$E$1316=A197,FALSE),"No Equipment in entity"))</f>
        <v>VAV_1F_S11_003</v>
      </c>
    </row>
    <row r="198" spans="1:12" x14ac:dyDescent="0.3">
      <c r="A198" t="str">
        <f t="shared" si="3"/>
        <v>entity:QNL_L1_029_GROUP_STUDY_ROOM4</v>
      </c>
      <c r="B198" s="29" t="s">
        <v>8871</v>
      </c>
      <c r="C198" t="s">
        <v>8872</v>
      </c>
      <c r="D198" t="str" cm="1">
        <f t="array" ref="D198">TRANSPOSE(_xlfn._xlws.FILTER('Controllable Asset Registry'!$A$766:$A$1316,IFERROR('Controllable Asset Registry'!$E$766:$E$1316=A198,FALSE),"No Equipment in entity"))</f>
        <v>VAV_1F_S11_022</v>
      </c>
    </row>
    <row r="199" spans="1:12" x14ac:dyDescent="0.3">
      <c r="A199" t="str">
        <f t="shared" si="3"/>
        <v>entity:QNL_L1_030_ICT_ROOM_02</v>
      </c>
      <c r="B199" s="29" t="s">
        <v>8874</v>
      </c>
      <c r="C199" t="s">
        <v>8875</v>
      </c>
      <c r="D199" t="str" cm="1">
        <f t="array" ref="D199">TRANSPOSE(_xlfn._xlws.FILTER('Controllable Asset Registry'!$A$766:$A$1316,IFERROR('Controllable Asset Registry'!$E$766:$E$1316=A199,FALSE),"No Equipment in entity"))</f>
        <v>FCU_1F_002</v>
      </c>
    </row>
    <row r="200" spans="1:12" x14ac:dyDescent="0.3">
      <c r="A200" t="str">
        <f t="shared" si="3"/>
        <v>entity:QNL_L1_040_HEAD_LIBRARIAN_OFFICE</v>
      </c>
      <c r="B200" s="29" t="s">
        <v>8877</v>
      </c>
      <c r="C200" t="s">
        <v>8878</v>
      </c>
      <c r="D200" t="str" cm="1">
        <f t="array" ref="D200">TRANSPOSE(_xlfn._xlws.FILTER('Controllable Asset Registry'!$A$766:$A$1316,IFERROR('Controllable Asset Registry'!$E$766:$E$1316=A200,FALSE),"No Equipment in entity"))</f>
        <v>VAV_1F_S15_005</v>
      </c>
    </row>
    <row r="201" spans="1:12" x14ac:dyDescent="0.3">
      <c r="A201" t="str">
        <f t="shared" si="3"/>
        <v>entity:QNL_L1_041_MULTPURPOSE_ROOM</v>
      </c>
      <c r="B201" s="29" t="s">
        <v>8880</v>
      </c>
      <c r="C201" t="s">
        <v>8881</v>
      </c>
      <c r="D201" t="str" cm="1">
        <f t="array" ref="D201:F201">TRANSPOSE(_xlfn._xlws.FILTER('Controllable Asset Registry'!$A$766:$A$1316,IFERROR('Controllable Asset Registry'!$E$766:$E$1316=A201,FALSE),"No Equipment in entity"))</f>
        <v>VAV_1F_S15_096</v>
      </c>
      <c r="E201" t="str">
        <v>VAV_1F_S15_097</v>
      </c>
      <c r="F201" t="str">
        <v>VAV_1F_S15_098</v>
      </c>
    </row>
    <row r="202" spans="1:12" x14ac:dyDescent="0.3">
      <c r="A202" t="str">
        <f t="shared" si="3"/>
        <v>entity:QNL_L1_042_LOBBY</v>
      </c>
      <c r="B202" s="29" t="s">
        <v>8882</v>
      </c>
      <c r="C202" t="s">
        <v>6007</v>
      </c>
      <c r="D202" t="str" cm="1">
        <f t="array" ref="D202">TRANSPOSE(_xlfn._xlws.FILTER('Controllable Asset Registry'!$A$766:$A$1316,IFERROR('Controllable Asset Registry'!$E$766:$E$1316=A202,FALSE),"No Equipment in entity"))</f>
        <v>No Equipment in entity</v>
      </c>
    </row>
    <row r="203" spans="1:12" x14ac:dyDescent="0.3">
      <c r="A203" t="str">
        <f t="shared" si="3"/>
        <v>entity:QNL_L1_043_BABY_CHAN</v>
      </c>
      <c r="B203" s="29" t="s">
        <v>8883</v>
      </c>
      <c r="C203" t="s">
        <v>8884</v>
      </c>
      <c r="D203" t="str" cm="1">
        <f t="array" ref="D203">TRANSPOSE(_xlfn._xlws.FILTER('Controllable Asset Registry'!$A$766:$A$1316,IFERROR('Controllable Asset Registry'!$E$766:$E$1316=A203,FALSE),"No Equipment in entity"))</f>
        <v>No Equipment in entity</v>
      </c>
    </row>
    <row r="204" spans="1:12" x14ac:dyDescent="0.3">
      <c r="A204" t="str">
        <f t="shared" si="3"/>
        <v>entity:QNL_L1_044_BREAST_FEEDING</v>
      </c>
      <c r="B204" s="29" t="s">
        <v>8885</v>
      </c>
      <c r="C204" t="s">
        <v>8886</v>
      </c>
      <c r="D204" t="str" cm="1">
        <f t="array" ref="D204">TRANSPOSE(_xlfn._xlws.FILTER('Controllable Asset Registry'!$A$766:$A$1316,IFERROR('Controllable Asset Registry'!$E$766:$E$1316=A204,FALSE),"No Equipment in entity"))</f>
        <v>No Equipment in entity</v>
      </c>
    </row>
    <row r="205" spans="1:12" x14ac:dyDescent="0.3">
      <c r="A205" t="str">
        <f t="shared" si="3"/>
        <v>entity:QNL_L1_045_FEMALE_TOILET</v>
      </c>
      <c r="B205" s="29" t="s">
        <v>8887</v>
      </c>
      <c r="C205" t="s">
        <v>6709</v>
      </c>
      <c r="D205" t="str" cm="1">
        <f t="array" ref="D205">TRANSPOSE(_xlfn._xlws.FILTER('Controllable Asset Registry'!$A$766:$A$1316,IFERROR('Controllable Asset Registry'!$E$766:$E$1316=A205,FALSE),"No Equipment in entity"))</f>
        <v>No Equipment in entity</v>
      </c>
    </row>
    <row r="206" spans="1:12" x14ac:dyDescent="0.3">
      <c r="A206" t="str">
        <f t="shared" si="3"/>
        <v>entity:QNL_L1_046_MALE_TOILET</v>
      </c>
      <c r="B206" s="29" t="s">
        <v>8888</v>
      </c>
      <c r="C206" t="s">
        <v>6706</v>
      </c>
      <c r="D206" t="str" cm="1">
        <f t="array" ref="D206">TRANSPOSE(_xlfn._xlws.FILTER('Controllable Asset Registry'!$A$766:$A$1316,IFERROR('Controllable Asset Registry'!$E$766:$E$1316=A206,FALSE),"No Equipment in entity"))</f>
        <v>No Equipment in entity</v>
      </c>
    </row>
    <row r="207" spans="1:12" x14ac:dyDescent="0.3">
      <c r="A207" t="str">
        <f t="shared" si="3"/>
        <v>entity:QNL_L1_047_CHILDREN_LIBRARY_-_PRE_SCHOOL_READING_&amp;_PLAYING</v>
      </c>
      <c r="B207" s="29" t="s">
        <v>8890</v>
      </c>
      <c r="C207" t="s">
        <v>8891</v>
      </c>
      <c r="D207" t="str" cm="1">
        <f t="array" ref="D207:L207">TRANSPOSE(_xlfn._xlws.FILTER('Controllable Asset Registry'!$A$766:$A$1316,IFERROR('Controllable Asset Registry'!$E$766:$E$1316=A207,FALSE),"No Equipment in entity"))</f>
        <v>VAV_1F_S15_006</v>
      </c>
      <c r="E207" t="str">
        <v>VAV_1F_S15_007</v>
      </c>
      <c r="F207" t="str">
        <v>VAV_1F_S15_008</v>
      </c>
      <c r="G207" t="str">
        <v>VAV_1F_S15_009</v>
      </c>
      <c r="H207" t="str">
        <v>VAV_1F_S15_010</v>
      </c>
      <c r="I207" t="str">
        <v>VAV_1F_S15_011</v>
      </c>
      <c r="J207" t="str">
        <v>CAV_1F_S11_006</v>
      </c>
      <c r="K207" t="str">
        <v>CAV_1F_S11_008</v>
      </c>
      <c r="L207" t="str">
        <v>CAV_1F_S11_009</v>
      </c>
    </row>
    <row r="208" spans="1:12" x14ac:dyDescent="0.3">
      <c r="A208" t="str">
        <f t="shared" si="3"/>
        <v>entity:QNL_L1_048_STAFF_OFFICE</v>
      </c>
      <c r="B208" s="29" t="s">
        <v>8893</v>
      </c>
      <c r="C208" t="s">
        <v>8894</v>
      </c>
      <c r="D208" t="str" cm="1">
        <f t="array" ref="D208:E208">TRANSPOSE(_xlfn._xlws.FILTER('Controllable Asset Registry'!$A$766:$A$1316,IFERROR('Controllable Asset Registry'!$E$766:$E$1316=A208,FALSE),"No Equipment in entity"))</f>
        <v>VAV_1F_S15_012</v>
      </c>
      <c r="E208" t="str">
        <v>VAV_1F_S15_039S</v>
      </c>
    </row>
    <row r="209" spans="1:7" x14ac:dyDescent="0.3">
      <c r="A209" t="str">
        <f t="shared" si="3"/>
        <v>entity:QNL_L1_049_STORAGE</v>
      </c>
      <c r="B209" s="29" t="s">
        <v>8895</v>
      </c>
      <c r="C209" t="s">
        <v>5833</v>
      </c>
      <c r="D209" t="str" cm="1">
        <f t="array" ref="D209">TRANSPOSE(_xlfn._xlws.FILTER('Controllable Asset Registry'!$A$766:$A$1316,IFERROR('Controllable Asset Registry'!$E$766:$E$1316=A209,FALSE),"No Equipment in entity"))</f>
        <v>No Equipment in entity</v>
      </c>
    </row>
    <row r="210" spans="1:7" x14ac:dyDescent="0.3">
      <c r="A210" t="str">
        <f t="shared" si="3"/>
        <v>entity:QNL_L1_050_STROLLER_PARKING</v>
      </c>
      <c r="B210" s="29" t="s">
        <v>8896</v>
      </c>
      <c r="C210" t="s">
        <v>8897</v>
      </c>
      <c r="D210" t="str" cm="1">
        <f t="array" ref="D210">TRANSPOSE(_xlfn._xlws.FILTER('Controllable Asset Registry'!$A$766:$A$1316,IFERROR('Controllable Asset Registry'!$E$766:$E$1316=A210,FALSE),"No Equipment in entity"))</f>
        <v>No Equipment in entity</v>
      </c>
    </row>
    <row r="211" spans="1:7" x14ac:dyDescent="0.3">
      <c r="A211" t="str">
        <f t="shared" si="3"/>
        <v>entity:QNL_L1_061_REST_ROOM_MEN</v>
      </c>
      <c r="B211" s="29" t="s">
        <v>8898</v>
      </c>
      <c r="C211" t="s">
        <v>8533</v>
      </c>
      <c r="D211" t="str" cm="1">
        <f t="array" ref="D211">TRANSPOSE(_xlfn._xlws.FILTER('Controllable Asset Registry'!$A$766:$A$1316,IFERROR('Controllable Asset Registry'!$E$766:$E$1316=A211,FALSE),"No Equipment in entity"))</f>
        <v>No Equipment in entity</v>
      </c>
    </row>
    <row r="212" spans="1:7" x14ac:dyDescent="0.3">
      <c r="A212" t="str">
        <f t="shared" si="3"/>
        <v>entity:QNL_L1_062_REST_ROOM_WOMEN</v>
      </c>
      <c r="B212" s="29" t="s">
        <v>8899</v>
      </c>
      <c r="C212" t="s">
        <v>8537</v>
      </c>
      <c r="D212" t="str" cm="1">
        <f t="array" ref="D212">TRANSPOSE(_xlfn._xlws.FILTER('Controllable Asset Registry'!$A$766:$A$1316,IFERROR('Controllable Asset Registry'!$E$766:$E$1316=A212,FALSE),"No Equipment in entity"))</f>
        <v>No Equipment in entity</v>
      </c>
    </row>
    <row r="213" spans="1:7" x14ac:dyDescent="0.3">
      <c r="A213" t="str">
        <f t="shared" si="3"/>
        <v>entity:QNL_L1_063_MEDIA_STUDIO_1</v>
      </c>
      <c r="B213" s="29" t="s">
        <v>8901</v>
      </c>
      <c r="C213" t="s">
        <v>8902</v>
      </c>
      <c r="D213" t="str" cm="1">
        <f t="array" ref="D213:E213">TRANSPOSE(_xlfn._xlws.FILTER('Controllable Asset Registry'!$A$766:$A$1316,IFERROR('Controllable Asset Registry'!$E$766:$E$1316=A213,FALSE),"No Equipment in entity"))</f>
        <v>VAV_1F_S15_001</v>
      </c>
      <c r="E213" t="str">
        <v>VAV_1F_S15_002</v>
      </c>
    </row>
    <row r="214" spans="1:7" x14ac:dyDescent="0.3">
      <c r="A214" t="str">
        <f t="shared" si="3"/>
        <v>entity:QNL_L1_064_STORAGE</v>
      </c>
      <c r="B214" s="29" t="s">
        <v>8903</v>
      </c>
      <c r="C214" t="s">
        <v>5833</v>
      </c>
      <c r="D214" t="str" cm="1">
        <f t="array" ref="D214">TRANSPOSE(_xlfn._xlws.FILTER('Controllable Asset Registry'!$A$766:$A$1316,IFERROR('Controllable Asset Registry'!$E$766:$E$1316=A214,FALSE),"No Equipment in entity"))</f>
        <v>No Equipment in entity</v>
      </c>
    </row>
    <row r="215" spans="1:7" x14ac:dyDescent="0.3">
      <c r="A215" t="str">
        <f t="shared" si="3"/>
        <v>entity:QNL_L1_065_MEDIA_STUDIO_1</v>
      </c>
      <c r="B215" s="29" t="s">
        <v>8905</v>
      </c>
      <c r="C215" t="s">
        <v>8902</v>
      </c>
      <c r="D215" t="str" cm="1">
        <f t="array" ref="D215:E215">TRANSPOSE(_xlfn._xlws.FILTER('Controllable Asset Registry'!$A$766:$A$1316,IFERROR('Controllable Asset Registry'!$E$766:$E$1316=A215,FALSE),"No Equipment in entity"))</f>
        <v>VAV_1F_S15_003</v>
      </c>
      <c r="E215" t="str">
        <v>VAV_1F_S15_004</v>
      </c>
    </row>
    <row r="216" spans="1:7" x14ac:dyDescent="0.3">
      <c r="A216" t="str">
        <f t="shared" si="3"/>
        <v>entity:QNL_L1067_FRO_FRONT_KITCHEN</v>
      </c>
      <c r="B216" s="29" t="s">
        <v>8906</v>
      </c>
      <c r="C216" t="s">
        <v>8907</v>
      </c>
      <c r="D216" t="str" cm="1">
        <f t="array" ref="D216">TRANSPOSE(_xlfn._xlws.FILTER('Controllable Asset Registry'!$A$766:$A$1316,IFERROR('Controllable Asset Registry'!$E$766:$E$1316=A216,FALSE),"No Equipment in entity"))</f>
        <v>No Equipment in entity</v>
      </c>
    </row>
    <row r="217" spans="1:7" x14ac:dyDescent="0.3">
      <c r="A217" t="str">
        <f t="shared" si="3"/>
        <v>entity:QNL_L1067_RES_RESTAURANT</v>
      </c>
      <c r="B217" s="29" t="s">
        <v>8908</v>
      </c>
      <c r="C217" t="s">
        <v>8909</v>
      </c>
      <c r="D217" t="str" cm="1">
        <f t="array" ref="D217">TRANSPOSE(_xlfn._xlws.FILTER('Controllable Asset Registry'!$A$766:$A$1316,IFERROR('Controllable Asset Registry'!$E$766:$E$1316=A217,FALSE),"No Equipment in entity"))</f>
        <v>No Equipment in entity</v>
      </c>
    </row>
    <row r="218" spans="1:7" x14ac:dyDescent="0.3">
      <c r="A218" t="str">
        <f t="shared" si="3"/>
        <v>entity:QNL_L1_080_PUBLIC_SERVICE</v>
      </c>
      <c r="B218" s="29" t="s">
        <v>8911</v>
      </c>
      <c r="C218" t="s">
        <v>8912</v>
      </c>
      <c r="D218" t="str" cm="1">
        <f t="array" ref="D218:G218">TRANSPOSE(_xlfn._xlws.FILTER('Controllable Asset Registry'!$A$766:$A$1316,IFERROR('Controllable Asset Registry'!$E$766:$E$1316=A218,FALSE),"No Equipment in entity"))</f>
        <v>VAV_2F_S14_001</v>
      </c>
      <c r="E218" t="str">
        <v>VAV_2F_S14_002</v>
      </c>
      <c r="F218" t="str">
        <v>VAV_2F_S14_003</v>
      </c>
      <c r="G218" t="str">
        <v>VAV_2F_S14_004</v>
      </c>
    </row>
    <row r="219" spans="1:7" x14ac:dyDescent="0.3">
      <c r="A219" t="str">
        <f t="shared" si="3"/>
        <v>entity:QNL_L1_081_BIBLIOGRANHER1</v>
      </c>
      <c r="B219" s="29" t="s">
        <v>8914</v>
      </c>
      <c r="C219" t="s">
        <v>8915</v>
      </c>
      <c r="D219" t="str" cm="1">
        <f t="array" ref="D219">TRANSPOSE(_xlfn._xlws.FILTER('Controllable Asset Registry'!$A$766:$A$1316,IFERROR('Controllable Asset Registry'!$E$766:$E$1316=A219,FALSE),"No Equipment in entity"))</f>
        <v>VAV_2F_S14_005</v>
      </c>
    </row>
    <row r="220" spans="1:7" x14ac:dyDescent="0.3">
      <c r="A220" t="str">
        <f t="shared" si="3"/>
        <v>entity:QNL_L1_082_BIBLIOGRAPHER2</v>
      </c>
      <c r="B220" s="29" t="s">
        <v>8917</v>
      </c>
      <c r="C220" t="s">
        <v>8918</v>
      </c>
      <c r="D220" t="str" cm="1">
        <f t="array" ref="D220">TRANSPOSE(_xlfn._xlws.FILTER('Controllable Asset Registry'!$A$766:$A$1316,IFERROR('Controllable Asset Registry'!$E$766:$E$1316=A220,FALSE),"No Equipment in entity"))</f>
        <v>VAV_2F_S14_006</v>
      </c>
    </row>
    <row r="221" spans="1:7" x14ac:dyDescent="0.3">
      <c r="A221" t="str">
        <f t="shared" si="3"/>
        <v>entity:QNL_L1_083_SPEC_COLL&amp;ARCH</v>
      </c>
      <c r="B221" s="29" t="s">
        <v>8920</v>
      </c>
      <c r="C221" t="s">
        <v>8921</v>
      </c>
      <c r="D221" t="str" cm="1">
        <f t="array" ref="D221">TRANSPOSE(_xlfn._xlws.FILTER('Controllable Asset Registry'!$A$766:$A$1316,IFERROR('Controllable Asset Registry'!$E$766:$E$1316=A221,FALSE),"No Equipment in entity"))</f>
        <v>VAV_2F_S14_007</v>
      </c>
    </row>
    <row r="222" spans="1:7" x14ac:dyDescent="0.3">
      <c r="A222" t="str">
        <f t="shared" si="3"/>
        <v>entity:QNL_L1_084_R&amp;L_SERVICES</v>
      </c>
      <c r="B222" s="29" t="s">
        <v>8923</v>
      </c>
      <c r="C222" t="s">
        <v>8924</v>
      </c>
      <c r="D222" t="str" cm="1">
        <f t="array" ref="D222">TRANSPOSE(_xlfn._xlws.FILTER('Controllable Asset Registry'!$A$766:$A$1316,IFERROR('Controllable Asset Registry'!$E$766:$E$1316=A222,FALSE),"No Equipment in entity"))</f>
        <v>VAV_2F_S14_008</v>
      </c>
    </row>
    <row r="223" spans="1:7" x14ac:dyDescent="0.3">
      <c r="A223" t="str">
        <f t="shared" si="3"/>
        <v>entity:QNL_L1_085_ADPUBLIC_SERVICE</v>
      </c>
      <c r="B223" s="29" t="s">
        <v>8926</v>
      </c>
      <c r="C223" t="s">
        <v>8927</v>
      </c>
      <c r="D223" t="str" cm="1">
        <f t="array" ref="D223">TRANSPOSE(_xlfn._xlws.FILTER('Controllable Asset Registry'!$A$766:$A$1316,IFERROR('Controllable Asset Registry'!$E$766:$E$1316=A223,FALSE),"No Equipment in entity"))</f>
        <v>VAV_2F_S14_009</v>
      </c>
    </row>
    <row r="224" spans="1:7" x14ac:dyDescent="0.3">
      <c r="A224" t="str">
        <f t="shared" si="3"/>
        <v>entity:QNL_L1_086_REF_LIBRARIAN_1</v>
      </c>
      <c r="B224" s="29" t="s">
        <v>8929</v>
      </c>
      <c r="C224" t="s">
        <v>8930</v>
      </c>
      <c r="D224" t="str" cm="1">
        <f t="array" ref="D224">TRANSPOSE(_xlfn._xlws.FILTER('Controllable Asset Registry'!$A$766:$A$1316,IFERROR('Controllable Asset Registry'!$E$766:$E$1316=A224,FALSE),"No Equipment in entity"))</f>
        <v>VAV_2F_S14_010</v>
      </c>
    </row>
    <row r="225" spans="1:5" x14ac:dyDescent="0.3">
      <c r="A225" t="str">
        <f t="shared" si="3"/>
        <v>entity:QNL_L1_087_REF_LIBRARIAN_2</v>
      </c>
      <c r="B225" s="29" t="s">
        <v>8932</v>
      </c>
      <c r="C225" t="s">
        <v>8933</v>
      </c>
      <c r="D225" t="str" cm="1">
        <f t="array" ref="D225">TRANSPOSE(_xlfn._xlws.FILTER('Controllable Asset Registry'!$A$766:$A$1316,IFERROR('Controllable Asset Registry'!$E$766:$E$1316=A225,FALSE),"No Equipment in entity"))</f>
        <v>VAV_2F_S14_011</v>
      </c>
    </row>
    <row r="226" spans="1:5" x14ac:dyDescent="0.3">
      <c r="A226" t="str">
        <f t="shared" si="3"/>
        <v>entity:QNL_L1_088_REF_LIBRARIAN_3</v>
      </c>
      <c r="B226" s="29" t="s">
        <v>8935</v>
      </c>
      <c r="C226" t="s">
        <v>8936</v>
      </c>
      <c r="D226" t="str" cm="1">
        <f t="array" ref="D226">TRANSPOSE(_xlfn._xlws.FILTER('Controllable Asset Registry'!$A$766:$A$1316,IFERROR('Controllable Asset Registry'!$E$766:$E$1316=A226,FALSE),"No Equipment in entity"))</f>
        <v>VAV_2F_S14_012</v>
      </c>
    </row>
    <row r="227" spans="1:5" x14ac:dyDescent="0.3">
      <c r="A227" t="str">
        <f t="shared" si="3"/>
        <v>entity:QNL_L1_089_REF_LIBRARIAN_4</v>
      </c>
      <c r="B227" s="29" t="s">
        <v>8938</v>
      </c>
      <c r="C227" t="s">
        <v>8939</v>
      </c>
      <c r="D227" t="str" cm="1">
        <f t="array" ref="D227">TRANSPOSE(_xlfn._xlws.FILTER('Controllable Asset Registry'!$A$766:$A$1316,IFERROR('Controllable Asset Registry'!$E$766:$E$1316=A227,FALSE),"No Equipment in entity"))</f>
        <v>VAV_2F_S14_013</v>
      </c>
    </row>
    <row r="228" spans="1:5" x14ac:dyDescent="0.3">
      <c r="A228" t="str">
        <f t="shared" si="3"/>
        <v>entity:QNL_L1_090_REF_LIBRARIAN_5</v>
      </c>
      <c r="B228" s="29" t="s">
        <v>8941</v>
      </c>
      <c r="C228" t="s">
        <v>8942</v>
      </c>
      <c r="D228" t="str" cm="1">
        <f t="array" ref="D228">TRANSPOSE(_xlfn._xlws.FILTER('Controllable Asset Registry'!$A$766:$A$1316,IFERROR('Controllable Asset Registry'!$E$766:$E$1316=A228,FALSE),"No Equipment in entity"))</f>
        <v>VAV_2F_S14_014</v>
      </c>
    </row>
    <row r="229" spans="1:5" x14ac:dyDescent="0.3">
      <c r="A229" t="str">
        <f t="shared" si="3"/>
        <v>entity:QNL_L1_091_REF_LIBRARIAN_6</v>
      </c>
      <c r="B229" s="29" t="s">
        <v>8944</v>
      </c>
      <c r="C229" t="s">
        <v>8945</v>
      </c>
      <c r="D229" t="str" cm="1">
        <f t="array" ref="D229">TRANSPOSE(_xlfn._xlws.FILTER('Controllable Asset Registry'!$A$766:$A$1316,IFERROR('Controllable Asset Registry'!$E$766:$E$1316=A229,FALSE),"No Equipment in entity"))</f>
        <v>VAV_2F_S14_015</v>
      </c>
    </row>
    <row r="230" spans="1:5" x14ac:dyDescent="0.3">
      <c r="A230" t="str">
        <f t="shared" si="3"/>
        <v>entity:QNL_L1_092_REF_LIBRARIAN_7</v>
      </c>
      <c r="B230" s="29" t="s">
        <v>8947</v>
      </c>
      <c r="C230" t="s">
        <v>8948</v>
      </c>
      <c r="D230" t="str" cm="1">
        <f t="array" ref="D230">TRANSPOSE(_xlfn._xlws.FILTER('Controllable Asset Registry'!$A$766:$A$1316,IFERROR('Controllable Asset Registry'!$E$766:$E$1316=A230,FALSE),"No Equipment in entity"))</f>
        <v>VAV_2F_S14_016</v>
      </c>
    </row>
    <row r="231" spans="1:5" x14ac:dyDescent="0.3">
      <c r="A231" t="str">
        <f t="shared" si="3"/>
        <v>entity:QNL_L1_093_REF_LIBRARIAN_8</v>
      </c>
      <c r="B231" s="29" t="s">
        <v>8950</v>
      </c>
      <c r="C231" t="s">
        <v>8951</v>
      </c>
      <c r="D231" t="str" cm="1">
        <f t="array" ref="D231">TRANSPOSE(_xlfn._xlws.FILTER('Controllable Asset Registry'!$A$766:$A$1316,IFERROR('Controllable Asset Registry'!$E$766:$E$1316=A231,FALSE),"No Equipment in entity"))</f>
        <v>VAV_2F_S14_017</v>
      </c>
    </row>
    <row r="232" spans="1:5" x14ac:dyDescent="0.3">
      <c r="A232" t="str">
        <f t="shared" si="3"/>
        <v>entity:QNL_L1_094_REF_LIBRARIAN_9</v>
      </c>
      <c r="B232" s="29" t="s">
        <v>8953</v>
      </c>
      <c r="C232" t="s">
        <v>8954</v>
      </c>
      <c r="D232" t="str" cm="1">
        <f t="array" ref="D232">TRANSPOSE(_xlfn._xlws.FILTER('Controllable Asset Registry'!$A$766:$A$1316,IFERROR('Controllable Asset Registry'!$E$766:$E$1316=A232,FALSE),"No Equipment in entity"))</f>
        <v>VAV_2F_S14_018</v>
      </c>
    </row>
    <row r="233" spans="1:5" x14ac:dyDescent="0.3">
      <c r="A233" t="str">
        <f t="shared" si="3"/>
        <v>entity:QNL_L1_095_REF_LIBRARIAN_10</v>
      </c>
      <c r="B233" s="29" t="s">
        <v>8956</v>
      </c>
      <c r="C233" t="s">
        <v>8957</v>
      </c>
      <c r="D233" t="str" cm="1">
        <f t="array" ref="D233">TRANSPOSE(_xlfn._xlws.FILTER('Controllable Asset Registry'!$A$766:$A$1316,IFERROR('Controllable Asset Registry'!$E$766:$E$1316=A233,FALSE),"No Equipment in entity"))</f>
        <v>VAV_2F_S14_019</v>
      </c>
    </row>
    <row r="234" spans="1:5" x14ac:dyDescent="0.3">
      <c r="A234" t="str">
        <f t="shared" si="3"/>
        <v>entity:QNL_L1_096_REF_LIBRARIAN_11</v>
      </c>
      <c r="B234" s="29" t="s">
        <v>8959</v>
      </c>
      <c r="C234" t="s">
        <v>8960</v>
      </c>
      <c r="D234" t="str" cm="1">
        <f t="array" ref="D234">TRANSPOSE(_xlfn._xlws.FILTER('Controllable Asset Registry'!$A$766:$A$1316,IFERROR('Controllable Asset Registry'!$E$766:$E$1316=A234,FALSE),"No Equipment in entity"))</f>
        <v>VAV_2F_S14_020</v>
      </c>
    </row>
    <row r="235" spans="1:5" x14ac:dyDescent="0.3">
      <c r="A235" t="str">
        <f t="shared" si="3"/>
        <v>entity:QNL_L1_097_REF_LIBRARIAN_12</v>
      </c>
      <c r="B235" s="29" t="s">
        <v>8962</v>
      </c>
      <c r="C235" t="s">
        <v>8963</v>
      </c>
      <c r="D235" t="str" cm="1">
        <f t="array" ref="D235">TRANSPOSE(_xlfn._xlws.FILTER('Controllable Asset Registry'!$A$766:$A$1316,IFERROR('Controllable Asset Registry'!$E$766:$E$1316=A235,FALSE),"No Equipment in entity"))</f>
        <v>VAV_2F_S14_021</v>
      </c>
    </row>
    <row r="236" spans="1:5" x14ac:dyDescent="0.3">
      <c r="A236" t="str">
        <f t="shared" si="3"/>
        <v>entity:QNL_L1_098_STORAGE</v>
      </c>
      <c r="B236" s="29" t="s">
        <v>8964</v>
      </c>
      <c r="C236" t="s">
        <v>5833</v>
      </c>
      <c r="D236" t="str" cm="1">
        <f t="array" ref="D236">TRANSPOSE(_xlfn._xlws.FILTER('Controllable Asset Registry'!$A$766:$A$1316,IFERROR('Controllable Asset Registry'!$E$766:$E$1316=A236,FALSE),"No Equipment in entity"))</f>
        <v>No Equipment in entity</v>
      </c>
    </row>
    <row r="237" spans="1:5" x14ac:dyDescent="0.3">
      <c r="A237" t="str">
        <f t="shared" si="3"/>
        <v>entity:QNL_L1_099_IDF_ROOM_02</v>
      </c>
      <c r="B237" s="29" t="s">
        <v>8966</v>
      </c>
      <c r="C237" t="s">
        <v>8967</v>
      </c>
      <c r="D237" t="str" cm="1">
        <f t="array" ref="D237">TRANSPOSE(_xlfn._xlws.FILTER('Controllable Asset Registry'!$A$766:$A$1316,IFERROR('Controllable Asset Registry'!$E$766:$E$1316=A237,FALSE),"No Equipment in entity"))</f>
        <v>FCU_1F_003</v>
      </c>
    </row>
    <row r="238" spans="1:5" x14ac:dyDescent="0.3">
      <c r="A238" t="str">
        <f t="shared" si="3"/>
        <v>entity:QNL_L1_100_AERIAL_PLATFORM_PARKING</v>
      </c>
      <c r="B238" s="29" t="s">
        <v>8969</v>
      </c>
      <c r="C238" t="s">
        <v>8970</v>
      </c>
      <c r="D238" t="str" cm="1">
        <f t="array" ref="D238:E238">TRANSPOSE(_xlfn._xlws.FILTER('Controllable Asset Registry'!$A$766:$A$1316,IFERROR('Controllable Asset Registry'!$E$766:$E$1316=A238,FALSE),"No Equipment in entity"))</f>
        <v>CAV_1F_S15_004</v>
      </c>
      <c r="E238" t="str">
        <v>CAV_1F_S15_018</v>
      </c>
    </row>
    <row r="239" spans="1:5" x14ac:dyDescent="0.3">
      <c r="A239" t="str">
        <f t="shared" si="3"/>
        <v>entity:QNL_L1_101_REST_ROOMMEN</v>
      </c>
      <c r="B239" s="29" t="s">
        <v>8971</v>
      </c>
      <c r="C239" t="s">
        <v>8972</v>
      </c>
      <c r="D239" t="str" cm="1">
        <f t="array" ref="D239">TRANSPOSE(_xlfn._xlws.FILTER('Controllable Asset Registry'!$A$766:$A$1316,IFERROR('Controllable Asset Registry'!$E$766:$E$1316=A239,FALSE),"No Equipment in entity"))</f>
        <v>No Equipment in entity</v>
      </c>
    </row>
    <row r="240" spans="1:5" x14ac:dyDescent="0.3">
      <c r="A240" t="str">
        <f t="shared" si="3"/>
        <v>entity:QNL_L1_102_REST_ROOM_WOMEN</v>
      </c>
      <c r="B240" s="29" t="s">
        <v>8973</v>
      </c>
      <c r="C240" t="s">
        <v>8537</v>
      </c>
      <c r="D240" t="str" cm="1">
        <f t="array" ref="D240">TRANSPOSE(_xlfn._xlws.FILTER('Controllable Asset Registry'!$A$766:$A$1316,IFERROR('Controllable Asset Registry'!$E$766:$E$1316=A240,FALSE),"No Equipment in entity"))</f>
        <v>No Equipment in entity</v>
      </c>
    </row>
    <row r="241" spans="1:4" x14ac:dyDescent="0.3">
      <c r="A241" t="str">
        <f t="shared" si="3"/>
        <v>entity:QNL_L1104_FEM_PRAYER_ROOM_FEMALE</v>
      </c>
      <c r="B241" s="29" t="s">
        <v>8974</v>
      </c>
      <c r="C241" t="s">
        <v>8975</v>
      </c>
      <c r="D241" t="str" cm="1">
        <f t="array" ref="D241">TRANSPOSE(_xlfn._xlws.FILTER('Controllable Asset Registry'!$A$766:$A$1316,IFERROR('Controllable Asset Registry'!$E$766:$E$1316=A241,FALSE),"No Equipment in entity"))</f>
        <v>No Equipment in entity</v>
      </c>
    </row>
    <row r="242" spans="1:4" x14ac:dyDescent="0.3">
      <c r="A242" t="str">
        <f t="shared" si="3"/>
        <v>entity:QNL_L1104_MEL_PRAYER_ROOM_MALE</v>
      </c>
      <c r="B242" s="29" t="s">
        <v>8976</v>
      </c>
      <c r="C242" t="s">
        <v>8977</v>
      </c>
      <c r="D242" t="str" cm="1">
        <f t="array" ref="D242">TRANSPOSE(_xlfn._xlws.FILTER('Controllable Asset Registry'!$A$766:$A$1316,IFERROR('Controllable Asset Registry'!$E$766:$E$1316=A242,FALSE),"No Equipment in entity"))</f>
        <v>No Equipment in entity</v>
      </c>
    </row>
    <row r="243" spans="1:4" x14ac:dyDescent="0.3">
      <c r="A243" t="str">
        <f t="shared" si="3"/>
        <v>entity:QNL_L1_105_ABLUTIONMEN</v>
      </c>
      <c r="B243" s="29" t="s">
        <v>8979</v>
      </c>
      <c r="C243" t="s">
        <v>8980</v>
      </c>
      <c r="D243" t="str" cm="1">
        <f t="array" ref="D243">TRANSPOSE(_xlfn._xlws.FILTER('Controllable Asset Registry'!$A$766:$A$1316,IFERROR('Controllable Asset Registry'!$E$766:$E$1316=A243,FALSE),"No Equipment in entity"))</f>
        <v>VAV_1F_S15_038</v>
      </c>
    </row>
    <row r="244" spans="1:4" x14ac:dyDescent="0.3">
      <c r="A244" t="str">
        <f t="shared" si="3"/>
        <v>entity:QNL_L1_106_ABLUTIONWOMEN</v>
      </c>
      <c r="B244" s="29" t="s">
        <v>8982</v>
      </c>
      <c r="C244" t="s">
        <v>8983</v>
      </c>
      <c r="D244" t="str" cm="1">
        <f t="array" ref="D244">TRANSPOSE(_xlfn._xlws.FILTER('Controllable Asset Registry'!$A$766:$A$1316,IFERROR('Controllable Asset Registry'!$E$766:$E$1316=A244,FALSE),"No Equipment in entity"))</f>
        <v>VAV_1F_S15_025</v>
      </c>
    </row>
    <row r="245" spans="1:4" x14ac:dyDescent="0.3">
      <c r="A245" t="str">
        <f t="shared" si="3"/>
        <v>entity:QNL_L1_130_PUBLIS_SPACE</v>
      </c>
      <c r="B245" s="29" t="s">
        <v>8984</v>
      </c>
      <c r="C245" t="s">
        <v>8985</v>
      </c>
      <c r="D245" t="str" cm="1">
        <f t="array" ref="D245">TRANSPOSE(_xlfn._xlws.FILTER('Controllable Asset Registry'!$A$766:$A$1316,IFERROR('Controllable Asset Registry'!$E$766:$E$1316=A245,FALSE),"No Equipment in entity"))</f>
        <v>No Equipment in entity</v>
      </c>
    </row>
    <row r="246" spans="1:4" x14ac:dyDescent="0.3">
      <c r="A246" t="str">
        <f t="shared" si="3"/>
        <v>entity:QNL_L1_142_LEARNING_COMMONS</v>
      </c>
      <c r="B246" s="29" t="s">
        <v>8986</v>
      </c>
      <c r="C246" t="s">
        <v>8987</v>
      </c>
      <c r="D246" t="str" cm="1">
        <f t="array" ref="D246">TRANSPOSE(_xlfn._xlws.FILTER('Controllable Asset Registry'!$A$766:$A$1316,IFERROR('Controllable Asset Registry'!$E$766:$E$1316=A246,FALSE),"No Equipment in entity"))</f>
        <v>No Equipment in entity</v>
      </c>
    </row>
    <row r="247" spans="1:4" x14ac:dyDescent="0.3">
      <c r="A247" t="str">
        <f t="shared" si="3"/>
        <v>entity:QNL_L1_153_FURNITURE_STORAGE</v>
      </c>
      <c r="B247" s="29" t="s">
        <v>8989</v>
      </c>
      <c r="C247" t="s">
        <v>8990</v>
      </c>
      <c r="D247" t="str" cm="1">
        <f t="array" ref="D247">TRANSPOSE(_xlfn._xlws.FILTER('Controllable Asset Registry'!$A$766:$A$1316,IFERROR('Controllable Asset Registry'!$E$766:$E$1316=A247,FALSE),"No Equipment in entity"))</f>
        <v>CAV_1F_S15_019</v>
      </c>
    </row>
    <row r="248" spans="1:4" x14ac:dyDescent="0.3">
      <c r="A248" t="str">
        <f t="shared" si="3"/>
        <v>entity:QNL_L1-L-1_L-1</v>
      </c>
      <c r="B248" s="29" t="s">
        <v>8991</v>
      </c>
      <c r="C248" t="s">
        <v>8790</v>
      </c>
      <c r="D248" t="str" cm="1">
        <f t="array" ref="D248">TRANSPOSE(_xlfn._xlws.FILTER('Controllable Asset Registry'!$A$766:$A$1316,IFERROR('Controllable Asset Registry'!$E$766:$E$1316=A248,FALSE),"No Equipment in entity"))</f>
        <v>No Equipment in entity</v>
      </c>
    </row>
    <row r="249" spans="1:4" x14ac:dyDescent="0.3">
      <c r="A249" t="str">
        <f t="shared" si="3"/>
        <v>entity:QNL_L1-L-2_L-2</v>
      </c>
      <c r="B249" s="29" t="s">
        <v>8992</v>
      </c>
      <c r="C249" t="s">
        <v>8794</v>
      </c>
      <c r="D249" t="str" cm="1">
        <f t="array" ref="D249">TRANSPOSE(_xlfn._xlws.FILTER('Controllable Asset Registry'!$A$766:$A$1316,IFERROR('Controllable Asset Registry'!$E$766:$E$1316=A249,FALSE),"No Equipment in entity"))</f>
        <v>No Equipment in entity</v>
      </c>
    </row>
    <row r="250" spans="1:4" x14ac:dyDescent="0.3">
      <c r="A250" t="str">
        <f t="shared" si="3"/>
        <v>entity:QNL_L1-L-3_L-3</v>
      </c>
      <c r="B250" s="29" t="s">
        <v>8994</v>
      </c>
      <c r="C250" t="s">
        <v>8796</v>
      </c>
      <c r="D250" t="str" cm="1">
        <f t="array" ref="D250">TRANSPOSE(_xlfn._xlws.FILTER('Controllable Asset Registry'!$A$766:$A$1316,IFERROR('Controllable Asset Registry'!$E$766:$E$1316=A250,FALSE),"No Equipment in entity"))</f>
        <v>EF_201</v>
      </c>
    </row>
    <row r="251" spans="1:4" x14ac:dyDescent="0.3">
      <c r="A251" t="str">
        <f t="shared" si="3"/>
        <v>entity:QNL_L1-L-4_L-4</v>
      </c>
      <c r="B251" s="29" t="s">
        <v>8995</v>
      </c>
      <c r="C251" t="s">
        <v>8798</v>
      </c>
      <c r="D251" t="str" cm="1">
        <f t="array" ref="D251">TRANSPOSE(_xlfn._xlws.FILTER('Controllable Asset Registry'!$A$766:$A$1316,IFERROR('Controllable Asset Registry'!$E$766:$E$1316=A251,FALSE),"No Equipment in entity"))</f>
        <v>No Equipment in entity</v>
      </c>
    </row>
    <row r="252" spans="1:4" x14ac:dyDescent="0.3">
      <c r="A252" t="str">
        <f t="shared" si="3"/>
        <v>entity:QNL_L1-L-5_L-5</v>
      </c>
      <c r="B252" s="29" t="s">
        <v>8996</v>
      </c>
      <c r="C252" t="s">
        <v>8997</v>
      </c>
      <c r="D252" t="str" cm="1">
        <f t="array" ref="D252">TRANSPOSE(_xlfn._xlws.FILTER('Controllable Asset Registry'!$A$766:$A$1316,IFERROR('Controllable Asset Registry'!$E$766:$E$1316=A252,FALSE),"No Equipment in entity"))</f>
        <v>No Equipment in entity</v>
      </c>
    </row>
    <row r="253" spans="1:4" x14ac:dyDescent="0.3">
      <c r="A253" t="str">
        <f t="shared" si="3"/>
        <v>entity:QNL_L1-RP-10_RP-10</v>
      </c>
      <c r="B253" s="29" t="s">
        <v>8998</v>
      </c>
      <c r="C253" t="s">
        <v>8999</v>
      </c>
      <c r="D253" t="str" cm="1">
        <f t="array" ref="D253">TRANSPOSE(_xlfn._xlws.FILTER('Controllable Asset Registry'!$A$766:$A$1316,IFERROR('Controllable Asset Registry'!$E$766:$E$1316=A253,FALSE),"No Equipment in entity"))</f>
        <v>No Equipment in entity</v>
      </c>
    </row>
    <row r="254" spans="1:4" x14ac:dyDescent="0.3">
      <c r="A254" t="str">
        <f t="shared" si="3"/>
        <v>entity:QNL_L1-ST-01_ST-01</v>
      </c>
      <c r="B254" s="29" t="s">
        <v>9000</v>
      </c>
      <c r="C254" t="s">
        <v>7269</v>
      </c>
      <c r="D254" t="str" cm="1">
        <f t="array" ref="D254">TRANSPOSE(_xlfn._xlws.FILTER('Controllable Asset Registry'!$A$766:$A$1316,IFERROR('Controllable Asset Registry'!$E$766:$E$1316=A254,FALSE),"No Equipment in entity"))</f>
        <v>No Equipment in entity</v>
      </c>
    </row>
    <row r="255" spans="1:4" x14ac:dyDescent="0.3">
      <c r="A255" t="str">
        <f t="shared" si="3"/>
        <v>entity:QNL_L1-ST-02_ST-02</v>
      </c>
      <c r="B255" s="29" t="s">
        <v>9001</v>
      </c>
      <c r="C255" t="s">
        <v>8801</v>
      </c>
      <c r="D255" t="str" cm="1">
        <f t="array" ref="D255">TRANSPOSE(_xlfn._xlws.FILTER('Controllable Asset Registry'!$A$766:$A$1316,IFERROR('Controllable Asset Registry'!$E$766:$E$1316=A255,FALSE),"No Equipment in entity"))</f>
        <v>No Equipment in entity</v>
      </c>
    </row>
    <row r="256" spans="1:4" x14ac:dyDescent="0.3">
      <c r="A256" t="str">
        <f t="shared" si="3"/>
        <v>entity:QNL_L1-ST-03_ST-03</v>
      </c>
      <c r="B256" s="29" t="s">
        <v>9002</v>
      </c>
      <c r="C256" t="s">
        <v>8803</v>
      </c>
      <c r="D256" t="str" cm="1">
        <f t="array" ref="D256">TRANSPOSE(_xlfn._xlws.FILTER('Controllable Asset Registry'!$A$766:$A$1316,IFERROR('Controllable Asset Registry'!$E$766:$E$1316=A256,FALSE),"No Equipment in entity"))</f>
        <v>No Equipment in entity</v>
      </c>
    </row>
    <row r="257" spans="1:5" x14ac:dyDescent="0.3">
      <c r="A257" t="str">
        <f t="shared" si="3"/>
        <v>entity:QNL_L1-ST-10_ST-10</v>
      </c>
      <c r="B257" s="29" t="s">
        <v>9003</v>
      </c>
      <c r="C257" t="s">
        <v>5946</v>
      </c>
      <c r="D257" t="str" cm="1">
        <f t="array" ref="D257">TRANSPOSE(_xlfn._xlws.FILTER('Controllable Asset Registry'!$A$766:$A$1316,IFERROR('Controllable Asset Registry'!$E$766:$E$1316=A257,FALSE),"No Equipment in entity"))</f>
        <v>No Equipment in entity</v>
      </c>
    </row>
    <row r="258" spans="1:5" x14ac:dyDescent="0.3">
      <c r="A258" t="str">
        <f t="shared" ref="A258:A321" si="4">"entity:QNL_"&amp;B258&amp;"_"&amp;C258</f>
        <v>entity:QNL_L1_140_SPECIAL_EVENTS</v>
      </c>
      <c r="B258" s="29" t="s">
        <v>9004</v>
      </c>
      <c r="C258" t="s">
        <v>9005</v>
      </c>
      <c r="D258" t="str" cm="1">
        <f t="array" ref="D258">TRANSPOSE(_xlfn._xlws.FILTER('Controllable Asset Registry'!$A$766:$A$1316,IFERROR('Controllable Asset Registry'!$E$766:$E$1316=A258,FALSE),"No Equipment in entity"))</f>
        <v>No Equipment in entity</v>
      </c>
    </row>
    <row r="259" spans="1:5" x14ac:dyDescent="0.3">
      <c r="A259" t="str">
        <f t="shared" si="4"/>
        <v>entity:QNL_L2_006_STORAGE</v>
      </c>
      <c r="B259" s="29" t="s">
        <v>9006</v>
      </c>
      <c r="C259" t="s">
        <v>5833</v>
      </c>
      <c r="D259" t="str" cm="1">
        <f t="array" ref="D259">TRANSPOSE(_xlfn._xlws.FILTER('Controllable Asset Registry'!$A$766:$A$1316,IFERROR('Controllable Asset Registry'!$E$766:$E$1316=A259,FALSE),"No Equipment in entity"))</f>
        <v>No Equipment in entity</v>
      </c>
    </row>
    <row r="260" spans="1:5" x14ac:dyDescent="0.3">
      <c r="A260" t="str">
        <f t="shared" si="4"/>
        <v>entity:QNL_L2_007_REST_ROOM_MEN</v>
      </c>
      <c r="B260" s="29" t="s">
        <v>9007</v>
      </c>
      <c r="C260" t="s">
        <v>8533</v>
      </c>
      <c r="D260" t="str" cm="1">
        <f t="array" ref="D260">TRANSPOSE(_xlfn._xlws.FILTER('Controllable Asset Registry'!$A$766:$A$1316,IFERROR('Controllable Asset Registry'!$E$766:$E$1316=A260,FALSE),"No Equipment in entity"))</f>
        <v>No Equipment in entity</v>
      </c>
    </row>
    <row r="261" spans="1:5" x14ac:dyDescent="0.3">
      <c r="A261" t="str">
        <f t="shared" si="4"/>
        <v>entity:QNL_L2_008_REST_ROOM_WOMEN</v>
      </c>
      <c r="B261" s="29" t="s">
        <v>9008</v>
      </c>
      <c r="C261" t="s">
        <v>8537</v>
      </c>
      <c r="D261" t="str" cm="1">
        <f t="array" ref="D261">TRANSPOSE(_xlfn._xlws.FILTER('Controllable Asset Registry'!$A$766:$A$1316,IFERROR('Controllable Asset Registry'!$E$766:$E$1316=A261,FALSE),"No Equipment in entity"))</f>
        <v>No Equipment in entity</v>
      </c>
    </row>
    <row r="262" spans="1:5" x14ac:dyDescent="0.3">
      <c r="A262" t="str">
        <f t="shared" si="4"/>
        <v>entity:QNL_L2_009_KDF_ROOM</v>
      </c>
      <c r="B262" s="29" t="s">
        <v>9010</v>
      </c>
      <c r="C262" t="s">
        <v>9011</v>
      </c>
      <c r="D262" t="str" cm="1">
        <f t="array" ref="D262">TRANSPOSE(_xlfn._xlws.FILTER('Controllable Asset Registry'!$A$766:$A$1316,IFERROR('Controllable Asset Registry'!$E$766:$E$1316=A262,FALSE),"No Equipment in entity"))</f>
        <v>FCU_2F_005</v>
      </c>
    </row>
    <row r="263" spans="1:5" x14ac:dyDescent="0.3">
      <c r="A263" t="str">
        <f t="shared" si="4"/>
        <v>entity:QNL_L2_010_BREAKOUT_SPACE</v>
      </c>
      <c r="B263" s="29" t="s">
        <v>9013</v>
      </c>
      <c r="C263" t="s">
        <v>9014</v>
      </c>
      <c r="D263" t="str" cm="1">
        <f t="array" ref="D263">TRANSPOSE(_xlfn._xlws.FILTER('Controllable Asset Registry'!$A$766:$A$1316,IFERROR('Controllable Asset Registry'!$E$766:$E$1316=A263,FALSE),"No Equipment in entity"))</f>
        <v>VAV_2F_S12_021</v>
      </c>
    </row>
    <row r="264" spans="1:5" x14ac:dyDescent="0.3">
      <c r="A264" t="str">
        <f t="shared" si="4"/>
        <v>entity:QNL_L2_011_CTRCULATION_OFFICE</v>
      </c>
      <c r="B264" s="29" t="s">
        <v>9016</v>
      </c>
      <c r="C264" t="s">
        <v>9017</v>
      </c>
      <c r="D264" t="str" cm="1">
        <f t="array" ref="D264">TRANSPOSE(_xlfn._xlws.FILTER('Controllable Asset Registry'!$A$766:$A$1316,IFERROR('Controllable Asset Registry'!$E$766:$E$1316=A264,FALSE),"No Equipment in entity"))</f>
        <v>VAV_2F_S12_022</v>
      </c>
    </row>
    <row r="265" spans="1:5" x14ac:dyDescent="0.3">
      <c r="A265" t="str">
        <f t="shared" si="4"/>
        <v>entity:QNL_L2_012_OFFICE_SPEC_COL</v>
      </c>
      <c r="B265" s="29" t="s">
        <v>9019</v>
      </c>
      <c r="C265" t="s">
        <v>9020</v>
      </c>
      <c r="D265" t="str" cm="1">
        <f t="array" ref="D265">TRANSPOSE(_xlfn._xlws.FILTER('Controllable Asset Registry'!$A$766:$A$1316,IFERROR('Controllable Asset Registry'!$E$766:$E$1316=A265,FALSE),"No Equipment in entity"))</f>
        <v>VAV_2F_S12_023</v>
      </c>
    </row>
    <row r="266" spans="1:5" x14ac:dyDescent="0.3">
      <c r="A266" t="str">
        <f t="shared" si="4"/>
        <v>entity:QNL_L2_013_OFFICE_SPEC_COL</v>
      </c>
      <c r="B266" s="29" t="s">
        <v>9022</v>
      </c>
      <c r="C266" t="s">
        <v>9020</v>
      </c>
      <c r="D266" t="str" cm="1">
        <f t="array" ref="D266">TRANSPOSE(_xlfn._xlws.FILTER('Controllable Asset Registry'!$A$766:$A$1316,IFERROR('Controllable Asset Registry'!$E$766:$E$1316=A266,FALSE),"No Equipment in entity"))</f>
        <v>VAV_2F_S12_024</v>
      </c>
    </row>
    <row r="267" spans="1:5" x14ac:dyDescent="0.3">
      <c r="A267" t="str">
        <f t="shared" si="4"/>
        <v>entity:QNL_L2_014_TRANSL_SPC_&amp;_EDI_PUBLICATIONS_SPC</v>
      </c>
      <c r="B267" s="29" t="s">
        <v>9023</v>
      </c>
      <c r="C267" t="s">
        <v>9024</v>
      </c>
      <c r="D267" t="str" cm="1">
        <f t="array" ref="D267">TRANSPOSE(_xlfn._xlws.FILTER('Controllable Asset Registry'!$A$766:$A$1316,IFERROR('Controllable Asset Registry'!$E$766:$E$1316=A267,FALSE),"No Equipment in entity"))</f>
        <v>No Equipment in entity</v>
      </c>
    </row>
    <row r="268" spans="1:5" x14ac:dyDescent="0.3">
      <c r="A268" t="str">
        <f t="shared" si="4"/>
        <v>entity:QNL_L2_015_40_GROUP_STUDY_ROOM_5</v>
      </c>
      <c r="B268" s="29" t="s">
        <v>9026</v>
      </c>
      <c r="C268" t="s">
        <v>9027</v>
      </c>
      <c r="D268" t="str" cm="1">
        <f t="array" ref="D268">TRANSPOSE(_xlfn._xlws.FILTER('Controllable Asset Registry'!$A$766:$A$1316,IFERROR('Controllable Asset Registry'!$E$766:$E$1316=A268,FALSE),"No Equipment in entity"))</f>
        <v>VAV_2F_S12_026</v>
      </c>
    </row>
    <row r="269" spans="1:5" x14ac:dyDescent="0.3">
      <c r="A269" t="str">
        <f t="shared" si="4"/>
        <v>entity:QNL_L2_016_40_GROUP_STUDY_ROOM_6</v>
      </c>
      <c r="B269" s="29" t="s">
        <v>9029</v>
      </c>
      <c r="C269" t="s">
        <v>9030</v>
      </c>
      <c r="D269" t="str" cm="1">
        <f t="array" ref="D269">TRANSPOSE(_xlfn._xlws.FILTER('Controllable Asset Registry'!$A$766:$A$1316,IFERROR('Controllable Asset Registry'!$E$766:$E$1316=A269,FALSE),"No Equipment in entity"))</f>
        <v>VAV_2F_S12_029</v>
      </c>
    </row>
    <row r="270" spans="1:5" x14ac:dyDescent="0.3">
      <c r="A270" t="str">
        <f t="shared" si="4"/>
        <v>entity:QNL_L2_017_40_GROUP_STUDY_ROOM_7</v>
      </c>
      <c r="B270" s="29" t="s">
        <v>9032</v>
      </c>
      <c r="C270" t="s">
        <v>9033</v>
      </c>
      <c r="D270" t="str" cm="1">
        <f t="array" ref="D270">TRANSPOSE(_xlfn._xlws.FILTER('Controllable Asset Registry'!$A$766:$A$1316,IFERROR('Controllable Asset Registry'!$E$766:$E$1316=A270,FALSE),"No Equipment in entity"))</f>
        <v>VAV_2F_S12_027</v>
      </c>
    </row>
    <row r="271" spans="1:5" x14ac:dyDescent="0.3">
      <c r="A271" t="str">
        <f t="shared" si="4"/>
        <v>entity:QNL_L2_018_GROUP_STUDY_ROOM_8</v>
      </c>
      <c r="B271" s="29" t="s">
        <v>9034</v>
      </c>
      <c r="C271" t="s">
        <v>9212</v>
      </c>
      <c r="D271" t="str" cm="1">
        <f t="array" ref="D271:E271">TRANSPOSE(_xlfn._xlws.FILTER('Controllable Asset Registry'!$A$766:$A$1316,IFERROR('Controllable Asset Registry'!$E$766:$E$1316=A271,FALSE),"No Equipment in entity"))</f>
        <v>VAV_2F_S12_028</v>
      </c>
      <c r="E271" t="str">
        <v>VAV_2F_S12_097</v>
      </c>
    </row>
    <row r="272" spans="1:5" x14ac:dyDescent="0.3">
      <c r="A272" t="str">
        <f t="shared" si="4"/>
        <v>entity:QNL_L2_021_LIBR_COM_REO_&amp;_EVENTS_SPC</v>
      </c>
      <c r="B272" s="29" t="s">
        <v>9035</v>
      </c>
      <c r="C272" t="s">
        <v>9036</v>
      </c>
      <c r="D272" t="str" cm="1">
        <f t="array" ref="D272">TRANSPOSE(_xlfn._xlws.FILTER('Controllable Asset Registry'!$A$766:$A$1316,IFERROR('Controllable Asset Registry'!$E$766:$E$1316=A272,FALSE),"No Equipment in entity"))</f>
        <v>No Equipment in entity</v>
      </c>
    </row>
    <row r="273" spans="1:7" x14ac:dyDescent="0.3">
      <c r="A273" t="str">
        <f t="shared" si="4"/>
        <v>entity:QNL_L2_022_ACADEMIC_PERS_LIBRARIA</v>
      </c>
      <c r="B273" s="29" t="s">
        <v>9038</v>
      </c>
      <c r="C273" t="s">
        <v>9039</v>
      </c>
      <c r="D273" t="str" cm="1">
        <f t="array" ref="D273:E273">TRANSPOSE(_xlfn._xlws.FILTER('Controllable Asset Registry'!$A$766:$A$1316,IFERROR('Controllable Asset Registry'!$E$766:$E$1316=A273,FALSE),"No Equipment in entity"))</f>
        <v>VAV_2F_S13_005</v>
      </c>
      <c r="E273" t="str">
        <v>VAV_2F_S13_006</v>
      </c>
    </row>
    <row r="274" spans="1:7" x14ac:dyDescent="0.3">
      <c r="A274" t="str">
        <f t="shared" si="4"/>
        <v>entity:QNL_L2_023_AD_ADMIN_&amp;_PLANNING</v>
      </c>
      <c r="B274" s="29" t="s">
        <v>9041</v>
      </c>
      <c r="C274" t="s">
        <v>9042</v>
      </c>
      <c r="D274" t="str" cm="1">
        <f t="array" ref="D274">TRANSPOSE(_xlfn._xlws.FILTER('Controllable Asset Registry'!$A$766:$A$1316,IFERROR('Controllable Asset Registry'!$E$766:$E$1316=A274,FALSE),"No Equipment in entity"))</f>
        <v>VAV_2F_S13_007</v>
      </c>
    </row>
    <row r="275" spans="1:7" x14ac:dyDescent="0.3">
      <c r="A275" t="str">
        <f t="shared" si="4"/>
        <v>entity:QNL_L2_024_OFFICE_COORD</v>
      </c>
      <c r="B275" s="29" t="s">
        <v>9044</v>
      </c>
      <c r="C275" t="s">
        <v>9045</v>
      </c>
      <c r="D275" t="str" cm="1">
        <f t="array" ref="D275">TRANSPOSE(_xlfn._xlws.FILTER('Controllable Asset Registry'!$A$766:$A$1316,IFERROR('Controllable Asset Registry'!$E$766:$E$1316=A275,FALSE),"No Equipment in entity"))</f>
        <v>VAV_2F_S13_008</v>
      </c>
    </row>
    <row r="276" spans="1:7" x14ac:dyDescent="0.3">
      <c r="A276" t="str">
        <f t="shared" si="4"/>
        <v>entity:QNL_L2_025_OPEN_OFFICE</v>
      </c>
      <c r="B276" s="29" t="s">
        <v>9047</v>
      </c>
      <c r="C276" t="s">
        <v>9048</v>
      </c>
      <c r="D276" t="str" cm="1">
        <f t="array" ref="D276:E276">TRANSPOSE(_xlfn._xlws.FILTER('Controllable Asset Registry'!$A$766:$A$1316,IFERROR('Controllable Asset Registry'!$E$766:$E$1316=A276,FALSE),"No Equipment in entity"))</f>
        <v>VAV_2F_S13_004</v>
      </c>
      <c r="E276" t="str">
        <v>VAV_2F_S13_009</v>
      </c>
    </row>
    <row r="277" spans="1:7" x14ac:dyDescent="0.3">
      <c r="A277" t="str">
        <f t="shared" si="4"/>
        <v>entity:QNL_L2_041_PANTRY</v>
      </c>
      <c r="B277" s="29" t="s">
        <v>9049</v>
      </c>
      <c r="C277" t="s">
        <v>6788</v>
      </c>
      <c r="D277" t="str" cm="1">
        <f t="array" ref="D277">TRANSPOSE(_xlfn._xlws.FILTER('Controllable Asset Registry'!$A$766:$A$1316,IFERROR('Controllable Asset Registry'!$E$766:$E$1316=A277,FALSE),"No Equipment in entity"))</f>
        <v>No Equipment in entity</v>
      </c>
    </row>
    <row r="278" spans="1:7" x14ac:dyDescent="0.3">
      <c r="A278" t="str">
        <f t="shared" si="4"/>
        <v>entity:QNL_L2_042_REST_ROOM</v>
      </c>
      <c r="B278" s="29" t="s">
        <v>9050</v>
      </c>
      <c r="C278" t="s">
        <v>9051</v>
      </c>
      <c r="D278" t="str" cm="1">
        <f t="array" ref="D278">TRANSPOSE(_xlfn._xlws.FILTER('Controllable Asset Registry'!$A$766:$A$1316,IFERROR('Controllable Asset Registry'!$E$766:$E$1316=A278,FALSE),"No Equipment in entity"))</f>
        <v>No Equipment in entity</v>
      </c>
    </row>
    <row r="279" spans="1:7" x14ac:dyDescent="0.3">
      <c r="A279" t="str">
        <f t="shared" si="4"/>
        <v>entity:QNL_L2_043_SERVICE_&amp;_LOUNGE</v>
      </c>
      <c r="B279" s="29" t="s">
        <v>9053</v>
      </c>
      <c r="C279" t="s">
        <v>9054</v>
      </c>
      <c r="D279" t="str" cm="1">
        <f t="array" ref="D279">TRANSPOSE(_xlfn._xlws.FILTER('Controllable Asset Registry'!$A$766:$A$1316,IFERROR('Controllable Asset Registry'!$E$766:$E$1316=A279,FALSE),"No Equipment in entity"))</f>
        <v>VAV_2F_S13_003</v>
      </c>
    </row>
    <row r="280" spans="1:7" x14ac:dyDescent="0.3">
      <c r="A280" t="str">
        <f t="shared" si="4"/>
        <v>entity:QNL_L2_044_LIBDIRECTORS_ROOM</v>
      </c>
      <c r="B280" s="29" t="s">
        <v>9056</v>
      </c>
      <c r="C280" t="s">
        <v>9057</v>
      </c>
      <c r="D280" t="str" cm="1">
        <f t="array" ref="D280:E280">TRANSPOSE(_xlfn._xlws.FILTER('Controllable Asset Registry'!$A$766:$A$1316,IFERROR('Controllable Asset Registry'!$E$766:$E$1316=A280,FALSE),"No Equipment in entity"))</f>
        <v>VAV_2F_S13_001</v>
      </c>
      <c r="E280" t="str">
        <v>VAV_2F_S13_002</v>
      </c>
    </row>
    <row r="281" spans="1:7" x14ac:dyDescent="0.3">
      <c r="A281" t="str">
        <f t="shared" si="4"/>
        <v>entity:QNL_L2_046_VIP_MEETING</v>
      </c>
      <c r="B281" s="29" t="s">
        <v>9059</v>
      </c>
      <c r="C281" t="s">
        <v>9060</v>
      </c>
      <c r="D281" t="str" cm="1">
        <f t="array" ref="D281">TRANSPOSE(_xlfn._xlws.FILTER('Controllable Asset Registry'!$A$766:$A$1316,IFERROR('Controllable Asset Registry'!$E$766:$E$1316=A281,FALSE),"No Equipment in entity"))</f>
        <v>VAV_2F_S15_005</v>
      </c>
    </row>
    <row r="282" spans="1:7" x14ac:dyDescent="0.3">
      <c r="A282" t="str">
        <f t="shared" si="4"/>
        <v>entity:QNL_L2_047_REST_ROOM</v>
      </c>
      <c r="B282" s="29" t="s">
        <v>9061</v>
      </c>
      <c r="C282" t="s">
        <v>9051</v>
      </c>
      <c r="D282" t="str" cm="1">
        <f t="array" ref="D282">TRANSPOSE(_xlfn._xlws.FILTER('Controllable Asset Registry'!$A$766:$A$1316,IFERROR('Controllable Asset Registry'!$E$766:$E$1316=A282,FALSE),"No Equipment in entity"))</f>
        <v>No Equipment in entity</v>
      </c>
    </row>
    <row r="283" spans="1:7" x14ac:dyDescent="0.3">
      <c r="A283" t="str">
        <f t="shared" si="4"/>
        <v>entity:QNL_L2_048_VIP_WATING</v>
      </c>
      <c r="B283" s="29" t="s">
        <v>9063</v>
      </c>
      <c r="C283" t="s">
        <v>9064</v>
      </c>
      <c r="D283" t="str" cm="1">
        <f t="array" ref="D283">TRANSPOSE(_xlfn._xlws.FILTER('Controllable Asset Registry'!$A$766:$A$1316,IFERROR('Controllable Asset Registry'!$E$766:$E$1316=A283,FALSE),"No Equipment in entity"))</f>
        <v>VAV_2F_S13_016</v>
      </c>
    </row>
    <row r="284" spans="1:7" x14ac:dyDescent="0.3">
      <c r="A284" t="str">
        <f t="shared" si="4"/>
        <v>entity:QNL_L2_049_REST_ROOM_MEN</v>
      </c>
      <c r="B284" s="29" t="s">
        <v>9065</v>
      </c>
      <c r="C284" t="s">
        <v>8533</v>
      </c>
      <c r="D284" t="str" cm="1">
        <f t="array" ref="D284">TRANSPOSE(_xlfn._xlws.FILTER('Controllable Asset Registry'!$A$766:$A$1316,IFERROR('Controllable Asset Registry'!$E$766:$E$1316=A284,FALSE),"No Equipment in entity"))</f>
        <v>No Equipment in entity</v>
      </c>
    </row>
    <row r="285" spans="1:7" x14ac:dyDescent="0.3">
      <c r="A285" t="str">
        <f t="shared" si="4"/>
        <v>entity:QNL_L2_050_REST_ROOM_WOMEN</v>
      </c>
      <c r="B285" s="29" t="s">
        <v>9066</v>
      </c>
      <c r="C285" t="s">
        <v>8537</v>
      </c>
      <c r="D285" t="str" cm="1">
        <f t="array" ref="D285">TRANSPOSE(_xlfn._xlws.FILTER('Controllable Asset Registry'!$A$766:$A$1316,IFERROR('Controllable Asset Registry'!$E$766:$E$1316=A285,FALSE),"No Equipment in entity"))</f>
        <v>No Equipment in entity</v>
      </c>
    </row>
    <row r="286" spans="1:7" x14ac:dyDescent="0.3">
      <c r="A286" t="str">
        <f t="shared" si="4"/>
        <v>entity:QNL_L2_051_VIP_ROOM</v>
      </c>
      <c r="B286" s="29" t="s">
        <v>9068</v>
      </c>
      <c r="C286" t="s">
        <v>9069</v>
      </c>
      <c r="D286" t="str" cm="1">
        <f t="array" ref="D286:G286">TRANSPOSE(_xlfn._xlws.FILTER('Controllable Asset Registry'!$A$766:$A$1316,IFERROR('Controllable Asset Registry'!$E$766:$E$1316=A286,FALSE),"No Equipment in entity"))</f>
        <v>VAV_2F_S15_001</v>
      </c>
      <c r="E286" t="str">
        <v>VAV_2F_S15_002</v>
      </c>
      <c r="F286" t="str">
        <v>VAV_2F_S15_003</v>
      </c>
      <c r="G286" t="str">
        <v>VAV_2F_S15_004</v>
      </c>
    </row>
    <row r="287" spans="1:7" x14ac:dyDescent="0.3">
      <c r="A287" t="str">
        <f t="shared" si="4"/>
        <v>entity:QNL_L2_070_INDIVISTUDY_ROOM</v>
      </c>
      <c r="B287" s="29" t="s">
        <v>9071</v>
      </c>
      <c r="C287" t="s">
        <v>9072</v>
      </c>
      <c r="D287" t="str" cm="1">
        <f t="array" ref="D287:F287">TRANSPOSE(_xlfn._xlws.FILTER('Controllable Asset Registry'!$A$766:$A$1316,IFERROR('Controllable Asset Registry'!$E$766:$E$1316=A287,FALSE),"No Equipment in entity"))</f>
        <v>FCU_2F_048</v>
      </c>
      <c r="E287" t="str">
        <v>FCU_2F_049</v>
      </c>
      <c r="F287" t="str">
        <v>FCU_2F_050</v>
      </c>
    </row>
    <row r="288" spans="1:7" x14ac:dyDescent="0.3">
      <c r="A288" t="str">
        <f t="shared" si="4"/>
        <v>entity:QNL_L2_071_INDIVISTUDY_ROOM</v>
      </c>
      <c r="B288" s="29" t="s">
        <v>9073</v>
      </c>
      <c r="C288" t="s">
        <v>9072</v>
      </c>
      <c r="D288" t="str" cm="1">
        <f t="array" ref="D288">TRANSPOSE(_xlfn._xlws.FILTER('Controllable Asset Registry'!$A$766:$A$1316,IFERROR('Controllable Asset Registry'!$E$766:$E$1316=A288,FALSE),"No Equipment in entity"))</f>
        <v>No Equipment in entity</v>
      </c>
    </row>
    <row r="289" spans="1:10" x14ac:dyDescent="0.3">
      <c r="A289" t="str">
        <f t="shared" si="4"/>
        <v>entity:QNL_L2_072_INDIVISTUDY_ROOM</v>
      </c>
      <c r="B289" s="29" t="s">
        <v>9074</v>
      </c>
      <c r="C289" t="s">
        <v>9072</v>
      </c>
      <c r="D289" t="str" cm="1">
        <f t="array" ref="D289">TRANSPOSE(_xlfn._xlws.FILTER('Controllable Asset Registry'!$A$766:$A$1316,IFERROR('Controllable Asset Registry'!$E$766:$E$1316=A289,FALSE),"No Equipment in entity"))</f>
        <v>No Equipment in entity</v>
      </c>
    </row>
    <row r="290" spans="1:10" x14ac:dyDescent="0.3">
      <c r="A290" t="str">
        <f t="shared" si="4"/>
        <v>entity:QNL_L2_073_INDIVISTUDY_ROOM</v>
      </c>
      <c r="B290" s="29" t="s">
        <v>9076</v>
      </c>
      <c r="C290" t="s">
        <v>9072</v>
      </c>
      <c r="D290" t="str" cm="1">
        <f t="array" ref="D290:F290">TRANSPOSE(_xlfn._xlws.FILTER('Controllable Asset Registry'!$A$766:$A$1316,IFERROR('Controllable Asset Registry'!$E$766:$E$1316=A290,FALSE),"No Equipment in entity"))</f>
        <v>FCU_2F_051</v>
      </c>
      <c r="E290" t="str">
        <v>FCU_2F_052</v>
      </c>
      <c r="F290" t="str">
        <v>FCU_2F_053</v>
      </c>
    </row>
    <row r="291" spans="1:10" x14ac:dyDescent="0.3">
      <c r="A291" t="str">
        <f t="shared" si="4"/>
        <v>entity:QNL_L2_074_INDIVISTUDY_ROOM</v>
      </c>
      <c r="B291" s="29" t="s">
        <v>9077</v>
      </c>
      <c r="C291" t="s">
        <v>9072</v>
      </c>
      <c r="D291" t="str" cm="1">
        <f t="array" ref="D291">TRANSPOSE(_xlfn._xlws.FILTER('Controllable Asset Registry'!$A$766:$A$1316,IFERROR('Controllable Asset Registry'!$E$766:$E$1316=A291,FALSE),"No Equipment in entity"))</f>
        <v>No Equipment in entity</v>
      </c>
    </row>
    <row r="292" spans="1:10" x14ac:dyDescent="0.3">
      <c r="A292" t="str">
        <f t="shared" si="4"/>
        <v>entity:QNL_L2_075_INDIVISTUDY_ROOM</v>
      </c>
      <c r="B292" s="29" t="s">
        <v>9078</v>
      </c>
      <c r="C292" t="s">
        <v>9072</v>
      </c>
      <c r="D292" t="str" cm="1">
        <f t="array" ref="D292">TRANSPOSE(_xlfn._xlws.FILTER('Controllable Asset Registry'!$A$766:$A$1316,IFERROR('Controllable Asset Registry'!$E$766:$E$1316=A292,FALSE),"No Equipment in entity"))</f>
        <v>No Equipment in entity</v>
      </c>
    </row>
    <row r="293" spans="1:10" x14ac:dyDescent="0.3">
      <c r="A293" t="str">
        <f t="shared" si="4"/>
        <v>entity:QNL_L2_076_GROUP_STUDY_ROOM</v>
      </c>
      <c r="B293" s="29" t="s">
        <v>9080</v>
      </c>
      <c r="C293" t="s">
        <v>9081</v>
      </c>
      <c r="D293" t="str" cm="1">
        <f t="array" ref="D293:E293">TRANSPOSE(_xlfn._xlws.FILTER('Controllable Asset Registry'!$A$766:$A$1316,IFERROR('Controllable Asset Registry'!$E$766:$E$1316=A293,FALSE),"No Equipment in entity"))</f>
        <v>FCU_2F_046</v>
      </c>
      <c r="E293" t="str">
        <v>FCU_2F_047</v>
      </c>
    </row>
    <row r="294" spans="1:10" x14ac:dyDescent="0.3">
      <c r="A294" t="str">
        <f t="shared" si="4"/>
        <v>entity:QNL_L2_077_GROUP_STUDY_ROOM</v>
      </c>
      <c r="B294" s="29" t="s">
        <v>9082</v>
      </c>
      <c r="C294" t="s">
        <v>9081</v>
      </c>
      <c r="D294" t="str" cm="1">
        <f t="array" ref="D294">TRANSPOSE(_xlfn._xlws.FILTER('Controllable Asset Registry'!$A$766:$A$1316,IFERROR('Controllable Asset Registry'!$E$766:$E$1316=A294,FALSE),"No Equipment in entity"))</f>
        <v>No Equipment in entity</v>
      </c>
    </row>
    <row r="295" spans="1:10" x14ac:dyDescent="0.3">
      <c r="A295" t="str">
        <f t="shared" si="4"/>
        <v>entity:QNL_L2_079_REST_ROOM_MEN</v>
      </c>
      <c r="B295" s="29" t="s">
        <v>9083</v>
      </c>
      <c r="C295" t="s">
        <v>8533</v>
      </c>
      <c r="D295" t="str" cm="1">
        <f t="array" ref="D295">TRANSPOSE(_xlfn._xlws.FILTER('Controllable Asset Registry'!$A$766:$A$1316,IFERROR('Controllable Asset Registry'!$E$766:$E$1316=A295,FALSE),"No Equipment in entity"))</f>
        <v>No Equipment in entity</v>
      </c>
    </row>
    <row r="296" spans="1:10" x14ac:dyDescent="0.3">
      <c r="A296" t="str">
        <f t="shared" si="4"/>
        <v>entity:QNL_L2_081_GROUP_STUDY_ROOM</v>
      </c>
      <c r="B296" s="29" t="s">
        <v>9085</v>
      </c>
      <c r="C296" t="s">
        <v>9081</v>
      </c>
      <c r="D296" t="str" cm="1">
        <f t="array" ref="D296">TRANSPOSE(_xlfn._xlws.FILTER('Controllable Asset Registry'!$A$766:$A$1316,IFERROR('Controllable Asset Registry'!$E$766:$E$1316=A296,FALSE),"No Equipment in entity"))</f>
        <v>FCU_2F_045</v>
      </c>
    </row>
    <row r="297" spans="1:10" x14ac:dyDescent="0.3">
      <c r="A297" t="str">
        <f t="shared" si="4"/>
        <v>entity:QNL_L2_085_REST_ROOM_WOMEN</v>
      </c>
      <c r="B297" s="29" t="s">
        <v>9086</v>
      </c>
      <c r="C297" t="s">
        <v>8537</v>
      </c>
      <c r="D297" t="str" cm="1">
        <f t="array" ref="D297">TRANSPOSE(_xlfn._xlws.FILTER('Controllable Asset Registry'!$A$766:$A$1316,IFERROR('Controllable Asset Registry'!$E$766:$E$1316=A297,FALSE),"No Equipment in entity"))</f>
        <v>No Equipment in entity</v>
      </c>
    </row>
    <row r="298" spans="1:10" x14ac:dyDescent="0.3">
      <c r="A298" t="str">
        <f t="shared" si="4"/>
        <v>entity:QNL_L2_087_AUDITORIUM_HIGH_LEVLEL_IN_CEILING_VOID</v>
      </c>
      <c r="B298" s="29" t="s">
        <v>9088</v>
      </c>
      <c r="C298" t="s">
        <v>9089</v>
      </c>
      <c r="D298" t="str" cm="1">
        <f t="array" ref="D298:J298">TRANSPOSE(_xlfn._xlws.FILTER('Controllable Asset Registry'!$A$766:$A$1316,IFERROR('Controllable Asset Registry'!$E$766:$E$1316=A298,FALSE),"No Equipment in entity"))</f>
        <v>FCU_2F_034</v>
      </c>
      <c r="E298" t="str">
        <v>FCU_2F_035</v>
      </c>
      <c r="F298" t="str">
        <v>FCU_2F_036</v>
      </c>
      <c r="G298" t="str">
        <v>FCU_2F_037</v>
      </c>
      <c r="H298" t="str">
        <v>FCU_2F_038</v>
      </c>
      <c r="I298" t="str">
        <v>FCU_2F_039</v>
      </c>
      <c r="J298" t="str">
        <v>FCU_2F_040</v>
      </c>
    </row>
    <row r="299" spans="1:10" x14ac:dyDescent="0.3">
      <c r="A299" t="str">
        <f t="shared" si="4"/>
        <v>entity:QNL_L2-L-1_1_L-1</v>
      </c>
      <c r="B299" s="29" t="s">
        <v>9090</v>
      </c>
      <c r="C299" t="s">
        <v>8790</v>
      </c>
      <c r="D299" t="str" cm="1">
        <f t="array" ref="D299">TRANSPOSE(_xlfn._xlws.FILTER('Controllable Asset Registry'!$A$766:$A$1316,IFERROR('Controllable Asset Registry'!$E$766:$E$1316=A299,FALSE),"No Equipment in entity"))</f>
        <v>No Equipment in entity</v>
      </c>
    </row>
    <row r="300" spans="1:10" x14ac:dyDescent="0.3">
      <c r="A300" t="str">
        <f t="shared" si="4"/>
        <v>entity:QNL_L2-L-1_2_L-2</v>
      </c>
      <c r="B300" s="29" t="s">
        <v>9091</v>
      </c>
      <c r="C300" t="s">
        <v>8794</v>
      </c>
      <c r="D300" t="str" cm="1">
        <f t="array" ref="D300">TRANSPOSE(_xlfn._xlws.FILTER('Controllable Asset Registry'!$A$766:$A$1316,IFERROR('Controllable Asset Registry'!$E$766:$E$1316=A300,FALSE),"No Equipment in entity"))</f>
        <v>No Equipment in entity</v>
      </c>
    </row>
    <row r="301" spans="1:10" x14ac:dyDescent="0.3">
      <c r="A301" t="str">
        <f t="shared" si="4"/>
        <v>entity:QNL_L2-L-3_L-3</v>
      </c>
      <c r="B301" s="29" t="s">
        <v>9092</v>
      </c>
      <c r="C301" t="s">
        <v>8796</v>
      </c>
      <c r="D301" t="str" cm="1">
        <f t="array" ref="D301">TRANSPOSE(_xlfn._xlws.FILTER('Controllable Asset Registry'!$A$766:$A$1316,IFERROR('Controllable Asset Registry'!$E$766:$E$1316=A301,FALSE),"No Equipment in entity"))</f>
        <v>No Equipment in entity</v>
      </c>
    </row>
    <row r="302" spans="1:10" x14ac:dyDescent="0.3">
      <c r="A302" t="str">
        <f t="shared" si="4"/>
        <v>entity:QNL_L2-L-4_L-4</v>
      </c>
      <c r="B302" s="29" t="s">
        <v>9093</v>
      </c>
      <c r="C302" t="s">
        <v>8798</v>
      </c>
      <c r="D302" t="str" cm="1">
        <f t="array" ref="D302">TRANSPOSE(_xlfn._xlws.FILTER('Controllable Asset Registry'!$A$766:$A$1316,IFERROR('Controllable Asset Registry'!$E$766:$E$1316=A302,FALSE),"No Equipment in entity"))</f>
        <v>No Equipment in entity</v>
      </c>
    </row>
    <row r="303" spans="1:10" x14ac:dyDescent="0.3">
      <c r="A303" t="str">
        <f t="shared" si="4"/>
        <v>entity:QNL_L2-ST-01_ST-01</v>
      </c>
      <c r="B303" s="29" t="s">
        <v>9094</v>
      </c>
      <c r="C303" t="s">
        <v>7269</v>
      </c>
      <c r="D303" t="str" cm="1">
        <f t="array" ref="D303">TRANSPOSE(_xlfn._xlws.FILTER('Controllable Asset Registry'!$A$766:$A$1316,IFERROR('Controllable Asset Registry'!$E$766:$E$1316=A303,FALSE),"No Equipment in entity"))</f>
        <v>No Equipment in entity</v>
      </c>
    </row>
    <row r="304" spans="1:10" x14ac:dyDescent="0.3">
      <c r="A304" t="str">
        <f t="shared" si="4"/>
        <v>entity:QNL_L2-ST-02_ST-02</v>
      </c>
      <c r="B304" s="29" t="s">
        <v>9095</v>
      </c>
      <c r="C304" t="s">
        <v>8801</v>
      </c>
      <c r="D304" t="str" cm="1">
        <f t="array" ref="D304">TRANSPOSE(_xlfn._xlws.FILTER('Controllable Asset Registry'!$A$766:$A$1316,IFERROR('Controllable Asset Registry'!$E$766:$E$1316=A304,FALSE),"No Equipment in entity"))</f>
        <v>No Equipment in entity</v>
      </c>
    </row>
    <row r="305" spans="1:20" x14ac:dyDescent="0.3">
      <c r="A305" t="str">
        <f t="shared" si="4"/>
        <v>entity:QNL_T1_020_OPEN_LOUNGE_TERRACE</v>
      </c>
      <c r="B305" s="29" t="s">
        <v>9097</v>
      </c>
      <c r="C305" t="s">
        <v>9098</v>
      </c>
      <c r="D305" t="str" cm="1">
        <f t="array" ref="D305:F305">TRANSPOSE(_xlfn._xlws.FILTER('Controllable Asset Registry'!$A$766:$A$1316,IFERROR('Controllable Asset Registry'!$E$766:$E$1316=A305,FALSE),"No Equipment in entity"))</f>
        <v>FCU_2F_060</v>
      </c>
      <c r="E305" t="str">
        <v>FCU_2F_061</v>
      </c>
      <c r="F305" t="str">
        <v>FCU_2F_062</v>
      </c>
    </row>
    <row r="306" spans="1:20" x14ac:dyDescent="0.3">
      <c r="A306" t="str">
        <f t="shared" si="4"/>
        <v>entity:QNL_T1_021_OPEN_STUDY_TERRACE</v>
      </c>
      <c r="B306" s="29" t="s">
        <v>9100</v>
      </c>
      <c r="C306" t="s">
        <v>9101</v>
      </c>
      <c r="D306" t="str" cm="1">
        <f t="array" ref="D306:G306">TRANSPOSE(_xlfn._xlws.FILTER('Controllable Asset Registry'!$A$766:$A$1316,IFERROR('Controllable Asset Registry'!$E$766:$E$1316=A306,FALSE),"No Equipment in entity"))</f>
        <v>FCU_2F_056</v>
      </c>
      <c r="E306" t="str">
        <v>FCU_2F_057</v>
      </c>
      <c r="F306" t="str">
        <v>FCU_2F_058</v>
      </c>
      <c r="G306" t="str">
        <v>FCU_2F_059</v>
      </c>
    </row>
    <row r="307" spans="1:20" x14ac:dyDescent="0.3">
      <c r="A307" t="str">
        <f t="shared" si="4"/>
        <v>entity:QNL_T1_323_IDF_ROOM</v>
      </c>
      <c r="B307" s="29" t="s">
        <v>9103</v>
      </c>
      <c r="C307" t="s">
        <v>6715</v>
      </c>
      <c r="D307" t="str" cm="1">
        <f t="array" ref="D307">TRANSPOSE(_xlfn._xlws.FILTER('Controllable Asset Registry'!$A$766:$A$1316,IFERROR('Controllable Asset Registry'!$E$766:$E$1316=A307,FALSE),"No Equipment in entity"))</f>
        <v>FCU_1F_001</v>
      </c>
    </row>
    <row r="308" spans="1:20" x14ac:dyDescent="0.3">
      <c r="A308" t="str">
        <f t="shared" si="4"/>
        <v>entity:QNL_L1_BR6_BRIDGE_CEILING_VOID</v>
      </c>
      <c r="B308" s="29" t="s">
        <v>9213</v>
      </c>
      <c r="C308" t="s">
        <v>9214</v>
      </c>
      <c r="D308" t="str" cm="1">
        <f t="array" ref="D308:N308">TRANSPOSE(_xlfn._xlws.FILTER('Controllable Asset Registry'!$A$766:$A$1316,IFERROR('Controllable Asset Registry'!$E$766:$E$1316=A308,FALSE),"No Equipment in entity"))</f>
        <v>FCU_1F_004</v>
      </c>
      <c r="E308" t="str">
        <v>FCU_1F_005</v>
      </c>
      <c r="F308" t="str">
        <v>FCU_1F_006</v>
      </c>
      <c r="G308" t="str">
        <v>FCU_1F_007</v>
      </c>
      <c r="H308" t="str">
        <v>FCU_1F_008</v>
      </c>
      <c r="I308" t="str">
        <v>FCU_1F_013</v>
      </c>
      <c r="J308" t="str">
        <v>FCU_1F_015</v>
      </c>
      <c r="K308" t="str">
        <v>FCU_1F_043</v>
      </c>
      <c r="L308" t="str">
        <v>FCU_1F_044</v>
      </c>
      <c r="M308" t="str">
        <v>FCU_1F_045</v>
      </c>
      <c r="N308" t="str">
        <v>FCU_1F_046</v>
      </c>
    </row>
    <row r="309" spans="1:20" x14ac:dyDescent="0.3">
      <c r="A309" t="str">
        <f t="shared" si="4"/>
        <v>entity:QNL_L1_BR5_BRIDGE_CEILING_VOID</v>
      </c>
      <c r="B309" s="29" t="s">
        <v>9215</v>
      </c>
      <c r="C309" t="s">
        <v>9214</v>
      </c>
      <c r="D309" t="str" cm="1">
        <f t="array" ref="D309:L309">TRANSPOSE(_xlfn._xlws.FILTER('Controllable Asset Registry'!$A$766:$A$1316,IFERROR('Controllable Asset Registry'!$E$766:$E$1316=A309,FALSE),"No Equipment in entity"))</f>
        <v>FCU_1F_009</v>
      </c>
      <c r="E309" t="str">
        <v>FCU_1F_010</v>
      </c>
      <c r="F309" t="str">
        <v>FCU_1F_011</v>
      </c>
      <c r="G309" t="str">
        <v>FCU_1F_012</v>
      </c>
      <c r="H309" t="str">
        <v>FCU_1F_019</v>
      </c>
      <c r="I309" t="str">
        <v>FCU_1F_021</v>
      </c>
      <c r="J309" t="str">
        <v>FCU_1F_042</v>
      </c>
      <c r="K309" t="str">
        <v>FCU_1F_053</v>
      </c>
      <c r="L309" t="str">
        <v>FCU_1F_054</v>
      </c>
    </row>
    <row r="310" spans="1:20" x14ac:dyDescent="0.3">
      <c r="A310" t="str">
        <f t="shared" si="4"/>
        <v>entity:QNL_L1_BR4_BRIDGE_CEILING_VOID</v>
      </c>
      <c r="B310" s="29" t="s">
        <v>9216</v>
      </c>
      <c r="C310" t="s">
        <v>9214</v>
      </c>
      <c r="D310" t="str" cm="1">
        <f t="array" ref="D310:L310">TRANSPOSE(_xlfn._xlws.FILTER('Controllable Asset Registry'!$A$766:$A$1316,IFERROR('Controllable Asset Registry'!$E$766:$E$1316=A310,FALSE),"No Equipment in entity"))</f>
        <v>FCU_1F_014</v>
      </c>
      <c r="E310" t="str">
        <v>FCU_1F_017</v>
      </c>
      <c r="F310" t="str">
        <v>FCU_1F_018</v>
      </c>
      <c r="G310" t="str">
        <v>FCU_1F_026</v>
      </c>
      <c r="H310" t="str">
        <v>FCU_1F_028</v>
      </c>
      <c r="I310" t="str">
        <v>FCU_1F_039</v>
      </c>
      <c r="J310" t="str">
        <v>FCU_1F_040</v>
      </c>
      <c r="K310" t="str">
        <v>FCU_1F_051</v>
      </c>
      <c r="L310" t="str">
        <v>FCU_1F_052</v>
      </c>
    </row>
    <row r="311" spans="1:20" x14ac:dyDescent="0.3">
      <c r="A311" t="str">
        <f t="shared" si="4"/>
        <v>entity:QNL_L1_BR3_BRIDGE_CEILING_VOID</v>
      </c>
      <c r="B311" s="29" t="s">
        <v>9217</v>
      </c>
      <c r="C311" t="s">
        <v>9214</v>
      </c>
      <c r="D311" t="str" cm="1">
        <f t="array" ref="D311:I311">TRANSPOSE(_xlfn._xlws.FILTER('Controllable Asset Registry'!$A$766:$A$1316,IFERROR('Controllable Asset Registry'!$E$766:$E$1316=A311,FALSE),"No Equipment in entity"))</f>
        <v>FCU_1F_020</v>
      </c>
      <c r="E311" t="str">
        <v>FCU_1F_022</v>
      </c>
      <c r="F311" t="str">
        <v>FCU_1F_023</v>
      </c>
      <c r="G311" t="str">
        <v>FCU_1F_024</v>
      </c>
      <c r="H311" t="str">
        <v>FCU_1F_037</v>
      </c>
      <c r="I311" t="str">
        <v>FCU_1F_038</v>
      </c>
    </row>
    <row r="312" spans="1:20" x14ac:dyDescent="0.3">
      <c r="A312" t="str">
        <f t="shared" si="4"/>
        <v>entity:QNL_L1_BR2_BRIDGE_CEILING_VOID</v>
      </c>
      <c r="B312" s="29" t="s">
        <v>9218</v>
      </c>
      <c r="C312" t="s">
        <v>9214</v>
      </c>
      <c r="D312" t="str" cm="1">
        <f t="array" ref="D312:K312">TRANSPOSE(_xlfn._xlws.FILTER('Controllable Asset Registry'!$A$766:$A$1316,IFERROR('Controllable Asset Registry'!$E$766:$E$1316=A312,FALSE),"No Equipment in entity"))</f>
        <v>FCU_1F_025</v>
      </c>
      <c r="E312" t="str">
        <v>FCU_1F_027</v>
      </c>
      <c r="F312" t="str">
        <v>FCU_1F_029</v>
      </c>
      <c r="G312" t="str">
        <v>FCU_1F_030</v>
      </c>
      <c r="H312" t="str">
        <v>FCU_1F_035</v>
      </c>
      <c r="I312" t="str">
        <v>FCU_1F_036</v>
      </c>
      <c r="J312" t="str">
        <v>FCU_1F_049</v>
      </c>
      <c r="K312" t="str">
        <v>FCU_1F_050</v>
      </c>
    </row>
    <row r="313" spans="1:20" x14ac:dyDescent="0.3">
      <c r="A313" t="str">
        <f t="shared" si="4"/>
        <v>entity:QNL_L1_BR1_BRIDGE_CEILING_VOID</v>
      </c>
      <c r="B313" s="29" t="s">
        <v>9219</v>
      </c>
      <c r="C313" t="s">
        <v>9214</v>
      </c>
      <c r="D313" t="str" cm="1">
        <f t="array" ref="D313:I313">TRANSPOSE(_xlfn._xlws.FILTER('Controllable Asset Registry'!$A$766:$A$1316,IFERROR('Controllable Asset Registry'!$E$766:$E$1316=A313,FALSE),"No Equipment in entity"))</f>
        <v>FCU_1F_031</v>
      </c>
      <c r="E313" t="str">
        <v>FCU_1F_032</v>
      </c>
      <c r="F313" t="str">
        <v>FCU_1F_033</v>
      </c>
      <c r="G313" t="str">
        <v>FCU_1F_034</v>
      </c>
      <c r="H313" t="str">
        <v>FCU_1F_047</v>
      </c>
      <c r="I313" t="str">
        <v>FCU_1F_048</v>
      </c>
    </row>
    <row r="314" spans="1:20" x14ac:dyDescent="0.3">
      <c r="A314" t="str">
        <f t="shared" si="4"/>
        <v>entity:QNL_L1_144_ILL_DIRECTOR</v>
      </c>
      <c r="B314" s="29" t="s">
        <v>9105</v>
      </c>
      <c r="C314" t="s">
        <v>9106</v>
      </c>
      <c r="D314" t="str" cm="1">
        <f t="array" ref="D314:E314">TRANSPOSE(_xlfn._xlws.FILTER('Controllable Asset Registry'!$A$766:$A$1316,IFERROR('Controllable Asset Registry'!$E$766:$E$1316=A314,FALSE),"No Equipment in entity"))</f>
        <v>FCU_1F_057</v>
      </c>
      <c r="E314" t="str">
        <v>FCU_1F_058</v>
      </c>
    </row>
    <row r="315" spans="1:20" x14ac:dyDescent="0.3">
      <c r="A315" t="str">
        <f t="shared" si="4"/>
        <v>entity:QNL_L1_150_RESTAURANT</v>
      </c>
      <c r="B315" s="29" t="s">
        <v>9108</v>
      </c>
      <c r="C315" t="s">
        <v>8909</v>
      </c>
      <c r="D315" t="str" cm="1">
        <f t="array" ref="D315:T315">TRANSPOSE(_xlfn._xlws.FILTER('Controllable Asset Registry'!$A$766:$A$1316,IFERROR('Controllable Asset Registry'!$E$766:$E$1316=A315,FALSE),"No Equipment in entity"))</f>
        <v>FCU_1F_059</v>
      </c>
      <c r="E315" t="str">
        <v>FCU_1F_060</v>
      </c>
      <c r="F315" t="str">
        <v>FCU_1F_061</v>
      </c>
      <c r="G315" t="str">
        <v>FCU_1F_062</v>
      </c>
      <c r="H315" t="str">
        <v>FCU_1F_063</v>
      </c>
      <c r="I315" t="str">
        <v>FCU_1F_064</v>
      </c>
      <c r="J315" t="str">
        <v>CAV_1F_S15_002</v>
      </c>
      <c r="K315" t="str">
        <v>CAV_1F_S15_005</v>
      </c>
      <c r="L315" t="str">
        <v>CAV_1F_S15_006</v>
      </c>
      <c r="M315" t="str">
        <v>CAV_1F_S15_010</v>
      </c>
      <c r="N315" t="str">
        <v>CAV_1F_S15_011</v>
      </c>
      <c r="O315" t="str">
        <v>CAV_1F_S15_012</v>
      </c>
      <c r="P315" t="str">
        <v>CAV_1F_S15_013</v>
      </c>
      <c r="Q315" t="str">
        <v>CAV_1F_S15_014</v>
      </c>
      <c r="R315" t="str">
        <v>CAV_1F_S15_015</v>
      </c>
      <c r="S315" t="str">
        <v>CAV_1F_S15_016</v>
      </c>
      <c r="T315" t="str">
        <v>CAV_1F_S15_017</v>
      </c>
    </row>
    <row r="316" spans="1:20" x14ac:dyDescent="0.3">
      <c r="A316" t="str">
        <f t="shared" si="4"/>
        <v>entity:QNL_T1_275_IDF_ROOM</v>
      </c>
      <c r="B316" s="29" t="s">
        <v>9110</v>
      </c>
      <c r="C316" t="s">
        <v>6715</v>
      </c>
      <c r="D316" t="str" cm="1">
        <f t="array" ref="D316">TRANSPOSE(_xlfn._xlws.FILTER('Controllable Asset Registry'!$A$766:$A$1316,IFERROR('Controllable Asset Registry'!$E$766:$E$1316=A316,FALSE),"No Equipment in entity"))</f>
        <v>FCU_2F_001</v>
      </c>
    </row>
    <row r="317" spans="1:20" x14ac:dyDescent="0.3">
      <c r="A317" t="str">
        <f t="shared" si="4"/>
        <v>entity:QNL_T1_276_IDF_ROOM</v>
      </c>
      <c r="B317" s="29" t="s">
        <v>9112</v>
      </c>
      <c r="C317" t="s">
        <v>6715</v>
      </c>
      <c r="D317" t="str" cm="1">
        <f t="array" ref="D317">TRANSPOSE(_xlfn._xlws.FILTER('Controllable Asset Registry'!$A$766:$A$1316,IFERROR('Controllable Asset Registry'!$E$766:$E$1316=A317,FALSE),"No Equipment in entity"))</f>
        <v>FCU_2F_002</v>
      </c>
    </row>
    <row r="318" spans="1:20" x14ac:dyDescent="0.3">
      <c r="A318" t="str">
        <f t="shared" si="4"/>
        <v>entity:QNL_T1_171_IDF_ROOM</v>
      </c>
      <c r="B318" s="29" t="s">
        <v>9114</v>
      </c>
      <c r="C318" t="s">
        <v>6715</v>
      </c>
      <c r="D318" t="str" cm="1">
        <f t="array" ref="D318">TRANSPOSE(_xlfn._xlws.FILTER('Controllable Asset Registry'!$A$766:$A$1316,IFERROR('Controllable Asset Registry'!$E$766:$E$1316=A318,FALSE),"No Equipment in entity"))</f>
        <v>FCU_2F_003</v>
      </c>
    </row>
    <row r="319" spans="1:20" x14ac:dyDescent="0.3">
      <c r="A319" t="str">
        <f t="shared" si="4"/>
        <v>entity:QNL_T1_1714_IDF_ROOM</v>
      </c>
      <c r="B319" s="29" t="s">
        <v>9116</v>
      </c>
      <c r="C319" t="s">
        <v>6715</v>
      </c>
      <c r="D319" t="str" cm="1">
        <f t="array" ref="D319">TRANSPOSE(_xlfn._xlws.FILTER('Controllable Asset Registry'!$A$766:$A$1316,IFERROR('Controllable Asset Registry'!$E$766:$E$1316=A319,FALSE),"No Equipment in entity"))</f>
        <v>FCU_2F_004</v>
      </c>
    </row>
    <row r="320" spans="1:20" x14ac:dyDescent="0.3">
      <c r="A320" t="str">
        <f t="shared" si="4"/>
        <v>entity:QNL_L2_088_BRIDGE_RAISED_FLOOR</v>
      </c>
      <c r="B320" s="29" t="s">
        <v>9118</v>
      </c>
      <c r="C320" t="s">
        <v>9119</v>
      </c>
      <c r="D320" t="str" cm="1">
        <f t="array" ref="D320:I320">TRANSPOSE(_xlfn._xlws.FILTER('Controllable Asset Registry'!$A$766:$A$1316,IFERROR('Controllable Asset Registry'!$E$766:$E$1316=A320,FALSE),"No Equipment in entity"))</f>
        <v>FCU_2F_041</v>
      </c>
      <c r="E320" t="str">
        <v>FCU_2F_042</v>
      </c>
      <c r="F320" t="str">
        <v>FCU_2F_043</v>
      </c>
      <c r="G320" t="str">
        <v>FCU_2F_044</v>
      </c>
      <c r="H320" t="str">
        <v>FCU_2F_054</v>
      </c>
      <c r="I320" t="str">
        <v>FCU_2F_055</v>
      </c>
    </row>
    <row r="321" spans="1:8" x14ac:dyDescent="0.3">
      <c r="A321" t="str">
        <f t="shared" si="4"/>
        <v>entity:QNL_B_140_HL_PLANT_ROOM</v>
      </c>
      <c r="B321" s="29" t="s">
        <v>9121</v>
      </c>
      <c r="C321" t="s">
        <v>8687</v>
      </c>
      <c r="D321" t="str" cm="1">
        <f t="array" ref="D321">TRANSPOSE(_xlfn._xlws.FILTER('Controllable Asset Registry'!$A$766:$A$1316,IFERROR('Controllable Asset Registry'!$E$766:$E$1316=A321,FALSE),"No Equipment in entity"))</f>
        <v>FCU_B_005</v>
      </c>
    </row>
    <row r="322" spans="1:8" x14ac:dyDescent="0.3">
      <c r="A322" t="str">
        <f t="shared" ref="A322:A342" si="5">"entity:QNL_"&amp;B322&amp;"_"&amp;C322</f>
        <v>entity:QNL_B_105_SECURITY_CONTOL_ROOM</v>
      </c>
      <c r="B322" s="29" t="s">
        <v>9123</v>
      </c>
      <c r="C322" t="s">
        <v>9124</v>
      </c>
      <c r="D322" t="str" cm="1">
        <f t="array" ref="D322:E322">TRANSPOSE(_xlfn._xlws.FILTER('Controllable Asset Registry'!$A$766:$A$1316,IFERROR('Controllable Asset Registry'!$E$766:$E$1316=A322,FALSE),"No Equipment in entity"))</f>
        <v>FCU_B_010</v>
      </c>
      <c r="E322" t="str">
        <v>VAV_B_S13_008</v>
      </c>
    </row>
    <row r="323" spans="1:8" x14ac:dyDescent="0.3">
      <c r="A323" t="str">
        <f t="shared" si="5"/>
        <v>entity:QNL_B_212_MISTING_PUMP_ROOM</v>
      </c>
      <c r="B323" s="29" t="s">
        <v>9126</v>
      </c>
      <c r="C323" t="s">
        <v>9127</v>
      </c>
      <c r="D323" t="str" cm="1">
        <f t="array" ref="D323:E323">TRANSPOSE(_xlfn._xlws.FILTER('Controllable Asset Registry'!$A$766:$A$1316,IFERROR('Controllable Asset Registry'!$E$766:$E$1316=A323,FALSE),"No Equipment in entity"))</f>
        <v>FCU_B_025</v>
      </c>
      <c r="E323" t="str">
        <v>FCU_B_026</v>
      </c>
    </row>
    <row r="324" spans="1:8" x14ac:dyDescent="0.3">
      <c r="A324" t="str">
        <f t="shared" si="5"/>
        <v>entity:QNL_L1_104_PRAYER_ROOM_FEMALE</v>
      </c>
      <c r="B324" s="29" t="s">
        <v>9129</v>
      </c>
      <c r="C324" t="s">
        <v>8975</v>
      </c>
      <c r="D324" t="str" cm="1">
        <f t="array" ref="D324:G324">TRANSPOSE(_xlfn._xlws.FILTER('Controllable Asset Registry'!$A$766:$A$1316,IFERROR('Controllable Asset Registry'!$E$766:$E$1316=A324,FALSE),"No Equipment in entity"))</f>
        <v>VAV_1F_S15_021</v>
      </c>
      <c r="E324" t="str">
        <v>VAV_1F_S15_022</v>
      </c>
      <c r="F324" t="str">
        <v>VAV_1F_S15_023</v>
      </c>
      <c r="G324" t="str">
        <v>VAV_1F_S15_024</v>
      </c>
    </row>
    <row r="325" spans="1:8" x14ac:dyDescent="0.3">
      <c r="A325" t="str">
        <f t="shared" si="5"/>
        <v>entity:QNL_B_001A_BREAK_OUT_AREA</v>
      </c>
      <c r="B325" s="29" t="s">
        <v>9131</v>
      </c>
      <c r="C325" t="s">
        <v>9132</v>
      </c>
      <c r="D325" t="str" cm="1">
        <f t="array" ref="D325:H325">TRANSPOSE(_xlfn._xlws.FILTER('Controllable Asset Registry'!$A$766:$A$1316,IFERROR('Controllable Asset Registry'!$E$766:$E$1316=A325,FALSE),"No Equipment in entity"))</f>
        <v>VAV_B_S11_001</v>
      </c>
      <c r="E325" t="str">
        <v>VAV_B_S11_002</v>
      </c>
      <c r="F325" t="str">
        <v>VAV_B_S11_011</v>
      </c>
      <c r="G325" t="str">
        <v>VAV_B_S11_012</v>
      </c>
      <c r="H325" t="str">
        <v>KEF_B04</v>
      </c>
    </row>
    <row r="326" spans="1:8" x14ac:dyDescent="0.3">
      <c r="A326" t="str">
        <f t="shared" si="5"/>
        <v>entity:QNL_B_056_OFFICE_DIG_INIT</v>
      </c>
      <c r="B326" s="29" t="s">
        <v>9135</v>
      </c>
      <c r="C326" t="s">
        <v>8576</v>
      </c>
      <c r="D326" t="str" cm="1">
        <f t="array" ref="D326">TRANSPOSE(_xlfn._xlws.FILTER('Controllable Asset Registry'!$A$766:$A$1316,IFERROR('Controllable Asset Registry'!$E$766:$E$1316=A326,FALSE),"No Equipment in entity"))</f>
        <v>VAV_B_S14_002</v>
      </c>
    </row>
    <row r="327" spans="1:8" x14ac:dyDescent="0.3">
      <c r="A327" t="str">
        <f t="shared" si="5"/>
        <v>entity:QNL_B_057_OFFICE_AD_FOR_LIT</v>
      </c>
      <c r="B327" s="29" t="s">
        <v>9137</v>
      </c>
      <c r="C327" t="s">
        <v>8578</v>
      </c>
      <c r="D327" t="str" cm="1">
        <f t="array" ref="D327">TRANSPOSE(_xlfn._xlws.FILTER('Controllable Asset Registry'!$A$766:$A$1316,IFERROR('Controllable Asset Registry'!$E$766:$E$1316=A327,FALSE),"No Equipment in entity"))</f>
        <v>VAV_B_S14_003</v>
      </c>
    </row>
    <row r="328" spans="1:8" x14ac:dyDescent="0.3">
      <c r="A328" t="str">
        <f t="shared" si="5"/>
        <v>entity:QNL_B_59_SHELL_SPACE</v>
      </c>
      <c r="B328" s="29" t="s">
        <v>9139</v>
      </c>
      <c r="C328" t="s">
        <v>6948</v>
      </c>
      <c r="D328" t="str" cm="1">
        <f t="array" ref="D328:E328">TRANSPOSE(_xlfn._xlws.FILTER('Controllable Asset Registry'!$A$766:$A$1316,IFERROR('Controllable Asset Registry'!$E$766:$E$1316=A328,FALSE),"No Equipment in entity"))</f>
        <v>VAV_B_S14_008</v>
      </c>
      <c r="E328" t="str">
        <v>VAV_B_S14_014</v>
      </c>
    </row>
    <row r="329" spans="1:8" x14ac:dyDescent="0.3">
      <c r="A329" t="str">
        <f t="shared" si="5"/>
        <v>entity:QNL_B_044_BOH_KITCHEN</v>
      </c>
      <c r="B329" s="29" t="s">
        <v>9141</v>
      </c>
      <c r="C329" t="s">
        <v>9142</v>
      </c>
      <c r="D329" t="str" cm="1">
        <f t="array" ref="D329:H329">TRANSPOSE(_xlfn._xlws.FILTER('Controllable Asset Registry'!$A$766:$A$1316,IFERROR('Controllable Asset Registry'!$E$766:$E$1316=A329,FALSE),"No Equipment in entity"))</f>
        <v>VAV_B_S14_040</v>
      </c>
      <c r="E329" t="str">
        <v>VAV_B_S14_041</v>
      </c>
      <c r="F329" t="str">
        <v>VAV_B_S14_047</v>
      </c>
      <c r="G329" t="str">
        <v>CAV_B_S14_006</v>
      </c>
      <c r="H329" t="str">
        <v>CAV_B_S14_007</v>
      </c>
    </row>
    <row r="330" spans="1:8" x14ac:dyDescent="0.3">
      <c r="A330" t="str">
        <f t="shared" si="5"/>
        <v>entity:QNL_L1_023_CORRIDOR</v>
      </c>
      <c r="B330" s="29" t="s">
        <v>9144</v>
      </c>
      <c r="C330" t="s">
        <v>5816</v>
      </c>
      <c r="D330" t="str" cm="1">
        <f t="array" ref="D330:F330">TRANSPOSE(_xlfn._xlws.FILTER('Controllable Asset Registry'!$A$766:$A$1316,IFERROR('Controllable Asset Registry'!$E$766:$E$1316=A330,FALSE),"No Equipment in entity"))</f>
        <v>CAV_1F_S11_001</v>
      </c>
      <c r="E330" t="str">
        <v>CAV_1F_S11_002</v>
      </c>
      <c r="F330" t="str">
        <v>CAV_1F_S11_007</v>
      </c>
    </row>
    <row r="331" spans="1:8" x14ac:dyDescent="0.3">
      <c r="A331" t="str">
        <f t="shared" si="5"/>
        <v>entity:QNL_B_061_CORRIDOR</v>
      </c>
      <c r="B331" s="29" t="s">
        <v>9146</v>
      </c>
      <c r="C331" t="s">
        <v>5816</v>
      </c>
      <c r="D331" t="str" cm="1">
        <f t="array" ref="D331">TRANSPOSE(_xlfn._xlws.FILTER('Controllable Asset Registry'!$A$766:$A$1316,IFERROR('Controllable Asset Registry'!$E$766:$E$1316=A331,FALSE),"No Equipment in entity"))</f>
        <v>CAV_B_S12_001</v>
      </c>
    </row>
    <row r="332" spans="1:8" x14ac:dyDescent="0.3">
      <c r="A332" t="str">
        <f t="shared" si="5"/>
        <v>entity:QNL_B_064_CORRIDOR_2</v>
      </c>
      <c r="B332" s="29" t="s">
        <v>9148</v>
      </c>
      <c r="C332" t="s">
        <v>9149</v>
      </c>
      <c r="D332" t="str" cm="1">
        <f t="array" ref="D332:H332">TRANSPOSE(_xlfn._xlws.FILTER('Controllable Asset Registry'!$A$766:$A$1316,IFERROR('Controllable Asset Registry'!$E$766:$E$1316=A332,FALSE),"No Equipment in entity"))</f>
        <v>CAV_B_S13_001</v>
      </c>
      <c r="E332" t="str">
        <v>CAV_B_S13_002</v>
      </c>
      <c r="F332" t="str">
        <v>CAV_B_S13_003</v>
      </c>
      <c r="G332" t="str">
        <v>CAV_B_S13_004</v>
      </c>
      <c r="H332" t="str">
        <v>CAV_B_S13_005</v>
      </c>
    </row>
    <row r="333" spans="1:8" x14ac:dyDescent="0.3">
      <c r="A333" t="str">
        <f t="shared" si="5"/>
        <v>entity:QNL_B_035_CORRIDOR_4</v>
      </c>
      <c r="B333" s="29" t="s">
        <v>9151</v>
      </c>
      <c r="C333" t="s">
        <v>9152</v>
      </c>
      <c r="D333" t="str" cm="1">
        <f t="array" ref="D333:F333">TRANSPOSE(_xlfn._xlws.FILTER('Controllable Asset Registry'!$A$766:$A$1316,IFERROR('Controllable Asset Registry'!$E$766:$E$1316=A333,FALSE),"No Equipment in entity"))</f>
        <v>CAV_B_S13_006</v>
      </c>
      <c r="E333" t="str">
        <v>CAV_B_S13_007</v>
      </c>
      <c r="F333" t="str">
        <v>CAV_B_S13_008</v>
      </c>
    </row>
    <row r="334" spans="1:8" x14ac:dyDescent="0.3">
      <c r="A334" t="str">
        <f t="shared" si="5"/>
        <v>entity:QNL_B_104A_PLANT_ROOM</v>
      </c>
      <c r="B334" s="29" t="s">
        <v>9154</v>
      </c>
      <c r="C334" t="s">
        <v>7122</v>
      </c>
      <c r="D334" t="str" cm="1">
        <f t="array" ref="D334">TRANSPOSE(_xlfn._xlws.FILTER('Controllable Asset Registry'!$A$766:$A$1316,IFERROR('Controllable Asset Registry'!$E$766:$E$1316=A334,FALSE),"No Equipment in entity"))</f>
        <v>CAV_B_S13_050</v>
      </c>
    </row>
    <row r="335" spans="1:8" x14ac:dyDescent="0.3">
      <c r="A335" t="str">
        <f t="shared" si="5"/>
        <v>entity:QNL_B_052_CORRIDOR_3</v>
      </c>
      <c r="B335" s="29" t="s">
        <v>9156</v>
      </c>
      <c r="C335" t="s">
        <v>9157</v>
      </c>
      <c r="D335" t="str" cm="1">
        <f t="array" ref="D335:E335">TRANSPOSE(_xlfn._xlws.FILTER('Controllable Asset Registry'!$A$766:$A$1316,IFERROR('Controllable Asset Registry'!$E$766:$E$1316=A335,FALSE),"No Equipment in entity"))</f>
        <v>CAV_B_S14_002</v>
      </c>
      <c r="E335" t="str">
        <v>KEF_B020</v>
      </c>
    </row>
    <row r="336" spans="1:8" x14ac:dyDescent="0.3">
      <c r="A336" t="str">
        <f t="shared" si="5"/>
        <v>entity:QNL_L1_990_VESTIBULE</v>
      </c>
      <c r="B336" s="29" t="s">
        <v>9159</v>
      </c>
      <c r="C336" t="s">
        <v>5839</v>
      </c>
      <c r="D336" t="str" cm="1">
        <f t="array" ref="D336">TRANSPOSE(_xlfn._xlws.FILTER('Controllable Asset Registry'!$A$766:$A$1316,IFERROR('Controllable Asset Registry'!$E$766:$E$1316=A336,FALSE),"No Equipment in entity"))</f>
        <v>FCU_1F_055</v>
      </c>
    </row>
    <row r="337" spans="1:10" x14ac:dyDescent="0.3">
      <c r="A337" t="str">
        <f t="shared" si="5"/>
        <v>entity:QNL_L1_991_EXTERNAL_BOOK_DROP</v>
      </c>
      <c r="B337" s="29" t="s">
        <v>9161</v>
      </c>
      <c r="C337" t="s">
        <v>9162</v>
      </c>
      <c r="D337" t="str" cm="1">
        <f t="array" ref="D337">TRANSPOSE(_xlfn._xlws.FILTER('Controllable Asset Registry'!$A$766:$A$1316,IFERROR('Controllable Asset Registry'!$E$766:$E$1316=A337,FALSE),"No Equipment in entity"))</f>
        <v>FCU_1F_056</v>
      </c>
    </row>
    <row r="338" spans="1:10" x14ac:dyDescent="0.3">
      <c r="A338" t="str">
        <f t="shared" si="5"/>
        <v>entity:QNL_L2_992_GULF_MATERIAL</v>
      </c>
      <c r="B338" s="29" t="s">
        <v>9164</v>
      </c>
      <c r="C338" t="s">
        <v>9165</v>
      </c>
      <c r="D338" t="str" cm="1">
        <f t="array" ref="D338:I338">TRANSPOSE(_xlfn._xlws.FILTER('Controllable Asset Registry'!$A$766:$A$1316,IFERROR('Controllable Asset Registry'!$E$766:$E$1316=A338,FALSE),"No Equipment in entity"))</f>
        <v>VAV_2F_S10_001</v>
      </c>
      <c r="E338" t="str">
        <v>VAV_2F_S10_002</v>
      </c>
      <c r="F338" t="str">
        <v>VAV_2F_S10_003</v>
      </c>
      <c r="G338" t="str">
        <v>VAV_2F_S10_004</v>
      </c>
      <c r="H338" t="str">
        <v>VAV_2F_S10_005</v>
      </c>
      <c r="I338" t="str">
        <v>VAV_2F_S10_006</v>
      </c>
    </row>
    <row r="339" spans="1:10" x14ac:dyDescent="0.3">
      <c r="A339" t="str">
        <f t="shared" si="5"/>
        <v>entity:QNL_L2_993_CORRIDOR</v>
      </c>
      <c r="B339" s="29" t="s">
        <v>9167</v>
      </c>
      <c r="C339" t="s">
        <v>5816</v>
      </c>
      <c r="D339" t="str" cm="1">
        <f t="array" ref="D339:J339">TRANSPOSE(_xlfn._xlws.FILTER('Controllable Asset Registry'!$A$766:$A$1316,IFERROR('Controllable Asset Registry'!$E$766:$E$1316=A339,FALSE),"No Equipment in entity"))</f>
        <v>VAV_2F_S12_025</v>
      </c>
      <c r="E339" t="str">
        <v>VAV_2F_S13_010</v>
      </c>
      <c r="F339" t="str">
        <v>VAV_2F_S13_011</v>
      </c>
      <c r="G339" t="str">
        <v>VAV_2F_S13_012</v>
      </c>
      <c r="H339" t="str">
        <v>VAV_2F_S13_013</v>
      </c>
      <c r="I339" t="str">
        <v>VAV_2F_S13_014</v>
      </c>
      <c r="J339" t="str">
        <v>VAV_2F_S13_015</v>
      </c>
    </row>
    <row r="340" spans="1:10" x14ac:dyDescent="0.3">
      <c r="A340" t="str">
        <f t="shared" si="5"/>
        <v>entity:QNL_L1_BC1_BRIDGE_CEILING</v>
      </c>
      <c r="B340" s="29" t="s">
        <v>9220</v>
      </c>
      <c r="C340" t="s">
        <v>9221</v>
      </c>
      <c r="D340" t="str" cm="1">
        <f t="array" ref="D340">TRANSPOSE(_xlfn._xlws.FILTER('Controllable Asset Registry'!$A$766:$A$1316,IFERROR('Controllable Asset Registry'!$E$766:$E$1316=A340,FALSE),"No Equipment in entity"))</f>
        <v>FCU_1F_016</v>
      </c>
    </row>
    <row r="341" spans="1:10" x14ac:dyDescent="0.3">
      <c r="A341" t="str">
        <f t="shared" si="5"/>
        <v>entity:QNL_L1_BC2_BRIDGE_CEILING</v>
      </c>
      <c r="B341" s="29" t="s">
        <v>9222</v>
      </c>
      <c r="C341" t="s">
        <v>9221</v>
      </c>
      <c r="D341" t="str" cm="1">
        <f t="array" ref="D341">TRANSPOSE(_xlfn._xlws.FILTER('Controllable Asset Registry'!$A$766:$A$1316,IFERROR('Controllable Asset Registry'!$E$766:$E$1316=A341,FALSE),"No Equipment in entity"))</f>
        <v>FCU_1F_041</v>
      </c>
    </row>
    <row r="342" spans="1:10" x14ac:dyDescent="0.3">
      <c r="A342" t="str">
        <f t="shared" si="5"/>
        <v>entity:QNL_L1_BI_BRIDGE_IDF</v>
      </c>
      <c r="B342" s="29" t="s">
        <v>9223</v>
      </c>
      <c r="C342" t="s">
        <v>9224</v>
      </c>
      <c r="D342" t="str" cm="1">
        <f t="array" ref="D342">TRANSPOSE(_xlfn._xlws.FILTER('Controllable Asset Registry'!$A$766:$A$1316,IFERROR('Controllable Asset Registry'!$E$766:$E$1316=A342,FALSE),"No Equipment in entity"))</f>
        <v>FCU_1F_065</v>
      </c>
    </row>
    <row r="343" spans="1:10" x14ac:dyDescent="0.3">
      <c r="A343" t="str">
        <f t="shared" ref="A343:A353" si="6">"entity:QNL_"&amp;B343&amp;"_"&amp;C343</f>
        <v>entity:QNL_B_083_HV_ROOM</v>
      </c>
      <c r="B343" s="29" t="s">
        <v>9285</v>
      </c>
      <c r="C343" t="s">
        <v>9286</v>
      </c>
      <c r="D343" t="str" cm="1">
        <f t="array" ref="D343:E343">TRANSPOSE(_xlfn._xlws.FILTER('Controllable Asset Registry'!$A$766:$A$1316,IFERROR('Controllable Asset Registry'!$E$766:$E$1316=A343,FALSE),"No Equipment in entity"))</f>
        <v>DX_B05</v>
      </c>
      <c r="E343" t="str">
        <v>DX_B06</v>
      </c>
    </row>
    <row r="344" spans="1:10" x14ac:dyDescent="0.3">
      <c r="A344" t="str">
        <f t="shared" si="6"/>
        <v>entity:QNL_B_045A_REFRIGERATE_STORE</v>
      </c>
      <c r="B344" s="29" t="s">
        <v>9287</v>
      </c>
      <c r="C344" t="s">
        <v>9288</v>
      </c>
      <c r="D344" t="str" cm="1">
        <f t="array" ref="D344:F344">TRANSPOSE(_xlfn._xlws.FILTER('Controllable Asset Registry'!$A$766:$A$1316,IFERROR('Controllable Asset Registry'!$E$766:$E$1316=A344,FALSE),"No Equipment in entity"))</f>
        <v>DX_B17</v>
      </c>
      <c r="E344" t="str">
        <v>DX_B18</v>
      </c>
      <c r="F344" t="str">
        <v>DX_B19</v>
      </c>
    </row>
    <row r="345" spans="1:10" x14ac:dyDescent="0.3">
      <c r="A345" t="str">
        <f t="shared" si="6"/>
        <v>entity:QNL_P_004_PLANT_ZONE</v>
      </c>
      <c r="B345" s="29" t="s">
        <v>9289</v>
      </c>
      <c r="C345" t="s">
        <v>9290</v>
      </c>
      <c r="D345" t="str" cm="1">
        <f t="array" ref="D345:J345">TRANSPOSE(_xlfn._xlws.FILTER('Controllable Asset Registry'!$A$766:$A$1316,IFERROR('Controllable Asset Registry'!$E$766:$E$1316=A345,FALSE),"No Equipment in entity"))</f>
        <v>DX_B21</v>
      </c>
      <c r="E345" t="str">
        <v>DX_B24</v>
      </c>
      <c r="F345" t="str">
        <v>EF_RP02</v>
      </c>
      <c r="G345" t="str">
        <v>SEF_RP07</v>
      </c>
      <c r="H345" t="str">
        <v>SEF_RP08</v>
      </c>
      <c r="I345" t="str">
        <v>SEF_RP09</v>
      </c>
      <c r="J345" t="str">
        <v>SEF_ZoneB</v>
      </c>
    </row>
    <row r="346" spans="1:10" x14ac:dyDescent="0.3">
      <c r="A346" t="str">
        <f t="shared" si="6"/>
        <v>entity:QNL_B_055_DIGITIZATION_CENTER</v>
      </c>
      <c r="B346" s="29" t="s">
        <v>9291</v>
      </c>
      <c r="C346" t="s">
        <v>9292</v>
      </c>
      <c r="D346" t="str" cm="1">
        <f t="array" ref="D346">TRANSPOSE(_xlfn._xlws.FILTER('Controllable Asset Registry'!$A$766:$A$1316,IFERROR('Controllable Asset Registry'!$E$766:$E$1316=A346,FALSE),"No Equipment in entity"))</f>
        <v>EF_B06</v>
      </c>
    </row>
    <row r="347" spans="1:10" x14ac:dyDescent="0.3">
      <c r="A347" t="str">
        <f t="shared" si="6"/>
        <v>entity:QNL_B_214_IDF_ROOM</v>
      </c>
      <c r="B347" s="29" t="s">
        <v>9293</v>
      </c>
      <c r="C347" t="s">
        <v>6715</v>
      </c>
      <c r="D347" t="str" cm="1">
        <f t="array" ref="D347">TRANSPOSE(_xlfn._xlws.FILTER('Controllable Asset Registry'!$A$766:$A$1316,IFERROR('Controllable Asset Registry'!$E$766:$E$1316=A347,FALSE),"No Equipment in entity"))</f>
        <v>EF_B12</v>
      </c>
    </row>
    <row r="348" spans="1:10" x14ac:dyDescent="0.3">
      <c r="A348" t="str">
        <f t="shared" si="6"/>
        <v>entity:QNL_P_002_PLANT_ZONE</v>
      </c>
      <c r="B348" s="29" t="s">
        <v>9294</v>
      </c>
      <c r="C348" t="s">
        <v>9290</v>
      </c>
      <c r="D348" t="str" cm="1">
        <f t="array" ref="D348:H348">TRANSPOSE(_xlfn._xlws.FILTER('Controllable Asset Registry'!$A$766:$A$1316,IFERROR('Controllable Asset Registry'!$E$766:$E$1316=A348,FALSE),"No Equipment in entity"))</f>
        <v>EF_RP01</v>
      </c>
      <c r="E348" t="str">
        <v>SEF_RP04</v>
      </c>
      <c r="F348" t="str">
        <v>SEF_RP05</v>
      </c>
      <c r="G348" t="str">
        <v>SEF_RP06</v>
      </c>
      <c r="H348" t="str">
        <v>SEF_ZoneA</v>
      </c>
    </row>
    <row r="349" spans="1:10" x14ac:dyDescent="0.3">
      <c r="A349" t="str">
        <f t="shared" si="6"/>
        <v>entity:QNL_P_007_PLANT_ZONE</v>
      </c>
      <c r="B349" s="29" t="s">
        <v>9295</v>
      </c>
      <c r="C349" t="s">
        <v>9290</v>
      </c>
      <c r="D349" t="str" cm="1">
        <f t="array" ref="D349:F349">TRANSPOSE(_xlfn._xlws.FILTER('Controllable Asset Registry'!$A$766:$A$1316,IFERROR('Controllable Asset Registry'!$E$766:$E$1316=A349,FALSE),"No Equipment in entity"))</f>
        <v>EF_RP03</v>
      </c>
      <c r="E349" t="str">
        <v>SEF_RP10</v>
      </c>
      <c r="F349" t="str">
        <v>SEF_ZoneC</v>
      </c>
    </row>
    <row r="350" spans="1:10" x14ac:dyDescent="0.3">
      <c r="A350" t="str">
        <f t="shared" si="6"/>
        <v>entity:QNL_L1_067_RESTAURANT</v>
      </c>
      <c r="B350" s="29" t="s">
        <v>9296</v>
      </c>
      <c r="C350" t="s">
        <v>8909</v>
      </c>
      <c r="D350" t="str" cm="1">
        <f t="array" ref="D350">TRANSPOSE(_xlfn._xlws.FILTER('Controllable Asset Registry'!$A$766:$A$1316,IFERROR('Controllable Asset Registry'!$E$766:$E$1316=A350,FALSE),"No Equipment in entity"))</f>
        <v>KEF_101</v>
      </c>
    </row>
    <row r="351" spans="1:10" x14ac:dyDescent="0.3">
      <c r="A351" t="str">
        <f t="shared" si="6"/>
        <v>entity:QNL_P_006_PLANT_ZONE</v>
      </c>
      <c r="B351" s="29" t="s">
        <v>9297</v>
      </c>
      <c r="C351" t="s">
        <v>9290</v>
      </c>
      <c r="D351" t="str" cm="1">
        <f t="array" ref="D351:E351">TRANSPOSE(_xlfn._xlws.FILTER('Controllable Asset Registry'!$A$766:$A$1316,IFERROR('Controllable Asset Registry'!$E$766:$E$1316=A351,FALSE),"No Equipment in entity"))</f>
        <v>SEF_RP11</v>
      </c>
      <c r="E351" t="str">
        <v>SEF_RP12</v>
      </c>
    </row>
    <row r="352" spans="1:10" x14ac:dyDescent="0.3">
      <c r="A352" t="str">
        <f t="shared" si="6"/>
        <v>entity:QNL_L1-E2_ELEC_SHAFT</v>
      </c>
      <c r="B352" s="29" t="s">
        <v>9298</v>
      </c>
      <c r="C352" t="s">
        <v>9299</v>
      </c>
      <c r="D352" t="str" cm="1">
        <f t="array" ref="D352">TRANSPOSE(_xlfn._xlws.FILTER('Controllable Asset Registry'!$A$766:$A$1316,IFERROR('Controllable Asset Registry'!$E$766:$E$1316=A352,FALSE),"No Equipment in entity"))</f>
        <v>TEF_101C</v>
      </c>
    </row>
    <row r="353" spans="1:4" x14ac:dyDescent="0.3">
      <c r="A353" t="str">
        <f t="shared" si="6"/>
        <v>entity:QNL_L1-E1_ELEC_SHAFT</v>
      </c>
      <c r="B353" s="29" t="s">
        <v>9300</v>
      </c>
      <c r="C353" t="s">
        <v>9299</v>
      </c>
      <c r="D353" t="str" cm="1">
        <f t="array" ref="D353">TRANSPOSE(_xlfn._xlws.FILTER('Controllable Asset Registry'!$A$766:$A$1316,IFERROR('Controllable Asset Registry'!$E$766:$E$1316=A353,FALSE),"No Equipment in entity"))</f>
        <v>TEF_102C</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dcb4b79b-439c-444a-b500-5bf636d4983e"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61AB3269EF62CF4DB6D42F7A0EAAB317" ma:contentTypeVersion="11" ma:contentTypeDescription="Create a new document." ma:contentTypeScope="" ma:versionID="870beaa49515d60df3cc91932dd2f396">
  <xsd:schema xmlns:xsd="http://www.w3.org/2001/XMLSchema" xmlns:xs="http://www.w3.org/2001/XMLSchema" xmlns:p="http://schemas.microsoft.com/office/2006/metadata/properties" xmlns:ns3="dcb4b79b-439c-444a-b500-5bf636d4983e" targetNamespace="http://schemas.microsoft.com/office/2006/metadata/properties" ma:root="true" ma:fieldsID="1373e2df3daab62917bc319af76ccf92" ns3:_="">
    <xsd:import namespace="dcb4b79b-439c-444a-b500-5bf636d4983e"/>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MediaServiceSystemTags" minOccurs="0"/>
                <xsd:element ref="ns3:MediaServiceOCR" minOccurs="0"/>
                <xsd:element ref="ns3:MediaServiceGenerationTime" minOccurs="0"/>
                <xsd:element ref="ns3:MediaServiceEventHashCode" minOccurs="0"/>
                <xsd:element ref="ns3:_activity" minOccurs="0"/>
                <xsd:element ref="ns3:MediaServiceLocation"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cb4b79b-439c-444a-b500-5bf636d4983e"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SystemTags" ma:index="12" nillable="true" ma:displayName="MediaServiceSystemTags" ma:hidden="true" ma:internalName="MediaServiceSystemTags" ma:readOnly="true">
      <xsd:simpleType>
        <xsd:restriction base="dms:Note"/>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_activity" ma:index="16" nillable="true" ma:displayName="_activity" ma:hidden="true" ma:internalName="_activity">
      <xsd:simpleType>
        <xsd:restriction base="dms:Note"/>
      </xsd:simpleType>
    </xsd:element>
    <xsd:element name="MediaServiceLocation" ma:index="17" nillable="true" ma:displayName="Location" ma:indexed="true" ma:internalName="MediaServiceLocatio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375CF60-1C76-497B-8393-4332F8FF61F1}">
  <ds:schemaRefs>
    <ds:schemaRef ds:uri="http://schemas.microsoft.com/office/2006/documentManagement/types"/>
    <ds:schemaRef ds:uri="http://purl.org/dc/dcmitype/"/>
    <ds:schemaRef ds:uri="http://purl.org/dc/elements/1.1/"/>
    <ds:schemaRef ds:uri="http://purl.org/dc/terms/"/>
    <ds:schemaRef ds:uri="dcb4b79b-439c-444a-b500-5bf636d4983e"/>
    <ds:schemaRef ds:uri="http://schemas.microsoft.com/office/infopath/2007/PartnerControls"/>
    <ds:schemaRef ds:uri="http://schemas.openxmlformats.org/package/2006/metadata/core-properties"/>
    <ds:schemaRef ds:uri="http://schemas.microsoft.com/office/2006/metadata/properties"/>
    <ds:schemaRef ds:uri="http://www.w3.org/XML/1998/namespace"/>
  </ds:schemaRefs>
</ds:datastoreItem>
</file>

<file path=customXml/itemProps2.xml><?xml version="1.0" encoding="utf-8"?>
<ds:datastoreItem xmlns:ds="http://schemas.openxmlformats.org/officeDocument/2006/customXml" ds:itemID="{DF721408-09EC-4E64-93AB-4145A7E951B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cb4b79b-439c-444a-b500-5bf636d4983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AD6DDF89-0D09-4457-8566-8C67C764B12A}">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Claude Log</vt:lpstr>
      <vt:lpstr>HQ Asset Register</vt:lpstr>
      <vt:lpstr>QNL Asset Register</vt:lpstr>
      <vt:lpstr>SSC Asset Register</vt:lpstr>
      <vt:lpstr>RDC Asset Register</vt:lpstr>
      <vt:lpstr>Controllable Asset Registry</vt:lpstr>
      <vt:lpstr>SSC Room Names with Equip.</vt:lpstr>
      <vt:lpstr>HQ Room Names with Equip.</vt:lpstr>
      <vt:lpstr>QNL Room Names with Equip.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Ahmad Sharaf Al Masri</cp:lastModifiedBy>
  <cp:revision>0</cp:revision>
  <dcterms:created xsi:type="dcterms:W3CDTF">2026-06-09T11:52:24Z</dcterms:created>
  <dcterms:modified xsi:type="dcterms:W3CDTF">2026-09-01T13:09:34Z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0x01010061AB3269EF62CF4DB6D42F7A0EAAB317</vt:lpwstr>
  </property>
</Properties>
</file>